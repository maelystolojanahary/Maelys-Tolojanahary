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" sheetId="1" r:id="rId5"/>
    <sheet state="visible" name="cas" sheetId="2" r:id="rId6"/>
    <sheet state="visible" name="foyer_combined" sheetId="3" r:id="rId7"/>
    <sheet state="visible" name="foyer_patient_cas" sheetId="4" r:id="rId8"/>
    <sheet state="visible" name="foyer_patient_temoin" sheetId="5" r:id="rId9"/>
    <sheet state="visible" name="foyer_patient_vrai_negatif" sheetId="6" r:id="rId10"/>
  </sheets>
  <definedNames/>
  <calcPr/>
</workbook>
</file>

<file path=xl/sharedStrings.xml><?xml version="1.0" encoding="utf-8"?>
<sst xmlns="http://schemas.openxmlformats.org/spreadsheetml/2006/main" count="40030" uniqueCount="2319">
  <si>
    <t>ID_Patient</t>
  </si>
  <si>
    <t>ID_foyer</t>
  </si>
  <si>
    <t>ID_prelevement</t>
  </si>
  <si>
    <t>ID_prel</t>
  </si>
  <si>
    <t>num_souche</t>
  </si>
  <si>
    <t>ID_personne</t>
  </si>
  <si>
    <t>Source</t>
  </si>
  <si>
    <t>Date de naissance</t>
  </si>
  <si>
    <t>Compartiment</t>
  </si>
  <si>
    <t>Age</t>
  </si>
  <si>
    <t>Sympt urinaire</t>
  </si>
  <si>
    <t>Statut_Enterobacteries</t>
  </si>
  <si>
    <t>Septicémie</t>
  </si>
  <si>
    <t>Sonde ou catheter</t>
  </si>
  <si>
    <t>ECBU</t>
  </si>
  <si>
    <t>Hémoculture</t>
  </si>
  <si>
    <t>Sepsis</t>
  </si>
  <si>
    <t>ID_souche</t>
  </si>
  <si>
    <t>Abcès ou plaie superficielle</t>
  </si>
  <si>
    <t>Infection urinaire</t>
  </si>
  <si>
    <t>Autre infection</t>
  </si>
  <si>
    <t>Prélèvement urine</t>
  </si>
  <si>
    <t>Especes_bacteriennes</t>
  </si>
  <si>
    <t>Prélèvement sang</t>
  </si>
  <si>
    <t>Labo ayant fait les analyses</t>
  </si>
  <si>
    <t>Résultat antibiogramme</t>
  </si>
  <si>
    <t>CMI_Amoxicilline</t>
  </si>
  <si>
    <t>Cas ou Témoin</t>
  </si>
  <si>
    <t>Sexe</t>
  </si>
  <si>
    <t>Phenotype_de_resistance</t>
  </si>
  <si>
    <t>Education</t>
  </si>
  <si>
    <t>Profession</t>
  </si>
  <si>
    <t>Si vendeur, préciser</t>
  </si>
  <si>
    <t>Interpretation_CM2_Amoxicilline</t>
  </si>
  <si>
    <t>EMR</t>
  </si>
  <si>
    <t>Voyage au cours 12 derniers mois</t>
  </si>
  <si>
    <t>Voyage à l'intérieur du pays ou à l'étranger</t>
  </si>
  <si>
    <t>EBLSE</t>
  </si>
  <si>
    <t>CMI_Amoxiclav</t>
  </si>
  <si>
    <t>Nombre de voyage</t>
  </si>
  <si>
    <t>Durée du voyage</t>
  </si>
  <si>
    <t>ERC</t>
  </si>
  <si>
    <t>Condition</t>
  </si>
  <si>
    <t>Interpretation_CM2_Amoxiclav</t>
  </si>
  <si>
    <t>Code condition</t>
  </si>
  <si>
    <t>Date début</t>
  </si>
  <si>
    <t>CMI_Ticarcilline</t>
  </si>
  <si>
    <t>Date de fin</t>
  </si>
  <si>
    <t>ATB au cours 2 dernières semaines</t>
  </si>
  <si>
    <t>Interpretation_CMI_Ticarcilline</t>
  </si>
  <si>
    <t>Interpretation_CMI_Amoxicilline</t>
  </si>
  <si>
    <t>Nom</t>
  </si>
  <si>
    <t>DCI</t>
  </si>
  <si>
    <t>CMI_Tic_+_Clavulanate</t>
  </si>
  <si>
    <t>Date fin</t>
  </si>
  <si>
    <t>Voie d'administration</t>
  </si>
  <si>
    <t>Interpretation_CMI_Tic_+_clavulanate</t>
  </si>
  <si>
    <t>Village</t>
  </si>
  <si>
    <t>District</t>
  </si>
  <si>
    <t>CMI_Piperacilline</t>
  </si>
  <si>
    <t>Commune</t>
  </si>
  <si>
    <t>Province</t>
  </si>
  <si>
    <t>Cadre</t>
  </si>
  <si>
    <t>Interpretation_CMI_Piperacilline</t>
  </si>
  <si>
    <t>Type</t>
  </si>
  <si>
    <t>CMI_Piperacilline_+_Tazobactam</t>
  </si>
  <si>
    <t>Nb pièces</t>
  </si>
  <si>
    <t>Toit</t>
  </si>
  <si>
    <t>Mur</t>
  </si>
  <si>
    <t>Interpretation_CMI_Piperacilline_+_Tazobactam</t>
  </si>
  <si>
    <t>Sol</t>
  </si>
  <si>
    <t>Approvisionnement eau boisson</t>
  </si>
  <si>
    <t>CMI_Temocilline</t>
  </si>
  <si>
    <t>Traitement eau</t>
  </si>
  <si>
    <t>Utilisation source par animaux</t>
  </si>
  <si>
    <t>Préciser animaux</t>
  </si>
  <si>
    <t>Collecte déchets</t>
  </si>
  <si>
    <t>Interpretation_CMI_Temocilline</t>
  </si>
  <si>
    <t>Type toilettes</t>
  </si>
  <si>
    <t>Latrines partagées</t>
  </si>
  <si>
    <t>Pénicillines_R</t>
  </si>
  <si>
    <t>Environnement autour maison</t>
  </si>
  <si>
    <t>Ferme près maison</t>
  </si>
  <si>
    <t>Travail dans ferme</t>
  </si>
  <si>
    <t>Abattoir près maison</t>
  </si>
  <si>
    <t>Travail dans abattoir</t>
  </si>
  <si>
    <t>Inondation</t>
  </si>
  <si>
    <t>Saison</t>
  </si>
  <si>
    <t>Durée</t>
  </si>
  <si>
    <t>Dernière épisode</t>
  </si>
  <si>
    <t>CMI_cefotaxime</t>
  </si>
  <si>
    <t>Depuis quand dans habitat actuel</t>
  </si>
  <si>
    <t>Interpretation_CMI_cefotaxime</t>
  </si>
  <si>
    <t>CMI_Cefoxitine</t>
  </si>
  <si>
    <t>Terres cultivées</t>
  </si>
  <si>
    <t>Interpretation_CMI_Cefoxitine</t>
  </si>
  <si>
    <t>Type culture</t>
  </si>
  <si>
    <t>CMI_Ceftazidime</t>
  </si>
  <si>
    <t>Engrais</t>
  </si>
  <si>
    <t>Interpretation_CMI_Ceftazidime</t>
  </si>
  <si>
    <t>CMI_Caftazidime_+_Avibactam</t>
  </si>
  <si>
    <t>Préciser si oui</t>
  </si>
  <si>
    <t>Interpretation_CMI_Ceftazidime_+_Avibactam</t>
  </si>
  <si>
    <t>Animaux</t>
  </si>
  <si>
    <t>CMI_Cefepime</t>
  </si>
  <si>
    <t>poulets</t>
  </si>
  <si>
    <t>Interpretation_CMI_Cefepime</t>
  </si>
  <si>
    <t>porcs :</t>
  </si>
  <si>
    <t>vaches ou buffles</t>
  </si>
  <si>
    <t>Cephalosporine_R</t>
  </si>
  <si>
    <t>canards</t>
  </si>
  <si>
    <t>chèvres</t>
  </si>
  <si>
    <t>dindes</t>
  </si>
  <si>
    <t>chevaux</t>
  </si>
  <si>
    <t>CMI_Ciprofloxacine</t>
  </si>
  <si>
    <t>cerfs</t>
  </si>
  <si>
    <t>chiens</t>
  </si>
  <si>
    <t>chats</t>
  </si>
  <si>
    <t>oiseaux de compagnie</t>
  </si>
  <si>
    <t>Interpretation_CMI_Ciprofloxacine</t>
  </si>
  <si>
    <t>rongeurs de compagnie</t>
  </si>
  <si>
    <t>CMI_Levofloxacine</t>
  </si>
  <si>
    <t>Autres</t>
  </si>
  <si>
    <t>Interpretation_CMI_Levofloxacine</t>
  </si>
  <si>
    <t>Aliments pour animaux</t>
  </si>
  <si>
    <t>Eau pour animaux</t>
  </si>
  <si>
    <t>CMI_Acide_nalidixique</t>
  </si>
  <si>
    <t>Animaux souffrants</t>
  </si>
  <si>
    <t>Interpretation_CMI_Acide_nalidixique</t>
  </si>
  <si>
    <t>Quel animaux</t>
  </si>
  <si>
    <t>Fluoroquinolones_R</t>
  </si>
  <si>
    <t>ATB pour animaux</t>
  </si>
  <si>
    <t>CMI_Cotrimoxazole</t>
  </si>
  <si>
    <t>Nombre</t>
  </si>
  <si>
    <t>Homme</t>
  </si>
  <si>
    <t>Femme</t>
  </si>
  <si>
    <t>Interpretation_CMI_Cotrimoxazole</t>
  </si>
  <si>
    <t>Année de naissance</t>
  </si>
  <si>
    <t>CMI_Amikacine</t>
  </si>
  <si>
    <t>Relation avec patient</t>
  </si>
  <si>
    <t>Membre foyer malade</t>
  </si>
  <si>
    <t>Interpretation_CMI_Amikacine</t>
  </si>
  <si>
    <t>Même maladie que patient</t>
  </si>
  <si>
    <t>CMI_Tobramycine</t>
  </si>
  <si>
    <t>Hospitalisation</t>
  </si>
  <si>
    <t>Antibiotiques</t>
  </si>
  <si>
    <t>Interpretation_CMI_Tobramycine</t>
  </si>
  <si>
    <t>Savon après latrine</t>
  </si>
  <si>
    <t>Savon avant repas</t>
  </si>
  <si>
    <t>Aminosides_R</t>
  </si>
  <si>
    <t>Manipulation excréments</t>
  </si>
  <si>
    <t>CMI_Tetracycline</t>
  </si>
  <si>
    <t>Consommation viande/poisson</t>
  </si>
  <si>
    <t>Volaille</t>
  </si>
  <si>
    <t>Saucisses de volaille</t>
  </si>
  <si>
    <t>Interpretation_CMI_Tetracycline</t>
  </si>
  <si>
    <t>Porc</t>
  </si>
  <si>
    <t>Saucisses de porc</t>
  </si>
  <si>
    <t>CMI_Aztreonam</t>
  </si>
  <si>
    <t>Bœuf, veau ou apparentés</t>
  </si>
  <si>
    <t>Mouton, agneau ou apparentés</t>
  </si>
  <si>
    <t>Interpretation_CMI_Aztreonam</t>
  </si>
  <si>
    <t>Lapin</t>
  </si>
  <si>
    <t>CMI_Ertapenème</t>
  </si>
  <si>
    <t>Poisson</t>
  </si>
  <si>
    <t>Crustacés</t>
  </si>
  <si>
    <t>Interpretation_CMI_Ertapenème</t>
  </si>
  <si>
    <t>Fruits de mer</t>
  </si>
  <si>
    <t>CMI_E_test</t>
  </si>
  <si>
    <t>Insectes</t>
  </si>
  <si>
    <t>Interpretation_CMI_E_test</t>
  </si>
  <si>
    <t>CMI_Imipenème</t>
  </si>
  <si>
    <t>Interpretation_CMI_Imipenème</t>
  </si>
  <si>
    <t>CMI_Gentamicine</t>
  </si>
  <si>
    <t>consommation animaux d'élévage</t>
  </si>
  <si>
    <t>Interpretation_CMI_Gentamicine</t>
  </si>
  <si>
    <t>Contact avec viande crue</t>
  </si>
  <si>
    <t>Légumes crus</t>
  </si>
  <si>
    <t>Fréquence</t>
  </si>
  <si>
    <t>Origine</t>
  </si>
  <si>
    <t>MDG001</t>
  </si>
  <si>
    <t>Poulets</t>
  </si>
  <si>
    <t>Porcs</t>
  </si>
  <si>
    <t>Vaches ou buffles</t>
  </si>
  <si>
    <t>Canards</t>
  </si>
  <si>
    <t>Chiens :</t>
  </si>
  <si>
    <t>Chats</t>
  </si>
  <si>
    <t>Chèvres</t>
  </si>
  <si>
    <t>P1</t>
  </si>
  <si>
    <t>Oiseaux de compagnie</t>
  </si>
  <si>
    <t>Humain</t>
  </si>
  <si>
    <t>Rongeurs de compagnie</t>
  </si>
  <si>
    <t>presence</t>
  </si>
  <si>
    <t>Dindes</t>
  </si>
  <si>
    <t>Chevaux</t>
  </si>
  <si>
    <t>1726-C11-001-0-014-1</t>
  </si>
  <si>
    <t>Cerfs</t>
  </si>
  <si>
    <t>Conservation nourriture</t>
  </si>
  <si>
    <t>Escherichia coli</t>
  </si>
  <si>
    <t>Excréments rongeurs</t>
  </si>
  <si>
    <t>Nourriture touchée par rongeur</t>
  </si>
  <si>
    <t>Saisonnalité</t>
  </si>
  <si>
    <t>Dernière occurrence</t>
  </si>
  <si>
    <t>Touché des rats/souris vivants</t>
  </si>
  <si>
    <t>Tué des rats/souris</t>
  </si>
  <si>
    <t>Positif</t>
  </si>
  <si>
    <t>Manipulé de la viande de rat crue</t>
  </si>
  <si>
    <t>Mangé de la viande de rat cru</t>
  </si>
  <si>
    <t>Negatif</t>
  </si>
  <si>
    <t>Bacterial_species</t>
  </si>
  <si>
    <t>Acide nalidixique</t>
  </si>
  <si>
    <t>Acide nalidixique_R</t>
  </si>
  <si>
    <t>Amikacine</t>
  </si>
  <si>
    <t>Amikacine_R</t>
  </si>
  <si>
    <t>Amox + clavulanate</t>
  </si>
  <si>
    <t>Amox + clavulanate_R</t>
  </si>
  <si>
    <t>Amoxicilline</t>
  </si>
  <si>
    <t>Amoxicilline_R</t>
  </si>
  <si>
    <t>Céfotaxime</t>
  </si>
  <si>
    <t>Céfotaxime_R</t>
  </si>
  <si>
    <t>Céfoxitine</t>
  </si>
  <si>
    <t>Céfoxitine_R</t>
  </si>
  <si>
    <t>Ceftazidime</t>
  </si>
  <si>
    <t>Ceftazidime_R</t>
  </si>
  <si>
    <t>Ciprofloxacine</t>
  </si>
  <si>
    <t>Ciprofloxacine_R</t>
  </si>
  <si>
    <t>Triméthoprime sulfaméthoxazole</t>
  </si>
  <si>
    <t>Triméthoprime sulfaméthoxazole_R</t>
  </si>
  <si>
    <t>Ertapénème</t>
  </si>
  <si>
    <t>Ertapénème_R</t>
  </si>
  <si>
    <t>Gentamicine</t>
  </si>
  <si>
    <t>Gentamicine_R</t>
  </si>
  <si>
    <t>Imipénème</t>
  </si>
  <si>
    <t>Imipénème_R</t>
  </si>
  <si>
    <t>Lévofloxacine</t>
  </si>
  <si>
    <t>Lévofloxacine_R</t>
  </si>
  <si>
    <t>Tobramycine</t>
  </si>
  <si>
    <t>Tobramycine_R</t>
  </si>
  <si>
    <t>Nitrofurantoin</t>
  </si>
  <si>
    <t>Nitrofurantoin_R</t>
  </si>
  <si>
    <t>Meropeneme</t>
  </si>
  <si>
    <t>Meropeneme_R</t>
  </si>
  <si>
    <t>Erythromycine</t>
  </si>
  <si>
    <t>Erythromycine_R</t>
  </si>
  <si>
    <t>Aztréonam</t>
  </si>
  <si>
    <t>Aztréonam_R</t>
  </si>
  <si>
    <t>Céfépime</t>
  </si>
  <si>
    <t>Céfépime_R</t>
  </si>
  <si>
    <t>Fosfomycine</t>
  </si>
  <si>
    <t>Fosfomycine_R</t>
  </si>
  <si>
    <t>Pipé + Tazobactam</t>
  </si>
  <si>
    <t>Pipé + Tazobactam_R</t>
  </si>
  <si>
    <t>Oui</t>
  </si>
  <si>
    <t>Non</t>
  </si>
  <si>
    <t>NON</t>
  </si>
  <si>
    <t>OUI</t>
  </si>
  <si>
    <t>CICM</t>
  </si>
  <si>
    <t xml:space="preserve">EBLSE </t>
  </si>
  <si>
    <t>Cas</t>
  </si>
  <si>
    <t>femme</t>
  </si>
  <si>
    <t>diplome universitaire</t>
  </si>
  <si>
    <t>Comptabilité</t>
  </si>
  <si>
    <t>à L'iterieur du pays</t>
  </si>
  <si>
    <t>1à7 jours</t>
  </si>
  <si>
    <t>Hépatite C</t>
  </si>
  <si>
    <t>Indeterminer</t>
  </si>
  <si>
    <t>CEFTRIAXONE</t>
  </si>
  <si>
    <t>IV</t>
  </si>
  <si>
    <t>Andohalo</t>
  </si>
  <si>
    <t>Antananarivo renivohitra</t>
  </si>
  <si>
    <t>antananarivo</t>
  </si>
  <si>
    <t>Urbain</t>
  </si>
  <si>
    <t>Maison dans un lot avec d'autres menagères</t>
  </si>
  <si>
    <t>tôle</t>
  </si>
  <si>
    <t>brique</t>
  </si>
  <si>
    <t>carrelage</t>
  </si>
  <si>
    <t>Robinet intérieur</t>
  </si>
  <si>
    <t>Bouillie,désinfectant</t>
  </si>
  <si>
    <t>intérieur avec chasse d'eau</t>
  </si>
  <si>
    <t>Environnement Urbain</t>
  </si>
  <si>
    <t>15Mois</t>
  </si>
  <si>
    <t>Antananarivo Renivohitra</t>
  </si>
  <si>
    <t>urbaine d'Antananarivo</t>
  </si>
  <si>
    <t>Antananarivo</t>
  </si>
  <si>
    <t>urbain</t>
  </si>
  <si>
    <t>tortues 2</t>
  </si>
  <si>
    <t>légumes</t>
  </si>
  <si>
    <t>Robinét extérieur</t>
  </si>
  <si>
    <t>2017/1996/1975/1963</t>
  </si>
  <si>
    <t>Nièce/Nièce/Frère/patinet</t>
  </si>
  <si>
    <t>2 fois/sem</t>
  </si>
  <si>
    <t>1 fois/mois</t>
  </si>
  <si>
    <t>3 fois/sem</t>
  </si>
  <si>
    <t>jamais</t>
  </si>
  <si>
    <t>1jour/sem</t>
  </si>
  <si>
    <t>Acheté au marché</t>
  </si>
  <si>
    <t>1 fois/jour</t>
  </si>
  <si>
    <t>couvercle pour nourriturre</t>
  </si>
  <si>
    <t>negatif</t>
  </si>
  <si>
    <t>R</t>
  </si>
  <si>
    <t>S</t>
  </si>
  <si>
    <t>-</t>
  </si>
  <si>
    <t>MDG002</t>
  </si>
  <si>
    <t>P2</t>
  </si>
  <si>
    <t>cas</t>
  </si>
  <si>
    <t>homme</t>
  </si>
  <si>
    <t>education primaire</t>
  </si>
  <si>
    <t>Pompiste</t>
  </si>
  <si>
    <t>Cardiopathie valvulaire</t>
  </si>
  <si>
    <t>AMOXICLAV DENK/LEVO DENK/MCEFIXIME</t>
  </si>
  <si>
    <t>AMOXICILLINE+ACIDE CLAVULANIQUE/LEVOFLOXACINE/CEFIXIME</t>
  </si>
  <si>
    <t>04/04/2024;08/04/2024;08/04/2024</t>
  </si>
  <si>
    <t>10/04/2024;en cours;11/04/2024</t>
  </si>
  <si>
    <t>PO</t>
  </si>
  <si>
    <t>Anoasipatrana</t>
  </si>
  <si>
    <t>Pièce dans une appartement</t>
  </si>
  <si>
    <t>béton</t>
  </si>
  <si>
    <t>Robinet extérieur</t>
  </si>
  <si>
    <t>Désinfectant</t>
  </si>
  <si>
    <t>extérieur sans chasse d'eau</t>
  </si>
  <si>
    <t>plus de 5 ans</t>
  </si>
  <si>
    <t>1958/1956/1952/1954/1963/1961</t>
  </si>
  <si>
    <t>sœur/frère/Sœur/sœur/Frère/Patient</t>
  </si>
  <si>
    <t>1 fois/sem</t>
  </si>
  <si>
    <t>2 fois/mois</t>
  </si>
  <si>
    <t>2jours/sem</t>
  </si>
  <si>
    <t>1/jour</t>
  </si>
  <si>
    <t>aucun</t>
  </si>
  <si>
    <t>pluies</t>
  </si>
  <si>
    <t>1/mois</t>
  </si>
  <si>
    <t>au cours7 dernières jours</t>
  </si>
  <si>
    <t>I</t>
  </si>
  <si>
    <t>MDG003</t>
  </si>
  <si>
    <t>P3</t>
  </si>
  <si>
    <t>EBLSE+ERC</t>
  </si>
  <si>
    <t>Proffesionnel de santé</t>
  </si>
  <si>
    <t>Diabétique</t>
  </si>
  <si>
    <t>AZITHROMYCINE/FLEMING</t>
  </si>
  <si>
    <t>AZITHROMYCINE/AMOXICILLINE ACIDE CLAVULANIQUE</t>
  </si>
  <si>
    <t>30/05/2024.31/05/2024</t>
  </si>
  <si>
    <t>03/06/2024.EN COURS</t>
  </si>
  <si>
    <t>Imerintsiatosika</t>
  </si>
  <si>
    <t>périurbain</t>
  </si>
  <si>
    <t>Maison individiuel</t>
  </si>
  <si>
    <t>planche de bois</t>
  </si>
  <si>
    <t>puis sans pompe</t>
  </si>
  <si>
    <t>boullie</t>
  </si>
  <si>
    <t>extérieur avec chasse</t>
  </si>
  <si>
    <t>terres cultivées</t>
  </si>
  <si>
    <t>péri urbain</t>
  </si>
  <si>
    <t>Puis sans pompe</t>
  </si>
  <si>
    <t>1984/2004/2006/1963</t>
  </si>
  <si>
    <t>Epoux/enfant/Enfant/patient</t>
  </si>
  <si>
    <t>1fois/sem</t>
  </si>
  <si>
    <t>6jours/sem</t>
  </si>
  <si>
    <t>MDG004</t>
  </si>
  <si>
    <t>P4</t>
  </si>
  <si>
    <t>NA</t>
  </si>
  <si>
    <t>CHUJRB</t>
  </si>
  <si>
    <t>Vrai Négatif</t>
  </si>
  <si>
    <t>secondaire</t>
  </si>
  <si>
    <t>Chaufferur</t>
  </si>
  <si>
    <t>A l'intérieur du pays</t>
  </si>
  <si>
    <t>2 sem</t>
  </si>
  <si>
    <t>METRIS/CEFTRIAXONE</t>
  </si>
  <si>
    <t>METRONIDAZOLE/CEFTRIAXONE</t>
  </si>
  <si>
    <t>EN COURS</t>
  </si>
  <si>
    <t>Ampamantanana</t>
  </si>
  <si>
    <t>paille</t>
  </si>
  <si>
    <t>MDG012</t>
  </si>
  <si>
    <t>bois poli</t>
  </si>
  <si>
    <t>P12</t>
  </si>
  <si>
    <t>Education Secondaire</t>
  </si>
  <si>
    <t>vendeur</t>
  </si>
  <si>
    <t>pièce de bicyclette</t>
  </si>
  <si>
    <t>CEFIXIME</t>
  </si>
  <si>
    <t>1977/1982/2004/2007</t>
  </si>
  <si>
    <t>Patient/Epoux/fille/fils</t>
  </si>
  <si>
    <t>Maison individuelle</t>
  </si>
  <si>
    <t>puits sans pompe</t>
  </si>
  <si>
    <t>bouillie</t>
  </si>
  <si>
    <t>Cochon</t>
  </si>
  <si>
    <t>15 ans</t>
  </si>
  <si>
    <t>≤1 fois/sem</t>
  </si>
  <si>
    <t>Aliments commerciaux</t>
  </si>
  <si>
    <t>1989/2006/2008/2014/1979</t>
  </si>
  <si>
    <t>Patiente/enfant/enfant/anfant/Epoux</t>
  </si>
  <si>
    <t>couvercle pour nourriture</t>
  </si>
  <si>
    <t>≤1fois/mois</t>
  </si>
  <si>
    <t>Achetés au marché</t>
  </si>
  <si>
    <t>1fois/jour</t>
  </si>
  <si>
    <t>MDG005</t>
  </si>
  <si>
    <t>P5</t>
  </si>
  <si>
    <t>vendeur de volaille</t>
  </si>
  <si>
    <t>volaille</t>
  </si>
  <si>
    <t>AVC ischémique non doumenté/HTA/Diabète</t>
  </si>
  <si>
    <t>2013/2018/2013</t>
  </si>
  <si>
    <t>CEFTRIAXONE/METRIS</t>
  </si>
  <si>
    <t>/METRONIDAZOLE</t>
  </si>
  <si>
    <t>28/06/2024;28/06/2024</t>
  </si>
  <si>
    <t>tsaramasay</t>
  </si>
  <si>
    <t>Maison</t>
  </si>
  <si>
    <t>pas de traitement</t>
  </si>
  <si>
    <t>MDG028</t>
  </si>
  <si>
    <t>P28</t>
  </si>
  <si>
    <t>SAISON DE PLUIE</t>
  </si>
  <si>
    <t>escarre</t>
  </si>
  <si>
    <t>au cours de 3 dernier mois</t>
  </si>
  <si>
    <t>fandriana</t>
  </si>
  <si>
    <t>Fianarantso</t>
  </si>
  <si>
    <t>Vendeur</t>
  </si>
  <si>
    <t>rurale</t>
  </si>
  <si>
    <t>epicerie</t>
  </si>
  <si>
    <t>Riz</t>
  </si>
  <si>
    <t>Excrément d'animaux</t>
  </si>
  <si>
    <t>Alasora</t>
  </si>
  <si>
    <t>tortue 1</t>
  </si>
  <si>
    <t>1967/1971/1987/2000/1947</t>
  </si>
  <si>
    <t>Belle fille/belle fille/Belle fille/petit fils/patient</t>
  </si>
  <si>
    <t>Béton</t>
  </si>
  <si>
    <t>fosse perdue</t>
  </si>
  <si>
    <t>Enfant</t>
  </si>
  <si>
    <t>totrue sup à 1fois/jou</t>
  </si>
  <si>
    <t>Meuble fermé</t>
  </si>
  <si>
    <t>≥1fois/sem</t>
  </si>
  <si>
    <t>rarement</t>
  </si>
  <si>
    <t>Jamais</t>
  </si>
  <si>
    <t>‹ 1 fois/an</t>
  </si>
  <si>
    <t>plus de 3 mois</t>
  </si>
  <si>
    <t>‹1 fois/an</t>
  </si>
  <si>
    <t>oui</t>
  </si>
  <si>
    <t>Aucun</t>
  </si>
  <si>
    <t>seulement saison de pluie</t>
  </si>
  <si>
    <t>MDG006</t>
  </si>
  <si>
    <t>P6</t>
  </si>
  <si>
    <t>femme au foyer,vendeur</t>
  </si>
  <si>
    <t>Epicerie</t>
  </si>
  <si>
    <t>HTA/diabète</t>
  </si>
  <si>
    <t>2005/2005</t>
  </si>
  <si>
    <t>GENTAMYCINE/METRIS</t>
  </si>
  <si>
    <t>GENTAMYCINE/METRONIDAZOLE</t>
  </si>
  <si>
    <t>30/06/24</t>
  </si>
  <si>
    <t>Atsahambilo talatamaty</t>
  </si>
  <si>
    <t>Maison dans un lot avec d'autres ménages</t>
  </si>
  <si>
    <t>_</t>
  </si>
  <si>
    <t>P29</t>
  </si>
  <si>
    <t>intérieur sans chasse d'eau</t>
  </si>
  <si>
    <t>jardin</t>
  </si>
  <si>
    <t>1989/1957</t>
  </si>
  <si>
    <t>fils/patient</t>
  </si>
  <si>
    <t>2fois/sem</t>
  </si>
  <si>
    <t>parfois</t>
  </si>
  <si>
    <t>3jours/sem</t>
  </si>
  <si>
    <t>au cours de 30 derniers jours</t>
  </si>
  <si>
    <t>non</t>
  </si>
  <si>
    <t>MDG007</t>
  </si>
  <si>
    <t>P7</t>
  </si>
  <si>
    <t>Proféssions élémentaires</t>
  </si>
  <si>
    <t>Azithro/Ampicilline/gentamycine</t>
  </si>
  <si>
    <t>AZITHROMYCINE/AMPICILLINE/GENTAMYCINE</t>
  </si>
  <si>
    <t>27/06/2024;30/06/2024;30/06/2024</t>
  </si>
  <si>
    <t>02/07/2024;03/07/3034;03/07/2024</t>
  </si>
  <si>
    <t>PO/IV/IV</t>
  </si>
  <si>
    <t>Soanierana</t>
  </si>
  <si>
    <t>maison</t>
  </si>
  <si>
    <t>parquet</t>
  </si>
  <si>
    <t>plus de 5ANS</t>
  </si>
  <si>
    <t>MDG032</t>
  </si>
  <si>
    <t>P33</t>
  </si>
  <si>
    <t>Diplome universitaire</t>
  </si>
  <si>
    <t>gargotte</t>
  </si>
  <si>
    <t>CERTRIAXONE/METRIS</t>
  </si>
  <si>
    <t>CEFTRIAXONE/METRONIDAZOLE</t>
  </si>
  <si>
    <t>1979/2026/2021/1982</t>
  </si>
  <si>
    <t>Epoux/Enfant/enfant/patiente</t>
  </si>
  <si>
    <t>AMBOHIJANAKA</t>
  </si>
  <si>
    <t>Maison dans un lot avec d'autres menages</t>
  </si>
  <si>
    <t>3fois/sem</t>
  </si>
  <si>
    <t>1726-C11-001-0-017-1</t>
  </si>
  <si>
    <t>Klebsiella pneumonia</t>
  </si>
  <si>
    <t>Méconnue</t>
  </si>
  <si>
    <t>Autre_EMR</t>
  </si>
  <si>
    <t>POULE2</t>
  </si>
  <si>
    <t>Robinet interieur</t>
  </si>
  <si>
    <t>toute l'année</t>
  </si>
  <si>
    <t>1972/2004/2014</t>
  </si>
  <si>
    <t>≥1fois/mois</t>
  </si>
  <si>
    <t>époux/enfant/enfant</t>
  </si>
  <si>
    <t>au cours des 30 derniers mois</t>
  </si>
  <si>
    <t>MDG008</t>
  </si>
  <si>
    <t>P8</t>
  </si>
  <si>
    <t>Etudiant</t>
  </si>
  <si>
    <t>7Jours</t>
  </si>
  <si>
    <t>Antsahamamy</t>
  </si>
  <si>
    <t>Seullelent saison de pluie</t>
  </si>
  <si>
    <t>MDG035</t>
  </si>
  <si>
    <t>P36</t>
  </si>
  <si>
    <t>Patient</t>
  </si>
  <si>
    <t>AMPI/GENTAMICINE/CEFTRIAXONE</t>
  </si>
  <si>
    <t>AMPICILLINE/GENTAMICINE/CEFTRIAXONE</t>
  </si>
  <si>
    <t>31/08/24;31/05/24;12/09/24</t>
  </si>
  <si>
    <t>04/09/24;02/09/24;EN COURC</t>
  </si>
  <si>
    <t>ambohijanahary</t>
  </si>
  <si>
    <t>≥1fois/jour</t>
  </si>
  <si>
    <t>au cours des 7 derniers jours</t>
  </si>
  <si>
    <t>EPOUX</t>
  </si>
  <si>
    <t>PARFOIS</t>
  </si>
  <si>
    <t>MDG009</t>
  </si>
  <si>
    <t>P9</t>
  </si>
  <si>
    <t>‹ 1 fois/mois</t>
  </si>
  <si>
    <t>Gendarme</t>
  </si>
  <si>
    <t>HTA/Dibète</t>
  </si>
  <si>
    <t>1726-C11-001-0-017-2</t>
  </si>
  <si>
    <t>2000/1998</t>
  </si>
  <si>
    <t>Klebsiella pneumoniae</t>
  </si>
  <si>
    <t>CEFTRI/FLEMING</t>
  </si>
  <si>
    <t>CEFTRIAXONE/AMOCICICILLINE ACIDE CLVULANIQUE</t>
  </si>
  <si>
    <t>IV/PO</t>
  </si>
  <si>
    <t>Ambatolampy</t>
  </si>
  <si>
    <t>Eau de pluie et robinet exterieur</t>
  </si>
  <si>
    <t>bouillie et sur'eau</t>
  </si>
  <si>
    <t>tortue,Chien,Chat,poule</t>
  </si>
  <si>
    <t>MDG043</t>
  </si>
  <si>
    <t>P44</t>
  </si>
  <si>
    <t>tortue</t>
  </si>
  <si>
    <t>riz</t>
  </si>
  <si>
    <t>puie</t>
  </si>
  <si>
    <t>1950/1950/2020/2004</t>
  </si>
  <si>
    <t>Patient/Epoux/enfants/enfant</t>
  </si>
  <si>
    <t>enseignant</t>
  </si>
  <si>
    <t>Analamahintsy</t>
  </si>
  <si>
    <t>4jours/sem</t>
  </si>
  <si>
    <t>≤1fois/jour</t>
  </si>
  <si>
    <t>seulement saison de pluiie</t>
  </si>
  <si>
    <t>1990/2001/2003</t>
  </si>
  <si>
    <t>Epoux/enfant/enfant</t>
  </si>
  <si>
    <t>MDG010</t>
  </si>
  <si>
    <t>P10</t>
  </si>
  <si>
    <t>Seulement saison de Sèhe</t>
  </si>
  <si>
    <t>Pas de scolarisation</t>
  </si>
  <si>
    <t>IMOC</t>
  </si>
  <si>
    <t>Tongarivo</t>
  </si>
  <si>
    <t>tanjombato</t>
  </si>
  <si>
    <t>1726-C12-002-0-014-1</t>
  </si>
  <si>
    <t>Bouillie</t>
  </si>
  <si>
    <t>Légumes,Fruits</t>
  </si>
  <si>
    <t>P45</t>
  </si>
  <si>
    <t>1 TORTUE,20 LAPIN</t>
  </si>
  <si>
    <t>CICM/CHUJRB</t>
  </si>
  <si>
    <t>INCONNUE</t>
  </si>
  <si>
    <t>diplome secondaire</t>
  </si>
  <si>
    <t>PATIENT VIVANT EN COMMUNAUTE(PLUS DE 50 PERSONNES)</t>
  </si>
  <si>
    <t>13/5/2025</t>
  </si>
  <si>
    <t>ANOSIBE</t>
  </si>
  <si>
    <t>5MOIS</t>
  </si>
  <si>
    <t>Volailles</t>
  </si>
  <si>
    <t>≥1fois/semaine</t>
  </si>
  <si>
    <t>MDG011</t>
  </si>
  <si>
    <t>P11</t>
  </si>
  <si>
    <t>Couturière</t>
  </si>
  <si>
    <t>AMOX/CEFTRIAXONE</t>
  </si>
  <si>
    <t>AMOXICILLINE/CEFTRIAXONE</t>
  </si>
  <si>
    <t>11/07/2024;18/07/2024</t>
  </si>
  <si>
    <t>16/07/2024;EN COURS</t>
  </si>
  <si>
    <t>PO/IV</t>
  </si>
  <si>
    <t>Faravohitra</t>
  </si>
  <si>
    <t>Antanananarivo</t>
  </si>
  <si>
    <t>MDG051</t>
  </si>
  <si>
    <t>P53</t>
  </si>
  <si>
    <t>1969/1946</t>
  </si>
  <si>
    <t>patiente/tante</t>
  </si>
  <si>
    <t>Eau de consommation</t>
  </si>
  <si>
    <t>Environnement</t>
  </si>
  <si>
    <t>absence</t>
  </si>
  <si>
    <t>&lt;1fois/mois</t>
  </si>
  <si>
    <t>Tortues</t>
  </si>
  <si>
    <t>MDG062</t>
  </si>
  <si>
    <t>P64</t>
  </si>
  <si>
    <t>ANDOHANIMANDROSEZA</t>
  </si>
  <si>
    <t>Maison in</t>
  </si>
  <si>
    <t>1726-C11-005-0-003-1</t>
  </si>
  <si>
    <t>Citrobacter freundii</t>
  </si>
  <si>
    <t>MDG013</t>
  </si>
  <si>
    <t>P13</t>
  </si>
  <si>
    <t>Menagère</t>
  </si>
  <si>
    <t>PENICILLINE/AZITHROMYCINE</t>
  </si>
  <si>
    <t>IV;PO</t>
  </si>
  <si>
    <t>Ankadifotsy</t>
  </si>
  <si>
    <t>MDG066</t>
  </si>
  <si>
    <t>P68</t>
  </si>
  <si>
    <t>Diplôme universitaire</t>
  </si>
  <si>
    <t>1973/2003/2008/2012</t>
  </si>
  <si>
    <t>frère/neveu/nièce/neveu/neveu</t>
  </si>
  <si>
    <t>méconnu</t>
  </si>
  <si>
    <t>MAHAMASINA</t>
  </si>
  <si>
    <t>Maison individiue</t>
  </si>
  <si>
    <t>45/33/12</t>
  </si>
  <si>
    <t>Epouse/Enfant/enfant/patiente</t>
  </si>
  <si>
    <t>MDG014</t>
  </si>
  <si>
    <t>P14</t>
  </si>
  <si>
    <t>Rhinite allergigue</t>
  </si>
  <si>
    <t>Andavamamba</t>
  </si>
  <si>
    <t>1 à 4 Semaines</t>
  </si>
  <si>
    <t>MDG071</t>
  </si>
  <si>
    <t>15 ANS</t>
  </si>
  <si>
    <t>P73</t>
  </si>
  <si>
    <t>Mécanicien</t>
  </si>
  <si>
    <t>2005/2003/2001</t>
  </si>
  <si>
    <t>frère/sœur/cousin</t>
  </si>
  <si>
    <t>Androndra</t>
  </si>
  <si>
    <t>Antanana+CE20:CH22rivo renivohitra</t>
  </si>
  <si>
    <t>MDG015</t>
  </si>
  <si>
    <t>P15</t>
  </si>
  <si>
    <t>épicerie</t>
  </si>
  <si>
    <t>AVC ischémique</t>
  </si>
  <si>
    <t>janv.20</t>
  </si>
  <si>
    <t>isoraka</t>
  </si>
  <si>
    <t>tuile</t>
  </si>
  <si>
    <t>MDG072</t>
  </si>
  <si>
    <t>P74</t>
  </si>
  <si>
    <t>,vendeur</t>
  </si>
  <si>
    <t>ANDROIBE</t>
  </si>
  <si>
    <t>Androibe</t>
  </si>
  <si>
    <t>35/39/15</t>
  </si>
  <si>
    <t>MDG080</t>
  </si>
  <si>
    <t>P83</t>
  </si>
  <si>
    <t>ALASORA</t>
  </si>
  <si>
    <t>MDG016</t>
  </si>
  <si>
    <t>P16</t>
  </si>
  <si>
    <t>A l'intérieur du pays/etranger</t>
  </si>
  <si>
    <t>Abodivoly atsimo</t>
  </si>
  <si>
    <t>1980/1981/200</t>
  </si>
  <si>
    <t>parent/parent/frère</t>
  </si>
  <si>
    <t>MDG083</t>
  </si>
  <si>
    <t>P86</t>
  </si>
  <si>
    <t>2005/2006</t>
  </si>
  <si>
    <t>7jours/sem</t>
  </si>
  <si>
    <t>MDG084</t>
  </si>
  <si>
    <t>P87</t>
  </si>
  <si>
    <t>MDG017</t>
  </si>
  <si>
    <t>P17</t>
  </si>
  <si>
    <t>2005/2007</t>
  </si>
  <si>
    <t>Chercheur enseignant</t>
  </si>
  <si>
    <t>1semaine</t>
  </si>
  <si>
    <t>AZITHROMYCINE</t>
  </si>
  <si>
    <t>Ambohijanahary</t>
  </si>
  <si>
    <t>PATIENT VIVANT EN COMMUNAUTE(PLUS DE 10 PERSONNES)</t>
  </si>
  <si>
    <t>MDG085</t>
  </si>
  <si>
    <t>P88</t>
  </si>
  <si>
    <t>2005/2008</t>
  </si>
  <si>
    <t>couvercle pour nourriture/Meuble fermé</t>
  </si>
  <si>
    <t>RATICIDE</t>
  </si>
  <si>
    <t>27/20/03</t>
  </si>
  <si>
    <t>MDG018</t>
  </si>
  <si>
    <t>P18</t>
  </si>
  <si>
    <t>1726-C11-005-0-003-2</t>
  </si>
  <si>
    <t>Sécurité</t>
  </si>
  <si>
    <t>CADIOPATHIE/EPILEPTIQUE</t>
  </si>
  <si>
    <t>EPILEPSIE</t>
  </si>
  <si>
    <t>MDG087</t>
  </si>
  <si>
    <t>2023/2018</t>
  </si>
  <si>
    <t>P90</t>
  </si>
  <si>
    <t>FLEMING</t>
  </si>
  <si>
    <t>AMOXICICILLINEacide clavulanique</t>
  </si>
  <si>
    <t>Manjakaray</t>
  </si>
  <si>
    <t>HTA</t>
  </si>
  <si>
    <t>40/35/18</t>
  </si>
  <si>
    <t>SŒURS/PATIENT/ENFANT</t>
  </si>
  <si>
    <t>1964/1967/2012/2016</t>
  </si>
  <si>
    <t>Patient/époux/enfant/enfant</t>
  </si>
  <si>
    <t>MDG092</t>
  </si>
  <si>
    <t>P95</t>
  </si>
  <si>
    <t>AMOX</t>
  </si>
  <si>
    <t>AMOXICILLINE</t>
  </si>
  <si>
    <t>1726-C12-006-0-014-1</t>
  </si>
  <si>
    <t>17/56</t>
  </si>
  <si>
    <t>père</t>
  </si>
  <si>
    <t>MDG019</t>
  </si>
  <si>
    <t>P19</t>
  </si>
  <si>
    <t>en foyer</t>
  </si>
  <si>
    <t>MDG093</t>
  </si>
  <si>
    <t>P96</t>
  </si>
  <si>
    <t>Ankadikely</t>
  </si>
  <si>
    <t>terre</t>
  </si>
  <si>
    <t>champs de riz</t>
  </si>
  <si>
    <t>plus d'un mois</t>
  </si>
  <si>
    <t>plus de 3mois</t>
  </si>
  <si>
    <t>1726-C12-006-0-017-1</t>
  </si>
  <si>
    <t>P97</t>
  </si>
  <si>
    <t>MDG020</t>
  </si>
  <si>
    <t>P20</t>
  </si>
  <si>
    <t>Ambatoroka</t>
  </si>
  <si>
    <t>1726-C13-007-0-014-1</t>
  </si>
  <si>
    <t>MDG103</t>
  </si>
  <si>
    <t>OIE2</t>
  </si>
  <si>
    <t>P107</t>
  </si>
  <si>
    <t>1977/2006/2004</t>
  </si>
  <si>
    <t>Epoux/enfant</t>
  </si>
  <si>
    <t>vendeuse</t>
  </si>
  <si>
    <t>légume</t>
  </si>
  <si>
    <t>Itaosy</t>
  </si>
  <si>
    <t>MDG021</t>
  </si>
  <si>
    <t>P21</t>
  </si>
  <si>
    <t>Femme en foyer</t>
  </si>
  <si>
    <t>Anosizato</t>
  </si>
  <si>
    <t>Aliment</t>
  </si>
  <si>
    <t>RIZ</t>
  </si>
  <si>
    <t>1998/2022</t>
  </si>
  <si>
    <t>Chien</t>
  </si>
  <si>
    <t>1726-C31-010-0-014-2</t>
  </si>
  <si>
    <t>MDG022</t>
  </si>
  <si>
    <t>P22</t>
  </si>
  <si>
    <t>Ankaraobato</t>
  </si>
  <si>
    <t>poulet</t>
  </si>
  <si>
    <t>Epoux</t>
  </si>
  <si>
    <t>MDG023</t>
  </si>
  <si>
    <t>P23</t>
  </si>
  <si>
    <t>Enseingante</t>
  </si>
  <si>
    <t>Soamanjaka</t>
  </si>
  <si>
    <t>Fiadanana</t>
  </si>
  <si>
    <t>Ambohidratrimo</t>
  </si>
  <si>
    <t>fruits,légumes,riz</t>
  </si>
  <si>
    <t>Excréments animaux et chimique</t>
  </si>
  <si>
    <t>polistar</t>
  </si>
  <si>
    <t>au cours de 3derniers mois</t>
  </si>
  <si>
    <t>MDG024</t>
  </si>
  <si>
    <t>P24</t>
  </si>
  <si>
    <t>Vetements</t>
  </si>
  <si>
    <t>3jours</t>
  </si>
  <si>
    <t>HYPERTENSION</t>
  </si>
  <si>
    <t>SŒUR</t>
  </si>
  <si>
    <t>MDG025</t>
  </si>
  <si>
    <t>P25</t>
  </si>
  <si>
    <t>éléctricien</t>
  </si>
  <si>
    <t>Ankazomanga</t>
  </si>
  <si>
    <t>Intérieur avec chacsse d'eau</t>
  </si>
  <si>
    <t>≤1mois</t>
  </si>
  <si>
    <t>NON COONUE PAR LE PATIENT</t>
  </si>
  <si>
    <t>Sœur/beau frère/Neveu/Belle fille/femme de ménage</t>
  </si>
  <si>
    <t>MDG026</t>
  </si>
  <si>
    <t>P26</t>
  </si>
  <si>
    <t>1726-C31-010-0-014-3</t>
  </si>
  <si>
    <t>Cuisinier</t>
  </si>
  <si>
    <t>67 ha</t>
  </si>
  <si>
    <t>carreau</t>
  </si>
  <si>
    <t>Intéruer sans chasse d'eau</t>
  </si>
  <si>
    <t>1995/2027/2024</t>
  </si>
  <si>
    <t>1726-T11-011-0-014-2</t>
  </si>
  <si>
    <t>P47</t>
  </si>
  <si>
    <t>1726-C11-032-0-014-2</t>
  </si>
  <si>
    <t>MDG627</t>
  </si>
  <si>
    <t>P27</t>
  </si>
  <si>
    <t>1726-T11-011-0-018-1</t>
  </si>
  <si>
    <t>Morganella morganii</t>
  </si>
  <si>
    <t>1980/2022</t>
  </si>
  <si>
    <t>P48</t>
  </si>
  <si>
    <t>1726-C11-032-0-014-3</t>
  </si>
  <si>
    <t>P49</t>
  </si>
  <si>
    <t>1726-C11-032-2-014-1</t>
  </si>
  <si>
    <t>P50</t>
  </si>
  <si>
    <t>1726-C12-033-0-014-1</t>
  </si>
  <si>
    <t>1726-T21-015-0-100-1</t>
  </si>
  <si>
    <t>Kluyvera ascorbata</t>
  </si>
  <si>
    <t>P51</t>
  </si>
  <si>
    <t>1726-C12-033-0-044-1</t>
  </si>
  <si>
    <t>Klebsiella variicola</t>
  </si>
  <si>
    <t>P52</t>
  </si>
  <si>
    <t>1726-C12-033-0-039-1</t>
  </si>
  <si>
    <t>MDG029</t>
  </si>
  <si>
    <t>P30</t>
  </si>
  <si>
    <t>Raoultella ornithinolytica</t>
  </si>
  <si>
    <t>Travailleur agriicole</t>
  </si>
  <si>
    <t>bœuf,porc,volaille</t>
  </si>
  <si>
    <t>Riz,légumes</t>
  </si>
  <si>
    <t>inconnu</t>
  </si>
  <si>
    <t>Aliments commerciaux,Aliment médicamenteux</t>
  </si>
  <si>
    <t>Eau de pluie,puits avec pompe</t>
  </si>
  <si>
    <t>MDG030</t>
  </si>
  <si>
    <t>1726-C21-034-0-018-1</t>
  </si>
  <si>
    <t>P31</t>
  </si>
  <si>
    <t>fripperie</t>
  </si>
  <si>
    <t>CERTRIAXONE</t>
  </si>
  <si>
    <t>ANDRONDRA</t>
  </si>
  <si>
    <t>P54</t>
  </si>
  <si>
    <t>1726-C23-035-0-042-1</t>
  </si>
  <si>
    <t>Enterobacter hormaechei</t>
  </si>
  <si>
    <t>MDG031</t>
  </si>
  <si>
    <t>P32</t>
  </si>
  <si>
    <t>ANDAFY AVARATRA</t>
  </si>
  <si>
    <t>P55</t>
  </si>
  <si>
    <t>1726-C23-035-0-042-2</t>
  </si>
  <si>
    <t>1726-T21-015-0-100-2</t>
  </si>
  <si>
    <t>P56</t>
  </si>
  <si>
    <t>1726-C23-035-0-042-3</t>
  </si>
  <si>
    <t>MDG033</t>
  </si>
  <si>
    <t>P34</t>
  </si>
  <si>
    <t>AUCUN</t>
  </si>
  <si>
    <t>AMBOHIMIANDRA</t>
  </si>
  <si>
    <t>AMBOHIANDRA</t>
  </si>
  <si>
    <t>1726-T35-016-0-014-1</t>
  </si>
  <si>
    <t>MDG034</t>
  </si>
  <si>
    <t>P35</t>
  </si>
  <si>
    <t>femme en foyer</t>
  </si>
  <si>
    <t>P57</t>
  </si>
  <si>
    <t>1726-C34-036-0-014-1</t>
  </si>
  <si>
    <t>67Ha</t>
  </si>
  <si>
    <t>1726-T35-016-0-017-1</t>
  </si>
  <si>
    <t>P58</t>
  </si>
  <si>
    <t>1726-C34-036-0-014-2</t>
  </si>
  <si>
    <t>1726-T13-017-0-014-3</t>
  </si>
  <si>
    <t>MDG036</t>
  </si>
  <si>
    <t>P37</t>
  </si>
  <si>
    <t>enseignante</t>
  </si>
  <si>
    <t>IV,PO</t>
  </si>
  <si>
    <t>P59</t>
  </si>
  <si>
    <t>1726-C34-036-2-014-1</t>
  </si>
  <si>
    <t>EBLSE_ERC</t>
  </si>
  <si>
    <t>1988/2002</t>
  </si>
  <si>
    <t>PARENTS/FRERE</t>
  </si>
  <si>
    <t>MDG037</t>
  </si>
  <si>
    <t>P38</t>
  </si>
  <si>
    <t>AMBOHIPO</t>
  </si>
  <si>
    <t>P141</t>
  </si>
  <si>
    <t>1726-C21-081-0-014-1</t>
  </si>
  <si>
    <t>MDG038</t>
  </si>
  <si>
    <t>P39</t>
  </si>
  <si>
    <t>COUTURIER</t>
  </si>
  <si>
    <t>Crottes de rongeur</t>
  </si>
  <si>
    <t>1726-T22-021-0-002-1</t>
  </si>
  <si>
    <t>Citrobacter amaloniticus</t>
  </si>
  <si>
    <t>P142</t>
  </si>
  <si>
    <t>1726-C21-081-0-017-1</t>
  </si>
  <si>
    <t>MDG039</t>
  </si>
  <si>
    <t>P40</t>
  </si>
  <si>
    <t>1980/2005</t>
  </si>
  <si>
    <t>MDG040</t>
  </si>
  <si>
    <t>P41</t>
  </si>
  <si>
    <t>P143</t>
  </si>
  <si>
    <t>Crèche</t>
  </si>
  <si>
    <t>2jours</t>
  </si>
  <si>
    <t>Planche de bois</t>
  </si>
  <si>
    <t>puits avec pompe</t>
  </si>
  <si>
    <t>Chient,poule</t>
  </si>
  <si>
    <t>puits</t>
  </si>
  <si>
    <t>P144</t>
  </si>
  <si>
    <t>1726-C11-089-0-014-1</t>
  </si>
  <si>
    <t>MDG041</t>
  </si>
  <si>
    <t>P42</t>
  </si>
  <si>
    <t>Ambohibanja</t>
  </si>
  <si>
    <t>MDG042</t>
  </si>
  <si>
    <t>P43</t>
  </si>
  <si>
    <t>MONURIL</t>
  </si>
  <si>
    <t>Ambatobe</t>
  </si>
  <si>
    <t>Chat</t>
  </si>
  <si>
    <t>1726-T32-023-0-014-2</t>
  </si>
  <si>
    <t>MDG044</t>
  </si>
  <si>
    <t>P46</t>
  </si>
  <si>
    <t>VENDEUR</t>
  </si>
  <si>
    <t>EPICERIE</t>
  </si>
  <si>
    <t>MDG045</t>
  </si>
  <si>
    <t>30/05/202.31/05/2024</t>
  </si>
  <si>
    <t>MDG046</t>
  </si>
  <si>
    <t>MDG047</t>
  </si>
  <si>
    <t>P145</t>
  </si>
  <si>
    <t>1726-C11-089-0-017-1</t>
  </si>
  <si>
    <t>28/06/2025;28/06/20245</t>
  </si>
  <si>
    <t>MDG048</t>
  </si>
  <si>
    <t>P146</t>
  </si>
  <si>
    <t>1726-C11-089-0-017-2</t>
  </si>
  <si>
    <t>MDG049</t>
  </si>
  <si>
    <t>P147</t>
  </si>
  <si>
    <t>1726-C11-089-2-017-1</t>
  </si>
  <si>
    <t>MDG050</t>
  </si>
  <si>
    <t>1726-T32-023-0-014-3</t>
  </si>
  <si>
    <t>P148</t>
  </si>
  <si>
    <t>1726-C21-090-0-014-1</t>
  </si>
  <si>
    <t>1726-T34-024-0-014-1</t>
  </si>
  <si>
    <t>P149</t>
  </si>
  <si>
    <t>1726-C21-090-0-042-1</t>
  </si>
  <si>
    <t>MDG052</t>
  </si>
  <si>
    <t>1726-T34-024-0-017-1</t>
  </si>
  <si>
    <t>P150</t>
  </si>
  <si>
    <t>1726-C21-090-0-017-1</t>
  </si>
  <si>
    <t>MDG053</t>
  </si>
  <si>
    <t>MDG054</t>
  </si>
  <si>
    <t>P151</t>
  </si>
  <si>
    <t>1726-C21-090-2-017-1</t>
  </si>
  <si>
    <t>1726-T34-024-2-014-1</t>
  </si>
  <si>
    <t xml:space="preserve">sensible </t>
  </si>
  <si>
    <t>Témoin</t>
  </si>
  <si>
    <t>MDG055</t>
  </si>
  <si>
    <t>P152</t>
  </si>
  <si>
    <t>1726-C23-091-0-017-1</t>
  </si>
  <si>
    <t>1726-T35-025-0-014-1</t>
  </si>
  <si>
    <t>MDG056</t>
  </si>
  <si>
    <t>P153</t>
  </si>
  <si>
    <t>1726-C23-091-0-017-2</t>
  </si>
  <si>
    <t>autre</t>
  </si>
  <si>
    <t>Autre positivité</t>
  </si>
  <si>
    <t>1726-T35-025-0-016-1</t>
  </si>
  <si>
    <t>Klebsiella oxytoca</t>
  </si>
  <si>
    <t>Antsahameva</t>
  </si>
  <si>
    <t>ANTSAHAMEVA</t>
  </si>
  <si>
    <t>P180</t>
  </si>
  <si>
    <t>1726-C11-103-0-014-1</t>
  </si>
  <si>
    <t>Autre</t>
  </si>
  <si>
    <t>MDG057</t>
  </si>
  <si>
    <t>bar</t>
  </si>
  <si>
    <t>1sem</t>
  </si>
  <si>
    <t>3mois</t>
  </si>
  <si>
    <t>plus de3mois</t>
  </si>
  <si>
    <t>Andavamaba</t>
  </si>
  <si>
    <t>P181</t>
  </si>
  <si>
    <t>55/42/21</t>
  </si>
  <si>
    <t>P182</t>
  </si>
  <si>
    <t>MDG058</t>
  </si>
  <si>
    <t>P60</t>
  </si>
  <si>
    <t>FOSFOMYCINE</t>
  </si>
  <si>
    <t>1726-T11-029-0-014-1</t>
  </si>
  <si>
    <t>P183</t>
  </si>
  <si>
    <t>P215</t>
  </si>
  <si>
    <t>CICM-C11-001-0-014-1</t>
  </si>
  <si>
    <t>MDG059</t>
  </si>
  <si>
    <t>P61</t>
  </si>
  <si>
    <t>MDG060</t>
  </si>
  <si>
    <t>P62</t>
  </si>
  <si>
    <t>MDG061</t>
  </si>
  <si>
    <t>P63</t>
  </si>
  <si>
    <t>64/57/26</t>
  </si>
  <si>
    <t>Colocataire</t>
  </si>
  <si>
    <t>MDG063</t>
  </si>
  <si>
    <t>P65</t>
  </si>
  <si>
    <t>Etudiante</t>
  </si>
  <si>
    <t>P218</t>
  </si>
  <si>
    <t>CICM-C12-002-0-014-1</t>
  </si>
  <si>
    <t>MDG064</t>
  </si>
  <si>
    <t>P66</t>
  </si>
  <si>
    <t>Etudiante Universitaire</t>
  </si>
  <si>
    <t>P220</t>
  </si>
  <si>
    <t>CICM-C12-002-0-017-1</t>
  </si>
  <si>
    <t>1726-T11-029-0-003-1</t>
  </si>
  <si>
    <t>MDG065</t>
  </si>
  <si>
    <t>P67</t>
  </si>
  <si>
    <t>P221</t>
  </si>
  <si>
    <t>CICM-C13-003-0-014-1</t>
  </si>
  <si>
    <t>2003/2001</t>
  </si>
  <si>
    <t>MAISON ET RIZIERE</t>
  </si>
  <si>
    <t>1726-T23-031-0-042-1</t>
  </si>
  <si>
    <t>P224</t>
  </si>
  <si>
    <t>CICM-C21-004-0-014-1</t>
  </si>
  <si>
    <t>P227</t>
  </si>
  <si>
    <t>CICM-C23-005-0-100-1</t>
  </si>
  <si>
    <t>Enterococcus fecalis</t>
  </si>
  <si>
    <t>MDG067</t>
  </si>
  <si>
    <t>P69</t>
  </si>
  <si>
    <t>P230</t>
  </si>
  <si>
    <t>porcs</t>
  </si>
  <si>
    <t>CICM-C34-006-0-101-1</t>
  </si>
  <si>
    <t>Staphylococcus sciuri</t>
  </si>
  <si>
    <t>21/19</t>
  </si>
  <si>
    <t>P281</t>
  </si>
  <si>
    <t>CICM-C11-030-0-014-1</t>
  </si>
  <si>
    <t>MDG068</t>
  </si>
  <si>
    <t>P70</t>
  </si>
  <si>
    <t>P284</t>
  </si>
  <si>
    <t>CICM-C12-031-0-014-1</t>
  </si>
  <si>
    <t>MDG069</t>
  </si>
  <si>
    <t>P71</t>
  </si>
  <si>
    <t>P287</t>
  </si>
  <si>
    <t>CICM-C12-031-2-014-1</t>
  </si>
  <si>
    <t>MDG070</t>
  </si>
  <si>
    <t>P72</t>
  </si>
  <si>
    <t>1726-T23-031-0-042-2</t>
  </si>
  <si>
    <t>P290</t>
  </si>
  <si>
    <t>CICM-C21-032-0-017-1</t>
  </si>
  <si>
    <t>P293</t>
  </si>
  <si>
    <t>CICM-C23-033-0-017-1</t>
  </si>
  <si>
    <t>P398</t>
  </si>
  <si>
    <t>CICM-C11-074-0-014-1</t>
  </si>
  <si>
    <t>P401</t>
  </si>
  <si>
    <t>CICM-C11-074-2-014-1</t>
  </si>
  <si>
    <t>MDG073</t>
  </si>
  <si>
    <t>P75</t>
  </si>
  <si>
    <t>Au cours 12 derniers mois</t>
  </si>
  <si>
    <t>A l'intérieur du pays ou à l'étranger</t>
  </si>
  <si>
    <t>Voie</t>
  </si>
  <si>
    <t>P404</t>
  </si>
  <si>
    <t>CICM-C21-075-2-014-1</t>
  </si>
  <si>
    <t>MDG074</t>
  </si>
  <si>
    <t>P76</t>
  </si>
  <si>
    <t>isotry</t>
  </si>
  <si>
    <t>P407</t>
  </si>
  <si>
    <t>CICM-C21-075-0-017-1</t>
  </si>
  <si>
    <t>MDG075</t>
  </si>
  <si>
    <t>P77</t>
  </si>
  <si>
    <t>pièce moto</t>
  </si>
  <si>
    <t>alasora</t>
  </si>
  <si>
    <t>P440</t>
  </si>
  <si>
    <t>CICM-C11-089-0-014-1</t>
  </si>
  <si>
    <t>P78</t>
  </si>
  <si>
    <t>P443</t>
  </si>
  <si>
    <t>CICM-C21-090-2-014-1</t>
  </si>
  <si>
    <t>MDG076</t>
  </si>
  <si>
    <t>P79</t>
  </si>
  <si>
    <t>P446</t>
  </si>
  <si>
    <t>CICM-C23-091-0-014-1</t>
  </si>
  <si>
    <t>MDG077</t>
  </si>
  <si>
    <t>P80</t>
  </si>
  <si>
    <t>P449</t>
  </si>
  <si>
    <t>Autre animal</t>
  </si>
  <si>
    <t>CICM-C22-092-0-014-1</t>
  </si>
  <si>
    <t>Absence_EMR</t>
  </si>
  <si>
    <t>MDG078</t>
  </si>
  <si>
    <t>P81</t>
  </si>
  <si>
    <t>P476</t>
  </si>
  <si>
    <t>CICM-C21-106-2-014-1</t>
  </si>
  <si>
    <t>P317</t>
  </si>
  <si>
    <t>CICM-T11-042-0-014-1</t>
  </si>
  <si>
    <t>MDG079</t>
  </si>
  <si>
    <t>P82</t>
  </si>
  <si>
    <t>P479</t>
  </si>
  <si>
    <t>CICM-C13-108-2-017-1</t>
  </si>
  <si>
    <t>P482</t>
  </si>
  <si>
    <t>CICM-C14-109-2-017-1</t>
  </si>
  <si>
    <t>P485</t>
  </si>
  <si>
    <t>CICM-C21-110-2-017-1</t>
  </si>
  <si>
    <t>MDG081</t>
  </si>
  <si>
    <t>P84</t>
  </si>
  <si>
    <t>P554</t>
  </si>
  <si>
    <t>MDG082</t>
  </si>
  <si>
    <t>P85</t>
  </si>
  <si>
    <t>CICM-C11-140-0-014-1</t>
  </si>
  <si>
    <t>P557</t>
  </si>
  <si>
    <t>CICM-C13-141-2-014-1</t>
  </si>
  <si>
    <t>P560</t>
  </si>
  <si>
    <t>CICM-C21-142-2-014-1</t>
  </si>
  <si>
    <t>P587</t>
  </si>
  <si>
    <t>CICM-C12-151-0-014-1</t>
  </si>
  <si>
    <t>P320</t>
  </si>
  <si>
    <t>CICM-T11-044-0-014-1</t>
  </si>
  <si>
    <t>MDG086</t>
  </si>
  <si>
    <t>P89</t>
  </si>
  <si>
    <t>1726-T12-041-0-014-2</t>
  </si>
  <si>
    <t>P590</t>
  </si>
  <si>
    <t>CICM-C21-152-0-017-1</t>
  </si>
  <si>
    <t>P593</t>
  </si>
  <si>
    <t>Bovin</t>
  </si>
  <si>
    <t>P323</t>
  </si>
  <si>
    <t>CICM-C36-153-0-017-1</t>
  </si>
  <si>
    <t>CICM-T13-046-0-014-1</t>
  </si>
  <si>
    <t>MDG088</t>
  </si>
  <si>
    <t>P91</t>
  </si>
  <si>
    <t>P596</t>
  </si>
  <si>
    <t>CICM-C11-154-0-014-1</t>
  </si>
  <si>
    <t>P326</t>
  </si>
  <si>
    <t>CICM-T21-047-0-014-1</t>
  </si>
  <si>
    <t>MDG089</t>
  </si>
  <si>
    <t>P92</t>
  </si>
  <si>
    <t>P599</t>
  </si>
  <si>
    <t>CICM-C21-155-0-104-1</t>
  </si>
  <si>
    <t>chauffeur</t>
  </si>
  <si>
    <t>P602</t>
  </si>
  <si>
    <t>CICM-C11-156-0-014-1</t>
  </si>
  <si>
    <t>P329</t>
  </si>
  <si>
    <t>CICM-T23-048-0-017-1</t>
  </si>
  <si>
    <t>MDG090</t>
  </si>
  <si>
    <t>P93</t>
  </si>
  <si>
    <t>P605</t>
  </si>
  <si>
    <t>CICM-C21-157-2-014-1</t>
  </si>
  <si>
    <t>P332</t>
  </si>
  <si>
    <t>CICM-T34-049-0-017-1</t>
  </si>
  <si>
    <t>MDG091</t>
  </si>
  <si>
    <t>P94</t>
  </si>
  <si>
    <t>P608</t>
  </si>
  <si>
    <t>CICM-C23-158-0-014-1</t>
  </si>
  <si>
    <t>P341</t>
  </si>
  <si>
    <t>CICM-T11-053-0-017-1</t>
  </si>
  <si>
    <t>1726-T12-041-0-014-3</t>
  </si>
  <si>
    <t>P620</t>
  </si>
  <si>
    <t>P344</t>
  </si>
  <si>
    <t>CICM-C11-162-0-017-1</t>
  </si>
  <si>
    <t>CICM-T13-054-0-014-1</t>
  </si>
  <si>
    <t>1726-T13-042-0-014-1</t>
  </si>
  <si>
    <t>P347</t>
  </si>
  <si>
    <t>P623</t>
  </si>
  <si>
    <t>CICM-T14-055-0-017-1</t>
  </si>
  <si>
    <t>CICM-C21-163-0-014-1</t>
  </si>
  <si>
    <t>P350</t>
  </si>
  <si>
    <t>CICM-T15-056-0-017-1</t>
  </si>
  <si>
    <t>P626</t>
  </si>
  <si>
    <t>1726-T23-044-0-042-2</t>
  </si>
  <si>
    <t>CICM-C23-164-2-017-1</t>
  </si>
  <si>
    <t>Enterobacter kobei</t>
  </si>
  <si>
    <t>P353</t>
  </si>
  <si>
    <t>CICM-T21-057-0-017-1</t>
  </si>
  <si>
    <t>P659</t>
  </si>
  <si>
    <t>CICM-C12-177-0-014-1</t>
  </si>
  <si>
    <t>P662</t>
  </si>
  <si>
    <t>CICM-C21-178-0-014-1</t>
  </si>
  <si>
    <t>P356</t>
  </si>
  <si>
    <t>CICM-T37-058-2-017-1</t>
  </si>
  <si>
    <t>P665</t>
  </si>
  <si>
    <t>CICM-C34-179-0-014-1</t>
  </si>
  <si>
    <t>MDG094</t>
  </si>
  <si>
    <t>P98</t>
  </si>
  <si>
    <t>P377</t>
  </si>
  <si>
    <t>CICM-T11-065-0-014-1</t>
  </si>
  <si>
    <t>P668</t>
  </si>
  <si>
    <t>CICM-C11-180-0-014-3</t>
  </si>
  <si>
    <t>P380</t>
  </si>
  <si>
    <t>CICM-T13-067-0-014-1</t>
  </si>
  <si>
    <t>P671</t>
  </si>
  <si>
    <t>CICM-C14-181-2-014-1</t>
  </si>
  <si>
    <t>MDG095</t>
  </si>
  <si>
    <t>P99</t>
  </si>
  <si>
    <t>P383</t>
  </si>
  <si>
    <t>CICM-T15-069-0-014-1</t>
  </si>
  <si>
    <t>P674</t>
  </si>
  <si>
    <t>CICM-C21-182-0-104-1</t>
  </si>
  <si>
    <t>P386</t>
  </si>
  <si>
    <t>CICM-T21-070-2-014-1</t>
  </si>
  <si>
    <t>MDG096</t>
  </si>
  <si>
    <t>P100</t>
  </si>
  <si>
    <t>P749</t>
  </si>
  <si>
    <t>CICM-C11-216-2-017-1</t>
  </si>
  <si>
    <t>1726-T23-044-0-042-3</t>
  </si>
  <si>
    <t>Enterobacter bugandensis</t>
  </si>
  <si>
    <t>P389</t>
  </si>
  <si>
    <t>CICM-T22-071-0-014-1</t>
  </si>
  <si>
    <t>MDG097</t>
  </si>
  <si>
    <t>P101</t>
  </si>
  <si>
    <t>P752</t>
  </si>
  <si>
    <t>CICM-C12-217-2-014-1</t>
  </si>
  <si>
    <t>P392</t>
  </si>
  <si>
    <t>CICM-T32-072-2-017-1</t>
  </si>
  <si>
    <t>chomeur</t>
  </si>
  <si>
    <t>P395</t>
  </si>
  <si>
    <t>CICM-T34-073-0-017-1</t>
  </si>
  <si>
    <t>1726-T11-046-0-014-1</t>
  </si>
  <si>
    <t>MDG098</t>
  </si>
  <si>
    <t>P102</t>
  </si>
  <si>
    <t>P410</t>
  </si>
  <si>
    <t>CICM-T11-076-0-014-1</t>
  </si>
  <si>
    <t>MDG099</t>
  </si>
  <si>
    <t>P103</t>
  </si>
  <si>
    <t>P413</t>
  </si>
  <si>
    <t>CICM-T21-077-0-014-1</t>
  </si>
  <si>
    <t>P416</t>
  </si>
  <si>
    <t>CICM-T23-078-0-017-1</t>
  </si>
  <si>
    <t>MDG100</t>
  </si>
  <si>
    <t>P104</t>
  </si>
  <si>
    <t>P419</t>
  </si>
  <si>
    <t>gestionnaire</t>
  </si>
  <si>
    <t>CICM-T13-080-0-014-1</t>
  </si>
  <si>
    <t>P422</t>
  </si>
  <si>
    <t>CICM-T21-081-2-017-1</t>
  </si>
  <si>
    <t>MDG101</t>
  </si>
  <si>
    <t>P105</t>
  </si>
  <si>
    <t>P497</t>
  </si>
  <si>
    <t>CICM-T11-116-0-014-1</t>
  </si>
  <si>
    <t>BAR</t>
  </si>
  <si>
    <t>P500</t>
  </si>
  <si>
    <t>CICM-T21-117-0-014-1</t>
  </si>
  <si>
    <t>Salmonella enterica</t>
  </si>
  <si>
    <t>P503</t>
  </si>
  <si>
    <t>CICM-T23-118-0-014-1</t>
  </si>
  <si>
    <t>MDG102</t>
  </si>
  <si>
    <t>P106</t>
  </si>
  <si>
    <t>P506</t>
  </si>
  <si>
    <t>CICM-T11-119-0-014-1</t>
  </si>
  <si>
    <t>1726-T11-052-0-014-1</t>
  </si>
  <si>
    <t>P509</t>
  </si>
  <si>
    <t>CICM-T21-120-0-014-1</t>
  </si>
  <si>
    <t>P512</t>
  </si>
  <si>
    <t>CICM-T32-121-2-017-1</t>
  </si>
  <si>
    <t>P515</t>
  </si>
  <si>
    <t>CICM-T13-122-0-105-1</t>
  </si>
  <si>
    <t>MDG104</t>
  </si>
  <si>
    <t>P108</t>
  </si>
  <si>
    <t>universitaire</t>
  </si>
  <si>
    <t>docteur</t>
  </si>
  <si>
    <t>andoharanofotsy</t>
  </si>
  <si>
    <t>P518</t>
  </si>
  <si>
    <t>CICM-T21-123-0-014-1</t>
  </si>
  <si>
    <t>P521</t>
  </si>
  <si>
    <t>CICM-T11-124-0-014-1</t>
  </si>
  <si>
    <t>P524</t>
  </si>
  <si>
    <t>CICM-T21-125-0-014-1</t>
  </si>
  <si>
    <t>P527</t>
  </si>
  <si>
    <t>CICM-T23-126-0-017-1</t>
  </si>
  <si>
    <t>P530</t>
  </si>
  <si>
    <t>CICM-T21-128-0-014-1</t>
  </si>
  <si>
    <t>1726-T11-052-0-017-1</t>
  </si>
  <si>
    <t>P533</t>
  </si>
  <si>
    <t>CICM-T35-129-0-017-1</t>
  </si>
  <si>
    <t>1726-T12-053-0-014-1</t>
  </si>
  <si>
    <t>P536</t>
  </si>
  <si>
    <t>CICM-T11-130-2-014-1</t>
  </si>
  <si>
    <t>P539</t>
  </si>
  <si>
    <t>CICM-T14-133-0-014-1</t>
  </si>
  <si>
    <t>1726-T21-055-0-100-1</t>
  </si>
  <si>
    <t>P542</t>
  </si>
  <si>
    <t>CICM-T15-134-0-014-1</t>
  </si>
  <si>
    <t>P545</t>
  </si>
  <si>
    <t>CICM-T21-135-0-104-1</t>
  </si>
  <si>
    <t>P548</t>
  </si>
  <si>
    <t>chien</t>
  </si>
  <si>
    <t>CICM-T31-138-2-014-1</t>
  </si>
  <si>
    <t>P551</t>
  </si>
  <si>
    <t>CICM-T34-139-0-014-1</t>
  </si>
  <si>
    <t>P563</t>
  </si>
  <si>
    <t>CICM-T11-143-0-014-1</t>
  </si>
  <si>
    <t>P566</t>
  </si>
  <si>
    <t>CICM-T12-144-0-017-1</t>
  </si>
  <si>
    <t>P569</t>
  </si>
  <si>
    <t>CICM-T21-145-0-014-1</t>
  </si>
  <si>
    <t xml:space="preserve">1726-T11-057-0-014-1
</t>
  </si>
  <si>
    <t>P572</t>
  </si>
  <si>
    <t>CICM-T11-146-0-014-1</t>
  </si>
  <si>
    <t>P575</t>
  </si>
  <si>
    <t>CICM-T12-147-0-014-1</t>
  </si>
  <si>
    <t>P578</t>
  </si>
  <si>
    <t>CICM-T21-148-0-104-1</t>
  </si>
  <si>
    <t>P581</t>
  </si>
  <si>
    <t>CICM-T212-149-0-104-1</t>
  </si>
  <si>
    <t>P584</t>
  </si>
  <si>
    <t>CICM-T23-150-2-017-1</t>
  </si>
  <si>
    <t>P611</t>
  </si>
  <si>
    <t>CICM-T11-159-0-014-1</t>
  </si>
  <si>
    <t>P614</t>
  </si>
  <si>
    <t>CICM-T12-160-0-014-1</t>
  </si>
  <si>
    <t>P617</t>
  </si>
  <si>
    <t>CICM-T13-161-0-014-1</t>
  </si>
  <si>
    <t>1726-T22-059-0-014-2</t>
  </si>
  <si>
    <t>P629</t>
  </si>
  <si>
    <t>CICM-T12-165-0-014-1</t>
  </si>
  <si>
    <t>P632</t>
  </si>
  <si>
    <t>CICM-T13-166-0-014-1</t>
  </si>
  <si>
    <t>P635</t>
  </si>
  <si>
    <t>CICM-T21-167-0-014-1</t>
  </si>
  <si>
    <t>P725</t>
  </si>
  <si>
    <t>CICM-T11-207-2-014-1</t>
  </si>
  <si>
    <t>1726-T22-059-0-014-3</t>
  </si>
  <si>
    <t>P728</t>
  </si>
  <si>
    <t>CICM-T12-208-0-014-1</t>
  </si>
  <si>
    <t>1726-T23-060-0-014-1</t>
  </si>
  <si>
    <t>P731</t>
  </si>
  <si>
    <t>CICM-T13-209-0-014-1</t>
  </si>
  <si>
    <t>1726-T31-061-0-014-1</t>
  </si>
  <si>
    <t>P734</t>
  </si>
  <si>
    <t>CICM-T21-210-0-014-1</t>
  </si>
  <si>
    <t>1726-T35-062-0-014-1</t>
  </si>
  <si>
    <t>P737</t>
  </si>
  <si>
    <t>CICM-T35-211-0-014-1</t>
  </si>
  <si>
    <t>1726-T35-062-0-017-1</t>
  </si>
  <si>
    <t>P740</t>
  </si>
  <si>
    <t>CICM-T12-212-0-014-1</t>
  </si>
  <si>
    <t>P743</t>
  </si>
  <si>
    <t>CICM-T13-213-0-017-1</t>
  </si>
  <si>
    <t>1726-T12-064-0-014-1</t>
  </si>
  <si>
    <t>P746</t>
  </si>
  <si>
    <t>CICM-T21-214-0-017-1</t>
  </si>
  <si>
    <t>1726-T32-067-0-014-1</t>
  </si>
  <si>
    <t>1726-T35-068-0-014-1</t>
  </si>
  <si>
    <t>1726-T11-069-0-014-1</t>
  </si>
  <si>
    <t xml:space="preserve">1726-T11-069-0-003-1
</t>
  </si>
  <si>
    <t>1726-T11-069-2-014-1</t>
  </si>
  <si>
    <t>1726-T21-070-0-003-1</t>
  </si>
  <si>
    <t>1726-T21-070-0-042-2</t>
  </si>
  <si>
    <t>1726-T21-070-2-042-1</t>
  </si>
  <si>
    <t>1726-T34-072-0-014-1</t>
  </si>
  <si>
    <t>1726-T34-072-0-017-1</t>
  </si>
  <si>
    <t>1726-T11-073-0-014-1</t>
  </si>
  <si>
    <t>1726-T11-073-0-014-2</t>
  </si>
  <si>
    <t>1726-T11-073-2-014-1</t>
  </si>
  <si>
    <t>P109</t>
  </si>
  <si>
    <t>1726-T11-073-2-017-1</t>
  </si>
  <si>
    <t>P110</t>
  </si>
  <si>
    <t>1726-T21-074-0-042-1</t>
  </si>
  <si>
    <t>P111</t>
  </si>
  <si>
    <t>1726-T21-074-0-042-2</t>
  </si>
  <si>
    <t>P114</t>
  </si>
  <si>
    <t>1726-T21-074-2-042-3</t>
  </si>
  <si>
    <t>P115</t>
  </si>
  <si>
    <t>1726-T21-075-0-014-1</t>
  </si>
  <si>
    <t>P116</t>
  </si>
  <si>
    <t>1726-T21-075-0-014-2</t>
  </si>
  <si>
    <t>P117</t>
  </si>
  <si>
    <t>1726-T21-076-2-042-1</t>
  </si>
  <si>
    <t>P118</t>
  </si>
  <si>
    <t>1726-T23-077-0-042-3</t>
  </si>
  <si>
    <t>Enterobacter asburiae</t>
  </si>
  <si>
    <t>P119</t>
  </si>
  <si>
    <t>1726-T23-077-0-042-1</t>
  </si>
  <si>
    <t>MDG027</t>
  </si>
  <si>
    <t>P120</t>
  </si>
  <si>
    <t>1726-T11-078-0-014-3</t>
  </si>
  <si>
    <t>P121</t>
  </si>
  <si>
    <t>1726-T11-078-2-014-1</t>
  </si>
  <si>
    <t>P122</t>
  </si>
  <si>
    <t>1726-T11-078-2-017-1</t>
  </si>
  <si>
    <t>P123</t>
  </si>
  <si>
    <t>1726-T11-078-2-017-2</t>
  </si>
  <si>
    <t>P124</t>
  </si>
  <si>
    <t>P125</t>
  </si>
  <si>
    <t>P126</t>
  </si>
  <si>
    <t>P127</t>
  </si>
  <si>
    <t>1726-T11-082-0-014-3</t>
  </si>
  <si>
    <t>P128</t>
  </si>
  <si>
    <t>1726-T11-082-2-014-1</t>
  </si>
  <si>
    <t>P129</t>
  </si>
  <si>
    <t>1726-T11-082-2-017-1</t>
  </si>
  <si>
    <t>P130</t>
  </si>
  <si>
    <t>1726-T21-083-0-017-3</t>
  </si>
  <si>
    <t>P131</t>
  </si>
  <si>
    <t>1726-T21-083-2-017-1</t>
  </si>
  <si>
    <t>P132</t>
  </si>
  <si>
    <t>1726-T21-083-2-042-1</t>
  </si>
  <si>
    <t>P133</t>
  </si>
  <si>
    <t>P134</t>
  </si>
  <si>
    <t>1726-T34-085-0-014-1</t>
  </si>
  <si>
    <t>P135</t>
  </si>
  <si>
    <t>1726-T34-085-0-017-1</t>
  </si>
  <si>
    <t>P136</t>
  </si>
  <si>
    <t>1726-T34-085-2-014-1</t>
  </si>
  <si>
    <t>P137</t>
  </si>
  <si>
    <t>1726-T34-085-2-044-1</t>
  </si>
  <si>
    <t>P138</t>
  </si>
  <si>
    <t>1726-T35-086-0-014-1</t>
  </si>
  <si>
    <t>P139</t>
  </si>
  <si>
    <t>1726-T35-086-0-017-1</t>
  </si>
  <si>
    <t>P140</t>
  </si>
  <si>
    <t>1726-T35-086-0-044-1</t>
  </si>
  <si>
    <t>P154</t>
  </si>
  <si>
    <t>1726-T11-092-0-017-1</t>
  </si>
  <si>
    <t>P155</t>
  </si>
  <si>
    <t>1726-T11-092-0-017-2</t>
  </si>
  <si>
    <t>P156</t>
  </si>
  <si>
    <t>1726-T12-093-0-014-1</t>
  </si>
  <si>
    <t>P157</t>
  </si>
  <si>
    <t>1726-T12-093-0-017-1</t>
  </si>
  <si>
    <t>P158</t>
  </si>
  <si>
    <t>1726-T12-093-2-014-1</t>
  </si>
  <si>
    <t>P159</t>
  </si>
  <si>
    <t>1726-T21-094-0-40-1</t>
  </si>
  <si>
    <t>Citrobacter braakii</t>
  </si>
  <si>
    <t>P160</t>
  </si>
  <si>
    <t>1726-T21-094-0-39-1</t>
  </si>
  <si>
    <t>P161</t>
  </si>
  <si>
    <t>1726-T21-094-0-39-2</t>
  </si>
  <si>
    <t>P162</t>
  </si>
  <si>
    <t>1726-T23-095-0-016-1</t>
  </si>
  <si>
    <t>P163</t>
  </si>
  <si>
    <t>1726-T23-095-0-017-1</t>
  </si>
  <si>
    <t>P164</t>
  </si>
  <si>
    <t>1726-T31-096-0-014-1</t>
  </si>
  <si>
    <t>P165</t>
  </si>
  <si>
    <t>1726-T31-096-0-039-1</t>
  </si>
  <si>
    <t>P166</t>
  </si>
  <si>
    <t>1726-T31-096-0-017-1</t>
  </si>
  <si>
    <t>P167</t>
  </si>
  <si>
    <t>1726-T11-097-0-014-1</t>
  </si>
  <si>
    <t>P168</t>
  </si>
  <si>
    <t>1726-T11-097-0-017-1</t>
  </si>
  <si>
    <t>P169</t>
  </si>
  <si>
    <t>P170</t>
  </si>
  <si>
    <t>P171</t>
  </si>
  <si>
    <t>1726-T11-100-0-014-1</t>
  </si>
  <si>
    <t>P172</t>
  </si>
  <si>
    <t>1726-T11-100-0-017-1</t>
  </si>
  <si>
    <t>P173</t>
  </si>
  <si>
    <t>1726-T11-100-0-017-2</t>
  </si>
  <si>
    <t>P174</t>
  </si>
  <si>
    <t>1726-T11-100-2-045-1</t>
  </si>
  <si>
    <t>Klebsiella aerogenes</t>
  </si>
  <si>
    <t>P175</t>
  </si>
  <si>
    <t>1726-T11-100-2-045-2</t>
  </si>
  <si>
    <t>P176</t>
  </si>
  <si>
    <t>1726-T21-101-0-017-3</t>
  </si>
  <si>
    <t>P177</t>
  </si>
  <si>
    <t>1726-T23-102-0-017-1</t>
  </si>
  <si>
    <t>P178</t>
  </si>
  <si>
    <t>1726-T23-102-0-017-2</t>
  </si>
  <si>
    <t>P179</t>
  </si>
  <si>
    <t>1726-T23-102-2-017-1</t>
  </si>
  <si>
    <t>P184</t>
  </si>
  <si>
    <t>P185</t>
  </si>
  <si>
    <t>1726-T21-108-0-014-1</t>
  </si>
  <si>
    <t>P186</t>
  </si>
  <si>
    <t>1726-T21-108-0-017-1</t>
  </si>
  <si>
    <t>P187</t>
  </si>
  <si>
    <t>P188</t>
  </si>
  <si>
    <t>1726-T37-110-0-014-1</t>
  </si>
  <si>
    <t>P189</t>
  </si>
  <si>
    <t>1726-T11-111-0-014-1</t>
  </si>
  <si>
    <t>P190</t>
  </si>
  <si>
    <t>1726-T21-112-0-042-1</t>
  </si>
  <si>
    <t>P191</t>
  </si>
  <si>
    <t>1726-T21-112-0-017-1</t>
  </si>
  <si>
    <t>P192</t>
  </si>
  <si>
    <t>P193</t>
  </si>
  <si>
    <t>1726-T11-114-0-014-1</t>
  </si>
  <si>
    <t>P194</t>
  </si>
  <si>
    <t>1726-T11-114-0-017-1</t>
  </si>
  <si>
    <t>P195</t>
  </si>
  <si>
    <t>P196</t>
  </si>
  <si>
    <t>1726-T22-116-0-014-1</t>
  </si>
  <si>
    <t>P197</t>
  </si>
  <si>
    <t>1726-T22-116-0-017-1</t>
  </si>
  <si>
    <t>P198</t>
  </si>
  <si>
    <t>1726-T22-116-2-014-1</t>
  </si>
  <si>
    <t>P199</t>
  </si>
  <si>
    <t>1726-T22-116-2-042-1</t>
  </si>
  <si>
    <t>P200</t>
  </si>
  <si>
    <t>1726-T23-117-0-043-1</t>
  </si>
  <si>
    <t>Escherichia hermannii</t>
  </si>
  <si>
    <t>P201</t>
  </si>
  <si>
    <t>1726-T23-117-2-044-1</t>
  </si>
  <si>
    <t>P202</t>
  </si>
  <si>
    <t>1726-C11-118-0-014-1</t>
  </si>
  <si>
    <t>P203</t>
  </si>
  <si>
    <t>P204</t>
  </si>
  <si>
    <t>P205</t>
  </si>
  <si>
    <t>1726-C31-121-0-014-2</t>
  </si>
  <si>
    <t>P206</t>
  </si>
  <si>
    <t>1726-C31-121-0-014-3</t>
  </si>
  <si>
    <t>P207</t>
  </si>
  <si>
    <t>1726-T11-122-0-014-1</t>
  </si>
  <si>
    <t>P208</t>
  </si>
  <si>
    <t>1726-T11-122-0-014-2</t>
  </si>
  <si>
    <t>P209</t>
  </si>
  <si>
    <t>1726-T21-123-0-014-2</t>
  </si>
  <si>
    <t>P210</t>
  </si>
  <si>
    <t>1726-T21-123-0-014-3</t>
  </si>
  <si>
    <t>P211</t>
  </si>
  <si>
    <t>P212</t>
  </si>
  <si>
    <t>P213</t>
  </si>
  <si>
    <t>1726-T31-126-0-014-1</t>
  </si>
  <si>
    <t>P214</t>
  </si>
  <si>
    <t>P216</t>
  </si>
  <si>
    <t>CICM-C11-001-0-014-2</t>
  </si>
  <si>
    <t>P217</t>
  </si>
  <si>
    <t>CICM-C11-001-0-014-3</t>
  </si>
  <si>
    <t>P219</t>
  </si>
  <si>
    <t>CICM-C12-002-0-014-2</t>
  </si>
  <si>
    <t>P222</t>
  </si>
  <si>
    <t>CICM-C13-003-0-014-2</t>
  </si>
  <si>
    <t>P223</t>
  </si>
  <si>
    <t>CICM-C13-003-0-014-3</t>
  </si>
  <si>
    <t>P225</t>
  </si>
  <si>
    <t>CICM-C21-004-0-014-2</t>
  </si>
  <si>
    <t>P226</t>
  </si>
  <si>
    <t>CICM-C21-004-0-014-3</t>
  </si>
  <si>
    <t>P228</t>
  </si>
  <si>
    <t>CICM-C23-005-0-100-2</t>
  </si>
  <si>
    <t>P229</t>
  </si>
  <si>
    <t>CICM-C23-005-0-100-3</t>
  </si>
  <si>
    <t>P231</t>
  </si>
  <si>
    <t>CICM-C34-006-0-101-2</t>
  </si>
  <si>
    <t>P232</t>
  </si>
  <si>
    <t>CICM-C34-006-0-101-3</t>
  </si>
  <si>
    <t>P233</t>
  </si>
  <si>
    <t>CICM-N11-007-0-14-1</t>
  </si>
  <si>
    <t>P234</t>
  </si>
  <si>
    <t>CICM-N11-007-0-14-2</t>
  </si>
  <si>
    <t>P235</t>
  </si>
  <si>
    <t>CICM-N11-007-0-14-3</t>
  </si>
  <si>
    <t>P236</t>
  </si>
  <si>
    <t>CICM-N13-009-0-17-1</t>
  </si>
  <si>
    <t>P237</t>
  </si>
  <si>
    <t>CICM-N13-009-0-17-2</t>
  </si>
  <si>
    <t>P238</t>
  </si>
  <si>
    <t>CICM-N13-009-0-17-3</t>
  </si>
  <si>
    <t>P239</t>
  </si>
  <si>
    <t>CICM-N21-010-0-17-1</t>
  </si>
  <si>
    <t>P240</t>
  </si>
  <si>
    <t>CICM-N21-010-0-17-2</t>
  </si>
  <si>
    <t>P241</t>
  </si>
  <si>
    <t>CICM-N21-010-0-17-3</t>
  </si>
  <si>
    <t>P242</t>
  </si>
  <si>
    <t>CICM-N13-012-0-17-1</t>
  </si>
  <si>
    <t>P243</t>
  </si>
  <si>
    <t>CICM-N13-012-0-17-2</t>
  </si>
  <si>
    <t>P244</t>
  </si>
  <si>
    <t>CICM-N13-012-0-17-3</t>
  </si>
  <si>
    <t>P245</t>
  </si>
  <si>
    <t>CICM-N12-014-0-14-1</t>
  </si>
  <si>
    <t>P246</t>
  </si>
  <si>
    <t>CICM-N12-014-0-14-2</t>
  </si>
  <si>
    <t>P247</t>
  </si>
  <si>
    <t>CICM-N12-014-0-14-3</t>
  </si>
  <si>
    <t>P248</t>
  </si>
  <si>
    <t>CICM-N21-015-0-14-1</t>
  </si>
  <si>
    <t>P249</t>
  </si>
  <si>
    <t>CICM-N21-015-0-14-2</t>
  </si>
  <si>
    <t>P250</t>
  </si>
  <si>
    <t>CICM-N21-015-0-14-3</t>
  </si>
  <si>
    <t>P251</t>
  </si>
  <si>
    <t>CICM-N11-016-0-14-1</t>
  </si>
  <si>
    <t>P252</t>
  </si>
  <si>
    <t>CICM-N11-016-0-14-2</t>
  </si>
  <si>
    <t>P253</t>
  </si>
  <si>
    <t>CICM-N11-016-0-14-3</t>
  </si>
  <si>
    <t>P254</t>
  </si>
  <si>
    <t>CICM-N14-017-2-17-1</t>
  </si>
  <si>
    <t>P255</t>
  </si>
  <si>
    <t>CICM-N14-017-2-17-2</t>
  </si>
  <si>
    <t>P256</t>
  </si>
  <si>
    <t>CICM-N14-017-2-17-3</t>
  </si>
  <si>
    <t>P257</t>
  </si>
  <si>
    <t>CICM-N23-019-0-17-1</t>
  </si>
  <si>
    <t>P258</t>
  </si>
  <si>
    <t>CICM-N23-019-0-17-2</t>
  </si>
  <si>
    <t>P259</t>
  </si>
  <si>
    <t>CICM-N23-019-0-17-3</t>
  </si>
  <si>
    <t>P260</t>
  </si>
  <si>
    <t>CICM-N35-020-0-17-1</t>
  </si>
  <si>
    <t>P261</t>
  </si>
  <si>
    <t>CICM-N35-020-0-17-2</t>
  </si>
  <si>
    <t>P262</t>
  </si>
  <si>
    <t>CICM-N35-020-0-17-3</t>
  </si>
  <si>
    <t>P263</t>
  </si>
  <si>
    <t>CICM-N21-022-0-14-1</t>
  </si>
  <si>
    <t>P264</t>
  </si>
  <si>
    <t>CICM-N21-022-0-14-2</t>
  </si>
  <si>
    <t>P265</t>
  </si>
  <si>
    <t>CICM-N21-022-0-14-3</t>
  </si>
  <si>
    <t>P266</t>
  </si>
  <si>
    <t>CICM-N32-023-0-14-1</t>
  </si>
  <si>
    <t>P267</t>
  </si>
  <si>
    <t>CICM-N32-023-0-14-2</t>
  </si>
  <si>
    <t>P268</t>
  </si>
  <si>
    <t>CICM-N32-023-0-14-3</t>
  </si>
  <si>
    <t>P269</t>
  </si>
  <si>
    <t>CICM-N11-024-0-103-1</t>
  </si>
  <si>
    <t>P270</t>
  </si>
  <si>
    <t>CICM-N11-024-0-103-2</t>
  </si>
  <si>
    <t>P271</t>
  </si>
  <si>
    <t>CICM-N11-024-0-103-3</t>
  </si>
  <si>
    <t>P272</t>
  </si>
  <si>
    <t>CICM-N12-025-0-14-1</t>
  </si>
  <si>
    <t>P273</t>
  </si>
  <si>
    <t>CICM-N12-025-0-14-2</t>
  </si>
  <si>
    <t>P274</t>
  </si>
  <si>
    <t>CICM-N12-025-0-14-3</t>
  </si>
  <si>
    <t>P275</t>
  </si>
  <si>
    <t>CICM-N13-028-0-14-1</t>
  </si>
  <si>
    <t>P276</t>
  </si>
  <si>
    <t>CICM-N13-028-0-14-2</t>
  </si>
  <si>
    <t>P277</t>
  </si>
  <si>
    <t>CICM-N13-028-0-14-3</t>
  </si>
  <si>
    <t>P278</t>
  </si>
  <si>
    <t>CICM-N21-029-0-14-1</t>
  </si>
  <si>
    <t>P279</t>
  </si>
  <si>
    <t>CICM-N21-029-0-14-2</t>
  </si>
  <si>
    <t>P280</t>
  </si>
  <si>
    <t>CICM-N21-029-0-14-3</t>
  </si>
  <si>
    <t>P282</t>
  </si>
  <si>
    <t>CICM-C11-030-0-014-2</t>
  </si>
  <si>
    <t>P283</t>
  </si>
  <si>
    <t>CICM-C11-030-0-014-3</t>
  </si>
  <si>
    <t>P285</t>
  </si>
  <si>
    <t>CICM-C12-031-0-014-2</t>
  </si>
  <si>
    <t>P286</t>
  </si>
  <si>
    <t>CICM-C12-031-0-014-3</t>
  </si>
  <si>
    <t>P288</t>
  </si>
  <si>
    <t>CICM-C12-031-2-014-2</t>
  </si>
  <si>
    <t>P289</t>
  </si>
  <si>
    <t>CICM-C12-031-2-014-3</t>
  </si>
  <si>
    <t>P291</t>
  </si>
  <si>
    <t>CICM-C21-032-0-017-2</t>
  </si>
  <si>
    <t>P292</t>
  </si>
  <si>
    <t>CICM-C21-032-0-017-3</t>
  </si>
  <si>
    <t>P294</t>
  </si>
  <si>
    <t>CICM-C23-033-0-017-2</t>
  </si>
  <si>
    <t>P295</t>
  </si>
  <si>
    <t>CICM-C23-033-0-017-3</t>
  </si>
  <si>
    <t>P296</t>
  </si>
  <si>
    <t>CICM-N13-035-0-014-1</t>
  </si>
  <si>
    <t>P297</t>
  </si>
  <si>
    <t>CICM-N13-035-0-014-2</t>
  </si>
  <si>
    <t>P298</t>
  </si>
  <si>
    <t>CICM-N13-035-0-014-3</t>
  </si>
  <si>
    <t>P299</t>
  </si>
  <si>
    <t>CICM-N21-036-0-104-1</t>
  </si>
  <si>
    <t>P300</t>
  </si>
  <si>
    <t>CICM-N21-036-0-104-2</t>
  </si>
  <si>
    <t>P301</t>
  </si>
  <si>
    <t>CICM-N21-036-0-104-3</t>
  </si>
  <si>
    <t>P302</t>
  </si>
  <si>
    <t>CICM-N31-037-0-105-1</t>
  </si>
  <si>
    <t>P303</t>
  </si>
  <si>
    <t>CICM-N31-037-0-105-2</t>
  </si>
  <si>
    <t>P304</t>
  </si>
  <si>
    <t>CICM-N31-037-0-105-3</t>
  </si>
  <si>
    <t>P305</t>
  </si>
  <si>
    <t>CICM-N35-038-0-017-1</t>
  </si>
  <si>
    <t>P306</t>
  </si>
  <si>
    <t>CICM-N35-038-0-017-2</t>
  </si>
  <si>
    <t>P307</t>
  </si>
  <si>
    <t>CICM-N35-038-0-017-3</t>
  </si>
  <si>
    <t>P308</t>
  </si>
  <si>
    <t>CICM-N11-039-0-014-1</t>
  </si>
  <si>
    <t>P309</t>
  </si>
  <si>
    <t>CICM-N11-039-0-014-2</t>
  </si>
  <si>
    <t>P310</t>
  </si>
  <si>
    <t>CICM-N11-039-0-014-3</t>
  </si>
  <si>
    <t>P311</t>
  </si>
  <si>
    <t>CICM-N12-040-0-014-1</t>
  </si>
  <si>
    <t>P312</t>
  </si>
  <si>
    <t>CICM-N12-040-0-014-2</t>
  </si>
  <si>
    <t>P313</t>
  </si>
  <si>
    <t>CICM-N12-040-0-014-3</t>
  </si>
  <si>
    <t>P314</t>
  </si>
  <si>
    <t>CICM-N21-041-0-104-1</t>
  </si>
  <si>
    <t>P315</t>
  </si>
  <si>
    <t>CICM-N21-041-0-104-2</t>
  </si>
  <si>
    <t>P316</t>
  </si>
  <si>
    <t>CICM-N21-041-0-104-3</t>
  </si>
  <si>
    <t>P318</t>
  </si>
  <si>
    <t>CICM-T11-042-0-014-2</t>
  </si>
  <si>
    <t>P319</t>
  </si>
  <si>
    <t>CICM-T11-042-2-014-3</t>
  </si>
  <si>
    <t>P359</t>
  </si>
  <si>
    <t>CICM-N11-059-0-014-1</t>
  </si>
  <si>
    <t>P362</t>
  </si>
  <si>
    <t>CICM-N21-060-0-106-1</t>
  </si>
  <si>
    <t>Enterococcus casseliflavus</t>
  </si>
  <si>
    <t>P321</t>
  </si>
  <si>
    <t>CICM-T11-044-0-014-2</t>
  </si>
  <si>
    <t>P365</t>
  </si>
  <si>
    <t>CICM-N23-061-0-017-1</t>
  </si>
  <si>
    <t>P322</t>
  </si>
  <si>
    <t>CICM-T11-044-0-014-3</t>
  </si>
  <si>
    <t>P368</t>
  </si>
  <si>
    <t>CICM-N12-062-0-014-1</t>
  </si>
  <si>
    <t>P371</t>
  </si>
  <si>
    <t>CICM-N13-063-0-014-1</t>
  </si>
  <si>
    <t>P374</t>
  </si>
  <si>
    <t>CICM-N21-064-0-014-1</t>
  </si>
  <si>
    <t>P324</t>
  </si>
  <si>
    <t>P425</t>
  </si>
  <si>
    <t>CICM-N12-083-0-014-1</t>
  </si>
  <si>
    <t>CICM-T13-046-0-014-2</t>
  </si>
  <si>
    <t>P428</t>
  </si>
  <si>
    <t>CICM-N13-084-2-014-1</t>
  </si>
  <si>
    <t>P325</t>
  </si>
  <si>
    <t>CICM-T13-046-0-014-3</t>
  </si>
  <si>
    <t>P431</t>
  </si>
  <si>
    <t>CICM-N14-085-0-014-1</t>
  </si>
  <si>
    <t>P434</t>
  </si>
  <si>
    <t>CICM-N15-086-0-014-1</t>
  </si>
  <si>
    <t>P437</t>
  </si>
  <si>
    <t>CICM-N35-088-0-014-1</t>
  </si>
  <si>
    <t>P452</t>
  </si>
  <si>
    <t>CICM-N12-096-0-014-1</t>
  </si>
  <si>
    <t>P327</t>
  </si>
  <si>
    <t>CICM-T21-047-0-014-2</t>
  </si>
  <si>
    <t>P455</t>
  </si>
  <si>
    <t>CICM-N21-097-0-014-1</t>
  </si>
  <si>
    <t>P328</t>
  </si>
  <si>
    <t>P458</t>
  </si>
  <si>
    <t>CICM-N11-098-0-017-1</t>
  </si>
  <si>
    <t>CICM-T21-047-0-014-3</t>
  </si>
  <si>
    <t>P461</t>
  </si>
  <si>
    <t>CICM-N23-100-0-017-1</t>
  </si>
  <si>
    <t>P464</t>
  </si>
  <si>
    <t>CICM-N31-101-0-104-1</t>
  </si>
  <si>
    <t>P467</t>
  </si>
  <si>
    <t>CICM-N34-102-0-014-1</t>
  </si>
  <si>
    <t>P330</t>
  </si>
  <si>
    <t>CICM-T23-048-0-017-2</t>
  </si>
  <si>
    <t>P470</t>
  </si>
  <si>
    <t>CICM-N12-103-0-014-1</t>
  </si>
  <si>
    <t>P473</t>
  </si>
  <si>
    <t>CICM-N21-104-0-014-1</t>
  </si>
  <si>
    <t>P331</t>
  </si>
  <si>
    <t>CICM-T23-048-0-017-3</t>
  </si>
  <si>
    <t>P488</t>
  </si>
  <si>
    <t>CICM-N12-112-0-014-1</t>
  </si>
  <si>
    <t>P491</t>
  </si>
  <si>
    <t>CICM-N21-114-0-014-1</t>
  </si>
  <si>
    <t>P494</t>
  </si>
  <si>
    <t>CICM-N36-115-0-014-1</t>
  </si>
  <si>
    <t>P638</t>
  </si>
  <si>
    <t>CICM-N14-168-0-107-1</t>
  </si>
  <si>
    <t>Enterobacter cloacae</t>
  </si>
  <si>
    <t>P333</t>
  </si>
  <si>
    <t>CICM-T34-049-0-017-2</t>
  </si>
  <si>
    <t>P641</t>
  </si>
  <si>
    <t>CICM-N21-169-0-104-1</t>
  </si>
  <si>
    <t>P334</t>
  </si>
  <si>
    <t>CICM-T34-049-0-017-3</t>
  </si>
  <si>
    <t>P644</t>
  </si>
  <si>
    <t>CICM-N32-170-0-017-1</t>
  </si>
  <si>
    <t>P647</t>
  </si>
  <si>
    <t>CICM-N12-171-0-014-1</t>
  </si>
  <si>
    <t>P335</t>
  </si>
  <si>
    <t>CICM-AP12-051-0-014-1</t>
  </si>
  <si>
    <t>P650</t>
  </si>
  <si>
    <t>CICM-N21-172-0-014-1</t>
  </si>
  <si>
    <t>P336</t>
  </si>
  <si>
    <t>CICM-AP12-051-0-014-2</t>
  </si>
  <si>
    <t>P653</t>
  </si>
  <si>
    <t>CICM-N23-173-0-017-1</t>
  </si>
  <si>
    <t>P337</t>
  </si>
  <si>
    <t>CICM-AP12-051-0-014-3</t>
  </si>
  <si>
    <t>P656</t>
  </si>
  <si>
    <t>CICM-N11-174-0-014-1</t>
  </si>
  <si>
    <t>P338</t>
  </si>
  <si>
    <t>CICM-AP21-052-0-014-1</t>
  </si>
  <si>
    <t>P658</t>
  </si>
  <si>
    <t>CICM-N11-174-0-014-3</t>
  </si>
  <si>
    <t>P677</t>
  </si>
  <si>
    <t>CICM-N11-184-0-014-1</t>
  </si>
  <si>
    <t>P339</t>
  </si>
  <si>
    <t>CICM-AP21-052-0-014-2</t>
  </si>
  <si>
    <t>P680</t>
  </si>
  <si>
    <t>CICM-N21-185-0-014-1</t>
  </si>
  <si>
    <t>P340</t>
  </si>
  <si>
    <t>CICM-AP21-052-0-014-3</t>
  </si>
  <si>
    <t>P683</t>
  </si>
  <si>
    <t>CICM-N35-186-0-014-1</t>
  </si>
  <si>
    <t>P342</t>
  </si>
  <si>
    <t>P686</t>
  </si>
  <si>
    <t>CICM-T11-053-0-017-2</t>
  </si>
  <si>
    <t>CICM-N12-187-2-014-1</t>
  </si>
  <si>
    <t>P343</t>
  </si>
  <si>
    <t>CICM-T11-053-0-017-3</t>
  </si>
  <si>
    <t>P689</t>
  </si>
  <si>
    <t>CICM-N11-189-0-017-1</t>
  </si>
  <si>
    <t>P692</t>
  </si>
  <si>
    <t>CICM-N23-191-0-017-1</t>
  </si>
  <si>
    <t>P345</t>
  </si>
  <si>
    <t>CICM-T13-054-0-014-2</t>
  </si>
  <si>
    <t>P695</t>
  </si>
  <si>
    <t>CICM-N32-192-0-014-1</t>
  </si>
  <si>
    <t>P346</t>
  </si>
  <si>
    <t>CICM-T13-054-0-014-3</t>
  </si>
  <si>
    <t>P698</t>
  </si>
  <si>
    <t>CICM-N11-193-2-014-1</t>
  </si>
  <si>
    <t>P701</t>
  </si>
  <si>
    <t>CICM-N21-194-0-014-1</t>
  </si>
  <si>
    <t>P348</t>
  </si>
  <si>
    <t>CICM-T14-055-0-017-2</t>
  </si>
  <si>
    <t>P704</t>
  </si>
  <si>
    <t>CICM-N11-195-0-014-1</t>
  </si>
  <si>
    <t>P349</t>
  </si>
  <si>
    <t>CICM-T14-055-0-017-3</t>
  </si>
  <si>
    <t>P707</t>
  </si>
  <si>
    <t>CICM-N21-199-0-017-1</t>
  </si>
  <si>
    <t>P710</t>
  </si>
  <si>
    <t>CICM-N36-200-0-017-1</t>
  </si>
  <si>
    <t>P351</t>
  </si>
  <si>
    <t>CICM-T15-056-0-017-2</t>
  </si>
  <si>
    <t>P713</t>
  </si>
  <si>
    <t>CICM-N11-201-0-014-1</t>
  </si>
  <si>
    <t>P352</t>
  </si>
  <si>
    <t>CICM-T15-056-0-017-3</t>
  </si>
  <si>
    <t>P716</t>
  </si>
  <si>
    <t>CICM-N21-203-0-017-1</t>
  </si>
  <si>
    <t>P719</t>
  </si>
  <si>
    <t>CICM-N21-205-0-104-1</t>
  </si>
  <si>
    <t>P354</t>
  </si>
  <si>
    <t>CICM-T21-057-0-017-2</t>
  </si>
  <si>
    <t>P722</t>
  </si>
  <si>
    <t>P355</t>
  </si>
  <si>
    <t>CICM-N23-206-0-014-1</t>
  </si>
  <si>
    <t>CICM-T21-057-0-017-3</t>
  </si>
  <si>
    <t>P357</t>
  </si>
  <si>
    <t>CICM-T37-058-2-017-2</t>
  </si>
  <si>
    <t>P358</t>
  </si>
  <si>
    <t>CICM-T37-058-2-017-3</t>
  </si>
  <si>
    <t>P360</t>
  </si>
  <si>
    <t>CICM-N11-059-0-014-2</t>
  </si>
  <si>
    <t>P361</t>
  </si>
  <si>
    <t>CICM-N11-059-0-014-3</t>
  </si>
  <si>
    <t>P363</t>
  </si>
  <si>
    <t>CICM-N21-060-0-106-2</t>
  </si>
  <si>
    <t>P364</t>
  </si>
  <si>
    <t>CICM-N21-060-0-106-3</t>
  </si>
  <si>
    <t>P366</t>
  </si>
  <si>
    <t>CICM-N23-061-0-017-2</t>
  </si>
  <si>
    <t>P367</t>
  </si>
  <si>
    <t>CICM-N23-061-0-017-3</t>
  </si>
  <si>
    <t>P369</t>
  </si>
  <si>
    <t>CICM-N12-062-0-014-2</t>
  </si>
  <si>
    <t>P370</t>
  </si>
  <si>
    <t>CICM-N12-062-0-014-3</t>
  </si>
  <si>
    <t>P372</t>
  </si>
  <si>
    <t>CICM-N13-063-0-014-2</t>
  </si>
  <si>
    <t>P373</t>
  </si>
  <si>
    <t>CICM-N13-063-0-014-3</t>
  </si>
  <si>
    <t>P375</t>
  </si>
  <si>
    <t>CICM-N21-064-0-014-2</t>
  </si>
  <si>
    <t>P376</t>
  </si>
  <si>
    <t>CICM-N21-064-0-014-3</t>
  </si>
  <si>
    <t>P378</t>
  </si>
  <si>
    <t>CICM-T11-065-0-014-2</t>
  </si>
  <si>
    <t>P379</t>
  </si>
  <si>
    <t>CICM-T11-065-0-014-3</t>
  </si>
  <si>
    <t>P381</t>
  </si>
  <si>
    <t>CICM-T13-067-0-014-2</t>
  </si>
  <si>
    <t>P382</t>
  </si>
  <si>
    <t>CICM-T13-067-0-014-3</t>
  </si>
  <si>
    <t>P384</t>
  </si>
  <si>
    <t>CICM-T15-069-0-014-2</t>
  </si>
  <si>
    <t>P385</t>
  </si>
  <si>
    <t>CICM-T15-069-0-014-3</t>
  </si>
  <si>
    <t>P387</t>
  </si>
  <si>
    <t>CICM-T21-070-2-014-2</t>
  </si>
  <si>
    <t>P388</t>
  </si>
  <si>
    <t>CICM-T21-070-2-014-3</t>
  </si>
  <si>
    <t>P390</t>
  </si>
  <si>
    <t>CICM-T22-071-0-014-2</t>
  </si>
  <si>
    <t>P391</t>
  </si>
  <si>
    <t>CICM-T22-071-0-014-3</t>
  </si>
  <si>
    <t>P393</t>
  </si>
  <si>
    <t>CICM-T32-072-2-017-2</t>
  </si>
  <si>
    <t>P394</t>
  </si>
  <si>
    <t>CICM-T32-072-2-017-3</t>
  </si>
  <si>
    <t>P396</t>
  </si>
  <si>
    <t>CICM-T34-073-0-017-2</t>
  </si>
  <si>
    <t>P397</t>
  </si>
  <si>
    <t>CICM-T34-073-0-017-3</t>
  </si>
  <si>
    <t>P399</t>
  </si>
  <si>
    <t>CICM-C11-074-0-014-2</t>
  </si>
  <si>
    <t>P400</t>
  </si>
  <si>
    <t>CICM-C11-074-0-014-3</t>
  </si>
  <si>
    <t>P402</t>
  </si>
  <si>
    <t>CICM-C11-074-2-014-2</t>
  </si>
  <si>
    <t>P403</t>
  </si>
  <si>
    <t>CICM-C11-074-2-014-3</t>
  </si>
  <si>
    <t>P405</t>
  </si>
  <si>
    <t>CICM-C21-075-2-014-2</t>
  </si>
  <si>
    <t>P406</t>
  </si>
  <si>
    <t>CICM-C21-075-2-014-3</t>
  </si>
  <si>
    <t>P408</t>
  </si>
  <si>
    <t>CICM-C21-075-0-017-2</t>
  </si>
  <si>
    <t>P409</t>
  </si>
  <si>
    <t>CICM-C21-075-0-017-3</t>
  </si>
  <si>
    <t>P411</t>
  </si>
  <si>
    <t>CICM-T11-076-0-014-2</t>
  </si>
  <si>
    <t>P412</t>
  </si>
  <si>
    <t>CICM-T11-076-0-014-3</t>
  </si>
  <si>
    <t>P414</t>
  </si>
  <si>
    <t>CICM-T21-077-0-014-2</t>
  </si>
  <si>
    <t>P415</t>
  </si>
  <si>
    <t>CICM-T21-077-0-014-3</t>
  </si>
  <si>
    <t>P417</t>
  </si>
  <si>
    <t>CICM-T23-078-0-017-2</t>
  </si>
  <si>
    <t>P418</t>
  </si>
  <si>
    <t>CICM-T23-078-0-017-3</t>
  </si>
  <si>
    <t>P420</t>
  </si>
  <si>
    <t>CICM-T13-080-0-014-2</t>
  </si>
  <si>
    <t>P421</t>
  </si>
  <si>
    <t>CICM-T13-080-0-014-3</t>
  </si>
  <si>
    <t>P423</t>
  </si>
  <si>
    <t>CICM-T21-081-2-017-2</t>
  </si>
  <si>
    <t>P424</t>
  </si>
  <si>
    <t>CICM-T21-081-2-017-3</t>
  </si>
  <si>
    <t>P426</t>
  </si>
  <si>
    <t>CICM-N12-083-0-014-2</t>
  </si>
  <si>
    <t>P427</t>
  </si>
  <si>
    <t>CICM-N12-083-0-014-3</t>
  </si>
  <si>
    <t>P429</t>
  </si>
  <si>
    <t>CICM-N13-084-2-014-2</t>
  </si>
  <si>
    <t>P430</t>
  </si>
  <si>
    <t>CICM-N13-084-2-014-3</t>
  </si>
  <si>
    <t>P432</t>
  </si>
  <si>
    <t>CICM-N14-085-0-014-2</t>
  </si>
  <si>
    <t>P433</t>
  </si>
  <si>
    <t>CICM-N14-085-0-014-3</t>
  </si>
  <si>
    <t>P435</t>
  </si>
  <si>
    <t>CICM-N15-086-0-014-2</t>
  </si>
  <si>
    <t>P436</t>
  </si>
  <si>
    <t>CICM-N15-086-0-014-3</t>
  </si>
  <si>
    <t>P438</t>
  </si>
  <si>
    <t>CICM-N35-088-0-014-2</t>
  </si>
  <si>
    <t>P439</t>
  </si>
  <si>
    <t>CICM-N35-088-0-014-3</t>
  </si>
  <si>
    <t>P441</t>
  </si>
  <si>
    <t>CICM-C11-089-0-014-2</t>
  </si>
  <si>
    <t>P442</t>
  </si>
  <si>
    <t>CICM-C11-089-0-014-3</t>
  </si>
  <si>
    <t>P444</t>
  </si>
  <si>
    <t>CICM-C21-090-2-014-2</t>
  </si>
  <si>
    <t>P445</t>
  </si>
  <si>
    <t>CICM-C21-090-2-014-3</t>
  </si>
  <si>
    <t>P447</t>
  </si>
  <si>
    <t>CICM-C23-091-0-014-2</t>
  </si>
  <si>
    <t>P448</t>
  </si>
  <si>
    <t>CICM-C23-091-0-014-3</t>
  </si>
  <si>
    <t>P450</t>
  </si>
  <si>
    <t>CICM-C22-092-0-014-2</t>
  </si>
  <si>
    <t>P451</t>
  </si>
  <si>
    <t>CICM-C22-092-0-014-3</t>
  </si>
  <si>
    <t>P453</t>
  </si>
  <si>
    <t>CICM-N12-096-0-014-2</t>
  </si>
  <si>
    <t>P454</t>
  </si>
  <si>
    <t>CICM-N12-096-0-014-3</t>
  </si>
  <si>
    <t>P456</t>
  </si>
  <si>
    <t>CICM-N21-097-0-014-2</t>
  </si>
  <si>
    <t>P457</t>
  </si>
  <si>
    <t>CICM-N21-097-0-014-3</t>
  </si>
  <si>
    <t>P459</t>
  </si>
  <si>
    <t>CICM-N11-098-0-017-2</t>
  </si>
  <si>
    <t>P460</t>
  </si>
  <si>
    <t>CICM-N11-098-0-017-3</t>
  </si>
  <si>
    <t>P462</t>
  </si>
  <si>
    <t>CICM-N23-100-0-017-2</t>
  </si>
  <si>
    <t>P463</t>
  </si>
  <si>
    <t>CICM-N23-100-0-017-3</t>
  </si>
  <si>
    <t>P465</t>
  </si>
  <si>
    <t>CICM-N31-101-0-104-2</t>
  </si>
  <si>
    <t>P466</t>
  </si>
  <si>
    <t>CICM-N31-101-0-104-3</t>
  </si>
  <si>
    <t>P468</t>
  </si>
  <si>
    <t>CICM-N34-102-0-014-2</t>
  </si>
  <si>
    <t>P469</t>
  </si>
  <si>
    <t>CICM-N34-102-0-014-3</t>
  </si>
  <si>
    <t>P471</t>
  </si>
  <si>
    <t>CICM-N12-103-0-014-2</t>
  </si>
  <si>
    <t>P472</t>
  </si>
  <si>
    <t>CICM-N12-103-0-014-3</t>
  </si>
  <si>
    <t>P474</t>
  </si>
  <si>
    <t>CICM-N21-104-0-014-2</t>
  </si>
  <si>
    <t>P475</t>
  </si>
  <si>
    <t>CICM-N21-104-0-014-3</t>
  </si>
  <si>
    <t>P477</t>
  </si>
  <si>
    <t>CICM-C21-106-2-014-2</t>
  </si>
  <si>
    <t>P478</t>
  </si>
  <si>
    <t>CICM-C21-106-2-014-3</t>
  </si>
  <si>
    <t>P480</t>
  </si>
  <si>
    <t>CICM-C13-108-2-017-2</t>
  </si>
  <si>
    <t>P481</t>
  </si>
  <si>
    <t>CICM-C13-108-2-017-3</t>
  </si>
  <si>
    <t>P483</t>
  </si>
  <si>
    <t>CICM-C14-109-2-017-2</t>
  </si>
  <si>
    <t>P484</t>
  </si>
  <si>
    <t>CICM-C14-109-2-017-3</t>
  </si>
  <si>
    <t>P486</t>
  </si>
  <si>
    <t>CICM-C21-110-2-017-2</t>
  </si>
  <si>
    <t>P487</t>
  </si>
  <si>
    <t>CICM-C21-110-2-017-3</t>
  </si>
  <si>
    <t>P489</t>
  </si>
  <si>
    <t>CICM-N12-112-0-014-2</t>
  </si>
  <si>
    <t>P490</t>
  </si>
  <si>
    <t>CICM-N12-112-0-014-3</t>
  </si>
  <si>
    <t>P492</t>
  </si>
  <si>
    <t>CICM-N21-114-0-014-2</t>
  </si>
  <si>
    <t>P493</t>
  </si>
  <si>
    <t>CICM-N21-114-0-014-3</t>
  </si>
  <si>
    <t>P495</t>
  </si>
  <si>
    <t>CICM-N36-115-0-014-2</t>
  </si>
  <si>
    <t>P496</t>
  </si>
  <si>
    <t>CICM-N36-115-0-014-3</t>
  </si>
  <si>
    <t>P498</t>
  </si>
  <si>
    <t>CICM-T11-116-0-014-2</t>
  </si>
  <si>
    <t>P499</t>
  </si>
  <si>
    <t>CICM-T11-116-0-014-3</t>
  </si>
  <si>
    <t>P501</t>
  </si>
  <si>
    <t>CICM-T21-117-0-014-2</t>
  </si>
  <si>
    <t>P502</t>
  </si>
  <si>
    <t>CICM-T21-117-0-014-3</t>
  </si>
  <si>
    <t>P504</t>
  </si>
  <si>
    <t>CICM-T23-118-0-014-2</t>
  </si>
  <si>
    <t>P505</t>
  </si>
  <si>
    <t>CICM-T23-118-0-014-3</t>
  </si>
  <si>
    <t>P507</t>
  </si>
  <si>
    <t>CICM-T11-119-0-014-2</t>
  </si>
  <si>
    <t>P508</t>
  </si>
  <si>
    <t>CICM-T11-119-0-014-3</t>
  </si>
  <si>
    <t>P510</t>
  </si>
  <si>
    <t>CICM-T21-120-0-014-2</t>
  </si>
  <si>
    <t>P511</t>
  </si>
  <si>
    <t>CICM-T21-120-0-014-3</t>
  </si>
  <si>
    <t>P513</t>
  </si>
  <si>
    <t>CICM-T32-121-2-017-2</t>
  </si>
  <si>
    <t>P514</t>
  </si>
  <si>
    <t>CICM-T32-121-2-017-3</t>
  </si>
  <si>
    <t>P516</t>
  </si>
  <si>
    <t>CICM-T13-122-0-105-2</t>
  </si>
  <si>
    <t>P517</t>
  </si>
  <si>
    <t>CICM-T13-122-0-105-3</t>
  </si>
  <si>
    <t>P519</t>
  </si>
  <si>
    <t>CICM-T21-123-0-014-2</t>
  </si>
  <si>
    <t>P520</t>
  </si>
  <si>
    <t>CICM-T21-123-0-014-3</t>
  </si>
  <si>
    <t>P522</t>
  </si>
  <si>
    <t>CICM-T11-124-0-014-2</t>
  </si>
  <si>
    <t>P523</t>
  </si>
  <si>
    <t>CICM-T11-124-0-014-3</t>
  </si>
  <si>
    <t>P525</t>
  </si>
  <si>
    <t>CICM-T21-125-0-014-2</t>
  </si>
  <si>
    <t>P526</t>
  </si>
  <si>
    <t>CICM-T21-125-0-014-3</t>
  </si>
  <si>
    <t>P528</t>
  </si>
  <si>
    <t>CICM-T23-126-0-017-2</t>
  </si>
  <si>
    <t>P529</t>
  </si>
  <si>
    <t>CICM-T23-126-0-017-3</t>
  </si>
  <si>
    <t>P531</t>
  </si>
  <si>
    <t>CICM-T21-128-0-014-2</t>
  </si>
  <si>
    <t>P532</t>
  </si>
  <si>
    <t>CICM-T21-128-0-014-3</t>
  </si>
  <si>
    <t>P534</t>
  </si>
  <si>
    <t>CICM-T35-129-0-017-2</t>
  </si>
  <si>
    <t>P535</t>
  </si>
  <si>
    <t>CICM-T35-129-0-017-3</t>
  </si>
  <si>
    <t>P537</t>
  </si>
  <si>
    <t>CICM-T11-130-2-014-2</t>
  </si>
  <si>
    <t>P538</t>
  </si>
  <si>
    <t>CICM-T11-130-2-014-3</t>
  </si>
  <si>
    <t>P540</t>
  </si>
  <si>
    <t>CICM-T14-133-0-014-2</t>
  </si>
  <si>
    <t>P541</t>
  </si>
  <si>
    <t>CICM-T14-133-0-014-3</t>
  </si>
  <si>
    <t>P543</t>
  </si>
  <si>
    <t>CICM-T15-134-0-014-2</t>
  </si>
  <si>
    <t>P544</t>
  </si>
  <si>
    <t>CICM-T15-134-0-014-3</t>
  </si>
  <si>
    <t>P546</t>
  </si>
  <si>
    <t>CICM-T21-135-0-104-2</t>
  </si>
  <si>
    <t>P547</t>
  </si>
  <si>
    <t>CICM-T21-135-0-104-3</t>
  </si>
  <si>
    <t>P549</t>
  </si>
  <si>
    <t>CICM-T31-138-2-014-2</t>
  </si>
  <si>
    <t>P550</t>
  </si>
  <si>
    <t>CICM-T31-138-2-014-3</t>
  </si>
  <si>
    <t>P552</t>
  </si>
  <si>
    <t>CICM-T34-139-0-014-2</t>
  </si>
  <si>
    <t>P553</t>
  </si>
  <si>
    <t>CICM-T34-139-0-014-3</t>
  </si>
  <si>
    <t>P555</t>
  </si>
  <si>
    <t>CICM-C11-140-0-014-2</t>
  </si>
  <si>
    <t>P556</t>
  </si>
  <si>
    <t>CICM-C11-140-0-014-3</t>
  </si>
  <si>
    <t>P558</t>
  </si>
  <si>
    <t>CICM-C13-141-2-014-2</t>
  </si>
  <si>
    <t>P559</t>
  </si>
  <si>
    <t>CICM-C13-141-2-014-3</t>
  </si>
  <si>
    <t>P561</t>
  </si>
  <si>
    <t>CICM-C21-142-2-014-2</t>
  </si>
  <si>
    <t>P562</t>
  </si>
  <si>
    <t>CICM-C21-142-2-014-3</t>
  </si>
  <si>
    <t>P564</t>
  </si>
  <si>
    <t>CICM-T11-143-0-014-2</t>
  </si>
  <si>
    <t>P565</t>
  </si>
  <si>
    <t>CICM-T11-143-0-014-3</t>
  </si>
  <si>
    <t>P567</t>
  </si>
  <si>
    <t>CICM-T12-144-0-017-2</t>
  </si>
  <si>
    <t>P568</t>
  </si>
  <si>
    <t>CICM-T12-144-0-017-3</t>
  </si>
  <si>
    <t>P570</t>
  </si>
  <si>
    <t>CICM-T21-145-0-014-2</t>
  </si>
  <si>
    <t>P571</t>
  </si>
  <si>
    <t>CICM-T21-145-0-014-3</t>
  </si>
  <si>
    <t>P573</t>
  </si>
  <si>
    <t>CICM-T11-146-0-014-2</t>
  </si>
  <si>
    <t>P574</t>
  </si>
  <si>
    <t>CICM-T11-146-0-014-3</t>
  </si>
  <si>
    <t>P576</t>
  </si>
  <si>
    <t>CICM-T12-147-0-014-2</t>
  </si>
  <si>
    <t>P577</t>
  </si>
  <si>
    <t>CICM-T12-147-0-014-3</t>
  </si>
  <si>
    <t>P579</t>
  </si>
  <si>
    <t>CICM-T21-148-0-104-2</t>
  </si>
  <si>
    <t>P580</t>
  </si>
  <si>
    <t>CICM-T21-148-0-104-3</t>
  </si>
  <si>
    <t>P582</t>
  </si>
  <si>
    <t>CICM-T212-149-0-104-2</t>
  </si>
  <si>
    <t>P583</t>
  </si>
  <si>
    <t>CICM-T212-149-0-104-3</t>
  </si>
  <si>
    <t>P585</t>
  </si>
  <si>
    <t>CICM-T23-150-2-017-2</t>
  </si>
  <si>
    <t>P586</t>
  </si>
  <si>
    <t>CICM-T23-150-2-017-3</t>
  </si>
  <si>
    <t>CICM-T12-151-0-014-1</t>
  </si>
  <si>
    <t>P588</t>
  </si>
  <si>
    <t>CICM-T12-151-0-014-2</t>
  </si>
  <si>
    <t>P589</t>
  </si>
  <si>
    <t>CICM-T12-151-0-014-3</t>
  </si>
  <si>
    <t>CICM-T21-152-0-017-1</t>
  </si>
  <si>
    <t>P591</t>
  </si>
  <si>
    <t>CICM-T21-152-0-017-2</t>
  </si>
  <si>
    <t>P592</t>
  </si>
  <si>
    <t>CICM-T21-152-0-017-3</t>
  </si>
  <si>
    <t>CICM-T36-153-0-017-1</t>
  </si>
  <si>
    <t>P594</t>
  </si>
  <si>
    <t>CICM-T36-153-0-017-2</t>
  </si>
  <si>
    <t>P595</t>
  </si>
  <si>
    <t>CICM-T36-153-0-017-3</t>
  </si>
  <si>
    <t>P597</t>
  </si>
  <si>
    <t>CICM-C11-154-0-014-2</t>
  </si>
  <si>
    <t>P598</t>
  </si>
  <si>
    <t>CICM-C11-154-0-014-3</t>
  </si>
  <si>
    <t>P600</t>
  </si>
  <si>
    <t>CICM-C21-155-0-104-2</t>
  </si>
  <si>
    <t>P601</t>
  </si>
  <si>
    <t>CICM-C21-155-0-104-3</t>
  </si>
  <si>
    <t>P603</t>
  </si>
  <si>
    <t>CICM-C11-156-0-014-2</t>
  </si>
  <si>
    <t>P604</t>
  </si>
  <si>
    <t>CICM-C11-156-0-014-3</t>
  </si>
  <si>
    <t>P606</t>
  </si>
  <si>
    <t>CICM-C21-157-2-014-2</t>
  </si>
  <si>
    <t>P607</t>
  </si>
  <si>
    <t>CICM-C21-157-2-014-3</t>
  </si>
  <si>
    <t>P609</t>
  </si>
  <si>
    <t>CICM-C23-158-0-014-2</t>
  </si>
  <si>
    <t>P610</t>
  </si>
  <si>
    <t>CICM-C23-158-0-014-3</t>
  </si>
  <si>
    <t>P612</t>
  </si>
  <si>
    <t>CICM-T11-159-0-014-2</t>
  </si>
  <si>
    <t>P613</t>
  </si>
  <si>
    <t>CICM-T11-159-0-014-3</t>
  </si>
  <si>
    <t>P615</t>
  </si>
  <si>
    <t>CICM-T12-160-0-014-2</t>
  </si>
  <si>
    <t>P616</t>
  </si>
  <si>
    <t>CICM-T12-160-0-014-3</t>
  </si>
  <si>
    <t>P618</t>
  </si>
  <si>
    <t>CICM-T13-161-0-014-2</t>
  </si>
  <si>
    <t>P619</t>
  </si>
  <si>
    <t>CICM-T13-161-0-014-3</t>
  </si>
  <si>
    <t>P621</t>
  </si>
  <si>
    <t>CICM-C11-162-0-017-2</t>
  </si>
  <si>
    <t>P622</t>
  </si>
  <si>
    <t>CICM-C11-162-0-017-3</t>
  </si>
  <si>
    <t>P624</t>
  </si>
  <si>
    <t>CICM-C21-163-0-014-2</t>
  </si>
  <si>
    <t>P625</t>
  </si>
  <si>
    <t>CICM-C21-163-0-014-3</t>
  </si>
  <si>
    <t>P627</t>
  </si>
  <si>
    <t>CICM-C23-164-2-017-2</t>
  </si>
  <si>
    <t>P628</t>
  </si>
  <si>
    <t>CICM-C23-164-2-017-3</t>
  </si>
  <si>
    <t>P630</t>
  </si>
  <si>
    <t>CICM-T12-165-0-014-2</t>
  </si>
  <si>
    <t>P631</t>
  </si>
  <si>
    <t>CICM-T12-165-0-014-3</t>
  </si>
  <si>
    <t>P633</t>
  </si>
  <si>
    <t>CICM-T13-166-0-014-2</t>
  </si>
  <si>
    <t>P634</t>
  </si>
  <si>
    <t>CICM-T13-166-0-014-3</t>
  </si>
  <si>
    <t>P636</t>
  </si>
  <si>
    <t>CICM-T21-167-0-014-2</t>
  </si>
  <si>
    <t>P637</t>
  </si>
  <si>
    <t>CICM-T21-167-0-014-3</t>
  </si>
  <si>
    <t>P639</t>
  </si>
  <si>
    <t>CICM-N14-168-0-107-2</t>
  </si>
  <si>
    <t>P640</t>
  </si>
  <si>
    <t>CICM-N14-168-0-107-3</t>
  </si>
  <si>
    <t>P642</t>
  </si>
  <si>
    <t>CICM-N21-169-0-104-2</t>
  </si>
  <si>
    <t>P643</t>
  </si>
  <si>
    <t>CICM-N21-169-0-104-3</t>
  </si>
  <si>
    <t>P645</t>
  </si>
  <si>
    <t>CICM-N32-170-0-017-2</t>
  </si>
  <si>
    <t>P646</t>
  </si>
  <si>
    <t>CICM-N32-170-0-017-3</t>
  </si>
  <si>
    <t>P648</t>
  </si>
  <si>
    <t>CICM-N12-171-0-014-2</t>
  </si>
  <si>
    <t>P649</t>
  </si>
  <si>
    <t>CICM-N12-171-0-014-3</t>
  </si>
  <si>
    <t>P651</t>
  </si>
  <si>
    <t>CICM-N21-172-0-014-2</t>
  </si>
  <si>
    <t>P652</t>
  </si>
  <si>
    <t>CICM-N21-172-0-014-3</t>
  </si>
  <si>
    <t>P654</t>
  </si>
  <si>
    <t>CICM-N23-173-0-017-2</t>
  </si>
  <si>
    <t>P655</t>
  </si>
  <si>
    <t>CICM-N23-173-0-017-3</t>
  </si>
  <si>
    <t>P657</t>
  </si>
  <si>
    <t>CICM-N11-174-0-014-2</t>
  </si>
  <si>
    <t>P660</t>
  </si>
  <si>
    <t>CICM-C12-177-0-014-2</t>
  </si>
  <si>
    <t>P661</t>
  </si>
  <si>
    <t>CICM-C12-177-0-014-3</t>
  </si>
  <si>
    <t>P663</t>
  </si>
  <si>
    <t>CICM-C21-178-0-014-2</t>
  </si>
  <si>
    <t>P664</t>
  </si>
  <si>
    <t>CICM-C21-178-0-014-3</t>
  </si>
  <si>
    <t>P666</t>
  </si>
  <si>
    <t>CICM-C34-179-0-014-2</t>
  </si>
  <si>
    <t>P667</t>
  </si>
  <si>
    <t>CICM-C34-179-0-014-3</t>
  </si>
  <si>
    <t>P669</t>
  </si>
  <si>
    <t>CICM-C11-180-0-014-2</t>
  </si>
  <si>
    <t>P670</t>
  </si>
  <si>
    <t>P672</t>
  </si>
  <si>
    <t>CICM-C14-181-2-014-2</t>
  </si>
  <si>
    <t>P673</t>
  </si>
  <si>
    <t>CICM-C14-181-2-014-3</t>
  </si>
  <si>
    <t>P675</t>
  </si>
  <si>
    <t>CICM-C21-182-0-104-2</t>
  </si>
  <si>
    <t>P676</t>
  </si>
  <si>
    <t>CICM-C21-182-0-104-3</t>
  </si>
  <si>
    <t>P678</t>
  </si>
  <si>
    <t>CICM-N11-184-0-014-2</t>
  </si>
  <si>
    <t>P679</t>
  </si>
  <si>
    <t>CICM-N11-184-0-014-3</t>
  </si>
  <si>
    <t>P681</t>
  </si>
  <si>
    <t>CICM-N21-185-0-014-2</t>
  </si>
  <si>
    <t>P682</t>
  </si>
  <si>
    <t>CICM-N21-185-0-014-3</t>
  </si>
  <si>
    <t>P684</t>
  </si>
  <si>
    <t>CICM-N35-186-0-014-2</t>
  </si>
  <si>
    <t>P685</t>
  </si>
  <si>
    <t>CICM-N35-186-0-014-3</t>
  </si>
  <si>
    <t>P687</t>
  </si>
  <si>
    <t>CICM-N12-187-2-014-2</t>
  </si>
  <si>
    <t>P688</t>
  </si>
  <si>
    <t>CICM-N12-187-2-014-3</t>
  </si>
  <si>
    <t>P690</t>
  </si>
  <si>
    <t>CICM-N11-189-0-017-2</t>
  </si>
  <si>
    <t>P691</t>
  </si>
  <si>
    <t>CICM-N11-189-0-017-3</t>
  </si>
  <si>
    <t>P693</t>
  </si>
  <si>
    <t>CICM-N23-191-0-017-2</t>
  </si>
  <si>
    <t>P694</t>
  </si>
  <si>
    <t>CICM-N23-191-0-017-3</t>
  </si>
  <si>
    <t>P696</t>
  </si>
  <si>
    <t>CICM-N32-192-0-014-2</t>
  </si>
  <si>
    <t>P697</t>
  </si>
  <si>
    <t>CICM-N32-192-0-014-3</t>
  </si>
  <si>
    <t>P699</t>
  </si>
  <si>
    <t>CICM-N11-193-2-014-2</t>
  </si>
  <si>
    <t>P700</t>
  </si>
  <si>
    <t>CICM-N11-193-2-014-3</t>
  </si>
  <si>
    <t>P702</t>
  </si>
  <si>
    <t>CICM-N21-194-0-014-2</t>
  </si>
  <si>
    <t>P703</t>
  </si>
  <si>
    <t>CICM-N21-194-0-014-3</t>
  </si>
  <si>
    <t>P705</t>
  </si>
  <si>
    <t>CICM-N11-195-0-014-2</t>
  </si>
  <si>
    <t>P706</t>
  </si>
  <si>
    <t>CICM-N11-195-0-014-3</t>
  </si>
  <si>
    <t>P708</t>
  </si>
  <si>
    <t>CICM-N21-199-0-017-2</t>
  </si>
  <si>
    <t>P709</t>
  </si>
  <si>
    <t>CICM-N21-199-0-017-3</t>
  </si>
  <si>
    <t>P711</t>
  </si>
  <si>
    <t>CICM-N36-200-0-017-2</t>
  </si>
  <si>
    <t>P712</t>
  </si>
  <si>
    <t>CICM-N36-200-0-017-3</t>
  </si>
  <si>
    <t>P714</t>
  </si>
  <si>
    <t>CICM-N11-201-0-014-2</t>
  </si>
  <si>
    <t>P715</t>
  </si>
  <si>
    <t>CICM-N11-201-0-014-3</t>
  </si>
  <si>
    <t>P717</t>
  </si>
  <si>
    <t>CICM-N21-203-0-017-2</t>
  </si>
  <si>
    <t>P718</t>
  </si>
  <si>
    <t>CICM-N21-203-0-017-3</t>
  </si>
  <si>
    <t>P720</t>
  </si>
  <si>
    <t>CICM-N21-205-0-104-2</t>
  </si>
  <si>
    <t>P721</t>
  </si>
  <si>
    <t>CICM-N21-205-0-104-3</t>
  </si>
  <si>
    <t>P723</t>
  </si>
  <si>
    <t>CICM-N23-206-0-014-2</t>
  </si>
  <si>
    <t>P724</t>
  </si>
  <si>
    <t>CICM-N23-206-0-014-3</t>
  </si>
  <si>
    <t>P726</t>
  </si>
  <si>
    <t>CICM-T11-207-2-014-2</t>
  </si>
  <si>
    <t>P727</t>
  </si>
  <si>
    <t>CICM-T11-207-2-014-3</t>
  </si>
  <si>
    <t>P729</t>
  </si>
  <si>
    <t>CICM-T12-208-0-014-2</t>
  </si>
  <si>
    <t>P730</t>
  </si>
  <si>
    <t>CICM-T12-208-0-014-3</t>
  </si>
  <si>
    <t>P732</t>
  </si>
  <si>
    <t>CICM-T13-209-0-014-2</t>
  </si>
  <si>
    <t>P733</t>
  </si>
  <si>
    <t>CICM-T13-209-0-014-3</t>
  </si>
  <si>
    <t>P735</t>
  </si>
  <si>
    <t>CICM-T21-210-0-014-2</t>
  </si>
  <si>
    <t>P736</t>
  </si>
  <si>
    <t>CICM-T21-210-0-014-3</t>
  </si>
  <si>
    <t>P738</t>
  </si>
  <si>
    <t>CICM-T35-211-0-014-2</t>
  </si>
  <si>
    <t>P739</t>
  </si>
  <si>
    <t>CICM-T35-211-0-014-3</t>
  </si>
  <si>
    <t>P741</t>
  </si>
  <si>
    <t>CICM-T12-212-0-014-2</t>
  </si>
  <si>
    <t>P742</t>
  </si>
  <si>
    <t>CICM-T12-212-0-014-3</t>
  </si>
  <si>
    <t>P744</t>
  </si>
  <si>
    <t>CICM-T13-213-0-017-2</t>
  </si>
  <si>
    <t>P745</t>
  </si>
  <si>
    <t>CICM-T13-213-0-017-3</t>
  </si>
  <si>
    <t>P747</t>
  </si>
  <si>
    <t>CICM-T21-214-0-017-2</t>
  </si>
  <si>
    <t>P748</t>
  </si>
  <si>
    <t>CICM-T21-214-0-017-3</t>
  </si>
  <si>
    <t>P750</t>
  </si>
  <si>
    <t>CICM-C11-216-2-017-2</t>
  </si>
  <si>
    <t>P751</t>
  </si>
  <si>
    <t>CICM-C11-216-2-017-3</t>
  </si>
  <si>
    <t>P753</t>
  </si>
  <si>
    <t>CICM-C12-217-2-014-2</t>
  </si>
  <si>
    <t>P754</t>
  </si>
  <si>
    <t>CICM-C12-217-2-014-3</t>
  </si>
  <si>
    <t>P755</t>
  </si>
  <si>
    <t>CICM-AP11-219-0-014-1</t>
  </si>
  <si>
    <t>P756</t>
  </si>
  <si>
    <t>CICM-AP11-219-0-014-2</t>
  </si>
  <si>
    <t>P757</t>
  </si>
  <si>
    <t>CICM-AP11-219-0-014-3</t>
  </si>
  <si>
    <t>P758</t>
  </si>
  <si>
    <t>CICM-AP21-220-0-014-1</t>
  </si>
  <si>
    <t>P759</t>
  </si>
  <si>
    <t>CICM-AP21-220-0-014-2</t>
  </si>
  <si>
    <t>P760</t>
  </si>
  <si>
    <t>CICM-AP21-220-0-014-3</t>
  </si>
  <si>
    <t>P761</t>
  </si>
  <si>
    <t>CICM-AP23-221-0-014-1</t>
  </si>
  <si>
    <t>P762</t>
  </si>
  <si>
    <t>CICM-AP23-221-0-014-2</t>
  </si>
  <si>
    <t>P763</t>
  </si>
  <si>
    <t>CICM-AP23-221-0-014-3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</si>
</sst>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"/>
    <numFmt numFmtId="166" formatCode="mm/dd/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4472C4"/>
      <name val="Calibri"/>
    </font>
    <font>
      <b/>
      <sz val="11.0"/>
      <color theme="1"/>
      <name val="Calibri"/>
    </font>
    <font>
      <b/>
      <i/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FFFFFF"/>
      <name val="Calibri"/>
    </font>
    <font>
      <i/>
      <sz val="11.0"/>
      <color rgb="FFFFFFFF"/>
      <name val="Calibri"/>
    </font>
    <font>
      <i/>
      <sz val="11.0"/>
      <color rgb="FF000000"/>
      <name val="Calibri"/>
    </font>
    <font>
      <i/>
      <sz val="11.0"/>
      <color theme="1"/>
      <name val="Calibri"/>
    </font>
    <font>
      <sz val="12.0"/>
      <color rgb="FF000000"/>
      <name val="Calibri"/>
    </font>
    <font>
      <b/>
      <sz val="11.0"/>
      <color rgb="FFFFFFFF"/>
      <name val="Calibri"/>
    </font>
    <font>
      <color rgb="FF000000"/>
      <name val="Arial"/>
      <scheme val="minor"/>
    </font>
    <font>
      <i/>
      <sz val="11.0"/>
      <color theme="1"/>
      <name val="Arial"/>
      <scheme val="minor"/>
    </font>
    <font>
      <i/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073763"/>
        <bgColor rgb="FF073763"/>
      </patternFill>
    </fill>
    <fill>
      <patternFill patternType="solid">
        <fgColor rgb="FFE06666"/>
        <bgColor rgb="FFE06666"/>
      </patternFill>
    </fill>
    <fill>
      <patternFill patternType="solid">
        <fgColor rgb="FF20124D"/>
        <bgColor rgb="FF20124D"/>
      </patternFill>
    </fill>
    <fill>
      <patternFill patternType="solid">
        <fgColor rgb="FF45818E"/>
        <bgColor rgb="FF45818E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D5A6BD"/>
        <bgColor rgb="FFD5A6BD"/>
      </patternFill>
    </fill>
    <fill>
      <patternFill patternType="solid">
        <fgColor rgb="FF660000"/>
        <bgColor rgb="FF660000"/>
      </patternFill>
    </fill>
    <fill>
      <patternFill patternType="solid">
        <fgColor rgb="FFFBBC04"/>
        <bgColor rgb="FFFBBC04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  <fill>
      <patternFill patternType="solid">
        <fgColor rgb="FF134F5C"/>
        <bgColor rgb="FF134F5C"/>
      </patternFill>
    </fill>
    <fill>
      <patternFill patternType="solid">
        <fgColor rgb="FFFFD966"/>
        <bgColor rgb="FFFFD966"/>
      </patternFill>
    </fill>
    <fill>
      <patternFill patternType="solid">
        <fgColor rgb="FF274E13"/>
        <bgColor rgb="FF274E13"/>
      </patternFill>
    </fill>
    <fill>
      <patternFill patternType="solid">
        <fgColor rgb="FF76A5AF"/>
        <bgColor rgb="FF76A5AF"/>
      </patternFill>
    </fill>
  </fills>
  <borders count="3">
    <border/>
    <border>
      <left/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center"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3" fontId="6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left" vertical="bottom"/>
    </xf>
    <xf borderId="0" fillId="8" fontId="8" numFmtId="0" xfId="0" applyAlignment="1" applyFill="1" applyFont="1">
      <alignment readingOrder="0" shrinkToFit="0" vertical="bottom" wrapText="0"/>
    </xf>
    <xf borderId="0" fillId="9" fontId="9" numFmtId="0" xfId="0" applyAlignment="1" applyFill="1" applyFont="1">
      <alignment vertical="bottom"/>
    </xf>
    <xf borderId="0" fillId="8" fontId="8" numFmtId="0" xfId="0" applyAlignment="1" applyFill="1" applyFont="1">
      <alignment horizontal="right" readingOrder="0" shrinkToFit="0" vertical="bottom" wrapText="0"/>
    </xf>
    <xf borderId="0" fillId="10" fontId="8" numFmtId="0" xfId="0" applyAlignment="1" applyFill="1" applyFont="1">
      <alignment horizontal="left" readingOrder="0" vertical="bottom"/>
    </xf>
    <xf borderId="0" fillId="11" fontId="8" numFmtId="0" xfId="0" applyAlignment="1" applyFill="1" applyFont="1">
      <alignment vertical="top"/>
    </xf>
    <xf borderId="0" fillId="2" fontId="7" numFmtId="0" xfId="0" applyAlignment="1" applyFill="1" applyFont="1">
      <alignment horizontal="center" vertical="bottom"/>
    </xf>
    <xf borderId="0" fillId="2" fontId="10" numFmtId="0" xfId="0" applyAlignment="1" applyFill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12" fontId="1" numFmtId="0" xfId="0" applyAlignment="1" applyFill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13" fontId="1" numFmtId="0" xfId="0" applyAlignment="1" applyFill="1" applyFont="1">
      <alignment horizontal="center" readingOrder="0" shrinkToFit="0" vertical="bottom" wrapText="0"/>
    </xf>
    <xf borderId="0" fillId="2" fontId="7" numFmtId="0" xfId="0" applyAlignment="1" applyFill="1" applyFont="1">
      <alignment horizontal="center" vertical="bottom"/>
    </xf>
    <xf borderId="0" fillId="4" fontId="7" numFmtId="0" xfId="0" applyAlignment="1" applyFill="1" applyFont="1">
      <alignment horizontal="center" vertical="bottom"/>
    </xf>
    <xf borderId="0" fillId="0" fontId="1" numFmtId="0" xfId="0" applyAlignment="1" applyFont="1">
      <alignment horizontal="center" shrinkToFit="0" vertical="bottom" wrapText="0"/>
    </xf>
    <xf borderId="0" fillId="13" fontId="1" numFmtId="164" xfId="0" applyAlignment="1" applyFill="1" applyFont="1" applyNumberFormat="1">
      <alignment horizontal="center" readingOrder="0" shrinkToFit="0" vertical="bottom" wrapText="0"/>
    </xf>
    <xf borderId="0" fillId="5" fontId="7" numFmtId="0" xfId="0" applyAlignment="1" applyFill="1" applyFont="1">
      <alignment horizontal="center" vertical="bottom"/>
    </xf>
    <xf borderId="0" fillId="6" fontId="7" numFmtId="0" xfId="0" applyAlignment="1" applyFill="1" applyFont="1">
      <alignment horizontal="center" vertical="bottom"/>
    </xf>
    <xf borderId="0" fillId="13" fontId="1" numFmtId="0" xfId="0" applyAlignment="1" applyFill="1" applyFont="1">
      <alignment horizontal="center" shrinkToFit="0" vertical="bottom" wrapText="0"/>
    </xf>
    <xf borderId="0" fillId="5" fontId="7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0" fillId="14" fontId="9" numFmtId="0" xfId="0" applyAlignment="1" applyFill="1" applyFont="1">
      <alignment vertical="bottom"/>
    </xf>
    <xf borderId="0" fillId="11" fontId="8" numFmtId="0" xfId="0" applyAlignment="1" applyFill="1" applyFont="1">
      <alignment vertical="bottom"/>
    </xf>
    <xf borderId="0" fillId="15" fontId="1" numFmtId="0" xfId="0" applyAlignment="1" applyFill="1" applyFont="1">
      <alignment horizontal="center" readingOrder="0" shrinkToFit="0" vertical="bottom" wrapText="0"/>
    </xf>
    <xf borderId="0" fillId="2" fontId="11" numFmtId="0" xfId="0" applyAlignment="1" applyFill="1" applyFont="1">
      <alignment horizontal="center" vertical="bottom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vertical="bottom"/>
    </xf>
    <xf borderId="0" fillId="10" fontId="8" numFmtId="0" xfId="0" applyAlignment="1" applyFill="1" applyFont="1">
      <alignment horizontal="left" vertical="bottom"/>
    </xf>
    <xf borderId="0" fillId="4" fontId="7" numFmtId="0" xfId="0" applyAlignment="1" applyFill="1" applyFont="1">
      <alignment horizontal="center" vertical="bottom"/>
    </xf>
    <xf borderId="0" fillId="6" fontId="7" numFmtId="0" xfId="0" applyAlignment="1" applyFill="1" applyFont="1">
      <alignment horizontal="center" vertical="bottom"/>
    </xf>
    <xf borderId="0" fillId="16" fontId="8" numFmtId="0" xfId="0" applyAlignment="1" applyFill="1" applyFont="1">
      <alignment readingOrder="0" shrinkToFit="0" vertical="bottom" wrapText="0"/>
    </xf>
    <xf borderId="0" fillId="17" fontId="9" numFmtId="0" xfId="0" applyAlignment="1" applyFill="1" applyFont="1">
      <alignment vertical="bottom"/>
    </xf>
    <xf borderId="0" fillId="16" fontId="8" numFmtId="0" xfId="0" applyAlignment="1" applyFill="1" applyFont="1">
      <alignment horizontal="right" readingOrder="0" shrinkToFit="0" vertical="bottom" wrapText="0"/>
    </xf>
    <xf borderId="0" fillId="0" fontId="1" numFmtId="166" xfId="0" applyAlignment="1" applyFont="1" applyNumberFormat="1">
      <alignment horizontal="center" readingOrder="0" shrinkToFit="0" vertical="bottom" wrapText="0"/>
    </xf>
    <xf borderId="0" fillId="18" fontId="9" numFmtId="0" xfId="0" applyAlignment="1" applyFill="1" applyFont="1">
      <alignment vertical="bottom"/>
    </xf>
    <xf borderId="0" fillId="19" fontId="11" numFmtId="0" xfId="0" applyAlignment="1" applyFill="1" applyFont="1">
      <alignment vertical="bottom"/>
    </xf>
    <xf borderId="0" fillId="20" fontId="9" numFmtId="0" xfId="0" applyAlignment="1" applyFill="1" applyFont="1">
      <alignment vertical="bottom"/>
    </xf>
    <xf borderId="0" fillId="21" fontId="11" numFmtId="0" xfId="0" applyAlignment="1" applyFill="1" applyFont="1">
      <alignment vertical="bottom"/>
    </xf>
    <xf borderId="0" fillId="22" fontId="9" numFmtId="0" xfId="0" applyAlignment="1" applyFill="1" applyFont="1">
      <alignment vertical="bottom"/>
    </xf>
    <xf borderId="0" fillId="13" fontId="1" numFmtId="0" xfId="0" applyAlignment="1" applyFill="1" applyFont="1">
      <alignment horizontal="center" shrinkToFit="0" vertical="bottom" wrapText="0"/>
    </xf>
    <xf borderId="0" fillId="11" fontId="9" numFmtId="0" xfId="0" applyAlignment="1" applyFill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10" fontId="8" numFmtId="0" xfId="0" applyAlignment="1" applyFill="1" applyFont="1">
      <alignment horizontal="left" readingOrder="0" shrinkToFit="0" vertical="bottom" wrapText="0"/>
    </xf>
    <xf borderId="0" fillId="4" fontId="1" numFmtId="0" xfId="0" applyAlignment="1" applyFill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shrinkToFit="0" vertical="bottom" wrapText="0"/>
    </xf>
    <xf borderId="0" fillId="13" fontId="12" numFmtId="0" xfId="0" applyAlignment="1" applyFill="1" applyFont="1">
      <alignment readingOrder="0" shrinkToFit="0" vertical="bottom" wrapText="0"/>
    </xf>
    <xf borderId="0" fillId="11" fontId="8" numFmtId="0" xfId="0" applyAlignment="1" applyFill="1" applyFont="1">
      <alignment horizontal="left" readingOrder="0" shrinkToFit="0" vertical="top" wrapText="0"/>
    </xf>
    <xf borderId="0" fillId="11" fontId="8" numFmtId="0" xfId="0" applyAlignment="1" applyFill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11" fontId="13" numFmtId="0" xfId="0" applyAlignment="1" applyFill="1" applyFont="1">
      <alignment readingOrder="0" shrinkToFit="0" vertical="bottom" wrapText="0"/>
    </xf>
    <xf borderId="0" fillId="10" fontId="8" numFmtId="0" xfId="0" applyAlignment="1" applyFill="1" applyFont="1">
      <alignment horizontal="center" readingOrder="0" shrinkToFit="0" vertical="bottom" wrapText="0"/>
    </xf>
    <xf borderId="0" fillId="10" fontId="8" numFmtId="0" xfId="0" applyAlignment="1" applyFill="1" applyFont="1">
      <alignment readingOrder="0" shrinkToFit="0" vertical="bottom" wrapText="0"/>
    </xf>
    <xf borderId="0" fillId="10" fontId="8" numFmtId="0" xfId="0" applyAlignment="1" applyFill="1" applyFont="1">
      <alignment horizontal="right" readingOrder="0" shrinkToFit="0" vertical="bottom" wrapText="0"/>
    </xf>
    <xf borderId="0" fillId="0" fontId="14" numFmtId="0" xfId="0" applyFont="1"/>
    <xf borderId="0" fillId="0" fontId="6" numFmtId="0" xfId="0" applyAlignment="1" applyFont="1">
      <alignment horizontal="left"/>
    </xf>
    <xf borderId="1" fillId="10" fontId="8" numFmtId="0" xfId="0" applyAlignment="1" applyBorder="1" applyFill="1" applyFont="1">
      <alignment horizontal="left" readingOrder="0" vertical="bottom"/>
    </xf>
    <xf borderId="1" fillId="11" fontId="8" numFmtId="0" xfId="0" applyAlignment="1" applyBorder="1" applyFill="1" applyFont="1">
      <alignment vertical="top"/>
    </xf>
    <xf borderId="1" fillId="11" fontId="8" numFmtId="0" xfId="0" applyAlignment="1" applyBorder="1" applyFill="1" applyFont="1">
      <alignment vertical="bottom"/>
    </xf>
    <xf borderId="1" fillId="10" fontId="8" numFmtId="0" xfId="0" applyAlignment="1" applyBorder="1" applyFill="1" applyFont="1">
      <alignment horizontal="left" vertical="bottom"/>
    </xf>
    <xf borderId="2" fillId="10" fontId="8" numFmtId="0" xfId="0" applyAlignment="1" applyBorder="1" applyFill="1" applyFont="1">
      <alignment horizontal="left" readingOrder="0" vertical="bottom"/>
    </xf>
    <xf borderId="0" fillId="3" fontId="7" numFmtId="0" xfId="0" applyAlignment="1" applyFill="1" applyFont="1">
      <alignment horizontal="left" vertical="bottom"/>
    </xf>
    <xf borderId="0" fillId="3" fontId="11" numFmtId="0" xfId="0" applyAlignment="1" applyFill="1" applyFont="1">
      <alignment vertical="bottom"/>
    </xf>
    <xf borderId="0" fillId="23" fontId="11" numFmtId="0" xfId="0" applyAlignment="1" applyFill="1" applyFont="1">
      <alignment vertical="bottom"/>
    </xf>
    <xf borderId="1" fillId="3" fontId="8" numFmtId="0" xfId="0" applyAlignment="1" applyBorder="1" applyFill="1" applyFont="1">
      <alignment vertical="bottom"/>
    </xf>
    <xf borderId="0" fillId="0" fontId="10" numFmtId="0" xfId="0" applyAlignment="1" applyFont="1">
      <alignment horizontal="left" readingOrder="0" shrinkToFit="0" vertical="bottom" wrapText="0"/>
    </xf>
    <xf borderId="0" fillId="2" fontId="6" numFmtId="0" xfId="0" applyFill="1" applyFont="1"/>
    <xf borderId="0" fillId="4" fontId="6" numFmtId="0" xfId="0" applyFill="1" applyFont="1"/>
    <xf borderId="0" fillId="5" fontId="6" numFmtId="0" xfId="0" applyFill="1" applyFont="1"/>
    <xf borderId="0" fillId="6" fontId="6" numFmtId="0" xfId="0" applyFill="1" applyFont="1"/>
    <xf borderId="0" fillId="7" fontId="6" numFmtId="0" xfId="0" applyFill="1" applyFont="1"/>
    <xf borderId="0" fillId="0" fontId="15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5"/>
    <col customWidth="1" min="4" max="4" width="16.63"/>
    <col customWidth="1" min="6" max="6" width="19.5"/>
    <col customWidth="1" min="8" max="8" width="20.13"/>
    <col customWidth="1" min="18" max="18" width="25.0"/>
    <col customWidth="1" min="19" max="19" width="15.5"/>
    <col customWidth="1" min="21" max="21" width="16.5"/>
    <col customWidth="1" min="174" max="174" width="19.0"/>
    <col customWidth="1" min="178" max="178" width="17.75"/>
    <col customWidth="1" min="179" max="179" width="19.25"/>
    <col customWidth="1" min="182" max="182" width="18.63"/>
    <col customWidth="1" min="183" max="183" width="21.75"/>
    <col customWidth="1" min="185" max="185" width="20.5"/>
    <col customWidth="1" min="187" max="187" width="17.0"/>
    <col customWidth="1" min="197" max="197" width="23.0"/>
  </cols>
  <sheetData>
    <row r="1">
      <c r="A1" s="1" t="s">
        <v>0</v>
      </c>
      <c r="B1" s="3" t="s">
        <v>2</v>
      </c>
      <c r="C1" s="3" t="s">
        <v>5</v>
      </c>
      <c r="D1" s="1" t="s">
        <v>7</v>
      </c>
      <c r="E1" s="1" t="s">
        <v>9</v>
      </c>
      <c r="F1" s="3" t="s">
        <v>10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23</v>
      </c>
      <c r="Q1" s="3" t="s">
        <v>24</v>
      </c>
      <c r="R1" s="7" t="s">
        <v>25</v>
      </c>
      <c r="S1" s="7" t="s">
        <v>27</v>
      </c>
      <c r="T1" s="1" t="s">
        <v>28</v>
      </c>
      <c r="U1" s="1" t="s">
        <v>30</v>
      </c>
      <c r="V1" s="1" t="s">
        <v>31</v>
      </c>
      <c r="W1" s="1" t="s">
        <v>32</v>
      </c>
      <c r="X1" s="1" t="s">
        <v>35</v>
      </c>
      <c r="Y1" s="1" t="s">
        <v>36</v>
      </c>
      <c r="Z1" s="1" t="s">
        <v>39</v>
      </c>
      <c r="AA1" s="1" t="s">
        <v>40</v>
      </c>
      <c r="AB1" s="1" t="s">
        <v>42</v>
      </c>
      <c r="AC1" s="1" t="s">
        <v>44</v>
      </c>
      <c r="AD1" s="1" t="s">
        <v>45</v>
      </c>
      <c r="AE1" s="1" t="s">
        <v>47</v>
      </c>
      <c r="AF1" s="1" t="s">
        <v>48</v>
      </c>
      <c r="AG1" s="1" t="s">
        <v>51</v>
      </c>
      <c r="AH1" s="1" t="s">
        <v>52</v>
      </c>
      <c r="AI1" s="1" t="s">
        <v>45</v>
      </c>
      <c r="AJ1" s="1" t="s">
        <v>54</v>
      </c>
      <c r="AK1" s="1" t="s">
        <v>55</v>
      </c>
      <c r="AL1" s="1" t="s">
        <v>57</v>
      </c>
      <c r="AM1" s="1" t="s">
        <v>58</v>
      </c>
      <c r="AN1" s="1" t="s">
        <v>60</v>
      </c>
      <c r="AO1" s="1" t="s">
        <v>61</v>
      </c>
      <c r="AP1" s="1" t="s">
        <v>62</v>
      </c>
      <c r="AQ1" s="1" t="s">
        <v>64</v>
      </c>
      <c r="AR1" s="1" t="s">
        <v>66</v>
      </c>
      <c r="AS1" s="1" t="s">
        <v>67</v>
      </c>
      <c r="AT1" s="1" t="s">
        <v>68</v>
      </c>
      <c r="AU1" s="1" t="s">
        <v>70</v>
      </c>
      <c r="AV1" s="1" t="s">
        <v>71</v>
      </c>
      <c r="AW1" s="1" t="s">
        <v>73</v>
      </c>
      <c r="AX1" s="1" t="s">
        <v>74</v>
      </c>
      <c r="AY1" s="1" t="s">
        <v>75</v>
      </c>
      <c r="AZ1" s="1" t="s">
        <v>76</v>
      </c>
      <c r="BA1" s="1" t="s">
        <v>78</v>
      </c>
      <c r="BB1" s="1" t="s">
        <v>79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91</v>
      </c>
      <c r="BM1" s="1" t="s">
        <v>57</v>
      </c>
      <c r="BN1" s="1" t="s">
        <v>58</v>
      </c>
      <c r="BO1" s="1" t="s">
        <v>60</v>
      </c>
      <c r="BP1" s="1" t="s">
        <v>61</v>
      </c>
      <c r="BQ1" s="1" t="s">
        <v>62</v>
      </c>
      <c r="BR1" s="1" t="s">
        <v>94</v>
      </c>
      <c r="BS1" s="1" t="s">
        <v>96</v>
      </c>
      <c r="BT1" s="1" t="s">
        <v>98</v>
      </c>
      <c r="BU1" s="12"/>
      <c r="BV1" s="1" t="s">
        <v>101</v>
      </c>
      <c r="BW1" s="1" t="s">
        <v>103</v>
      </c>
      <c r="BX1" s="1" t="s">
        <v>105</v>
      </c>
      <c r="BY1" s="1" t="s">
        <v>107</v>
      </c>
      <c r="BZ1" s="1" t="s">
        <v>108</v>
      </c>
      <c r="CA1" s="1" t="s">
        <v>110</v>
      </c>
      <c r="CB1" s="1" t="s">
        <v>111</v>
      </c>
      <c r="CC1" s="1" t="s">
        <v>112</v>
      </c>
      <c r="CD1" s="1" t="s">
        <v>113</v>
      </c>
      <c r="CE1" s="1" t="s">
        <v>115</v>
      </c>
      <c r="CF1" s="1" t="s">
        <v>116</v>
      </c>
      <c r="CG1" s="1" t="s">
        <v>117</v>
      </c>
      <c r="CH1" s="1" t="s">
        <v>118</v>
      </c>
      <c r="CI1" s="1" t="s">
        <v>120</v>
      </c>
      <c r="CJ1" s="1" t="s">
        <v>122</v>
      </c>
      <c r="CK1" s="1" t="s">
        <v>124</v>
      </c>
      <c r="CL1" s="1" t="s">
        <v>125</v>
      </c>
      <c r="CM1" s="1" t="s">
        <v>127</v>
      </c>
      <c r="CN1" s="1" t="s">
        <v>129</v>
      </c>
      <c r="CO1" s="1" t="s">
        <v>131</v>
      </c>
      <c r="CP1" s="1" t="s">
        <v>101</v>
      </c>
      <c r="CQ1" s="1" t="s">
        <v>133</v>
      </c>
      <c r="CR1" s="1" t="s">
        <v>134</v>
      </c>
      <c r="CS1" s="1" t="s">
        <v>135</v>
      </c>
      <c r="CT1" s="1" t="s">
        <v>137</v>
      </c>
      <c r="CU1" s="1" t="s">
        <v>139</v>
      </c>
      <c r="CV1" s="1" t="s">
        <v>140</v>
      </c>
      <c r="CW1" s="1" t="s">
        <v>142</v>
      </c>
      <c r="CX1" s="1" t="s">
        <v>144</v>
      </c>
      <c r="CY1" s="1" t="s">
        <v>145</v>
      </c>
      <c r="CZ1" s="1" t="s">
        <v>101</v>
      </c>
      <c r="DA1" s="1" t="s">
        <v>147</v>
      </c>
      <c r="DB1" s="1" t="s">
        <v>148</v>
      </c>
      <c r="DC1" s="1" t="s">
        <v>150</v>
      </c>
      <c r="DD1" s="1" t="s">
        <v>152</v>
      </c>
      <c r="DE1" s="1" t="s">
        <v>153</v>
      </c>
      <c r="DF1" s="1" t="s">
        <v>154</v>
      </c>
      <c r="DG1" s="1" t="s">
        <v>156</v>
      </c>
      <c r="DH1" s="1" t="s">
        <v>157</v>
      </c>
      <c r="DI1" s="1" t="s">
        <v>159</v>
      </c>
      <c r="DJ1" s="1" t="s">
        <v>160</v>
      </c>
      <c r="DK1" s="1" t="s">
        <v>162</v>
      </c>
      <c r="DL1" s="1" t="s">
        <v>164</v>
      </c>
      <c r="DM1" s="1" t="s">
        <v>165</v>
      </c>
      <c r="DN1" s="1" t="s">
        <v>167</v>
      </c>
      <c r="DO1" s="1" t="s">
        <v>169</v>
      </c>
      <c r="DP1" s="1" t="s">
        <v>153</v>
      </c>
      <c r="DQ1" s="1" t="s">
        <v>154</v>
      </c>
      <c r="DR1" s="1" t="s">
        <v>156</v>
      </c>
      <c r="DS1" s="1" t="s">
        <v>157</v>
      </c>
      <c r="DT1" s="1" t="s">
        <v>159</v>
      </c>
      <c r="DU1" s="1" t="s">
        <v>160</v>
      </c>
      <c r="DV1" s="1" t="s">
        <v>162</v>
      </c>
      <c r="DW1" s="1" t="s">
        <v>164</v>
      </c>
      <c r="DX1" s="1" t="s">
        <v>165</v>
      </c>
      <c r="DY1" s="1" t="s">
        <v>167</v>
      </c>
      <c r="DZ1" s="1" t="s">
        <v>169</v>
      </c>
      <c r="EA1" s="1" t="s">
        <v>174</v>
      </c>
      <c r="EB1" s="1" t="s">
        <v>101</v>
      </c>
      <c r="EC1" s="1" t="s">
        <v>176</v>
      </c>
      <c r="ED1" s="1" t="s">
        <v>101</v>
      </c>
      <c r="EE1" s="1" t="s">
        <v>177</v>
      </c>
      <c r="EF1" s="1" t="s">
        <v>178</v>
      </c>
      <c r="EG1" s="1" t="s">
        <v>179</v>
      </c>
      <c r="EH1" s="1" t="s">
        <v>178</v>
      </c>
      <c r="EI1" s="1" t="s">
        <v>181</v>
      </c>
      <c r="EJ1" s="1" t="s">
        <v>182</v>
      </c>
      <c r="EK1" s="1" t="s">
        <v>183</v>
      </c>
      <c r="EL1" s="1" t="s">
        <v>184</v>
      </c>
      <c r="EM1" s="1" t="s">
        <v>185</v>
      </c>
      <c r="EN1" s="1" t="s">
        <v>186</v>
      </c>
      <c r="EO1" s="1" t="s">
        <v>187</v>
      </c>
      <c r="EP1" s="1" t="s">
        <v>189</v>
      </c>
      <c r="EQ1" s="1" t="s">
        <v>191</v>
      </c>
      <c r="ER1" s="1" t="s">
        <v>193</v>
      </c>
      <c r="ES1" s="1" t="s">
        <v>194</v>
      </c>
      <c r="ET1" s="1" t="s">
        <v>196</v>
      </c>
      <c r="EU1" s="1" t="s">
        <v>122</v>
      </c>
      <c r="EV1" s="1" t="s">
        <v>197</v>
      </c>
      <c r="EW1" s="1" t="s">
        <v>199</v>
      </c>
      <c r="EX1" s="1" t="s">
        <v>200</v>
      </c>
      <c r="EY1" s="1" t="s">
        <v>201</v>
      </c>
      <c r="EZ1" s="1" t="s">
        <v>178</v>
      </c>
      <c r="FA1" s="1" t="s">
        <v>202</v>
      </c>
      <c r="FB1" s="1" t="s">
        <v>203</v>
      </c>
      <c r="FC1" s="1" t="s">
        <v>201</v>
      </c>
      <c r="FD1" s="1" t="s">
        <v>178</v>
      </c>
      <c r="FE1" s="1" t="s">
        <v>202</v>
      </c>
      <c r="FF1" s="1" t="s">
        <v>204</v>
      </c>
      <c r="FG1" s="1" t="s">
        <v>201</v>
      </c>
      <c r="FH1" s="1" t="s">
        <v>178</v>
      </c>
      <c r="FI1" s="1" t="s">
        <v>202</v>
      </c>
      <c r="FJ1" s="1" t="s">
        <v>206</v>
      </c>
      <c r="FK1" s="1" t="s">
        <v>201</v>
      </c>
      <c r="FL1" s="1" t="s">
        <v>178</v>
      </c>
      <c r="FM1" s="1" t="s">
        <v>202</v>
      </c>
      <c r="FN1" s="1" t="s">
        <v>207</v>
      </c>
      <c r="FO1" s="1" t="s">
        <v>201</v>
      </c>
      <c r="FP1" s="1" t="s">
        <v>178</v>
      </c>
      <c r="FQ1" s="1" t="s">
        <v>202</v>
      </c>
      <c r="FR1" s="27" t="s">
        <v>209</v>
      </c>
      <c r="FS1" s="28" t="s">
        <v>34</v>
      </c>
      <c r="FT1" s="28" t="s">
        <v>37</v>
      </c>
      <c r="FU1" s="28" t="s">
        <v>41</v>
      </c>
      <c r="FV1" s="1" t="s">
        <v>210</v>
      </c>
      <c r="FW1" s="1" t="s">
        <v>211</v>
      </c>
      <c r="FX1" s="1" t="s">
        <v>212</v>
      </c>
      <c r="FY1" s="1" t="s">
        <v>213</v>
      </c>
      <c r="FZ1" s="1" t="s">
        <v>214</v>
      </c>
      <c r="GA1" s="1" t="s">
        <v>215</v>
      </c>
      <c r="GB1" s="1" t="s">
        <v>216</v>
      </c>
      <c r="GC1" s="1" t="s">
        <v>217</v>
      </c>
      <c r="GD1" s="1" t="s">
        <v>218</v>
      </c>
      <c r="GE1" s="1" t="s">
        <v>219</v>
      </c>
      <c r="GF1" s="1" t="s">
        <v>220</v>
      </c>
      <c r="GG1" s="1" t="s">
        <v>221</v>
      </c>
      <c r="GH1" s="1" t="s">
        <v>222</v>
      </c>
      <c r="GI1" s="1" t="s">
        <v>223</v>
      </c>
      <c r="GJ1" s="1" t="s">
        <v>224</v>
      </c>
      <c r="GK1" s="1" t="s">
        <v>225</v>
      </c>
      <c r="GL1" s="1" t="s">
        <v>226</v>
      </c>
      <c r="GM1" s="1" t="s">
        <v>227</v>
      </c>
      <c r="GN1" s="1" t="s">
        <v>228</v>
      </c>
      <c r="GO1" s="1" t="s">
        <v>229</v>
      </c>
      <c r="GP1" s="1" t="s">
        <v>230</v>
      </c>
      <c r="GQ1" s="1" t="s">
        <v>231</v>
      </c>
      <c r="GR1" s="1" t="s">
        <v>232</v>
      </c>
      <c r="GS1" s="1" t="s">
        <v>233</v>
      </c>
      <c r="GT1" s="1" t="s">
        <v>234</v>
      </c>
      <c r="GU1" s="1" t="s">
        <v>235</v>
      </c>
      <c r="GV1" s="1" t="s">
        <v>236</v>
      </c>
      <c r="GW1" s="1" t="s">
        <v>237</v>
      </c>
      <c r="GX1" s="1" t="s">
        <v>238</v>
      </c>
      <c r="GY1" s="1" t="s">
        <v>239</v>
      </c>
      <c r="GZ1" s="1" t="s">
        <v>240</v>
      </c>
      <c r="HA1" s="1" t="s">
        <v>241</v>
      </c>
      <c r="HB1" s="1" t="s">
        <v>242</v>
      </c>
      <c r="HC1" s="1" t="s">
        <v>243</v>
      </c>
      <c r="HD1" s="1" t="s">
        <v>244</v>
      </c>
      <c r="HE1" s="1" t="s">
        <v>245</v>
      </c>
      <c r="HF1" s="1" t="s">
        <v>246</v>
      </c>
      <c r="HG1" s="1" t="s">
        <v>247</v>
      </c>
      <c r="HH1" s="1" t="s">
        <v>248</v>
      </c>
      <c r="HI1" s="1" t="s">
        <v>249</v>
      </c>
      <c r="HJ1" s="1" t="s">
        <v>250</v>
      </c>
      <c r="HK1" s="1" t="s">
        <v>251</v>
      </c>
    </row>
    <row r="2">
      <c r="A2" s="29" t="s">
        <v>180</v>
      </c>
      <c r="B2" s="3">
        <v>1.0</v>
      </c>
      <c r="C2" s="3" t="s">
        <v>188</v>
      </c>
      <c r="D2" s="30">
        <v>23124.0</v>
      </c>
      <c r="E2" s="1">
        <v>63.0</v>
      </c>
      <c r="F2" s="3" t="s">
        <v>252</v>
      </c>
      <c r="G2" s="3" t="s">
        <v>253</v>
      </c>
      <c r="H2" s="3" t="s">
        <v>253</v>
      </c>
      <c r="I2" s="3" t="s">
        <v>252</v>
      </c>
      <c r="J2" s="3" t="s">
        <v>253</v>
      </c>
      <c r="K2" s="3" t="s">
        <v>253</v>
      </c>
      <c r="L2" s="3" t="s">
        <v>254</v>
      </c>
      <c r="M2" s="3" t="s">
        <v>255</v>
      </c>
      <c r="N2" s="3" t="s">
        <v>254</v>
      </c>
      <c r="O2" s="3" t="s">
        <v>255</v>
      </c>
      <c r="P2" s="3" t="s">
        <v>254</v>
      </c>
      <c r="Q2" s="3" t="s">
        <v>256</v>
      </c>
      <c r="R2" s="7" t="s">
        <v>257</v>
      </c>
      <c r="S2" s="7" t="s">
        <v>258</v>
      </c>
      <c r="T2" s="1" t="s">
        <v>259</v>
      </c>
      <c r="U2" s="1" t="s">
        <v>260</v>
      </c>
      <c r="V2" s="1" t="s">
        <v>261</v>
      </c>
      <c r="W2" s="1" t="s">
        <v>254</v>
      </c>
      <c r="X2" s="1" t="s">
        <v>254</v>
      </c>
      <c r="Y2" s="1" t="s">
        <v>262</v>
      </c>
      <c r="Z2" s="1">
        <v>1.0</v>
      </c>
      <c r="AA2" s="1" t="s">
        <v>263</v>
      </c>
      <c r="AB2" s="1" t="s">
        <v>264</v>
      </c>
      <c r="AC2" s="1">
        <v>0.0</v>
      </c>
      <c r="AD2" s="1">
        <v>2021.0</v>
      </c>
      <c r="AE2" s="1" t="s">
        <v>265</v>
      </c>
      <c r="AF2" s="1" t="s">
        <v>255</v>
      </c>
      <c r="AG2" s="1" t="s">
        <v>266</v>
      </c>
      <c r="AH2" s="1" t="s">
        <v>266</v>
      </c>
      <c r="AI2" s="30">
        <v>45539.0</v>
      </c>
      <c r="AJ2" s="30">
        <v>45398.0</v>
      </c>
      <c r="AK2" s="1" t="s">
        <v>267</v>
      </c>
      <c r="AL2" s="1" t="s">
        <v>268</v>
      </c>
      <c r="AM2" s="1" t="s">
        <v>269</v>
      </c>
      <c r="AN2" s="1" t="s">
        <v>269</v>
      </c>
      <c r="AO2" s="1" t="s">
        <v>270</v>
      </c>
      <c r="AP2" s="1" t="s">
        <v>271</v>
      </c>
      <c r="AQ2" s="1" t="s">
        <v>272</v>
      </c>
      <c r="AR2" s="1">
        <v>2.0</v>
      </c>
      <c r="AS2" s="1" t="s">
        <v>273</v>
      </c>
      <c r="AT2" s="1" t="s">
        <v>274</v>
      </c>
      <c r="AU2" s="1" t="s">
        <v>275</v>
      </c>
      <c r="AV2" s="1" t="s">
        <v>276</v>
      </c>
      <c r="AW2" s="1" t="s">
        <v>277</v>
      </c>
      <c r="AX2" s="1" t="s">
        <v>254</v>
      </c>
      <c r="AY2" s="1">
        <v>0.0</v>
      </c>
      <c r="AZ2" s="1" t="s">
        <v>255</v>
      </c>
      <c r="BA2" s="1" t="s">
        <v>278</v>
      </c>
      <c r="BB2" s="1" t="s">
        <v>254</v>
      </c>
      <c r="BC2" s="1" t="s">
        <v>279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 t="s">
        <v>280</v>
      </c>
      <c r="BM2" s="1" t="s">
        <v>268</v>
      </c>
      <c r="BN2" s="1" t="s">
        <v>281</v>
      </c>
      <c r="BO2" s="1" t="s">
        <v>282</v>
      </c>
      <c r="BP2" s="1" t="s">
        <v>283</v>
      </c>
      <c r="BQ2" s="1" t="s">
        <v>284</v>
      </c>
      <c r="BR2" s="1" t="s">
        <v>254</v>
      </c>
      <c r="BS2" s="1" t="s">
        <v>254</v>
      </c>
      <c r="BT2" s="1" t="s">
        <v>254</v>
      </c>
      <c r="BU2" s="1" t="s">
        <v>254</v>
      </c>
      <c r="BV2" s="1" t="s">
        <v>254</v>
      </c>
      <c r="BW2" s="1" t="s">
        <v>255</v>
      </c>
      <c r="BX2" s="12"/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1.0</v>
      </c>
      <c r="CH2" s="1">
        <v>0.0</v>
      </c>
      <c r="CI2" s="1">
        <v>0.0</v>
      </c>
      <c r="CJ2" s="1" t="s">
        <v>285</v>
      </c>
      <c r="CK2" s="1" t="s">
        <v>286</v>
      </c>
      <c r="CL2" s="1" t="s">
        <v>287</v>
      </c>
      <c r="CM2" s="1" t="s">
        <v>254</v>
      </c>
      <c r="CN2" s="1">
        <v>0.0</v>
      </c>
      <c r="CO2" s="1" t="s">
        <v>254</v>
      </c>
      <c r="CP2" s="1">
        <v>0.0</v>
      </c>
      <c r="CQ2" s="1">
        <v>4.0</v>
      </c>
      <c r="CR2" s="1">
        <v>2.0</v>
      </c>
      <c r="CS2" s="1">
        <v>2.0</v>
      </c>
      <c r="CT2" s="1" t="s">
        <v>288</v>
      </c>
      <c r="CU2" s="1" t="s">
        <v>289</v>
      </c>
      <c r="CV2" s="1" t="s">
        <v>254</v>
      </c>
      <c r="CW2" s="1" t="s">
        <v>254</v>
      </c>
      <c r="CX2" s="1" t="s">
        <v>254</v>
      </c>
      <c r="CY2" s="1" t="s">
        <v>255</v>
      </c>
      <c r="CZ2" s="1" t="s">
        <v>254</v>
      </c>
      <c r="DA2" s="1" t="s">
        <v>255</v>
      </c>
      <c r="DB2" s="1" t="s">
        <v>254</v>
      </c>
      <c r="DC2" s="1" t="s">
        <v>254</v>
      </c>
      <c r="DD2" s="1" t="s">
        <v>255</v>
      </c>
      <c r="DE2" s="1" t="s">
        <v>290</v>
      </c>
      <c r="DF2" s="1" t="s">
        <v>291</v>
      </c>
      <c r="DG2" s="1" t="s">
        <v>292</v>
      </c>
      <c r="DH2" s="1" t="s">
        <v>292</v>
      </c>
      <c r="DI2" s="1" t="s">
        <v>290</v>
      </c>
      <c r="DJ2" s="1" t="s">
        <v>293</v>
      </c>
      <c r="DK2" s="1" t="s">
        <v>293</v>
      </c>
      <c r="DL2" s="1" t="s">
        <v>290</v>
      </c>
      <c r="DM2" s="1" t="s">
        <v>291</v>
      </c>
      <c r="DN2" s="1" t="s">
        <v>293</v>
      </c>
      <c r="DO2" s="1" t="s">
        <v>293</v>
      </c>
      <c r="DP2" s="1" t="s">
        <v>293</v>
      </c>
      <c r="DQ2" s="1" t="s">
        <v>293</v>
      </c>
      <c r="DR2" s="1" t="s">
        <v>293</v>
      </c>
      <c r="DS2" s="1" t="s">
        <v>293</v>
      </c>
      <c r="DT2" s="1" t="s">
        <v>293</v>
      </c>
      <c r="DU2" s="1" t="s">
        <v>293</v>
      </c>
      <c r="DV2" s="1" t="s">
        <v>293</v>
      </c>
      <c r="DW2" s="1" t="s">
        <v>293</v>
      </c>
      <c r="DX2" s="1" t="s">
        <v>293</v>
      </c>
      <c r="DY2" s="1" t="s">
        <v>293</v>
      </c>
      <c r="DZ2" s="1" t="s">
        <v>293</v>
      </c>
      <c r="EA2" s="1" t="s">
        <v>254</v>
      </c>
      <c r="EB2" s="1" t="s">
        <v>254</v>
      </c>
      <c r="EC2" s="1" t="s">
        <v>254</v>
      </c>
      <c r="ED2" s="1">
        <v>0.0</v>
      </c>
      <c r="EE2" s="1" t="s">
        <v>255</v>
      </c>
      <c r="EF2" s="1" t="s">
        <v>294</v>
      </c>
      <c r="EG2" s="1" t="s">
        <v>295</v>
      </c>
      <c r="EI2" s="1" t="s">
        <v>293</v>
      </c>
      <c r="EJ2" s="1" t="s">
        <v>293</v>
      </c>
      <c r="EK2" s="1" t="s">
        <v>293</v>
      </c>
      <c r="EL2" s="1" t="s">
        <v>293</v>
      </c>
      <c r="EM2" s="1" t="s">
        <v>293</v>
      </c>
      <c r="EN2" s="1" t="s">
        <v>296</v>
      </c>
      <c r="EO2" s="1" t="s">
        <v>293</v>
      </c>
      <c r="EP2" s="1" t="s">
        <v>293</v>
      </c>
      <c r="EQ2" s="1" t="s">
        <v>293</v>
      </c>
      <c r="ER2" s="1" t="s">
        <v>293</v>
      </c>
      <c r="ES2" s="1" t="s">
        <v>293</v>
      </c>
      <c r="ET2" s="1" t="s">
        <v>293</v>
      </c>
      <c r="EU2" s="1" t="s">
        <v>293</v>
      </c>
      <c r="EV2" s="1" t="s">
        <v>297</v>
      </c>
      <c r="EW2" s="1" t="s">
        <v>254</v>
      </c>
      <c r="EX2" s="1" t="s">
        <v>254</v>
      </c>
      <c r="EY2" s="1">
        <v>0.0</v>
      </c>
      <c r="EZ2" s="1">
        <v>0.0</v>
      </c>
      <c r="FA2" s="1">
        <v>0.0</v>
      </c>
      <c r="FB2" s="1" t="s">
        <v>254</v>
      </c>
      <c r="FC2" s="1">
        <v>0.0</v>
      </c>
      <c r="FD2" s="1">
        <v>0.0</v>
      </c>
      <c r="FE2" s="1">
        <v>0.0</v>
      </c>
      <c r="FF2" s="1" t="s">
        <v>293</v>
      </c>
      <c r="FG2" s="1">
        <v>0.0</v>
      </c>
      <c r="FH2" s="1">
        <v>0.0</v>
      </c>
      <c r="FI2" s="1">
        <v>0.0</v>
      </c>
      <c r="FJ2" s="1" t="s">
        <v>293</v>
      </c>
      <c r="FK2" s="1">
        <v>0.0</v>
      </c>
      <c r="FL2" s="1">
        <v>0.0</v>
      </c>
      <c r="FM2" s="1">
        <v>0.0</v>
      </c>
      <c r="FN2" s="1" t="s">
        <v>293</v>
      </c>
      <c r="FO2" s="1">
        <v>0.0</v>
      </c>
      <c r="FP2" s="1">
        <v>0.0</v>
      </c>
      <c r="FQ2" s="1">
        <v>0.0</v>
      </c>
      <c r="FR2" s="27" t="s">
        <v>198</v>
      </c>
      <c r="FS2" s="28" t="s">
        <v>205</v>
      </c>
      <c r="FT2" s="28" t="s">
        <v>205</v>
      </c>
      <c r="FU2" s="28" t="s">
        <v>298</v>
      </c>
      <c r="FV2" s="1">
        <v>6.0</v>
      </c>
      <c r="FW2" s="1" t="s">
        <v>299</v>
      </c>
      <c r="FX2" s="1">
        <v>6.0</v>
      </c>
      <c r="FY2" s="1" t="s">
        <v>299</v>
      </c>
      <c r="FZ2" s="1">
        <v>24.0</v>
      </c>
      <c r="GA2" s="1" t="s">
        <v>300</v>
      </c>
      <c r="GB2" s="1" t="s">
        <v>301</v>
      </c>
      <c r="GC2" s="1" t="s">
        <v>301</v>
      </c>
      <c r="GD2" s="1">
        <v>6.0</v>
      </c>
      <c r="GE2" s="1" t="s">
        <v>299</v>
      </c>
      <c r="GF2" s="1" t="s">
        <v>301</v>
      </c>
      <c r="GG2" s="1" t="s">
        <v>301</v>
      </c>
      <c r="GH2" s="1">
        <v>30.0</v>
      </c>
      <c r="GI2" s="1" t="s">
        <v>300</v>
      </c>
      <c r="GJ2" s="1">
        <v>24.0</v>
      </c>
      <c r="GK2" s="1" t="s">
        <v>300</v>
      </c>
      <c r="GL2" s="1">
        <v>6.0</v>
      </c>
      <c r="GM2" s="1" t="s">
        <v>299</v>
      </c>
      <c r="GN2" s="1">
        <v>18.0</v>
      </c>
      <c r="GO2" s="1" t="s">
        <v>299</v>
      </c>
      <c r="GP2" s="1">
        <v>10.0</v>
      </c>
      <c r="GQ2" s="1" t="s">
        <v>299</v>
      </c>
      <c r="GR2" s="1">
        <v>22.0</v>
      </c>
      <c r="GS2" s="1" t="s">
        <v>300</v>
      </c>
      <c r="GT2" s="1">
        <v>24.0</v>
      </c>
      <c r="GU2" s="1" t="s">
        <v>300</v>
      </c>
      <c r="GV2" s="1" t="s">
        <v>301</v>
      </c>
      <c r="GW2" s="1" t="s">
        <v>301</v>
      </c>
      <c r="GX2" s="1" t="s">
        <v>301</v>
      </c>
      <c r="GY2" s="1" t="s">
        <v>301</v>
      </c>
      <c r="GZ2" s="1">
        <v>30.0</v>
      </c>
      <c r="HA2" s="1" t="s">
        <v>300</v>
      </c>
      <c r="HB2" s="1" t="s">
        <v>301</v>
      </c>
      <c r="HC2" s="1" t="s">
        <v>301</v>
      </c>
      <c r="HD2" s="1" t="s">
        <v>301</v>
      </c>
      <c r="HE2" s="1" t="s">
        <v>301</v>
      </c>
      <c r="HF2" s="1">
        <v>6.0</v>
      </c>
      <c r="HG2" s="1" t="s">
        <v>299</v>
      </c>
      <c r="HH2" s="1">
        <v>6.0</v>
      </c>
      <c r="HI2" s="1" t="s">
        <v>299</v>
      </c>
      <c r="HJ2" s="1" t="s">
        <v>301</v>
      </c>
      <c r="HK2" s="1" t="s">
        <v>301</v>
      </c>
    </row>
    <row r="3">
      <c r="A3" s="29" t="s">
        <v>302</v>
      </c>
      <c r="B3" s="3">
        <v>2.0</v>
      </c>
      <c r="C3" s="3" t="s">
        <v>303</v>
      </c>
      <c r="D3" s="30">
        <v>22594.0</v>
      </c>
      <c r="E3" s="1">
        <v>64.0</v>
      </c>
      <c r="F3" s="3" t="s">
        <v>253</v>
      </c>
      <c r="G3" s="3" t="s">
        <v>252</v>
      </c>
      <c r="H3" s="3" t="s">
        <v>253</v>
      </c>
      <c r="I3" s="3" t="s">
        <v>253</v>
      </c>
      <c r="J3" s="3" t="s">
        <v>252</v>
      </c>
      <c r="K3" s="3" t="s">
        <v>252</v>
      </c>
      <c r="L3" s="3" t="s">
        <v>254</v>
      </c>
      <c r="M3" s="3" t="s">
        <v>254</v>
      </c>
      <c r="N3" s="3" t="s">
        <v>254</v>
      </c>
      <c r="O3" s="3" t="s">
        <v>254</v>
      </c>
      <c r="P3" s="3" t="s">
        <v>255</v>
      </c>
      <c r="Q3" s="3" t="s">
        <v>256</v>
      </c>
      <c r="R3" s="7" t="s">
        <v>37</v>
      </c>
      <c r="S3" s="7" t="s">
        <v>304</v>
      </c>
      <c r="T3" s="1" t="s">
        <v>305</v>
      </c>
      <c r="U3" s="1" t="s">
        <v>306</v>
      </c>
      <c r="V3" s="1" t="s">
        <v>307</v>
      </c>
      <c r="W3" s="1" t="s">
        <v>254</v>
      </c>
      <c r="X3" s="1" t="s">
        <v>254</v>
      </c>
      <c r="Y3" s="1">
        <v>0.0</v>
      </c>
      <c r="Z3" s="1">
        <v>0.0</v>
      </c>
      <c r="AA3" s="1">
        <v>0.0</v>
      </c>
      <c r="AB3" s="1" t="s">
        <v>308</v>
      </c>
      <c r="AC3" s="1">
        <v>0.0</v>
      </c>
      <c r="AD3" s="1">
        <v>0.0</v>
      </c>
      <c r="AE3" s="1" t="s">
        <v>265</v>
      </c>
      <c r="AF3" s="1" t="s">
        <v>255</v>
      </c>
      <c r="AG3" s="1" t="s">
        <v>309</v>
      </c>
      <c r="AH3" s="1" t="s">
        <v>310</v>
      </c>
      <c r="AI3" s="1" t="s">
        <v>311</v>
      </c>
      <c r="AJ3" s="1" t="s">
        <v>312</v>
      </c>
      <c r="AK3" s="1" t="s">
        <v>313</v>
      </c>
      <c r="AL3" s="1" t="s">
        <v>314</v>
      </c>
      <c r="AM3" s="1" t="s">
        <v>269</v>
      </c>
      <c r="AN3" s="1" t="s">
        <v>269</v>
      </c>
      <c r="AO3" s="1" t="s">
        <v>270</v>
      </c>
      <c r="AP3" s="1" t="s">
        <v>271</v>
      </c>
      <c r="AQ3" s="1" t="s">
        <v>315</v>
      </c>
      <c r="AR3" s="1">
        <v>3.0</v>
      </c>
      <c r="AS3" s="1" t="s">
        <v>273</v>
      </c>
      <c r="AT3" s="1" t="s">
        <v>274</v>
      </c>
      <c r="AU3" s="1" t="s">
        <v>316</v>
      </c>
      <c r="AV3" s="1" t="s">
        <v>317</v>
      </c>
      <c r="AW3" s="1" t="s">
        <v>318</v>
      </c>
      <c r="AX3" s="1" t="s">
        <v>254</v>
      </c>
      <c r="AY3" s="1">
        <v>0.0</v>
      </c>
      <c r="AZ3" s="1" t="s">
        <v>255</v>
      </c>
      <c r="BA3" s="31" t="s">
        <v>319</v>
      </c>
      <c r="BB3" s="1" t="s">
        <v>255</v>
      </c>
      <c r="BC3" s="1" t="s">
        <v>279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 t="s">
        <v>320</v>
      </c>
      <c r="BM3" s="1" t="s">
        <v>314</v>
      </c>
      <c r="BN3" s="1" t="s">
        <v>281</v>
      </c>
      <c r="BO3" s="1" t="s">
        <v>282</v>
      </c>
      <c r="BP3" s="1" t="s">
        <v>283</v>
      </c>
      <c r="BQ3" s="1" t="s">
        <v>284</v>
      </c>
      <c r="BR3" s="1" t="s">
        <v>254</v>
      </c>
      <c r="BS3" s="1" t="s">
        <v>254</v>
      </c>
      <c r="BT3" s="1" t="s">
        <v>254</v>
      </c>
      <c r="BU3" s="1" t="s">
        <v>254</v>
      </c>
      <c r="BV3" s="1" t="s">
        <v>254</v>
      </c>
      <c r="BW3" s="1" t="s">
        <v>254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 t="s">
        <v>254</v>
      </c>
      <c r="CN3" s="1">
        <v>0.0</v>
      </c>
      <c r="CO3" s="1" t="s">
        <v>254</v>
      </c>
      <c r="CP3" s="1">
        <v>0.0</v>
      </c>
      <c r="CQ3" s="1">
        <v>6.0</v>
      </c>
      <c r="CR3" s="1">
        <v>3.0</v>
      </c>
      <c r="CS3" s="1">
        <v>3.0</v>
      </c>
      <c r="CT3" s="1" t="s">
        <v>321</v>
      </c>
      <c r="CU3" s="1" t="s">
        <v>322</v>
      </c>
      <c r="CV3" s="1" t="s">
        <v>254</v>
      </c>
      <c r="CW3" s="1" t="s">
        <v>254</v>
      </c>
      <c r="CX3" s="1" t="s">
        <v>254</v>
      </c>
      <c r="CY3" s="1" t="s">
        <v>254</v>
      </c>
      <c r="CZ3" s="1" t="s">
        <v>254</v>
      </c>
      <c r="DA3" s="1" t="s">
        <v>255</v>
      </c>
      <c r="DB3" s="1" t="s">
        <v>255</v>
      </c>
      <c r="DC3" s="1" t="s">
        <v>254</v>
      </c>
      <c r="DD3" s="1" t="s">
        <v>255</v>
      </c>
      <c r="DE3" s="1" t="s">
        <v>293</v>
      </c>
      <c r="DF3" s="1" t="s">
        <v>293</v>
      </c>
      <c r="DG3" s="1" t="s">
        <v>323</v>
      </c>
      <c r="DH3" s="1" t="s">
        <v>291</v>
      </c>
      <c r="DI3" s="1" t="s">
        <v>324</v>
      </c>
      <c r="DJ3" s="1" t="s">
        <v>293</v>
      </c>
      <c r="DK3" s="1" t="s">
        <v>293</v>
      </c>
      <c r="DL3" s="1" t="s">
        <v>323</v>
      </c>
      <c r="DM3" s="1" t="s">
        <v>293</v>
      </c>
      <c r="DN3" s="1" t="s">
        <v>291</v>
      </c>
      <c r="DO3" s="1" t="s">
        <v>293</v>
      </c>
      <c r="DP3" s="1" t="s">
        <v>293</v>
      </c>
      <c r="DQ3" s="1" t="s">
        <v>293</v>
      </c>
      <c r="DR3" s="1" t="s">
        <v>293</v>
      </c>
      <c r="DS3" s="1" t="s">
        <v>293</v>
      </c>
      <c r="DT3" s="1" t="s">
        <v>293</v>
      </c>
      <c r="DU3" s="1" t="s">
        <v>293</v>
      </c>
      <c r="DV3" s="1" t="s">
        <v>293</v>
      </c>
      <c r="DW3" s="1" t="s">
        <v>293</v>
      </c>
      <c r="DX3" s="1" t="s">
        <v>293</v>
      </c>
      <c r="DY3" s="1" t="s">
        <v>293</v>
      </c>
      <c r="DZ3" s="1" t="s">
        <v>293</v>
      </c>
      <c r="EA3" s="1" t="s">
        <v>254</v>
      </c>
      <c r="EB3" s="1" t="s">
        <v>254</v>
      </c>
      <c r="EC3" s="1" t="s">
        <v>254</v>
      </c>
      <c r="ED3" s="1">
        <v>0.0</v>
      </c>
      <c r="EE3" s="1" t="s">
        <v>255</v>
      </c>
      <c r="EF3" s="1" t="s">
        <v>325</v>
      </c>
      <c r="EG3" s="1" t="s">
        <v>295</v>
      </c>
      <c r="EI3" s="1" t="s">
        <v>293</v>
      </c>
      <c r="EJ3" s="1" t="s">
        <v>293</v>
      </c>
      <c r="EK3" s="1" t="s">
        <v>293</v>
      </c>
      <c r="EL3" s="1" t="s">
        <v>293</v>
      </c>
      <c r="EM3" s="1" t="s">
        <v>326</v>
      </c>
      <c r="EN3" s="1" t="s">
        <v>296</v>
      </c>
      <c r="EO3" s="1" t="s">
        <v>293</v>
      </c>
      <c r="EP3" s="1" t="s">
        <v>293</v>
      </c>
      <c r="EQ3" s="1" t="s">
        <v>293</v>
      </c>
      <c r="ER3" s="1" t="s">
        <v>293</v>
      </c>
      <c r="ES3" s="1" t="s">
        <v>293</v>
      </c>
      <c r="ET3" s="1" t="s">
        <v>293</v>
      </c>
      <c r="EU3" s="1" t="s">
        <v>293</v>
      </c>
      <c r="EV3" s="1" t="s">
        <v>327</v>
      </c>
      <c r="EW3" s="1" t="s">
        <v>254</v>
      </c>
      <c r="EX3" s="1" t="s">
        <v>254</v>
      </c>
      <c r="EY3" s="1">
        <v>0.0</v>
      </c>
      <c r="EZ3" s="1">
        <v>0.0</v>
      </c>
      <c r="FA3" s="1">
        <v>0.0</v>
      </c>
      <c r="FB3" s="1" t="s">
        <v>255</v>
      </c>
      <c r="FC3" s="1" t="s">
        <v>328</v>
      </c>
      <c r="FD3" s="1" t="s">
        <v>329</v>
      </c>
      <c r="FE3" s="1" t="s">
        <v>330</v>
      </c>
      <c r="FF3" s="1" t="s">
        <v>293</v>
      </c>
      <c r="FG3" s="1">
        <v>0.0</v>
      </c>
      <c r="FH3" s="1">
        <v>0.0</v>
      </c>
      <c r="FI3" s="1">
        <v>0.0</v>
      </c>
      <c r="FJ3" s="1" t="s">
        <v>293</v>
      </c>
      <c r="FK3" s="1">
        <v>0.0</v>
      </c>
      <c r="FL3" s="1">
        <v>0.0</v>
      </c>
      <c r="FM3" s="1">
        <v>0.0</v>
      </c>
      <c r="FN3" s="1" t="s">
        <v>293</v>
      </c>
      <c r="FO3" s="1">
        <v>0.0</v>
      </c>
      <c r="FP3" s="1">
        <v>0.0</v>
      </c>
      <c r="FQ3" s="1">
        <v>0.0</v>
      </c>
      <c r="FR3" s="27" t="s">
        <v>198</v>
      </c>
      <c r="FS3" s="28" t="s">
        <v>205</v>
      </c>
      <c r="FT3" s="28" t="s">
        <v>205</v>
      </c>
      <c r="FU3" s="28" t="s">
        <v>298</v>
      </c>
      <c r="FV3" s="1">
        <v>6.0</v>
      </c>
      <c r="FW3" s="1" t="s">
        <v>299</v>
      </c>
      <c r="FX3" s="1">
        <v>18.0</v>
      </c>
      <c r="FY3" s="1" t="s">
        <v>300</v>
      </c>
      <c r="FZ3" s="1">
        <v>16.0</v>
      </c>
      <c r="GA3" s="1" t="s">
        <v>299</v>
      </c>
      <c r="GB3" s="1" t="s">
        <v>301</v>
      </c>
      <c r="GC3" s="1" t="s">
        <v>301</v>
      </c>
      <c r="GD3" s="1">
        <v>12.0</v>
      </c>
      <c r="GE3" s="1" t="s">
        <v>299</v>
      </c>
      <c r="GF3" s="1" t="s">
        <v>301</v>
      </c>
      <c r="GG3" s="1" t="s">
        <v>301</v>
      </c>
      <c r="GH3" s="1">
        <v>19.0</v>
      </c>
      <c r="GI3" s="1" t="s">
        <v>331</v>
      </c>
      <c r="GJ3" s="1">
        <v>6.0</v>
      </c>
      <c r="GK3" s="1" t="s">
        <v>299</v>
      </c>
      <c r="GL3" s="1">
        <v>6.0</v>
      </c>
      <c r="GM3" s="1" t="s">
        <v>299</v>
      </c>
      <c r="GN3" s="1">
        <v>22.0</v>
      </c>
      <c r="GO3" s="1" t="s">
        <v>299</v>
      </c>
      <c r="GP3" s="1">
        <v>6.0</v>
      </c>
      <c r="GQ3" s="1" t="s">
        <v>299</v>
      </c>
      <c r="GR3" s="1">
        <v>28.0</v>
      </c>
      <c r="GS3" s="1" t="s">
        <v>300</v>
      </c>
      <c r="GT3" s="1">
        <v>6.0</v>
      </c>
      <c r="GU3" s="1" t="s">
        <v>299</v>
      </c>
      <c r="GV3" s="1" t="s">
        <v>301</v>
      </c>
      <c r="GW3" s="1" t="s">
        <v>301</v>
      </c>
      <c r="GX3" s="1" t="s">
        <v>301</v>
      </c>
      <c r="GY3" s="1" t="s">
        <v>301</v>
      </c>
      <c r="GZ3" s="1">
        <v>25.0</v>
      </c>
      <c r="HA3" s="1" t="s">
        <v>300</v>
      </c>
      <c r="HB3" s="1" t="s">
        <v>301</v>
      </c>
      <c r="HC3" s="1" t="s">
        <v>301</v>
      </c>
      <c r="HD3" s="1" t="s">
        <v>301</v>
      </c>
      <c r="HE3" s="1" t="s">
        <v>301</v>
      </c>
      <c r="HF3" s="1">
        <v>18.0</v>
      </c>
      <c r="HG3" s="1" t="s">
        <v>299</v>
      </c>
      <c r="HH3" s="1">
        <v>26.0</v>
      </c>
      <c r="HI3" s="1" t="s">
        <v>300</v>
      </c>
      <c r="HJ3" s="1" t="s">
        <v>301</v>
      </c>
      <c r="HK3" s="1" t="s">
        <v>301</v>
      </c>
    </row>
    <row r="4">
      <c r="A4" s="29" t="s">
        <v>332</v>
      </c>
      <c r="B4" s="3">
        <v>3.0</v>
      </c>
      <c r="C4" s="3" t="s">
        <v>333</v>
      </c>
      <c r="D4" s="30">
        <v>23322.0</v>
      </c>
      <c r="E4" s="1">
        <v>62.0</v>
      </c>
      <c r="F4" s="3" t="s">
        <v>253</v>
      </c>
      <c r="G4" s="3" t="s">
        <v>252</v>
      </c>
      <c r="H4" s="3" t="s">
        <v>252</v>
      </c>
      <c r="I4" s="3" t="s">
        <v>253</v>
      </c>
      <c r="J4" s="3" t="s">
        <v>252</v>
      </c>
      <c r="K4" s="3" t="s">
        <v>252</v>
      </c>
      <c r="L4" s="3" t="s">
        <v>254</v>
      </c>
      <c r="M4" s="3" t="s">
        <v>254</v>
      </c>
      <c r="N4" s="3" t="s">
        <v>254</v>
      </c>
      <c r="O4" s="3" t="s">
        <v>254</v>
      </c>
      <c r="P4" s="3" t="s">
        <v>255</v>
      </c>
      <c r="Q4" s="3" t="s">
        <v>256</v>
      </c>
      <c r="R4" s="7" t="s">
        <v>334</v>
      </c>
      <c r="S4" s="7" t="s">
        <v>258</v>
      </c>
      <c r="T4" s="1" t="s">
        <v>305</v>
      </c>
      <c r="U4" s="1" t="s">
        <v>260</v>
      </c>
      <c r="V4" s="1" t="s">
        <v>335</v>
      </c>
      <c r="X4" s="1" t="s">
        <v>254</v>
      </c>
      <c r="Y4" s="1">
        <v>0.0</v>
      </c>
      <c r="Z4" s="1">
        <v>0.0</v>
      </c>
      <c r="AA4" s="1">
        <v>0.0</v>
      </c>
      <c r="AB4" s="1" t="s">
        <v>336</v>
      </c>
      <c r="AC4" s="1">
        <v>0.0</v>
      </c>
      <c r="AD4" s="1">
        <v>2024.0</v>
      </c>
      <c r="AE4" s="1" t="s">
        <v>265</v>
      </c>
      <c r="AF4" s="1" t="s">
        <v>255</v>
      </c>
      <c r="AG4" s="1" t="s">
        <v>337</v>
      </c>
      <c r="AH4" s="1" t="s">
        <v>338</v>
      </c>
      <c r="AI4" s="1" t="s">
        <v>339</v>
      </c>
      <c r="AJ4" s="1" t="s">
        <v>340</v>
      </c>
      <c r="AK4" s="1" t="s">
        <v>313</v>
      </c>
      <c r="AL4" s="1" t="s">
        <v>341</v>
      </c>
      <c r="AM4" s="1" t="s">
        <v>341</v>
      </c>
      <c r="AN4" s="1" t="s">
        <v>341</v>
      </c>
      <c r="AO4" s="1" t="s">
        <v>270</v>
      </c>
      <c r="AP4" s="1" t="s">
        <v>342</v>
      </c>
      <c r="AQ4" s="1" t="s">
        <v>343</v>
      </c>
      <c r="AR4" s="1">
        <v>4.0</v>
      </c>
      <c r="AS4" s="1" t="s">
        <v>273</v>
      </c>
      <c r="AT4" s="1" t="s">
        <v>274</v>
      </c>
      <c r="AU4" s="1" t="s">
        <v>344</v>
      </c>
      <c r="AV4" s="1" t="s">
        <v>345</v>
      </c>
      <c r="AW4" s="31" t="s">
        <v>346</v>
      </c>
      <c r="AX4" s="1" t="s">
        <v>254</v>
      </c>
      <c r="AY4" s="1">
        <v>0.0</v>
      </c>
      <c r="AZ4" s="1" t="s">
        <v>255</v>
      </c>
      <c r="BA4" s="1" t="s">
        <v>347</v>
      </c>
      <c r="BB4" s="1" t="s">
        <v>254</v>
      </c>
      <c r="BC4" s="1" t="s">
        <v>348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34"/>
      <c r="BK4" s="12"/>
      <c r="BL4" s="1" t="s">
        <v>320</v>
      </c>
      <c r="BM4" s="1" t="s">
        <v>341</v>
      </c>
      <c r="BN4" s="1" t="s">
        <v>341</v>
      </c>
      <c r="BO4" s="1" t="s">
        <v>341</v>
      </c>
      <c r="BP4" s="1" t="s">
        <v>283</v>
      </c>
      <c r="BQ4" s="1" t="s">
        <v>349</v>
      </c>
      <c r="BR4" s="1" t="s">
        <v>254</v>
      </c>
      <c r="BS4" s="1" t="s">
        <v>254</v>
      </c>
      <c r="BT4" s="1" t="s">
        <v>254</v>
      </c>
      <c r="BU4" s="1" t="s">
        <v>254</v>
      </c>
      <c r="BV4" s="1" t="s">
        <v>254</v>
      </c>
      <c r="BW4" s="1" t="s">
        <v>255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1.0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 t="s">
        <v>350</v>
      </c>
      <c r="CM4" s="1" t="s">
        <v>254</v>
      </c>
      <c r="CN4" s="1">
        <v>0.0</v>
      </c>
      <c r="CO4" s="1" t="s">
        <v>254</v>
      </c>
      <c r="CP4" s="1">
        <v>0.0</v>
      </c>
      <c r="CQ4" s="1">
        <v>4.0</v>
      </c>
      <c r="CR4" s="1">
        <v>2.0</v>
      </c>
      <c r="CS4" s="1">
        <v>2.0</v>
      </c>
      <c r="CT4" s="1" t="s">
        <v>351</v>
      </c>
      <c r="CU4" s="1" t="s">
        <v>352</v>
      </c>
      <c r="CV4" s="1" t="s">
        <v>254</v>
      </c>
      <c r="CW4" s="1" t="s">
        <v>254</v>
      </c>
      <c r="CX4" s="1" t="s">
        <v>254</v>
      </c>
      <c r="CY4" s="1" t="s">
        <v>254</v>
      </c>
      <c r="CZ4" s="1" t="s">
        <v>254</v>
      </c>
      <c r="DA4" s="1" t="s">
        <v>255</v>
      </c>
      <c r="DB4" s="1" t="s">
        <v>254</v>
      </c>
      <c r="DC4" s="1" t="s">
        <v>254</v>
      </c>
      <c r="DD4" s="1" t="s">
        <v>255</v>
      </c>
      <c r="DE4" s="1" t="s">
        <v>353</v>
      </c>
      <c r="DF4" s="1" t="s">
        <v>293</v>
      </c>
      <c r="DG4" s="1" t="s">
        <v>293</v>
      </c>
      <c r="DH4" s="1" t="s">
        <v>293</v>
      </c>
      <c r="DI4" s="1" t="s">
        <v>323</v>
      </c>
      <c r="DJ4" s="1" t="s">
        <v>293</v>
      </c>
      <c r="DK4" s="1" t="s">
        <v>293</v>
      </c>
      <c r="DL4" s="1" t="s">
        <v>323</v>
      </c>
      <c r="DM4" s="1" t="s">
        <v>293</v>
      </c>
      <c r="DN4" s="1" t="s">
        <v>293</v>
      </c>
      <c r="DO4" s="1" t="s">
        <v>293</v>
      </c>
      <c r="DP4" s="1" t="s">
        <v>293</v>
      </c>
      <c r="DQ4" s="1" t="s">
        <v>293</v>
      </c>
      <c r="DR4" s="1" t="s">
        <v>293</v>
      </c>
      <c r="DS4" s="1" t="s">
        <v>293</v>
      </c>
      <c r="DT4" s="1" t="s">
        <v>293</v>
      </c>
      <c r="DU4" s="1" t="s">
        <v>293</v>
      </c>
      <c r="DV4" s="1" t="s">
        <v>293</v>
      </c>
      <c r="DW4" s="1" t="s">
        <v>293</v>
      </c>
      <c r="DX4" s="1" t="s">
        <v>293</v>
      </c>
      <c r="DY4" s="1" t="s">
        <v>293</v>
      </c>
      <c r="DZ4" s="1" t="s">
        <v>293</v>
      </c>
      <c r="EA4" s="1" t="s">
        <v>254</v>
      </c>
      <c r="EB4" s="1" t="s">
        <v>254</v>
      </c>
      <c r="EC4" s="1" t="s">
        <v>254</v>
      </c>
      <c r="ED4" s="12"/>
      <c r="EE4" s="1" t="s">
        <v>255</v>
      </c>
      <c r="EF4" s="1" t="s">
        <v>354</v>
      </c>
      <c r="EG4" s="1" t="s">
        <v>295</v>
      </c>
      <c r="EI4" s="1" t="s">
        <v>293</v>
      </c>
      <c r="EJ4" s="1" t="s">
        <v>293</v>
      </c>
      <c r="EK4" s="1" t="s">
        <v>293</v>
      </c>
      <c r="EL4" s="1" t="s">
        <v>293</v>
      </c>
      <c r="EM4" s="1" t="s">
        <v>293</v>
      </c>
      <c r="EN4" s="1" t="s">
        <v>296</v>
      </c>
      <c r="EO4" s="1" t="s">
        <v>293</v>
      </c>
      <c r="EP4" s="1" t="s">
        <v>293</v>
      </c>
      <c r="EQ4" s="1" t="s">
        <v>293</v>
      </c>
      <c r="ER4" s="1" t="s">
        <v>293</v>
      </c>
      <c r="ES4" s="1" t="s">
        <v>293</v>
      </c>
      <c r="ET4" s="1" t="s">
        <v>293</v>
      </c>
      <c r="EU4" s="1" t="s">
        <v>293</v>
      </c>
      <c r="EV4" s="1" t="s">
        <v>297</v>
      </c>
      <c r="EW4" s="1" t="s">
        <v>254</v>
      </c>
      <c r="EX4" s="1" t="s">
        <v>254</v>
      </c>
      <c r="EY4" s="1">
        <v>0.0</v>
      </c>
      <c r="EZ4" s="1">
        <v>0.0</v>
      </c>
      <c r="FA4" s="1">
        <v>0.0</v>
      </c>
      <c r="FB4" s="1" t="s">
        <v>254</v>
      </c>
      <c r="FC4" s="1">
        <v>0.0</v>
      </c>
      <c r="FD4" s="1">
        <v>0.0</v>
      </c>
      <c r="FE4" s="1">
        <v>0.0</v>
      </c>
      <c r="FF4" s="1" t="s">
        <v>293</v>
      </c>
      <c r="FG4" s="1">
        <v>0.0</v>
      </c>
      <c r="FH4" s="1">
        <v>0.0</v>
      </c>
      <c r="FI4" s="12"/>
      <c r="FJ4" s="1" t="s">
        <v>293</v>
      </c>
      <c r="FK4" s="1">
        <v>0.0</v>
      </c>
      <c r="FL4" s="1">
        <v>0.0</v>
      </c>
      <c r="FM4" s="1">
        <v>0.0</v>
      </c>
      <c r="FN4" s="1" t="s">
        <v>293</v>
      </c>
      <c r="FO4" s="1">
        <v>0.0</v>
      </c>
      <c r="FP4" s="1">
        <v>0.0</v>
      </c>
      <c r="FQ4" s="1">
        <v>0.0</v>
      </c>
      <c r="FR4" s="27" t="s">
        <v>198</v>
      </c>
      <c r="FS4" s="28" t="s">
        <v>205</v>
      </c>
      <c r="FT4" s="28" t="s">
        <v>205</v>
      </c>
      <c r="FU4" s="28" t="s">
        <v>205</v>
      </c>
      <c r="FV4" s="1">
        <v>6.0</v>
      </c>
      <c r="FW4" s="1" t="s">
        <v>299</v>
      </c>
      <c r="FX4" s="1">
        <v>15.0</v>
      </c>
      <c r="FY4" s="1" t="s">
        <v>299</v>
      </c>
      <c r="FZ4" s="1">
        <v>6.0</v>
      </c>
      <c r="GA4" s="1" t="s">
        <v>299</v>
      </c>
      <c r="GB4" s="1" t="s">
        <v>301</v>
      </c>
      <c r="GC4" s="1" t="s">
        <v>301</v>
      </c>
      <c r="GD4" s="1">
        <v>6.0</v>
      </c>
      <c r="GE4" s="1" t="s">
        <v>299</v>
      </c>
      <c r="GF4" s="1" t="s">
        <v>301</v>
      </c>
      <c r="GG4" s="1" t="s">
        <v>301</v>
      </c>
      <c r="GH4" s="1">
        <v>6.0</v>
      </c>
      <c r="GI4" s="1" t="s">
        <v>299</v>
      </c>
      <c r="GJ4" s="1">
        <v>6.0</v>
      </c>
      <c r="GK4" s="1" t="s">
        <v>299</v>
      </c>
      <c r="GL4" s="1">
        <v>6.0</v>
      </c>
      <c r="GM4" s="1" t="s">
        <v>299</v>
      </c>
      <c r="GN4" s="1">
        <v>12.0</v>
      </c>
      <c r="GO4" s="1" t="s">
        <v>299</v>
      </c>
      <c r="GP4" s="1">
        <v>16.0</v>
      </c>
      <c r="GQ4" s="1" t="s">
        <v>299</v>
      </c>
      <c r="GR4" s="1">
        <v>20.0</v>
      </c>
      <c r="GS4" s="1" t="s">
        <v>331</v>
      </c>
      <c r="GT4" s="1">
        <v>6.0</v>
      </c>
      <c r="GU4" s="1" t="s">
        <v>299</v>
      </c>
      <c r="GV4" s="1" t="s">
        <v>301</v>
      </c>
      <c r="GW4" s="1" t="s">
        <v>301</v>
      </c>
      <c r="GX4" s="1" t="s">
        <v>301</v>
      </c>
      <c r="GY4" s="1" t="s">
        <v>301</v>
      </c>
      <c r="GZ4" s="1">
        <v>20.0</v>
      </c>
      <c r="HA4" s="1" t="s">
        <v>299</v>
      </c>
      <c r="HB4" s="1" t="s">
        <v>301</v>
      </c>
      <c r="HC4" s="1" t="s">
        <v>301</v>
      </c>
      <c r="HD4" s="1" t="s">
        <v>301</v>
      </c>
      <c r="HE4" s="1" t="s">
        <v>301</v>
      </c>
      <c r="HF4" s="1">
        <v>6.0</v>
      </c>
      <c r="HG4" s="1" t="s">
        <v>299</v>
      </c>
      <c r="HH4" s="1">
        <v>18.0</v>
      </c>
      <c r="HI4" s="1" t="s">
        <v>299</v>
      </c>
      <c r="HJ4" s="1" t="s">
        <v>301</v>
      </c>
      <c r="HK4" s="1" t="s">
        <v>301</v>
      </c>
    </row>
    <row r="5">
      <c r="A5" s="29" t="s">
        <v>355</v>
      </c>
      <c r="B5" s="3">
        <v>4.0</v>
      </c>
      <c r="C5" s="3" t="s">
        <v>356</v>
      </c>
      <c r="D5" s="30">
        <v>28466.0</v>
      </c>
      <c r="E5" s="1">
        <v>48.0</v>
      </c>
      <c r="F5" s="3" t="s">
        <v>252</v>
      </c>
      <c r="G5" s="3" t="s">
        <v>253</v>
      </c>
      <c r="H5" s="3" t="s">
        <v>253</v>
      </c>
      <c r="I5" s="3" t="s">
        <v>252</v>
      </c>
      <c r="J5" s="3" t="s">
        <v>253</v>
      </c>
      <c r="K5" s="3" t="s">
        <v>253</v>
      </c>
      <c r="L5" s="3" t="s">
        <v>254</v>
      </c>
      <c r="M5" s="3" t="s">
        <v>255</v>
      </c>
      <c r="N5" s="3" t="s">
        <v>357</v>
      </c>
      <c r="O5" s="3" t="s">
        <v>255</v>
      </c>
      <c r="P5" s="3" t="s">
        <v>254</v>
      </c>
      <c r="Q5" s="3" t="s">
        <v>358</v>
      </c>
      <c r="R5" s="7" t="s">
        <v>298</v>
      </c>
      <c r="S5" s="7" t="s">
        <v>359</v>
      </c>
      <c r="T5" s="1" t="s">
        <v>305</v>
      </c>
      <c r="U5" s="1" t="s">
        <v>360</v>
      </c>
      <c r="V5" s="1" t="s">
        <v>361</v>
      </c>
      <c r="W5" s="1" t="s">
        <v>254</v>
      </c>
      <c r="X5" s="1" t="s">
        <v>255</v>
      </c>
      <c r="Y5" s="31" t="s">
        <v>362</v>
      </c>
      <c r="Z5" s="1">
        <v>5.0</v>
      </c>
      <c r="AA5" s="1" t="s">
        <v>363</v>
      </c>
      <c r="AB5" s="1">
        <v>0.0</v>
      </c>
      <c r="AC5" s="1">
        <v>0.0</v>
      </c>
      <c r="AD5" s="1">
        <v>0.0</v>
      </c>
      <c r="AE5" s="1">
        <v>0.0</v>
      </c>
      <c r="AF5" s="1" t="s">
        <v>255</v>
      </c>
      <c r="AG5" s="1" t="s">
        <v>364</v>
      </c>
      <c r="AH5" s="1" t="s">
        <v>365</v>
      </c>
      <c r="AI5" s="30">
        <v>45460.0</v>
      </c>
      <c r="AJ5" s="1" t="s">
        <v>366</v>
      </c>
      <c r="AK5" s="1" t="s">
        <v>267</v>
      </c>
      <c r="AL5" s="1" t="s">
        <v>367</v>
      </c>
      <c r="AM5" s="1" t="s">
        <v>269</v>
      </c>
      <c r="AN5" s="1" t="s">
        <v>269</v>
      </c>
      <c r="AO5" s="1" t="s">
        <v>270</v>
      </c>
      <c r="AP5" s="1" t="s">
        <v>271</v>
      </c>
      <c r="AQ5" s="1" t="s">
        <v>343</v>
      </c>
      <c r="AR5" s="1">
        <v>3.0</v>
      </c>
      <c r="AS5" s="1" t="s">
        <v>368</v>
      </c>
      <c r="AT5" s="1" t="s">
        <v>274</v>
      </c>
      <c r="AU5" s="1" t="s">
        <v>370</v>
      </c>
      <c r="AV5" s="31" t="s">
        <v>317</v>
      </c>
      <c r="AW5" s="1" t="s">
        <v>346</v>
      </c>
      <c r="AX5" s="1" t="s">
        <v>254</v>
      </c>
      <c r="AY5" s="1">
        <v>0.0</v>
      </c>
      <c r="AZ5" s="1" t="s">
        <v>255</v>
      </c>
      <c r="BA5" s="31" t="s">
        <v>319</v>
      </c>
      <c r="BB5" s="1" t="s">
        <v>255</v>
      </c>
      <c r="BC5" s="1" t="s">
        <v>279</v>
      </c>
      <c r="BD5" s="1">
        <v>0.0</v>
      </c>
      <c r="BE5" s="1">
        <v>1.0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 t="s">
        <v>320</v>
      </c>
      <c r="BM5" s="1" t="s">
        <v>367</v>
      </c>
      <c r="BN5" s="1" t="s">
        <v>269</v>
      </c>
      <c r="BO5" s="1" t="s">
        <v>269</v>
      </c>
      <c r="BP5" s="1" t="s">
        <v>270</v>
      </c>
      <c r="BQ5" s="1" t="s">
        <v>271</v>
      </c>
      <c r="BR5" s="12"/>
      <c r="BS5" s="1" t="s">
        <v>254</v>
      </c>
      <c r="BT5" s="1" t="s">
        <v>254</v>
      </c>
      <c r="BU5" s="1" t="s">
        <v>254</v>
      </c>
      <c r="BV5" s="1" t="s">
        <v>254</v>
      </c>
      <c r="BW5" s="1" t="s">
        <v>254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 t="s">
        <v>254</v>
      </c>
      <c r="CN5" s="1">
        <v>0.0</v>
      </c>
      <c r="CO5" s="1" t="s">
        <v>254</v>
      </c>
      <c r="CP5" s="1">
        <v>0.0</v>
      </c>
      <c r="CQ5" s="1">
        <v>4.0</v>
      </c>
      <c r="CR5" s="1">
        <v>2.0</v>
      </c>
      <c r="CS5" s="1">
        <v>2.0</v>
      </c>
      <c r="CT5" s="1" t="s">
        <v>376</v>
      </c>
      <c r="CU5" s="1" t="s">
        <v>377</v>
      </c>
      <c r="CV5" s="1" t="s">
        <v>254</v>
      </c>
      <c r="CW5" s="1" t="s">
        <v>254</v>
      </c>
      <c r="CX5" s="1" t="s">
        <v>254</v>
      </c>
      <c r="CY5" s="1" t="s">
        <v>254</v>
      </c>
      <c r="CZ5" s="1" t="s">
        <v>254</v>
      </c>
      <c r="DA5" s="1" t="s">
        <v>255</v>
      </c>
      <c r="DB5" s="1" t="s">
        <v>254</v>
      </c>
      <c r="DC5" s="1" t="s">
        <v>254</v>
      </c>
      <c r="DD5" s="1" t="s">
        <v>255</v>
      </c>
      <c r="DE5" s="1" t="s">
        <v>353</v>
      </c>
      <c r="DF5" s="1" t="s">
        <v>293</v>
      </c>
      <c r="DG5" s="1" t="s">
        <v>353</v>
      </c>
      <c r="DH5" s="1" t="s">
        <v>353</v>
      </c>
      <c r="DI5" s="1" t="s">
        <v>353</v>
      </c>
      <c r="DJ5" s="1" t="s">
        <v>293</v>
      </c>
      <c r="DK5" s="1" t="s">
        <v>293</v>
      </c>
      <c r="DL5" s="1" t="s">
        <v>353</v>
      </c>
      <c r="DM5" s="1" t="s">
        <v>293</v>
      </c>
      <c r="DN5" s="1" t="s">
        <v>293</v>
      </c>
      <c r="DO5" s="1" t="s">
        <v>293</v>
      </c>
      <c r="DP5" s="1" t="s">
        <v>293</v>
      </c>
      <c r="DQ5" s="1" t="s">
        <v>293</v>
      </c>
      <c r="DR5" s="1" t="s">
        <v>293</v>
      </c>
      <c r="DS5" s="1" t="s">
        <v>293</v>
      </c>
      <c r="DT5" s="1" t="s">
        <v>293</v>
      </c>
      <c r="DU5" s="1" t="s">
        <v>293</v>
      </c>
      <c r="DV5" s="1" t="s">
        <v>293</v>
      </c>
      <c r="DW5" s="1" t="s">
        <v>293</v>
      </c>
      <c r="DX5" s="1" t="s">
        <v>293</v>
      </c>
      <c r="DY5" s="1" t="s">
        <v>293</v>
      </c>
      <c r="DZ5" s="1" t="s">
        <v>293</v>
      </c>
      <c r="EA5" s="1" t="s">
        <v>254</v>
      </c>
      <c r="EB5" s="1" t="s">
        <v>254</v>
      </c>
      <c r="EC5" s="1" t="s">
        <v>254</v>
      </c>
      <c r="ED5" s="1">
        <v>0.0</v>
      </c>
      <c r="EE5" s="1" t="s">
        <v>255</v>
      </c>
      <c r="EF5" s="1" t="s">
        <v>294</v>
      </c>
      <c r="EG5" s="1" t="s">
        <v>295</v>
      </c>
      <c r="EI5" s="31" t="s">
        <v>383</v>
      </c>
      <c r="EJ5" s="1" t="s">
        <v>293</v>
      </c>
      <c r="EK5" s="1" t="s">
        <v>293</v>
      </c>
      <c r="EL5" s="1" t="s">
        <v>293</v>
      </c>
      <c r="EM5" s="1" t="s">
        <v>293</v>
      </c>
      <c r="EN5" s="1" t="s">
        <v>293</v>
      </c>
      <c r="EO5" s="1" t="s">
        <v>293</v>
      </c>
      <c r="EP5" s="1" t="s">
        <v>293</v>
      </c>
      <c r="EQ5" s="1" t="s">
        <v>293</v>
      </c>
      <c r="ER5" s="1" t="s">
        <v>293</v>
      </c>
      <c r="ES5" s="1" t="s">
        <v>293</v>
      </c>
      <c r="ET5" s="1" t="s">
        <v>293</v>
      </c>
      <c r="EU5" s="1" t="s">
        <v>293</v>
      </c>
      <c r="EV5" s="1" t="s">
        <v>387</v>
      </c>
      <c r="EW5" s="1" t="s">
        <v>254</v>
      </c>
      <c r="EX5" s="1" t="s">
        <v>254</v>
      </c>
      <c r="EY5" s="1">
        <v>0.0</v>
      </c>
      <c r="EZ5" s="1">
        <v>0.0</v>
      </c>
      <c r="FA5" s="1">
        <v>0.0</v>
      </c>
      <c r="FB5" s="1" t="s">
        <v>254</v>
      </c>
      <c r="FC5" s="1">
        <v>0.0</v>
      </c>
      <c r="FD5" s="1">
        <v>0.0</v>
      </c>
      <c r="FE5" s="1">
        <v>0.0</v>
      </c>
      <c r="FF5" s="1" t="s">
        <v>293</v>
      </c>
      <c r="FG5" s="1">
        <v>0.0</v>
      </c>
      <c r="FH5" s="1">
        <v>0.0</v>
      </c>
      <c r="FI5" s="12"/>
      <c r="FJ5" s="1" t="s">
        <v>293</v>
      </c>
      <c r="FK5" s="1">
        <v>0.0</v>
      </c>
      <c r="FL5" s="1">
        <v>0.0</v>
      </c>
      <c r="FM5" s="1">
        <v>0.0</v>
      </c>
      <c r="FN5" s="1" t="s">
        <v>293</v>
      </c>
      <c r="FO5" s="1">
        <v>0.0</v>
      </c>
      <c r="FP5" s="1">
        <v>0.0</v>
      </c>
      <c r="FQ5" s="1">
        <v>0.0</v>
      </c>
      <c r="FR5" s="28" t="s">
        <v>357</v>
      </c>
      <c r="FS5" s="28" t="s">
        <v>298</v>
      </c>
      <c r="FT5" s="28" t="s">
        <v>298</v>
      </c>
      <c r="FU5" s="28" t="s">
        <v>298</v>
      </c>
      <c r="FV5" s="12"/>
      <c r="FW5" s="12"/>
      <c r="FX5" s="12"/>
      <c r="FY5" s="12"/>
      <c r="FZ5" s="12"/>
      <c r="GA5" s="34"/>
      <c r="GB5" s="34"/>
      <c r="GC5" s="12"/>
      <c r="GD5" s="12"/>
      <c r="GE5" s="34"/>
      <c r="GF5" s="34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34"/>
      <c r="GV5" s="34"/>
      <c r="GW5" s="34"/>
      <c r="GX5" s="34"/>
      <c r="GY5" s="12"/>
      <c r="GZ5" s="12"/>
      <c r="HA5" s="34"/>
      <c r="HB5" s="34"/>
      <c r="HC5" s="34"/>
      <c r="HD5" s="34"/>
      <c r="HE5" s="12"/>
      <c r="HF5" s="12"/>
      <c r="HG5" s="12"/>
      <c r="HH5" s="12"/>
      <c r="HI5" s="34"/>
      <c r="HJ5" s="34"/>
      <c r="HK5" s="12"/>
    </row>
    <row r="6">
      <c r="A6" s="29" t="s">
        <v>391</v>
      </c>
      <c r="B6" s="3">
        <v>5.0</v>
      </c>
      <c r="C6" s="3" t="s">
        <v>392</v>
      </c>
      <c r="D6" s="1">
        <v>1947.0</v>
      </c>
      <c r="E6" s="1">
        <v>79.0</v>
      </c>
      <c r="F6" s="3" t="s">
        <v>253</v>
      </c>
      <c r="G6" s="3" t="s">
        <v>252</v>
      </c>
      <c r="H6" s="3" t="s">
        <v>253</v>
      </c>
      <c r="I6" s="3" t="s">
        <v>253</v>
      </c>
      <c r="J6" s="3" t="s">
        <v>252</v>
      </c>
      <c r="K6" s="3" t="s">
        <v>252</v>
      </c>
      <c r="L6" s="3" t="s">
        <v>254</v>
      </c>
      <c r="M6" s="3" t="s">
        <v>254</v>
      </c>
      <c r="N6" s="3" t="s">
        <v>254</v>
      </c>
      <c r="O6" s="3" t="s">
        <v>254</v>
      </c>
      <c r="P6" s="3" t="s">
        <v>255</v>
      </c>
      <c r="Q6" s="3" t="s">
        <v>358</v>
      </c>
      <c r="R6" s="7" t="s">
        <v>298</v>
      </c>
      <c r="S6" s="7" t="s">
        <v>359</v>
      </c>
      <c r="T6" s="1" t="s">
        <v>259</v>
      </c>
      <c r="U6" s="1" t="s">
        <v>306</v>
      </c>
      <c r="V6" s="1" t="s">
        <v>393</v>
      </c>
      <c r="W6" s="1" t="s">
        <v>394</v>
      </c>
      <c r="X6" s="1" t="s">
        <v>254</v>
      </c>
      <c r="Y6" s="1">
        <v>0.0</v>
      </c>
      <c r="Z6" s="1">
        <v>0.0</v>
      </c>
      <c r="AA6" s="1">
        <v>0.0</v>
      </c>
      <c r="AB6" s="1" t="s">
        <v>395</v>
      </c>
      <c r="AD6" s="1" t="s">
        <v>396</v>
      </c>
      <c r="AE6" s="1" t="s">
        <v>265</v>
      </c>
      <c r="AF6" s="1" t="s">
        <v>255</v>
      </c>
      <c r="AG6" s="1" t="s">
        <v>397</v>
      </c>
      <c r="AH6" s="1" t="s">
        <v>398</v>
      </c>
      <c r="AI6" s="1" t="s">
        <v>399</v>
      </c>
      <c r="AJ6" s="1" t="s">
        <v>366</v>
      </c>
      <c r="AK6" s="1" t="s">
        <v>267</v>
      </c>
      <c r="AL6" s="1" t="s">
        <v>400</v>
      </c>
      <c r="AM6" s="1" t="s">
        <v>269</v>
      </c>
      <c r="AN6" s="1" t="s">
        <v>269</v>
      </c>
      <c r="AO6" s="1" t="s">
        <v>270</v>
      </c>
      <c r="AP6" s="1" t="s">
        <v>284</v>
      </c>
      <c r="AQ6" s="1" t="s">
        <v>401</v>
      </c>
      <c r="AR6" s="1">
        <v>5.0</v>
      </c>
      <c r="AS6" s="1" t="s">
        <v>273</v>
      </c>
      <c r="AT6" s="1" t="s">
        <v>274</v>
      </c>
      <c r="AU6" s="1" t="s">
        <v>275</v>
      </c>
      <c r="AV6" s="1" t="s">
        <v>317</v>
      </c>
      <c r="AW6" s="1" t="s">
        <v>402</v>
      </c>
      <c r="AX6" s="1" t="s">
        <v>254</v>
      </c>
      <c r="AY6" s="1">
        <v>0.0</v>
      </c>
      <c r="AZ6" s="1" t="s">
        <v>255</v>
      </c>
      <c r="BA6" s="1" t="s">
        <v>319</v>
      </c>
      <c r="BB6" s="1" t="s">
        <v>255</v>
      </c>
      <c r="BC6" s="31" t="s">
        <v>279</v>
      </c>
      <c r="BD6" s="1">
        <v>1.0</v>
      </c>
      <c r="BE6" s="1">
        <v>0.0</v>
      </c>
      <c r="BF6" s="1">
        <v>0.0</v>
      </c>
      <c r="BG6" s="1">
        <v>0.0</v>
      </c>
      <c r="BH6" s="1">
        <v>1.0</v>
      </c>
      <c r="BI6" s="1" t="s">
        <v>405</v>
      </c>
      <c r="BJ6" s="1" t="s">
        <v>263</v>
      </c>
      <c r="BK6" s="1" t="s">
        <v>407</v>
      </c>
      <c r="BL6" s="1" t="s">
        <v>382</v>
      </c>
      <c r="BM6" s="1" t="s">
        <v>408</v>
      </c>
      <c r="BN6" s="1" t="s">
        <v>408</v>
      </c>
      <c r="BO6" s="1" t="s">
        <v>409</v>
      </c>
      <c r="BP6" s="1" t="s">
        <v>409</v>
      </c>
      <c r="BQ6" s="1" t="s">
        <v>411</v>
      </c>
      <c r="BR6" s="1" t="s">
        <v>255</v>
      </c>
      <c r="BS6" s="1" t="s">
        <v>413</v>
      </c>
      <c r="BT6" s="1" t="s">
        <v>414</v>
      </c>
      <c r="BU6" s="1" t="s">
        <v>254</v>
      </c>
      <c r="BV6" s="1" t="s">
        <v>254</v>
      </c>
      <c r="BW6" s="1" t="s">
        <v>255</v>
      </c>
      <c r="BX6" s="1">
        <v>10.0</v>
      </c>
      <c r="BY6" s="1">
        <v>1.0</v>
      </c>
      <c r="BZ6" s="1">
        <v>1.0</v>
      </c>
      <c r="CA6" s="1">
        <v>10.0</v>
      </c>
      <c r="CB6" s="1">
        <v>0.0</v>
      </c>
      <c r="CC6" s="1">
        <v>0.0</v>
      </c>
      <c r="CD6" s="1">
        <v>0.0</v>
      </c>
      <c r="CE6" s="1">
        <v>0.0</v>
      </c>
      <c r="CF6" s="1">
        <v>1.0</v>
      </c>
      <c r="CG6" s="1">
        <v>1.0</v>
      </c>
      <c r="CH6" s="1">
        <v>0.0</v>
      </c>
      <c r="CI6" s="1">
        <v>0.0</v>
      </c>
      <c r="CJ6" s="1" t="s">
        <v>416</v>
      </c>
      <c r="CK6" s="1" t="s">
        <v>384</v>
      </c>
      <c r="CL6" s="1" t="s">
        <v>317</v>
      </c>
      <c r="CM6" s="1" t="s">
        <v>254</v>
      </c>
      <c r="CN6" s="1">
        <v>0.0</v>
      </c>
      <c r="CO6" s="1" t="s">
        <v>254</v>
      </c>
      <c r="CP6" s="1">
        <v>0.0</v>
      </c>
      <c r="CQ6" s="1">
        <v>5.0</v>
      </c>
      <c r="CR6" s="1">
        <v>2.0</v>
      </c>
      <c r="CS6" s="1">
        <v>3.0</v>
      </c>
      <c r="CT6" s="1" t="s">
        <v>417</v>
      </c>
      <c r="CU6" s="1" t="s">
        <v>418</v>
      </c>
      <c r="CV6" s="1" t="s">
        <v>254</v>
      </c>
      <c r="CW6" s="1" t="s">
        <v>254</v>
      </c>
      <c r="CX6" s="1" t="s">
        <v>254</v>
      </c>
      <c r="CY6" s="1" t="s">
        <v>254</v>
      </c>
      <c r="CZ6" s="1" t="s">
        <v>254</v>
      </c>
      <c r="DA6" s="1" t="s">
        <v>254</v>
      </c>
      <c r="DB6" s="1" t="s">
        <v>255</v>
      </c>
      <c r="DC6" s="1" t="s">
        <v>254</v>
      </c>
      <c r="DD6" s="1" t="s">
        <v>255</v>
      </c>
      <c r="DE6" s="1" t="s">
        <v>323</v>
      </c>
      <c r="DF6" s="1" t="s">
        <v>293</v>
      </c>
      <c r="DG6" s="1" t="s">
        <v>323</v>
      </c>
      <c r="DH6" s="1" t="s">
        <v>323</v>
      </c>
      <c r="DI6" s="1" t="s">
        <v>291</v>
      </c>
      <c r="DJ6" s="1" t="s">
        <v>293</v>
      </c>
      <c r="DK6" s="1" t="s">
        <v>293</v>
      </c>
      <c r="DL6" s="1" t="s">
        <v>290</v>
      </c>
      <c r="DM6" s="1" t="s">
        <v>323</v>
      </c>
      <c r="DN6" s="1" t="s">
        <v>293</v>
      </c>
      <c r="DO6" s="1" t="s">
        <v>293</v>
      </c>
      <c r="DP6" s="1" t="s">
        <v>293</v>
      </c>
      <c r="DQ6" s="1" t="s">
        <v>293</v>
      </c>
      <c r="DR6" s="1" t="s">
        <v>293</v>
      </c>
      <c r="DS6" s="1" t="s">
        <v>293</v>
      </c>
      <c r="DT6" s="1" t="s">
        <v>293</v>
      </c>
      <c r="DU6" s="1" t="s">
        <v>293</v>
      </c>
      <c r="DV6" s="1" t="s">
        <v>293</v>
      </c>
      <c r="DW6" s="1" t="s">
        <v>293</v>
      </c>
      <c r="DX6" s="1" t="s">
        <v>293</v>
      </c>
      <c r="DY6" s="1" t="s">
        <v>293</v>
      </c>
      <c r="DZ6" s="1" t="s">
        <v>293</v>
      </c>
      <c r="EA6" s="1" t="s">
        <v>254</v>
      </c>
      <c r="EB6" s="1" t="s">
        <v>254</v>
      </c>
      <c r="EC6" s="1" t="s">
        <v>254</v>
      </c>
      <c r="ED6" s="1">
        <v>0.0</v>
      </c>
      <c r="EE6" s="1" t="s">
        <v>254</v>
      </c>
      <c r="EF6" s="38"/>
      <c r="EG6" s="12"/>
      <c r="EH6" s="12"/>
      <c r="EI6" s="1" t="s">
        <v>293</v>
      </c>
      <c r="EJ6" s="1" t="s">
        <v>293</v>
      </c>
      <c r="EK6" s="1" t="s">
        <v>293</v>
      </c>
      <c r="EL6" s="1" t="s">
        <v>293</v>
      </c>
      <c r="EM6" s="1" t="s">
        <v>293</v>
      </c>
      <c r="EN6" s="1" t="s">
        <v>293</v>
      </c>
      <c r="EO6" s="1" t="s">
        <v>293</v>
      </c>
      <c r="EP6" s="1" t="s">
        <v>293</v>
      </c>
      <c r="EQ6" s="1" t="s">
        <v>293</v>
      </c>
      <c r="ER6" s="1" t="s">
        <v>293</v>
      </c>
      <c r="ES6" s="1" t="s">
        <v>293</v>
      </c>
      <c r="ET6" s="1" t="s">
        <v>293</v>
      </c>
      <c r="EU6" s="1" t="s">
        <v>422</v>
      </c>
      <c r="EV6" s="1" t="s">
        <v>423</v>
      </c>
      <c r="EW6" s="1" t="s">
        <v>255</v>
      </c>
      <c r="EX6" s="1" t="s">
        <v>254</v>
      </c>
      <c r="EY6" s="1" t="s">
        <v>425</v>
      </c>
      <c r="EZ6" s="1" t="s">
        <v>427</v>
      </c>
      <c r="FA6" s="1" t="s">
        <v>428</v>
      </c>
      <c r="FB6" s="1" t="s">
        <v>255</v>
      </c>
      <c r="FC6" s="1" t="s">
        <v>425</v>
      </c>
      <c r="FD6" s="1" t="s">
        <v>429</v>
      </c>
      <c r="FE6" s="1" t="s">
        <v>428</v>
      </c>
      <c r="FF6" s="1" t="s">
        <v>430</v>
      </c>
      <c r="FG6" s="1" t="s">
        <v>425</v>
      </c>
      <c r="FH6" s="1" t="s">
        <v>427</v>
      </c>
      <c r="FI6" s="12"/>
      <c r="FJ6" s="1" t="s">
        <v>430</v>
      </c>
      <c r="FK6" s="1" t="s">
        <v>425</v>
      </c>
      <c r="FL6" s="1" t="s">
        <v>427</v>
      </c>
      <c r="FM6" s="12"/>
      <c r="FN6" s="1" t="s">
        <v>293</v>
      </c>
      <c r="FO6" s="1">
        <v>0.0</v>
      </c>
      <c r="FP6" s="12"/>
      <c r="FQ6" s="1">
        <v>0.0</v>
      </c>
      <c r="FR6" s="28" t="s">
        <v>357</v>
      </c>
      <c r="FS6" s="28" t="s">
        <v>298</v>
      </c>
      <c r="FT6" s="28" t="s">
        <v>298</v>
      </c>
      <c r="FU6" s="28" t="s">
        <v>298</v>
      </c>
      <c r="FV6" s="12"/>
      <c r="FW6" s="12"/>
      <c r="FX6" s="12"/>
      <c r="FY6" s="12"/>
      <c r="FZ6" s="12"/>
      <c r="GA6" s="34"/>
      <c r="GB6" s="34"/>
      <c r="GC6" s="12"/>
      <c r="GD6" s="12"/>
      <c r="GE6" s="34"/>
      <c r="GF6" s="34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34"/>
      <c r="GV6" s="34"/>
      <c r="GW6" s="34"/>
      <c r="GX6" s="34"/>
      <c r="GY6" s="12"/>
      <c r="GZ6" s="12"/>
      <c r="HA6" s="34"/>
      <c r="HB6" s="34"/>
      <c r="HC6" s="34"/>
      <c r="HD6" s="34"/>
      <c r="HE6" s="12"/>
      <c r="HF6" s="12"/>
      <c r="HG6" s="12"/>
      <c r="HH6" s="12"/>
      <c r="HI6" s="34"/>
      <c r="HJ6" s="34"/>
      <c r="HK6" s="12"/>
    </row>
    <row r="7">
      <c r="A7" s="29" t="s">
        <v>433</v>
      </c>
      <c r="B7" s="3">
        <v>6.0</v>
      </c>
      <c r="C7" s="3" t="s">
        <v>434</v>
      </c>
      <c r="D7" s="30">
        <v>20938.0</v>
      </c>
      <c r="E7" s="1">
        <v>69.0</v>
      </c>
      <c r="F7" s="3" t="s">
        <v>253</v>
      </c>
      <c r="G7" s="3" t="s">
        <v>252</v>
      </c>
      <c r="H7" s="3" t="s">
        <v>253</v>
      </c>
      <c r="I7" s="3" t="s">
        <v>252</v>
      </c>
      <c r="J7" s="3" t="s">
        <v>252</v>
      </c>
      <c r="K7" s="3" t="s">
        <v>252</v>
      </c>
      <c r="L7" s="3" t="s">
        <v>254</v>
      </c>
      <c r="M7" s="3" t="s">
        <v>254</v>
      </c>
      <c r="N7" s="3" t="s">
        <v>254</v>
      </c>
      <c r="O7" s="3" t="s">
        <v>254</v>
      </c>
      <c r="P7" s="3" t="s">
        <v>255</v>
      </c>
      <c r="Q7" s="3" t="s">
        <v>358</v>
      </c>
      <c r="R7" s="7" t="s">
        <v>298</v>
      </c>
      <c r="S7" s="7" t="s">
        <v>359</v>
      </c>
      <c r="T7" s="1" t="s">
        <v>259</v>
      </c>
      <c r="U7" s="1" t="s">
        <v>306</v>
      </c>
      <c r="V7" s="1" t="s">
        <v>435</v>
      </c>
      <c r="W7" s="1" t="s">
        <v>436</v>
      </c>
      <c r="X7" s="1" t="s">
        <v>254</v>
      </c>
      <c r="Y7" s="12"/>
      <c r="Z7" s="1">
        <v>0.0</v>
      </c>
      <c r="AA7" s="1">
        <v>0.0</v>
      </c>
      <c r="AB7" s="1" t="s">
        <v>437</v>
      </c>
      <c r="AC7" s="1">
        <v>0.0</v>
      </c>
      <c r="AD7" s="1" t="s">
        <v>438</v>
      </c>
      <c r="AE7" s="1" t="s">
        <v>265</v>
      </c>
      <c r="AF7" s="1" t="s">
        <v>255</v>
      </c>
      <c r="AG7" s="1" t="s">
        <v>439</v>
      </c>
      <c r="AH7" s="1" t="s">
        <v>440</v>
      </c>
      <c r="AI7" s="1" t="s">
        <v>441</v>
      </c>
      <c r="AJ7" s="30">
        <v>45474.0</v>
      </c>
      <c r="AK7" s="1" t="s">
        <v>267</v>
      </c>
      <c r="AL7" s="1" t="s">
        <v>442</v>
      </c>
      <c r="AN7" s="1" t="s">
        <v>269</v>
      </c>
      <c r="AP7" s="1" t="s">
        <v>342</v>
      </c>
      <c r="AQ7" s="1" t="s">
        <v>443</v>
      </c>
      <c r="AR7" s="1">
        <v>2.0</v>
      </c>
      <c r="AS7" s="1" t="s">
        <v>273</v>
      </c>
      <c r="AT7" s="1" t="s">
        <v>274</v>
      </c>
      <c r="AU7" s="1" t="s">
        <v>316</v>
      </c>
      <c r="AV7" s="1" t="s">
        <v>379</v>
      </c>
      <c r="AW7" s="1" t="s">
        <v>402</v>
      </c>
      <c r="AX7" s="1" t="s">
        <v>254</v>
      </c>
      <c r="AY7" s="1">
        <v>0.0</v>
      </c>
      <c r="AZ7" s="1" t="s">
        <v>255</v>
      </c>
      <c r="BA7" s="1" t="s">
        <v>446</v>
      </c>
      <c r="BB7" s="1" t="s">
        <v>255</v>
      </c>
      <c r="BC7" s="1" t="s">
        <v>279</v>
      </c>
      <c r="BD7" s="1">
        <v>1.0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 t="s">
        <v>382</v>
      </c>
      <c r="BM7" s="1" t="s">
        <v>442</v>
      </c>
      <c r="BO7" s="1" t="s">
        <v>269</v>
      </c>
      <c r="BQ7" s="1" t="s">
        <v>342</v>
      </c>
      <c r="BR7" s="1" t="s">
        <v>255</v>
      </c>
      <c r="BS7" s="1" t="s">
        <v>447</v>
      </c>
      <c r="BT7" s="1" t="s">
        <v>414</v>
      </c>
      <c r="BU7" s="1" t="s">
        <v>254</v>
      </c>
      <c r="BV7" s="1" t="s">
        <v>254</v>
      </c>
      <c r="BW7" s="1" t="s">
        <v>254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 t="s">
        <v>254</v>
      </c>
      <c r="CN7" s="1">
        <v>0.0</v>
      </c>
      <c r="CO7" s="1" t="s">
        <v>254</v>
      </c>
      <c r="CP7" s="1">
        <v>0.0</v>
      </c>
      <c r="CQ7" s="1">
        <v>0.0</v>
      </c>
      <c r="CR7" s="1">
        <v>0.0</v>
      </c>
      <c r="CS7" s="1">
        <v>2.0</v>
      </c>
      <c r="CT7" s="1" t="s">
        <v>448</v>
      </c>
      <c r="CU7" s="1" t="s">
        <v>449</v>
      </c>
      <c r="CV7" s="1" t="s">
        <v>255</v>
      </c>
      <c r="CW7" s="1" t="s">
        <v>254</v>
      </c>
      <c r="CX7" s="1" t="s">
        <v>254</v>
      </c>
      <c r="CY7" s="1" t="s">
        <v>254</v>
      </c>
      <c r="CZ7" s="1" t="s">
        <v>254</v>
      </c>
      <c r="DA7" s="1" t="s">
        <v>255</v>
      </c>
      <c r="DB7" s="1" t="s">
        <v>254</v>
      </c>
      <c r="DC7" s="1" t="s">
        <v>255</v>
      </c>
      <c r="DD7" s="1" t="s">
        <v>255</v>
      </c>
      <c r="DE7" s="1" t="s">
        <v>388</v>
      </c>
      <c r="DF7" s="1" t="s">
        <v>293</v>
      </c>
      <c r="DG7" s="1" t="s">
        <v>450</v>
      </c>
      <c r="DH7" s="1" t="s">
        <v>293</v>
      </c>
      <c r="DI7" s="1" t="s">
        <v>293</v>
      </c>
      <c r="DJ7" s="1" t="s">
        <v>293</v>
      </c>
      <c r="DK7" s="1" t="s">
        <v>293</v>
      </c>
      <c r="DL7" s="1" t="s">
        <v>353</v>
      </c>
      <c r="DM7" s="1" t="s">
        <v>293</v>
      </c>
      <c r="DN7" s="1" t="s">
        <v>293</v>
      </c>
      <c r="DO7" s="1" t="s">
        <v>293</v>
      </c>
      <c r="DP7" s="1" t="s">
        <v>451</v>
      </c>
      <c r="DQ7" s="1" t="s">
        <v>293</v>
      </c>
      <c r="DR7" s="1" t="s">
        <v>293</v>
      </c>
      <c r="DS7" s="1" t="s">
        <v>293</v>
      </c>
      <c r="DT7" s="1" t="s">
        <v>293</v>
      </c>
      <c r="DU7" s="1" t="s">
        <v>293</v>
      </c>
      <c r="DV7" s="1" t="s">
        <v>293</v>
      </c>
      <c r="DW7" s="1" t="s">
        <v>293</v>
      </c>
      <c r="DX7" s="1" t="s">
        <v>293</v>
      </c>
      <c r="DY7" s="1" t="s">
        <v>293</v>
      </c>
      <c r="DZ7" s="1" t="s">
        <v>293</v>
      </c>
      <c r="EA7" s="1" t="s">
        <v>254</v>
      </c>
      <c r="EB7" s="1" t="s">
        <v>254</v>
      </c>
      <c r="EC7" s="1" t="s">
        <v>254</v>
      </c>
      <c r="ED7" s="1">
        <v>0.0</v>
      </c>
      <c r="EE7" s="1" t="s">
        <v>255</v>
      </c>
      <c r="EF7" s="1" t="s">
        <v>452</v>
      </c>
      <c r="EG7" s="1" t="s">
        <v>389</v>
      </c>
      <c r="EI7" s="1" t="s">
        <v>390</v>
      </c>
      <c r="EJ7" s="1" t="s">
        <v>293</v>
      </c>
      <c r="EK7" s="1" t="s">
        <v>293</v>
      </c>
      <c r="EL7" s="1" t="s">
        <v>293</v>
      </c>
      <c r="EM7" s="1" t="s">
        <v>293</v>
      </c>
      <c r="EN7" s="1" t="s">
        <v>353</v>
      </c>
      <c r="EO7" s="1" t="s">
        <v>293</v>
      </c>
      <c r="EP7" s="1" t="s">
        <v>293</v>
      </c>
      <c r="EQ7" s="1" t="s">
        <v>293</v>
      </c>
      <c r="ER7" s="1" t="s">
        <v>293</v>
      </c>
      <c r="ES7" s="1" t="s">
        <v>293</v>
      </c>
      <c r="ET7" s="1" t="s">
        <v>293</v>
      </c>
      <c r="EU7" s="1" t="s">
        <v>293</v>
      </c>
      <c r="EV7" s="1" t="s">
        <v>387</v>
      </c>
      <c r="EW7" s="1" t="s">
        <v>254</v>
      </c>
      <c r="EX7" s="1" t="s">
        <v>254</v>
      </c>
      <c r="EY7" s="12"/>
      <c r="EZ7" s="1" t="s">
        <v>427</v>
      </c>
      <c r="FA7" s="1" t="s">
        <v>453</v>
      </c>
      <c r="FB7" s="1" t="s">
        <v>454</v>
      </c>
      <c r="FC7" s="1">
        <v>0.0</v>
      </c>
      <c r="FD7" s="1">
        <v>0.0</v>
      </c>
      <c r="FE7" s="1">
        <v>0.0</v>
      </c>
      <c r="FF7" s="1" t="s">
        <v>454</v>
      </c>
      <c r="FG7" s="1">
        <v>0.0</v>
      </c>
      <c r="FH7" s="1">
        <v>0.0</v>
      </c>
      <c r="FI7" s="12"/>
      <c r="FJ7" s="1" t="s">
        <v>454</v>
      </c>
      <c r="FK7" s="1">
        <v>0.0</v>
      </c>
      <c r="FL7" s="1">
        <v>0.0</v>
      </c>
      <c r="FM7" s="1">
        <v>0.0</v>
      </c>
      <c r="FN7" s="1" t="s">
        <v>454</v>
      </c>
      <c r="FO7" s="1">
        <v>0.0</v>
      </c>
      <c r="FP7" s="1">
        <v>0.0</v>
      </c>
      <c r="FQ7" s="1">
        <v>0.0</v>
      </c>
      <c r="FR7" s="28" t="s">
        <v>357</v>
      </c>
      <c r="FS7" s="28" t="s">
        <v>298</v>
      </c>
      <c r="FT7" s="28" t="s">
        <v>298</v>
      </c>
      <c r="FU7" s="28" t="s">
        <v>298</v>
      </c>
      <c r="FV7" s="12"/>
      <c r="FW7" s="12"/>
      <c r="FX7" s="12"/>
      <c r="FY7" s="12"/>
      <c r="FZ7" s="12"/>
      <c r="GA7" s="34"/>
      <c r="GB7" s="34"/>
      <c r="GC7" s="12"/>
      <c r="GD7" s="12"/>
      <c r="GE7" s="34"/>
      <c r="GF7" s="34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34"/>
      <c r="GV7" s="34"/>
      <c r="GW7" s="34"/>
      <c r="GX7" s="34"/>
      <c r="GY7" s="12"/>
      <c r="GZ7" s="12"/>
      <c r="HA7" s="34"/>
      <c r="HB7" s="34"/>
      <c r="HC7" s="34"/>
      <c r="HD7" s="34"/>
      <c r="HE7" s="12"/>
      <c r="HF7" s="12"/>
      <c r="HG7" s="12"/>
      <c r="HH7" s="12"/>
      <c r="HI7" s="34"/>
      <c r="HJ7" s="34"/>
      <c r="HK7" s="12"/>
    </row>
    <row r="8">
      <c r="A8" s="29" t="s">
        <v>455</v>
      </c>
      <c r="B8" s="3">
        <v>7.0</v>
      </c>
      <c r="C8" s="3" t="s">
        <v>456</v>
      </c>
      <c r="D8" s="1">
        <v>1982.0</v>
      </c>
      <c r="E8" s="1">
        <v>44.0</v>
      </c>
      <c r="F8" s="3" t="s">
        <v>253</v>
      </c>
      <c r="G8" s="3" t="s">
        <v>252</v>
      </c>
      <c r="H8" s="3" t="s">
        <v>253</v>
      </c>
      <c r="I8" s="3" t="s">
        <v>253</v>
      </c>
      <c r="J8" s="3" t="s">
        <v>252</v>
      </c>
      <c r="K8" s="3" t="s">
        <v>252</v>
      </c>
      <c r="L8" s="3" t="s">
        <v>254</v>
      </c>
      <c r="M8" s="3" t="s">
        <v>254</v>
      </c>
      <c r="N8" s="3" t="s">
        <v>254</v>
      </c>
      <c r="O8" s="3" t="s">
        <v>254</v>
      </c>
      <c r="P8" s="3" t="s">
        <v>255</v>
      </c>
      <c r="Q8" s="3" t="s">
        <v>358</v>
      </c>
      <c r="R8" s="7" t="s">
        <v>298</v>
      </c>
      <c r="S8" s="7" t="s">
        <v>359</v>
      </c>
      <c r="T8" s="1" t="s">
        <v>259</v>
      </c>
      <c r="U8" s="1" t="s">
        <v>360</v>
      </c>
      <c r="V8" s="1" t="s">
        <v>457</v>
      </c>
      <c r="W8" s="1" t="s">
        <v>254</v>
      </c>
      <c r="X8" s="1" t="s">
        <v>254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 t="s">
        <v>255</v>
      </c>
      <c r="AG8" s="31" t="s">
        <v>458</v>
      </c>
      <c r="AH8" s="1" t="s">
        <v>459</v>
      </c>
      <c r="AI8" s="1" t="s">
        <v>460</v>
      </c>
      <c r="AJ8" s="1" t="s">
        <v>461</v>
      </c>
      <c r="AK8" s="1" t="s">
        <v>462</v>
      </c>
      <c r="AL8" s="1" t="s">
        <v>463</v>
      </c>
      <c r="AM8" s="1" t="s">
        <v>269</v>
      </c>
      <c r="AN8" s="1" t="s">
        <v>269</v>
      </c>
      <c r="AO8" s="1" t="s">
        <v>270</v>
      </c>
      <c r="AP8" s="1" t="s">
        <v>284</v>
      </c>
      <c r="AQ8" s="1" t="s">
        <v>464</v>
      </c>
      <c r="AR8" s="1">
        <v>2.0</v>
      </c>
      <c r="AS8" s="1" t="s">
        <v>273</v>
      </c>
      <c r="AT8" s="1" t="s">
        <v>274</v>
      </c>
      <c r="AU8" s="1" t="s">
        <v>465</v>
      </c>
      <c r="AV8" s="1" t="s">
        <v>317</v>
      </c>
      <c r="AW8" s="1" t="s">
        <v>402</v>
      </c>
      <c r="AX8" s="1" t="s">
        <v>254</v>
      </c>
      <c r="AY8" s="1">
        <v>0.0</v>
      </c>
      <c r="AZ8" s="1" t="s">
        <v>255</v>
      </c>
      <c r="BA8" s="1" t="s">
        <v>319</v>
      </c>
      <c r="BB8" s="1" t="s">
        <v>255</v>
      </c>
      <c r="BC8" s="1" t="s">
        <v>279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 t="s">
        <v>466</v>
      </c>
      <c r="BM8" s="1" t="s">
        <v>463</v>
      </c>
      <c r="BN8" s="1" t="s">
        <v>269</v>
      </c>
      <c r="BO8" s="1" t="s">
        <v>269</v>
      </c>
      <c r="BP8" s="1" t="s">
        <v>270</v>
      </c>
      <c r="BQ8" s="1" t="s">
        <v>284</v>
      </c>
      <c r="BR8" s="1" t="s">
        <v>254</v>
      </c>
      <c r="BS8" s="1" t="s">
        <v>254</v>
      </c>
      <c r="BT8" s="1" t="s">
        <v>254</v>
      </c>
      <c r="BU8" s="1" t="s">
        <v>254</v>
      </c>
      <c r="BV8" s="1" t="s">
        <v>254</v>
      </c>
      <c r="BW8" s="1" t="s">
        <v>254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 t="s">
        <v>254</v>
      </c>
      <c r="CN8" s="1">
        <v>0.0</v>
      </c>
      <c r="CO8" s="1" t="s">
        <v>254</v>
      </c>
      <c r="CP8" s="1">
        <v>0.0</v>
      </c>
      <c r="CQ8" s="1">
        <v>0.0</v>
      </c>
      <c r="CR8" s="1">
        <v>0.0</v>
      </c>
      <c r="CS8" s="1">
        <v>4.0</v>
      </c>
      <c r="CT8" s="1" t="s">
        <v>473</v>
      </c>
      <c r="CU8" s="1" t="s">
        <v>474</v>
      </c>
      <c r="CV8" s="1" t="s">
        <v>255</v>
      </c>
      <c r="CW8" s="1" t="s">
        <v>255</v>
      </c>
      <c r="CX8" s="1" t="s">
        <v>254</v>
      </c>
      <c r="CY8" s="1" t="s">
        <v>254</v>
      </c>
      <c r="CZ8" s="1" t="s">
        <v>254</v>
      </c>
      <c r="DA8" s="1" t="s">
        <v>255</v>
      </c>
      <c r="DB8" s="1" t="s">
        <v>255</v>
      </c>
      <c r="DC8" s="1" t="s">
        <v>255</v>
      </c>
      <c r="DD8" s="1" t="s">
        <v>255</v>
      </c>
      <c r="DE8" s="1" t="s">
        <v>477</v>
      </c>
      <c r="DF8" s="1" t="s">
        <v>293</v>
      </c>
      <c r="DG8" s="1" t="s">
        <v>353</v>
      </c>
      <c r="DH8" s="31" t="s">
        <v>383</v>
      </c>
      <c r="DI8" s="1" t="s">
        <v>450</v>
      </c>
      <c r="DJ8" s="1" t="s">
        <v>293</v>
      </c>
      <c r="DK8" s="1" t="s">
        <v>293</v>
      </c>
      <c r="DL8" s="1" t="s">
        <v>388</v>
      </c>
      <c r="DM8" s="1" t="s">
        <v>293</v>
      </c>
      <c r="DN8" s="1" t="s">
        <v>450</v>
      </c>
      <c r="DO8" s="1" t="s">
        <v>293</v>
      </c>
      <c r="DP8" s="12"/>
      <c r="DQ8" s="1" t="s">
        <v>293</v>
      </c>
      <c r="DR8" s="1" t="s">
        <v>293</v>
      </c>
      <c r="DS8" s="1" t="s">
        <v>293</v>
      </c>
      <c r="DT8" s="1" t="s">
        <v>293</v>
      </c>
      <c r="DU8" s="1" t="s">
        <v>293</v>
      </c>
      <c r="DV8" s="1" t="s">
        <v>293</v>
      </c>
      <c r="DW8" s="1" t="s">
        <v>293</v>
      </c>
      <c r="DX8" s="1" t="s">
        <v>293</v>
      </c>
      <c r="DY8" s="1" t="s">
        <v>293</v>
      </c>
      <c r="DZ8" s="1" t="s">
        <v>293</v>
      </c>
      <c r="EA8" s="1" t="s">
        <v>254</v>
      </c>
      <c r="EB8" s="1" t="s">
        <v>254</v>
      </c>
      <c r="EC8" s="1" t="s">
        <v>254</v>
      </c>
      <c r="ED8" s="1">
        <v>0.0</v>
      </c>
      <c r="EE8" s="1" t="s">
        <v>255</v>
      </c>
      <c r="EF8" s="1" t="s">
        <v>325</v>
      </c>
      <c r="EG8" s="1" t="s">
        <v>389</v>
      </c>
      <c r="EI8" s="1" t="s">
        <v>293</v>
      </c>
      <c r="EJ8" s="1" t="s">
        <v>293</v>
      </c>
      <c r="EK8" s="1" t="s">
        <v>293</v>
      </c>
      <c r="EL8" s="1" t="s">
        <v>293</v>
      </c>
      <c r="EM8" s="1" t="s">
        <v>293</v>
      </c>
      <c r="EN8" s="1" t="s">
        <v>293</v>
      </c>
      <c r="EO8" s="1" t="s">
        <v>293</v>
      </c>
      <c r="EP8" s="1" t="s">
        <v>293</v>
      </c>
      <c r="EQ8" s="1" t="s">
        <v>293</v>
      </c>
      <c r="ER8" s="1" t="s">
        <v>293</v>
      </c>
      <c r="ES8" s="1" t="s">
        <v>293</v>
      </c>
      <c r="ET8" s="1" t="s">
        <v>293</v>
      </c>
      <c r="EU8" s="1" t="s">
        <v>293</v>
      </c>
      <c r="EV8" s="1" t="s">
        <v>387</v>
      </c>
      <c r="EW8" s="1" t="s">
        <v>255</v>
      </c>
      <c r="EX8" s="1" t="s">
        <v>254</v>
      </c>
      <c r="EY8" s="1" t="s">
        <v>484</v>
      </c>
      <c r="EZ8" s="1">
        <v>0.0</v>
      </c>
      <c r="FA8" s="1">
        <v>0.0</v>
      </c>
      <c r="FB8" s="1" t="s">
        <v>255</v>
      </c>
      <c r="FC8" s="1" t="s">
        <v>454</v>
      </c>
      <c r="FD8" s="1" t="s">
        <v>486</v>
      </c>
      <c r="FE8" s="1" t="s">
        <v>488</v>
      </c>
      <c r="FF8" s="1" t="s">
        <v>454</v>
      </c>
      <c r="FG8" s="1">
        <v>0.0</v>
      </c>
      <c r="FH8" s="1">
        <v>0.0</v>
      </c>
      <c r="FI8" s="1" t="s">
        <v>453</v>
      </c>
      <c r="FJ8" s="1" t="s">
        <v>454</v>
      </c>
      <c r="FK8" s="1">
        <v>0.0</v>
      </c>
      <c r="FL8" s="1">
        <v>0.0</v>
      </c>
      <c r="FM8" s="1">
        <v>0.0</v>
      </c>
      <c r="FN8" s="1" t="s">
        <v>293</v>
      </c>
      <c r="FO8" s="1">
        <v>0.0</v>
      </c>
      <c r="FP8" s="1">
        <v>0.0</v>
      </c>
      <c r="FQ8" s="1">
        <v>0.0</v>
      </c>
      <c r="FR8" s="28" t="s">
        <v>357</v>
      </c>
      <c r="FS8" s="28" t="s">
        <v>298</v>
      </c>
      <c r="FT8" s="28" t="s">
        <v>298</v>
      </c>
      <c r="FU8" s="28" t="s">
        <v>298</v>
      </c>
      <c r="FV8" s="12"/>
      <c r="FW8" s="12"/>
      <c r="FX8" s="12"/>
      <c r="FY8" s="12"/>
      <c r="FZ8" s="12"/>
      <c r="GA8" s="34"/>
      <c r="GB8" s="34"/>
      <c r="GC8" s="12"/>
      <c r="GD8" s="12"/>
      <c r="GE8" s="34"/>
      <c r="GF8" s="34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34"/>
      <c r="GV8" s="34"/>
      <c r="GW8" s="34"/>
      <c r="GX8" s="34"/>
      <c r="GY8" s="12"/>
      <c r="GZ8" s="12"/>
      <c r="HA8" s="34"/>
      <c r="HB8" s="34"/>
      <c r="HC8" s="34"/>
      <c r="HD8" s="34"/>
      <c r="HE8" s="12"/>
      <c r="HF8" s="12"/>
      <c r="HG8" s="12"/>
      <c r="HH8" s="12"/>
      <c r="HI8" s="34"/>
      <c r="HJ8" s="34"/>
      <c r="HK8" s="12"/>
    </row>
    <row r="9">
      <c r="A9" s="29" t="s">
        <v>489</v>
      </c>
      <c r="B9" s="3">
        <v>8.0</v>
      </c>
      <c r="C9" s="3" t="s">
        <v>490</v>
      </c>
      <c r="D9" s="30">
        <v>36497.0</v>
      </c>
      <c r="E9" s="1">
        <v>26.0</v>
      </c>
      <c r="F9" s="3" t="s">
        <v>253</v>
      </c>
      <c r="G9" s="3" t="s">
        <v>252</v>
      </c>
      <c r="H9" s="3" t="s">
        <v>253</v>
      </c>
      <c r="I9" s="3" t="s">
        <v>253</v>
      </c>
      <c r="J9" s="3" t="s">
        <v>252</v>
      </c>
      <c r="K9" s="3" t="s">
        <v>252</v>
      </c>
      <c r="L9" s="3" t="s">
        <v>254</v>
      </c>
      <c r="M9" s="3" t="s">
        <v>254</v>
      </c>
      <c r="N9" s="3" t="s">
        <v>254</v>
      </c>
      <c r="O9" s="3" t="s">
        <v>254</v>
      </c>
      <c r="P9" s="3" t="s">
        <v>255</v>
      </c>
      <c r="Q9" s="3" t="s">
        <v>358</v>
      </c>
      <c r="R9" s="7" t="s">
        <v>298</v>
      </c>
      <c r="S9" s="7" t="s">
        <v>359</v>
      </c>
      <c r="T9" s="1" t="s">
        <v>259</v>
      </c>
      <c r="U9" s="1">
        <v>0.0</v>
      </c>
      <c r="V9" s="31" t="s">
        <v>491</v>
      </c>
      <c r="W9" s="1" t="s">
        <v>254</v>
      </c>
      <c r="X9" s="1" t="s">
        <v>255</v>
      </c>
      <c r="Y9" s="31" t="s">
        <v>362</v>
      </c>
      <c r="Z9" s="1">
        <v>3.0</v>
      </c>
      <c r="AA9" s="1" t="s">
        <v>492</v>
      </c>
      <c r="AB9" s="1">
        <v>0.0</v>
      </c>
      <c r="AC9" s="1">
        <v>0.0</v>
      </c>
      <c r="AD9" s="1">
        <v>0.0</v>
      </c>
      <c r="AE9" s="1">
        <v>0.0</v>
      </c>
      <c r="AF9" s="1" t="s">
        <v>254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 t="s">
        <v>493</v>
      </c>
      <c r="AM9" s="1" t="s">
        <v>269</v>
      </c>
      <c r="AN9" s="1" t="s">
        <v>269</v>
      </c>
      <c r="AO9" s="1" t="s">
        <v>270</v>
      </c>
      <c r="AP9" s="1" t="s">
        <v>284</v>
      </c>
      <c r="AQ9" s="1" t="s">
        <v>476</v>
      </c>
      <c r="AR9" s="1">
        <v>2.0</v>
      </c>
      <c r="AS9" s="1" t="s">
        <v>273</v>
      </c>
      <c r="AT9" s="1" t="s">
        <v>274</v>
      </c>
      <c r="AU9" s="1" t="s">
        <v>316</v>
      </c>
      <c r="AV9" s="1" t="s">
        <v>317</v>
      </c>
      <c r="AW9" s="1" t="s">
        <v>380</v>
      </c>
      <c r="AX9" s="1" t="s">
        <v>254</v>
      </c>
      <c r="AY9" s="1">
        <v>0.0</v>
      </c>
      <c r="AZ9" s="1" t="s">
        <v>255</v>
      </c>
      <c r="BA9" s="1" t="s">
        <v>319</v>
      </c>
      <c r="BB9" s="1" t="s">
        <v>254</v>
      </c>
      <c r="BC9" s="1" t="s">
        <v>279</v>
      </c>
      <c r="BD9" s="1">
        <v>0.0</v>
      </c>
      <c r="BE9" s="1">
        <v>0.0</v>
      </c>
      <c r="BF9" s="1">
        <v>0.0</v>
      </c>
      <c r="BG9" s="1">
        <v>0.0</v>
      </c>
      <c r="BH9" s="1">
        <v>1.0</v>
      </c>
      <c r="BI9" s="1" t="s">
        <v>494</v>
      </c>
      <c r="BJ9" s="1" t="s">
        <v>263</v>
      </c>
      <c r="BK9" s="1" t="s">
        <v>407</v>
      </c>
      <c r="BL9" s="1" t="s">
        <v>382</v>
      </c>
      <c r="BM9" s="1" t="s">
        <v>493</v>
      </c>
      <c r="BN9" s="1" t="s">
        <v>269</v>
      </c>
      <c r="BO9" s="1" t="s">
        <v>269</v>
      </c>
      <c r="BP9" s="1" t="s">
        <v>270</v>
      </c>
      <c r="BQ9" s="1" t="s">
        <v>284</v>
      </c>
      <c r="BR9" s="1" t="s">
        <v>254</v>
      </c>
      <c r="BS9" s="1" t="s">
        <v>254</v>
      </c>
      <c r="BT9" s="1" t="s">
        <v>254</v>
      </c>
      <c r="BU9" s="1" t="s">
        <v>254</v>
      </c>
      <c r="BV9" s="1" t="s">
        <v>254</v>
      </c>
      <c r="BW9" s="1" t="s">
        <v>254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 t="s">
        <v>254</v>
      </c>
      <c r="CN9" s="1">
        <v>0.0</v>
      </c>
      <c r="CO9" s="1" t="s">
        <v>254</v>
      </c>
      <c r="CP9" s="1">
        <v>0.0</v>
      </c>
      <c r="CQ9" s="1">
        <v>1.0</v>
      </c>
      <c r="CR9" s="1">
        <v>0.0</v>
      </c>
      <c r="CS9" s="12"/>
      <c r="CT9" s="1">
        <v>1999.0</v>
      </c>
      <c r="CU9" s="1" t="s">
        <v>497</v>
      </c>
      <c r="CV9" s="1" t="s">
        <v>254</v>
      </c>
      <c r="CW9" s="1" t="s">
        <v>254</v>
      </c>
      <c r="CX9" s="1" t="s">
        <v>254</v>
      </c>
      <c r="CY9" s="1" t="s">
        <v>254</v>
      </c>
      <c r="CZ9" s="1" t="s">
        <v>254</v>
      </c>
      <c r="DA9" s="1" t="s">
        <v>255</v>
      </c>
      <c r="DB9" s="1" t="s">
        <v>255</v>
      </c>
      <c r="DC9" s="1" t="s">
        <v>254</v>
      </c>
      <c r="DD9" s="12"/>
      <c r="DE9" s="1" t="s">
        <v>424</v>
      </c>
      <c r="DF9" s="1" t="s">
        <v>293</v>
      </c>
      <c r="DG9" s="1" t="s">
        <v>388</v>
      </c>
      <c r="DH9" s="1" t="s">
        <v>388</v>
      </c>
      <c r="DI9" s="1" t="s">
        <v>424</v>
      </c>
      <c r="DJ9" s="1" t="s">
        <v>293</v>
      </c>
      <c r="DK9" s="1" t="s">
        <v>293</v>
      </c>
      <c r="DL9" s="1" t="s">
        <v>293</v>
      </c>
      <c r="DM9" s="1" t="s">
        <v>293</v>
      </c>
      <c r="DN9" s="1" t="s">
        <v>293</v>
      </c>
      <c r="DO9" s="1" t="s">
        <v>293</v>
      </c>
      <c r="DP9" s="1" t="s">
        <v>293</v>
      </c>
      <c r="DQ9" s="1" t="s">
        <v>293</v>
      </c>
      <c r="DR9" s="1" t="s">
        <v>293</v>
      </c>
      <c r="DS9" s="1" t="s">
        <v>293</v>
      </c>
      <c r="DT9" s="1" t="s">
        <v>293</v>
      </c>
      <c r="DU9" s="1" t="s">
        <v>293</v>
      </c>
      <c r="DV9" s="1" t="s">
        <v>293</v>
      </c>
      <c r="DW9" s="1" t="s">
        <v>293</v>
      </c>
      <c r="DX9" s="1" t="s">
        <v>293</v>
      </c>
      <c r="DY9" s="1" t="s">
        <v>293</v>
      </c>
      <c r="DZ9" s="1" t="s">
        <v>293</v>
      </c>
      <c r="EA9" s="1" t="s">
        <v>254</v>
      </c>
      <c r="EB9" s="1" t="s">
        <v>254</v>
      </c>
      <c r="EC9" s="1" t="s">
        <v>254</v>
      </c>
      <c r="ED9" s="1">
        <v>0.0</v>
      </c>
      <c r="EE9" s="1" t="s">
        <v>255</v>
      </c>
      <c r="EF9" s="1" t="s">
        <v>452</v>
      </c>
      <c r="EG9" s="1" t="s">
        <v>389</v>
      </c>
      <c r="EI9" s="1" t="s">
        <v>293</v>
      </c>
      <c r="EJ9" s="1" t="s">
        <v>293</v>
      </c>
      <c r="EK9" s="1" t="s">
        <v>293</v>
      </c>
      <c r="EL9" s="1" t="s">
        <v>293</v>
      </c>
      <c r="EM9" s="1" t="s">
        <v>293</v>
      </c>
      <c r="EN9" s="1" t="s">
        <v>293</v>
      </c>
      <c r="EO9" s="1" t="s">
        <v>293</v>
      </c>
      <c r="EP9" s="1" t="s">
        <v>293</v>
      </c>
      <c r="EQ9" s="1" t="s">
        <v>293</v>
      </c>
      <c r="ER9" s="1" t="s">
        <v>293</v>
      </c>
      <c r="ES9" s="1" t="s">
        <v>293</v>
      </c>
      <c r="ET9" s="1" t="s">
        <v>293</v>
      </c>
      <c r="EU9" s="1" t="s">
        <v>293</v>
      </c>
      <c r="EV9" s="1" t="s">
        <v>423</v>
      </c>
      <c r="EW9" s="1" t="s">
        <v>254</v>
      </c>
      <c r="EX9" s="1" t="s">
        <v>254</v>
      </c>
      <c r="EY9" s="1" t="s">
        <v>484</v>
      </c>
      <c r="EZ9" s="1" t="s">
        <v>503</v>
      </c>
      <c r="FA9" s="1" t="s">
        <v>504</v>
      </c>
      <c r="FB9" s="1" t="s">
        <v>254</v>
      </c>
      <c r="FC9" s="1">
        <v>0.0</v>
      </c>
      <c r="FD9" s="1">
        <v>0.0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0.0</v>
      </c>
      <c r="FP9" s="1">
        <v>0.0</v>
      </c>
      <c r="FQ9" s="1">
        <v>0.0</v>
      </c>
      <c r="FR9" s="28" t="s">
        <v>357</v>
      </c>
      <c r="FS9" s="28" t="s">
        <v>298</v>
      </c>
      <c r="FT9" s="28" t="s">
        <v>298</v>
      </c>
      <c r="FU9" s="28" t="s">
        <v>298</v>
      </c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</row>
    <row r="10">
      <c r="A10" s="29" t="s">
        <v>507</v>
      </c>
      <c r="B10" s="3">
        <v>9.0</v>
      </c>
      <c r="C10" s="3" t="s">
        <v>508</v>
      </c>
      <c r="D10" s="30">
        <v>18457.0</v>
      </c>
      <c r="E10" s="1">
        <v>75.0</v>
      </c>
      <c r="F10" s="3" t="s">
        <v>253</v>
      </c>
      <c r="G10" s="3" t="s">
        <v>252</v>
      </c>
      <c r="H10" s="3" t="s">
        <v>253</v>
      </c>
      <c r="I10" s="3" t="s">
        <v>253</v>
      </c>
      <c r="J10" s="3" t="s">
        <v>252</v>
      </c>
      <c r="K10" s="3" t="s">
        <v>252</v>
      </c>
      <c r="L10" s="3" t="s">
        <v>254</v>
      </c>
      <c r="M10" s="3" t="s">
        <v>254</v>
      </c>
      <c r="N10" s="3" t="s">
        <v>254</v>
      </c>
      <c r="O10" s="3" t="s">
        <v>357</v>
      </c>
      <c r="P10" s="3" t="s">
        <v>255</v>
      </c>
      <c r="Q10" s="3" t="s">
        <v>358</v>
      </c>
      <c r="R10" s="7" t="s">
        <v>298</v>
      </c>
      <c r="S10" s="7" t="s">
        <v>359</v>
      </c>
      <c r="T10" s="1" t="s">
        <v>305</v>
      </c>
      <c r="U10" s="1" t="s">
        <v>469</v>
      </c>
      <c r="V10" s="1" t="s">
        <v>510</v>
      </c>
      <c r="W10" s="1" t="s">
        <v>254</v>
      </c>
      <c r="X10" s="1" t="s">
        <v>254</v>
      </c>
      <c r="Y10" s="1">
        <v>0.0</v>
      </c>
      <c r="Z10" s="1">
        <v>0.0</v>
      </c>
      <c r="AA10" s="1">
        <v>0.0</v>
      </c>
      <c r="AB10" s="1" t="s">
        <v>511</v>
      </c>
      <c r="AC10" s="1">
        <v>0.0</v>
      </c>
      <c r="AD10" s="1" t="s">
        <v>513</v>
      </c>
      <c r="AE10" s="1" t="s">
        <v>265</v>
      </c>
      <c r="AF10" s="1" t="s">
        <v>255</v>
      </c>
      <c r="AG10" s="1" t="s">
        <v>515</v>
      </c>
      <c r="AH10" s="1" t="s">
        <v>516</v>
      </c>
      <c r="AI10" s="30">
        <v>45483.0</v>
      </c>
      <c r="AJ10" s="1" t="s">
        <v>366</v>
      </c>
      <c r="AK10" s="1" t="s">
        <v>517</v>
      </c>
      <c r="AL10" s="1" t="s">
        <v>518</v>
      </c>
      <c r="AM10" s="1" t="s">
        <v>269</v>
      </c>
      <c r="AN10" s="1" t="s">
        <v>269</v>
      </c>
      <c r="AO10" s="1" t="s">
        <v>270</v>
      </c>
      <c r="AP10" s="1" t="s">
        <v>342</v>
      </c>
      <c r="AQ10" s="1" t="s">
        <v>343</v>
      </c>
      <c r="AR10" s="1">
        <v>5.0</v>
      </c>
      <c r="AS10" s="1" t="s">
        <v>368</v>
      </c>
      <c r="AT10" s="1" t="s">
        <v>274</v>
      </c>
      <c r="AU10" s="1" t="s">
        <v>344</v>
      </c>
      <c r="AV10" s="1" t="s">
        <v>519</v>
      </c>
      <c r="AW10" s="1" t="s">
        <v>520</v>
      </c>
      <c r="AX10" s="1" t="s">
        <v>255</v>
      </c>
      <c r="AY10" s="1" t="s">
        <v>521</v>
      </c>
      <c r="AZ10" s="1" t="s">
        <v>254</v>
      </c>
      <c r="BA10" s="1" t="s">
        <v>347</v>
      </c>
      <c r="BB10" s="1" t="s">
        <v>255</v>
      </c>
      <c r="BC10" s="1" t="s">
        <v>279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 t="s">
        <v>320</v>
      </c>
      <c r="BM10" s="1" t="s">
        <v>518</v>
      </c>
      <c r="BN10" s="1" t="s">
        <v>269</v>
      </c>
      <c r="BO10" s="1" t="s">
        <v>269</v>
      </c>
      <c r="BP10" s="1" t="s">
        <v>270</v>
      </c>
      <c r="BQ10" s="1" t="s">
        <v>342</v>
      </c>
      <c r="BR10" s="1" t="s">
        <v>254</v>
      </c>
      <c r="BS10" s="1" t="s">
        <v>254</v>
      </c>
      <c r="BT10" s="1" t="s">
        <v>254</v>
      </c>
      <c r="BU10" s="1" t="s">
        <v>254</v>
      </c>
      <c r="BV10" s="1" t="s">
        <v>254</v>
      </c>
      <c r="BW10" s="1" t="s">
        <v>255</v>
      </c>
      <c r="BX10" s="1">
        <v>3.0</v>
      </c>
      <c r="BY10" s="1">
        <v>0.0</v>
      </c>
      <c r="BZ10" s="12"/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1.0</v>
      </c>
      <c r="CG10" s="1">
        <v>1.0</v>
      </c>
      <c r="CH10" s="1">
        <v>0.0</v>
      </c>
      <c r="CI10" s="1">
        <v>0.0</v>
      </c>
      <c r="CJ10" s="1" t="s">
        <v>524</v>
      </c>
      <c r="CK10" s="1" t="s">
        <v>525</v>
      </c>
      <c r="CL10" s="1" t="s">
        <v>526</v>
      </c>
      <c r="CM10" s="1" t="s">
        <v>254</v>
      </c>
      <c r="CN10" s="1">
        <v>0.0</v>
      </c>
      <c r="CO10" s="1" t="s">
        <v>254</v>
      </c>
      <c r="CP10" s="1">
        <v>0.0</v>
      </c>
      <c r="CQ10" s="1">
        <v>4.0</v>
      </c>
      <c r="CR10" s="1">
        <v>2.0</v>
      </c>
      <c r="CS10" s="1">
        <v>2.0</v>
      </c>
      <c r="CT10" s="1" t="s">
        <v>527</v>
      </c>
      <c r="CU10" s="1" t="s">
        <v>528</v>
      </c>
      <c r="CV10" s="1" t="s">
        <v>254</v>
      </c>
      <c r="CW10" s="1" t="s">
        <v>254</v>
      </c>
      <c r="CX10" s="1" t="s">
        <v>254</v>
      </c>
      <c r="CY10" s="1" t="s">
        <v>254</v>
      </c>
      <c r="CZ10" s="1" t="s">
        <v>254</v>
      </c>
      <c r="DA10" s="1" t="s">
        <v>255</v>
      </c>
      <c r="DB10" s="1" t="s">
        <v>255</v>
      </c>
      <c r="DC10" s="1" t="s">
        <v>254</v>
      </c>
      <c r="DD10" s="1" t="s">
        <v>255</v>
      </c>
      <c r="DE10" s="1" t="s">
        <v>424</v>
      </c>
      <c r="DF10" s="1" t="s">
        <v>388</v>
      </c>
      <c r="DG10" s="1" t="s">
        <v>293</v>
      </c>
      <c r="DH10" s="1" t="s">
        <v>388</v>
      </c>
      <c r="DI10" s="1" t="s">
        <v>388</v>
      </c>
      <c r="DJ10" s="1" t="s">
        <v>293</v>
      </c>
      <c r="DK10" s="1" t="s">
        <v>293</v>
      </c>
      <c r="DL10" s="1" t="s">
        <v>424</v>
      </c>
      <c r="DM10" s="1" t="s">
        <v>388</v>
      </c>
      <c r="DN10" s="1" t="s">
        <v>388</v>
      </c>
      <c r="DO10" s="1" t="s">
        <v>293</v>
      </c>
      <c r="DP10" s="1" t="s">
        <v>293</v>
      </c>
      <c r="DQ10" s="1" t="s">
        <v>293</v>
      </c>
      <c r="DR10" s="1" t="s">
        <v>293</v>
      </c>
      <c r="DS10" s="1" t="s">
        <v>293</v>
      </c>
      <c r="DT10" s="1" t="s">
        <v>293</v>
      </c>
      <c r="DU10" s="1" t="s">
        <v>293</v>
      </c>
      <c r="DV10" s="1" t="s">
        <v>293</v>
      </c>
      <c r="DW10" s="1" t="s">
        <v>293</v>
      </c>
      <c r="DX10" s="1" t="s">
        <v>293</v>
      </c>
      <c r="DY10" s="1" t="s">
        <v>293</v>
      </c>
      <c r="DZ10" s="1" t="s">
        <v>293</v>
      </c>
      <c r="EA10" s="1" t="s">
        <v>254</v>
      </c>
      <c r="EB10" s="1" t="s">
        <v>254</v>
      </c>
      <c r="EC10" s="1" t="s">
        <v>254</v>
      </c>
      <c r="ED10" s="1">
        <v>0.0</v>
      </c>
      <c r="EE10" s="1" t="s">
        <v>255</v>
      </c>
      <c r="EF10" s="1" t="s">
        <v>531</v>
      </c>
      <c r="EG10" s="1" t="s">
        <v>389</v>
      </c>
      <c r="EI10" s="1" t="s">
        <v>532</v>
      </c>
      <c r="EJ10" s="1" t="s">
        <v>293</v>
      </c>
      <c r="EK10" s="1" t="s">
        <v>293</v>
      </c>
      <c r="EL10" s="1" t="s">
        <v>293</v>
      </c>
      <c r="EM10" s="1" t="s">
        <v>503</v>
      </c>
      <c r="EN10" s="1" t="s">
        <v>503</v>
      </c>
      <c r="EO10" s="1" t="s">
        <v>293</v>
      </c>
      <c r="EP10" s="1" t="s">
        <v>293</v>
      </c>
      <c r="EQ10" s="1" t="s">
        <v>293</v>
      </c>
      <c r="ER10" s="1" t="s">
        <v>293</v>
      </c>
      <c r="ES10" s="1" t="s">
        <v>293</v>
      </c>
      <c r="ET10" s="1" t="s">
        <v>293</v>
      </c>
      <c r="EU10" s="1" t="s">
        <v>293</v>
      </c>
      <c r="EV10" s="1" t="s">
        <v>387</v>
      </c>
      <c r="EW10" s="1" t="s">
        <v>255</v>
      </c>
      <c r="EX10" s="1" t="s">
        <v>254</v>
      </c>
      <c r="EY10" s="1" t="s">
        <v>425</v>
      </c>
      <c r="EZ10" s="1" t="s">
        <v>427</v>
      </c>
      <c r="FA10" s="1" t="s">
        <v>428</v>
      </c>
      <c r="FB10" s="1" t="s">
        <v>255</v>
      </c>
      <c r="FC10" s="1" t="s">
        <v>533</v>
      </c>
      <c r="FE10" s="1" t="s">
        <v>428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2"/>
      <c r="FP10" s="1">
        <v>0.0</v>
      </c>
      <c r="FQ10" s="1">
        <v>0.0</v>
      </c>
      <c r="FR10" s="28" t="s">
        <v>357</v>
      </c>
      <c r="FS10" s="28" t="s">
        <v>298</v>
      </c>
      <c r="FT10" s="28" t="s">
        <v>298</v>
      </c>
      <c r="FU10" s="28" t="s">
        <v>298</v>
      </c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</row>
    <row r="11">
      <c r="A11" s="29" t="s">
        <v>536</v>
      </c>
      <c r="B11" s="3">
        <v>10.0</v>
      </c>
      <c r="C11" s="3" t="s">
        <v>537</v>
      </c>
      <c r="D11" s="1">
        <v>2000.0</v>
      </c>
      <c r="E11" s="1">
        <v>26.0</v>
      </c>
      <c r="F11" s="3" t="s">
        <v>253</v>
      </c>
      <c r="G11" s="3" t="s">
        <v>252</v>
      </c>
      <c r="H11" s="3" t="s">
        <v>253</v>
      </c>
      <c r="I11" s="3" t="s">
        <v>253</v>
      </c>
      <c r="J11" s="3" t="s">
        <v>252</v>
      </c>
      <c r="K11" s="3" t="s">
        <v>252</v>
      </c>
      <c r="L11" s="3" t="s">
        <v>254</v>
      </c>
      <c r="M11" s="3" t="s">
        <v>254</v>
      </c>
      <c r="N11" s="3" t="s">
        <v>254</v>
      </c>
      <c r="O11" s="3" t="s">
        <v>254</v>
      </c>
      <c r="P11" s="3" t="s">
        <v>255</v>
      </c>
      <c r="Q11" s="3" t="s">
        <v>358</v>
      </c>
      <c r="R11" s="7" t="s">
        <v>298</v>
      </c>
      <c r="S11" s="7" t="s">
        <v>359</v>
      </c>
      <c r="T11" s="1" t="s">
        <v>259</v>
      </c>
      <c r="U11" s="1" t="s">
        <v>539</v>
      </c>
      <c r="W11" s="1" t="s">
        <v>254</v>
      </c>
      <c r="X11" s="1" t="s">
        <v>254</v>
      </c>
      <c r="Y11" s="1">
        <v>0.0</v>
      </c>
      <c r="Z11" s="1">
        <v>0.0</v>
      </c>
      <c r="AA11" s="1">
        <v>0.0</v>
      </c>
      <c r="AB11" s="1" t="s">
        <v>540</v>
      </c>
      <c r="AC11" s="1">
        <v>0.0</v>
      </c>
      <c r="AD11" s="1">
        <v>0.0</v>
      </c>
      <c r="AE11" s="1" t="s">
        <v>265</v>
      </c>
      <c r="AF11" s="1" t="s">
        <v>255</v>
      </c>
      <c r="AG11" s="1" t="s">
        <v>266</v>
      </c>
      <c r="AH11" s="1" t="s">
        <v>266</v>
      </c>
      <c r="AI11" s="30">
        <v>45479.0</v>
      </c>
      <c r="AJ11" s="1" t="s">
        <v>366</v>
      </c>
      <c r="AK11" s="1" t="s">
        <v>267</v>
      </c>
      <c r="AL11" s="1" t="s">
        <v>541</v>
      </c>
      <c r="AM11" s="1" t="s">
        <v>269</v>
      </c>
      <c r="AN11" s="1" t="s">
        <v>542</v>
      </c>
      <c r="AO11" s="1" t="s">
        <v>270</v>
      </c>
      <c r="AP11" s="1" t="s">
        <v>271</v>
      </c>
      <c r="AQ11" s="1" t="s">
        <v>476</v>
      </c>
      <c r="AR11" s="1">
        <v>5.0</v>
      </c>
      <c r="AS11" s="1" t="s">
        <v>273</v>
      </c>
      <c r="AT11" s="1" t="s">
        <v>274</v>
      </c>
      <c r="AU11" s="1" t="s">
        <v>275</v>
      </c>
      <c r="AV11" s="1" t="s">
        <v>276</v>
      </c>
      <c r="AW11" s="1" t="s">
        <v>544</v>
      </c>
      <c r="AX11" s="1" t="s">
        <v>254</v>
      </c>
      <c r="AY11" s="1">
        <v>0.0</v>
      </c>
      <c r="AZ11" s="1" t="s">
        <v>255</v>
      </c>
      <c r="BA11" s="1" t="s">
        <v>278</v>
      </c>
      <c r="BB11" s="1" t="s">
        <v>255</v>
      </c>
      <c r="BC11" s="1" t="s">
        <v>279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 t="s">
        <v>320</v>
      </c>
      <c r="BM11" s="1" t="s">
        <v>541</v>
      </c>
      <c r="BN11" s="1" t="s">
        <v>269</v>
      </c>
      <c r="BO11" s="1" t="s">
        <v>542</v>
      </c>
      <c r="BP11" s="1" t="s">
        <v>270</v>
      </c>
      <c r="BQ11" s="1" t="s">
        <v>271</v>
      </c>
      <c r="BR11" s="1" t="s">
        <v>255</v>
      </c>
      <c r="BS11" s="1" t="s">
        <v>545</v>
      </c>
      <c r="BT11" s="1" t="s">
        <v>414</v>
      </c>
      <c r="BU11" s="1" t="s">
        <v>254</v>
      </c>
      <c r="BV11" s="1" t="s">
        <v>254</v>
      </c>
      <c r="BW11" s="1" t="s">
        <v>255</v>
      </c>
      <c r="BX11" s="1">
        <v>20.0</v>
      </c>
      <c r="BY11" s="1">
        <v>2.0</v>
      </c>
      <c r="BZ11" s="1">
        <v>0.0</v>
      </c>
      <c r="CA11" s="1">
        <v>15.0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 t="s">
        <v>547</v>
      </c>
      <c r="CK11" s="1" t="s">
        <v>384</v>
      </c>
      <c r="CL11" s="1" t="s">
        <v>317</v>
      </c>
      <c r="CM11" s="1" t="s">
        <v>255</v>
      </c>
      <c r="CN11" s="1" t="s">
        <v>162</v>
      </c>
      <c r="CO11" s="1" t="s">
        <v>549</v>
      </c>
      <c r="CP11" s="1" t="s">
        <v>549</v>
      </c>
      <c r="CQ11" s="1" t="s">
        <v>551</v>
      </c>
      <c r="CU11" s="12"/>
      <c r="CV11" s="1" t="s">
        <v>255</v>
      </c>
      <c r="CW11" s="1" t="s">
        <v>480</v>
      </c>
      <c r="CX11" s="1" t="s">
        <v>480</v>
      </c>
      <c r="CY11" s="1" t="s">
        <v>480</v>
      </c>
      <c r="CZ11" s="1" t="s">
        <v>254</v>
      </c>
      <c r="DA11" s="1" t="s">
        <v>255</v>
      </c>
      <c r="DB11" s="1" t="s">
        <v>255</v>
      </c>
      <c r="DC11" s="1" t="s">
        <v>254</v>
      </c>
      <c r="DD11" s="1" t="s">
        <v>255</v>
      </c>
      <c r="DE11" s="1" t="s">
        <v>388</v>
      </c>
      <c r="DF11" s="1" t="s">
        <v>293</v>
      </c>
      <c r="DG11" s="1" t="s">
        <v>450</v>
      </c>
      <c r="DH11" s="1" t="s">
        <v>450</v>
      </c>
      <c r="DI11" s="1" t="s">
        <v>450</v>
      </c>
      <c r="DJ11" s="1" t="s">
        <v>293</v>
      </c>
      <c r="DK11" s="1" t="s">
        <v>388</v>
      </c>
      <c r="DL11" s="1" t="s">
        <v>424</v>
      </c>
      <c r="DM11" s="1" t="s">
        <v>388</v>
      </c>
      <c r="DN11" s="1" t="s">
        <v>293</v>
      </c>
      <c r="DO11" s="1" t="s">
        <v>293</v>
      </c>
      <c r="DP11" s="1" t="s">
        <v>293</v>
      </c>
      <c r="DQ11" s="1" t="s">
        <v>293</v>
      </c>
      <c r="DR11" s="1" t="s">
        <v>293</v>
      </c>
      <c r="DS11" s="1" t="s">
        <v>293</v>
      </c>
      <c r="DT11" s="1" t="s">
        <v>293</v>
      </c>
      <c r="DU11" s="1" t="s">
        <v>293</v>
      </c>
      <c r="DV11" s="1" t="s">
        <v>293</v>
      </c>
      <c r="DW11" s="1" t="s">
        <v>293</v>
      </c>
      <c r="DX11" s="1" t="s">
        <v>293</v>
      </c>
      <c r="DY11" s="1" t="s">
        <v>293</v>
      </c>
      <c r="DZ11" s="1" t="s">
        <v>293</v>
      </c>
      <c r="EA11" s="1" t="s">
        <v>255</v>
      </c>
      <c r="EB11" s="1" t="s">
        <v>555</v>
      </c>
      <c r="EC11" s="1" t="s">
        <v>254</v>
      </c>
      <c r="ED11" s="1">
        <v>0.0</v>
      </c>
      <c r="EE11" s="1" t="s">
        <v>255</v>
      </c>
      <c r="EF11" s="1" t="s">
        <v>531</v>
      </c>
      <c r="EG11" s="1" t="s">
        <v>389</v>
      </c>
      <c r="EI11" s="1" t="s">
        <v>293</v>
      </c>
      <c r="EJ11" s="1" t="s">
        <v>293</v>
      </c>
      <c r="EK11" s="1" t="s">
        <v>293</v>
      </c>
      <c r="EL11" s="1" t="s">
        <v>293</v>
      </c>
      <c r="EM11" s="1" t="s">
        <v>293</v>
      </c>
      <c r="EN11" s="1" t="s">
        <v>353</v>
      </c>
      <c r="EO11" s="1" t="s">
        <v>293</v>
      </c>
      <c r="EP11" s="1" t="s">
        <v>293</v>
      </c>
      <c r="EQ11" s="1" t="s">
        <v>293</v>
      </c>
      <c r="ER11" s="1" t="s">
        <v>293</v>
      </c>
      <c r="ES11" s="1" t="s">
        <v>293</v>
      </c>
      <c r="ET11" s="1" t="s">
        <v>293</v>
      </c>
      <c r="EU11" s="1" t="s">
        <v>293</v>
      </c>
      <c r="EV11" s="1" t="s">
        <v>423</v>
      </c>
      <c r="EW11" s="1" t="s">
        <v>255</v>
      </c>
      <c r="EX11" s="1" t="s">
        <v>357</v>
      </c>
      <c r="EY11" s="1" t="s">
        <v>484</v>
      </c>
      <c r="EZ11" s="1" t="s">
        <v>556</v>
      </c>
      <c r="FA11" s="1" t="s">
        <v>453</v>
      </c>
      <c r="FB11" s="1" t="s">
        <v>254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0.0</v>
      </c>
      <c r="FP11" s="1">
        <v>0.0</v>
      </c>
      <c r="FQ11" s="1">
        <v>0.0</v>
      </c>
      <c r="FR11" s="28" t="s">
        <v>357</v>
      </c>
      <c r="FS11" s="28" t="s">
        <v>298</v>
      </c>
      <c r="FT11" s="28" t="s">
        <v>298</v>
      </c>
      <c r="FU11" s="28" t="s">
        <v>298</v>
      </c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</row>
    <row r="12">
      <c r="A12" s="29" t="s">
        <v>557</v>
      </c>
      <c r="B12" s="3">
        <v>11.0</v>
      </c>
      <c r="C12" s="3" t="s">
        <v>558</v>
      </c>
      <c r="D12" s="30">
        <v>25206.0</v>
      </c>
      <c r="E12" s="1">
        <v>57.0</v>
      </c>
      <c r="F12" s="3" t="s">
        <v>253</v>
      </c>
      <c r="G12" s="3" t="s">
        <v>252</v>
      </c>
      <c r="H12" s="3" t="s">
        <v>253</v>
      </c>
      <c r="I12" s="3" t="s">
        <v>253</v>
      </c>
      <c r="J12" s="3" t="s">
        <v>252</v>
      </c>
      <c r="K12" s="3" t="s">
        <v>252</v>
      </c>
      <c r="L12" s="3" t="s">
        <v>254</v>
      </c>
      <c r="M12" s="3" t="s">
        <v>254</v>
      </c>
      <c r="N12" s="3" t="s">
        <v>254</v>
      </c>
      <c r="O12" s="3" t="s">
        <v>254</v>
      </c>
      <c r="P12" s="3" t="s">
        <v>255</v>
      </c>
      <c r="Q12" s="3" t="s">
        <v>358</v>
      </c>
      <c r="R12" s="7" t="s">
        <v>298</v>
      </c>
      <c r="S12" s="7" t="s">
        <v>359</v>
      </c>
      <c r="T12" s="1" t="s">
        <v>259</v>
      </c>
      <c r="U12" s="1" t="s">
        <v>372</v>
      </c>
      <c r="V12" s="1" t="s">
        <v>559</v>
      </c>
      <c r="W12" s="1" t="s">
        <v>254</v>
      </c>
      <c r="X12" s="1" t="s">
        <v>254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 t="s">
        <v>255</v>
      </c>
      <c r="AG12" s="31" t="s">
        <v>560</v>
      </c>
      <c r="AH12" s="1" t="s">
        <v>561</v>
      </c>
      <c r="AI12" s="1" t="s">
        <v>562</v>
      </c>
      <c r="AJ12" s="1" t="s">
        <v>563</v>
      </c>
      <c r="AK12" s="1" t="s">
        <v>564</v>
      </c>
      <c r="AL12" s="1" t="s">
        <v>565</v>
      </c>
      <c r="AM12" s="1" t="s">
        <v>269</v>
      </c>
      <c r="AN12" s="1" t="s">
        <v>269</v>
      </c>
      <c r="AO12" s="1" t="s">
        <v>566</v>
      </c>
      <c r="AP12" s="1" t="s">
        <v>271</v>
      </c>
      <c r="AQ12" s="1" t="s">
        <v>378</v>
      </c>
      <c r="AR12" s="1">
        <v>2.0</v>
      </c>
      <c r="AS12" s="1" t="s">
        <v>273</v>
      </c>
      <c r="AT12" s="1" t="s">
        <v>274</v>
      </c>
      <c r="AU12" s="1" t="s">
        <v>344</v>
      </c>
      <c r="AV12" s="1" t="s">
        <v>276</v>
      </c>
      <c r="AW12" s="1" t="s">
        <v>380</v>
      </c>
      <c r="AX12" s="1" t="s">
        <v>254</v>
      </c>
      <c r="AY12" s="1">
        <v>0.0</v>
      </c>
      <c r="AZ12" s="1" t="s">
        <v>255</v>
      </c>
      <c r="BA12" s="1" t="s">
        <v>446</v>
      </c>
      <c r="BB12" s="1" t="s">
        <v>255</v>
      </c>
      <c r="BC12" s="1" t="s">
        <v>279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 t="s">
        <v>320</v>
      </c>
      <c r="BM12" s="1" t="s">
        <v>565</v>
      </c>
      <c r="BN12" s="1" t="s">
        <v>269</v>
      </c>
      <c r="BO12" s="1" t="s">
        <v>269</v>
      </c>
      <c r="BP12" s="1" t="s">
        <v>566</v>
      </c>
      <c r="BQ12" s="1" t="s">
        <v>271</v>
      </c>
      <c r="BR12" s="1" t="s">
        <v>254</v>
      </c>
      <c r="BS12" s="1" t="s">
        <v>254</v>
      </c>
      <c r="BT12" s="1" t="s">
        <v>254</v>
      </c>
      <c r="BU12" s="1" t="s">
        <v>254</v>
      </c>
      <c r="BV12" s="1" t="s">
        <v>254</v>
      </c>
      <c r="BW12" s="1" t="s">
        <v>254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0.0</v>
      </c>
      <c r="CL12" s="1">
        <v>0.0</v>
      </c>
      <c r="CM12" s="1" t="s">
        <v>254</v>
      </c>
      <c r="CN12" s="1">
        <v>0.0</v>
      </c>
      <c r="CO12" s="1" t="s">
        <v>254</v>
      </c>
      <c r="CP12" s="1">
        <v>0.0</v>
      </c>
      <c r="CQ12" s="1">
        <v>2.0</v>
      </c>
      <c r="CR12" s="1">
        <v>0.0</v>
      </c>
      <c r="CS12" s="1">
        <v>2.0</v>
      </c>
      <c r="CT12" s="1" t="s">
        <v>569</v>
      </c>
      <c r="CU12" s="1" t="s">
        <v>570</v>
      </c>
      <c r="CV12" s="1" t="s">
        <v>254</v>
      </c>
      <c r="CW12" s="1" t="s">
        <v>254</v>
      </c>
      <c r="CX12" s="1" t="s">
        <v>254</v>
      </c>
      <c r="CY12" s="1" t="s">
        <v>254</v>
      </c>
      <c r="CZ12" s="1" t="s">
        <v>254</v>
      </c>
      <c r="DA12" s="1" t="s">
        <v>255</v>
      </c>
      <c r="DB12" s="1" t="s">
        <v>255</v>
      </c>
      <c r="DC12" s="1" t="s">
        <v>254</v>
      </c>
      <c r="DD12" s="1" t="s">
        <v>255</v>
      </c>
      <c r="DE12" s="1" t="s">
        <v>424</v>
      </c>
      <c r="DF12" s="1" t="s">
        <v>388</v>
      </c>
      <c r="DG12" s="1" t="s">
        <v>323</v>
      </c>
      <c r="DH12" s="12"/>
      <c r="DI12" s="1" t="s">
        <v>293</v>
      </c>
      <c r="DJ12" s="1" t="s">
        <v>293</v>
      </c>
      <c r="DK12" s="1" t="s">
        <v>293</v>
      </c>
      <c r="DL12" s="1" t="s">
        <v>324</v>
      </c>
      <c r="DM12" s="1" t="s">
        <v>293</v>
      </c>
      <c r="DN12" s="1" t="s">
        <v>293</v>
      </c>
      <c r="DO12" s="1" t="s">
        <v>293</v>
      </c>
      <c r="DP12" s="1" t="s">
        <v>293</v>
      </c>
      <c r="DQ12" s="1" t="s">
        <v>293</v>
      </c>
      <c r="DR12" s="1" t="s">
        <v>293</v>
      </c>
      <c r="DS12" s="1" t="s">
        <v>293</v>
      </c>
      <c r="DT12" s="1" t="s">
        <v>293</v>
      </c>
      <c r="DU12" s="1" t="s">
        <v>293</v>
      </c>
      <c r="DV12" s="1" t="s">
        <v>293</v>
      </c>
      <c r="DW12" s="1" t="s">
        <v>293</v>
      </c>
      <c r="DX12" s="1" t="s">
        <v>293</v>
      </c>
      <c r="DY12" s="1" t="s">
        <v>293</v>
      </c>
      <c r="DZ12" s="1" t="s">
        <v>293</v>
      </c>
      <c r="EA12" s="1" t="s">
        <v>254</v>
      </c>
      <c r="EB12" s="1" t="s">
        <v>254</v>
      </c>
      <c r="EC12" s="1" t="s">
        <v>254</v>
      </c>
      <c r="ED12" s="1">
        <v>0.0</v>
      </c>
      <c r="EE12" s="1" t="s">
        <v>255</v>
      </c>
      <c r="EF12" s="1" t="s">
        <v>294</v>
      </c>
      <c r="EG12" s="1" t="s">
        <v>389</v>
      </c>
      <c r="EI12" s="1" t="s">
        <v>574</v>
      </c>
      <c r="EJ12" s="1" t="s">
        <v>574</v>
      </c>
      <c r="EK12" s="1" t="s">
        <v>574</v>
      </c>
      <c r="EL12" s="1" t="s">
        <v>293</v>
      </c>
      <c r="EM12" s="1" t="s">
        <v>574</v>
      </c>
      <c r="EN12" s="1" t="s">
        <v>574</v>
      </c>
      <c r="EO12" s="1" t="s">
        <v>293</v>
      </c>
      <c r="EP12" s="1" t="s">
        <v>293</v>
      </c>
      <c r="EQ12" s="1" t="s">
        <v>293</v>
      </c>
      <c r="ER12" s="1" t="s">
        <v>293</v>
      </c>
      <c r="ES12" s="1" t="s">
        <v>293</v>
      </c>
      <c r="ET12" s="1" t="s">
        <v>293</v>
      </c>
      <c r="EU12" s="1" t="s">
        <v>293</v>
      </c>
      <c r="EV12" s="1" t="s">
        <v>387</v>
      </c>
      <c r="EW12" s="1" t="s">
        <v>254</v>
      </c>
      <c r="EX12" s="1" t="s">
        <v>254</v>
      </c>
      <c r="EY12" s="1" t="s">
        <v>432</v>
      </c>
      <c r="EZ12" s="1" t="s">
        <v>486</v>
      </c>
      <c r="FA12" s="1" t="s">
        <v>504</v>
      </c>
      <c r="FB12" s="1" t="s">
        <v>254</v>
      </c>
      <c r="FC12" s="1">
        <v>0.0</v>
      </c>
      <c r="FD12" s="1">
        <v>0.0</v>
      </c>
      <c r="FE12" s="1">
        <v>0.0</v>
      </c>
      <c r="FF12" s="1">
        <v>0.0</v>
      </c>
      <c r="FG12" s="1">
        <v>0.0</v>
      </c>
      <c r="FH12" s="1">
        <v>0.0</v>
      </c>
      <c r="FI12" s="1">
        <v>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0.0</v>
      </c>
      <c r="FP12" s="1">
        <v>0.0</v>
      </c>
      <c r="FQ12" s="12"/>
      <c r="FR12" s="28" t="s">
        <v>357</v>
      </c>
      <c r="FS12" s="28" t="s">
        <v>298</v>
      </c>
      <c r="FT12" s="28" t="s">
        <v>298</v>
      </c>
      <c r="FU12" s="28" t="s">
        <v>298</v>
      </c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</row>
    <row r="13">
      <c r="A13" s="29" t="s">
        <v>369</v>
      </c>
      <c r="B13" s="3">
        <v>12.0</v>
      </c>
      <c r="C13" s="3" t="s">
        <v>371</v>
      </c>
      <c r="D13" s="35">
        <v>27665.0</v>
      </c>
      <c r="E13" s="1">
        <v>50.0</v>
      </c>
      <c r="F13" s="3" t="s">
        <v>252</v>
      </c>
      <c r="G13" s="3" t="s">
        <v>253</v>
      </c>
      <c r="H13" s="3" t="s">
        <v>253</v>
      </c>
      <c r="I13" s="3" t="s">
        <v>252</v>
      </c>
      <c r="J13" s="3" t="s">
        <v>253</v>
      </c>
      <c r="K13" s="3" t="s">
        <v>253</v>
      </c>
      <c r="L13" s="3" t="s">
        <v>254</v>
      </c>
      <c r="M13" s="3" t="s">
        <v>255</v>
      </c>
      <c r="N13" s="3" t="s">
        <v>254</v>
      </c>
      <c r="O13" s="3" t="s">
        <v>255</v>
      </c>
      <c r="P13" s="3" t="s">
        <v>254</v>
      </c>
      <c r="Q13" s="3" t="s">
        <v>256</v>
      </c>
      <c r="R13" s="7" t="s">
        <v>257</v>
      </c>
      <c r="S13" s="7" t="s">
        <v>304</v>
      </c>
      <c r="T13" s="1" t="s">
        <v>259</v>
      </c>
      <c r="U13" s="1" t="s">
        <v>372</v>
      </c>
      <c r="V13" s="1" t="s">
        <v>373</v>
      </c>
      <c r="W13" s="1" t="s">
        <v>374</v>
      </c>
      <c r="X13" s="1" t="s">
        <v>254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 t="s">
        <v>255</v>
      </c>
      <c r="AG13" s="1" t="s">
        <v>375</v>
      </c>
      <c r="AH13" s="1" t="s">
        <v>266</v>
      </c>
      <c r="AI13" s="30">
        <v>45479.0</v>
      </c>
      <c r="AJ13" s="30">
        <v>45483.0</v>
      </c>
      <c r="AK13" s="1" t="s">
        <v>313</v>
      </c>
      <c r="AL13" s="1" t="s">
        <v>341</v>
      </c>
      <c r="AM13" s="1" t="s">
        <v>269</v>
      </c>
      <c r="AN13" s="1" t="s">
        <v>269</v>
      </c>
      <c r="AO13" s="1" t="s">
        <v>283</v>
      </c>
      <c r="AP13" s="1" t="s">
        <v>271</v>
      </c>
      <c r="AQ13" s="1" t="s">
        <v>378</v>
      </c>
      <c r="AR13" s="1">
        <v>2.0</v>
      </c>
      <c r="AS13" s="1" t="s">
        <v>273</v>
      </c>
      <c r="AT13" s="1" t="s">
        <v>274</v>
      </c>
      <c r="AU13" s="1" t="s">
        <v>316</v>
      </c>
      <c r="AV13" s="1" t="s">
        <v>379</v>
      </c>
      <c r="AW13" s="1" t="s">
        <v>380</v>
      </c>
      <c r="AX13" s="1" t="s">
        <v>255</v>
      </c>
      <c r="AY13" s="1" t="s">
        <v>381</v>
      </c>
      <c r="AZ13" s="1" t="s">
        <v>255</v>
      </c>
      <c r="BA13" s="31" t="s">
        <v>319</v>
      </c>
      <c r="BB13" s="12"/>
      <c r="BC13" s="1" t="s">
        <v>279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 t="s">
        <v>382</v>
      </c>
      <c r="BM13" s="1" t="s">
        <v>341</v>
      </c>
      <c r="BN13" s="1" t="s">
        <v>269</v>
      </c>
      <c r="BO13" s="1" t="s">
        <v>269</v>
      </c>
      <c r="BP13" s="1" t="s">
        <v>283</v>
      </c>
      <c r="BQ13" s="1" t="s">
        <v>271</v>
      </c>
      <c r="BR13" s="1" t="s">
        <v>254</v>
      </c>
      <c r="BS13" s="1" t="s">
        <v>254</v>
      </c>
      <c r="BT13" s="1" t="s">
        <v>254</v>
      </c>
      <c r="BU13" s="1" t="s">
        <v>254</v>
      </c>
      <c r="BV13" s="1" t="s">
        <v>254</v>
      </c>
      <c r="BW13" s="1" t="s">
        <v>255</v>
      </c>
      <c r="BX13" s="1">
        <v>0.0</v>
      </c>
      <c r="BY13" s="1">
        <v>1.0</v>
      </c>
      <c r="BZ13" s="1">
        <v>0.0</v>
      </c>
      <c r="CA13" s="1">
        <v>4.0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 t="s">
        <v>384</v>
      </c>
      <c r="CL13" s="1" t="s">
        <v>350</v>
      </c>
      <c r="CM13" s="1" t="s">
        <v>254</v>
      </c>
      <c r="CN13" s="1">
        <v>0.0</v>
      </c>
      <c r="CO13" s="1" t="s">
        <v>254</v>
      </c>
      <c r="CP13" s="1">
        <v>0.0</v>
      </c>
      <c r="CQ13" s="1">
        <v>5.0</v>
      </c>
      <c r="CR13" s="1">
        <v>3.0</v>
      </c>
      <c r="CS13" s="1">
        <v>2.0</v>
      </c>
      <c r="CT13" s="1" t="s">
        <v>385</v>
      </c>
      <c r="CU13" s="1" t="s">
        <v>386</v>
      </c>
      <c r="CV13" s="1" t="s">
        <v>254</v>
      </c>
      <c r="CW13" s="1" t="s">
        <v>254</v>
      </c>
      <c r="CX13" s="1" t="s">
        <v>254</v>
      </c>
      <c r="CY13" s="1" t="s">
        <v>254</v>
      </c>
      <c r="CZ13" s="1" t="s">
        <v>254</v>
      </c>
      <c r="DA13" s="12"/>
      <c r="DB13" s="1" t="s">
        <v>255</v>
      </c>
      <c r="DC13" s="1" t="s">
        <v>255</v>
      </c>
      <c r="DD13" s="1" t="s">
        <v>255</v>
      </c>
      <c r="DE13" s="1" t="s">
        <v>388</v>
      </c>
      <c r="DF13" s="1" t="s">
        <v>293</v>
      </c>
      <c r="DG13" s="1" t="s">
        <v>293</v>
      </c>
      <c r="DH13" s="1" t="s">
        <v>324</v>
      </c>
      <c r="DI13" s="1" t="s">
        <v>291</v>
      </c>
      <c r="DJ13" s="1" t="s">
        <v>293</v>
      </c>
      <c r="DK13" s="1" t="s">
        <v>293</v>
      </c>
      <c r="DL13" s="1" t="s">
        <v>324</v>
      </c>
      <c r="DM13" s="1" t="s">
        <v>293</v>
      </c>
      <c r="DN13" s="1" t="s">
        <v>293</v>
      </c>
      <c r="DO13" s="1" t="s">
        <v>293</v>
      </c>
      <c r="DP13" s="1" t="s">
        <v>293</v>
      </c>
      <c r="DQ13" s="1" t="s">
        <v>293</v>
      </c>
      <c r="DR13" s="1" t="s">
        <v>293</v>
      </c>
      <c r="DS13" s="1" t="s">
        <v>293</v>
      </c>
      <c r="DT13" s="1" t="s">
        <v>293</v>
      </c>
      <c r="DU13" s="1" t="s">
        <v>293</v>
      </c>
      <c r="DV13" s="1" t="s">
        <v>293</v>
      </c>
      <c r="DW13" s="1" t="s">
        <v>293</v>
      </c>
      <c r="DX13" s="1" t="s">
        <v>293</v>
      </c>
      <c r="DY13" s="1" t="s">
        <v>293</v>
      </c>
      <c r="DZ13" s="1" t="s">
        <v>293</v>
      </c>
      <c r="EA13" s="1" t="s">
        <v>254</v>
      </c>
      <c r="EB13" s="1" t="s">
        <v>254</v>
      </c>
      <c r="EC13" s="1" t="s">
        <v>254</v>
      </c>
      <c r="ED13" s="1">
        <v>0.0</v>
      </c>
      <c r="EE13" s="1" t="s">
        <v>255</v>
      </c>
      <c r="EF13" s="1" t="s">
        <v>325</v>
      </c>
      <c r="EG13" s="1" t="s">
        <v>389</v>
      </c>
      <c r="EI13" s="1" t="s">
        <v>390</v>
      </c>
      <c r="EJ13" s="1" t="s">
        <v>390</v>
      </c>
      <c r="EK13" s="12"/>
      <c r="EL13" s="1" t="s">
        <v>390</v>
      </c>
      <c r="EM13" s="1" t="s">
        <v>293</v>
      </c>
      <c r="EN13" s="1" t="s">
        <v>293</v>
      </c>
      <c r="EO13" s="1" t="s">
        <v>293</v>
      </c>
      <c r="EP13" s="1" t="s">
        <v>293</v>
      </c>
      <c r="EQ13" s="1" t="s">
        <v>293</v>
      </c>
      <c r="ER13" s="1" t="s">
        <v>293</v>
      </c>
      <c r="ES13" s="1" t="s">
        <v>293</v>
      </c>
      <c r="ET13" s="1" t="s">
        <v>293</v>
      </c>
      <c r="EU13" s="1" t="s">
        <v>293</v>
      </c>
      <c r="EV13" s="1" t="s">
        <v>387</v>
      </c>
      <c r="EW13" s="1" t="s">
        <v>254</v>
      </c>
      <c r="EX13" s="1" t="s">
        <v>254</v>
      </c>
      <c r="EY13" s="12"/>
      <c r="EZ13" s="1" t="s">
        <v>293</v>
      </c>
      <c r="FA13" s="1">
        <v>0.0</v>
      </c>
      <c r="FB13" s="1" t="s">
        <v>254</v>
      </c>
      <c r="FC13" s="1">
        <v>0.0</v>
      </c>
      <c r="FD13" s="1">
        <v>0.0</v>
      </c>
      <c r="FE13" s="1">
        <v>0.0</v>
      </c>
      <c r="FF13" s="1">
        <v>0.0</v>
      </c>
      <c r="FG13" s="1">
        <v>0.0</v>
      </c>
      <c r="FH13" s="1">
        <v>0.0</v>
      </c>
      <c r="FI13" s="1">
        <v>0.0</v>
      </c>
      <c r="FJ13" s="1" t="s">
        <v>293</v>
      </c>
      <c r="FK13" s="12"/>
      <c r="FL13" s="1">
        <v>0.0</v>
      </c>
      <c r="FM13" s="12"/>
      <c r="FN13" s="1">
        <v>0.0</v>
      </c>
      <c r="FO13" s="1">
        <v>0.0</v>
      </c>
      <c r="FP13" s="1">
        <v>0.0</v>
      </c>
      <c r="FQ13" s="1">
        <v>0.0</v>
      </c>
      <c r="FR13" s="27" t="s">
        <v>198</v>
      </c>
      <c r="FS13" s="28" t="s">
        <v>205</v>
      </c>
      <c r="FT13" s="28" t="s">
        <v>205</v>
      </c>
      <c r="FU13" s="28" t="s">
        <v>298</v>
      </c>
      <c r="FV13" s="1">
        <v>6.0</v>
      </c>
      <c r="FW13" s="1" t="s">
        <v>299</v>
      </c>
      <c r="FX13" s="1">
        <v>18.0</v>
      </c>
      <c r="FY13" s="1" t="s">
        <v>300</v>
      </c>
      <c r="FZ13" s="1">
        <v>6.0</v>
      </c>
      <c r="GA13" s="1" t="s">
        <v>299</v>
      </c>
      <c r="GB13" s="1" t="s">
        <v>301</v>
      </c>
      <c r="GC13" s="1" t="s">
        <v>301</v>
      </c>
      <c r="GD13" s="1">
        <v>6.0</v>
      </c>
      <c r="GE13" s="1" t="s">
        <v>299</v>
      </c>
      <c r="GF13" s="1" t="s">
        <v>301</v>
      </c>
      <c r="GG13" s="1" t="s">
        <v>301</v>
      </c>
      <c r="GH13" s="1">
        <v>7.0</v>
      </c>
      <c r="GI13" s="1" t="s">
        <v>299</v>
      </c>
      <c r="GJ13" s="1">
        <v>6.0</v>
      </c>
      <c r="GK13" s="1" t="s">
        <v>299</v>
      </c>
      <c r="GL13" s="1">
        <v>6.0</v>
      </c>
      <c r="GM13" s="1" t="s">
        <v>299</v>
      </c>
      <c r="GN13" s="1">
        <v>16.0</v>
      </c>
      <c r="GO13" s="1" t="s">
        <v>299</v>
      </c>
      <c r="GP13" s="1">
        <v>17.0</v>
      </c>
      <c r="GQ13" s="1" t="s">
        <v>331</v>
      </c>
      <c r="GR13" s="1">
        <v>18.0</v>
      </c>
      <c r="GS13" s="1" t="s">
        <v>299</v>
      </c>
      <c r="GT13" s="1">
        <v>6.0</v>
      </c>
      <c r="GU13" s="1" t="s">
        <v>299</v>
      </c>
      <c r="GV13" s="1" t="s">
        <v>301</v>
      </c>
      <c r="GW13" s="1" t="s">
        <v>301</v>
      </c>
      <c r="GX13" s="1" t="s">
        <v>301</v>
      </c>
      <c r="GY13" s="1" t="s">
        <v>301</v>
      </c>
      <c r="GZ13" s="1">
        <v>19.0</v>
      </c>
      <c r="HA13" s="1" t="s">
        <v>299</v>
      </c>
      <c r="HB13" s="1" t="s">
        <v>301</v>
      </c>
      <c r="HC13" s="1" t="s">
        <v>301</v>
      </c>
      <c r="HD13" s="1" t="s">
        <v>301</v>
      </c>
      <c r="HE13" s="1" t="s">
        <v>301</v>
      </c>
      <c r="HF13" s="1">
        <v>6.0</v>
      </c>
      <c r="HG13" s="1" t="s">
        <v>299</v>
      </c>
      <c r="HH13" s="1">
        <v>21.0</v>
      </c>
      <c r="HI13" s="1" t="s">
        <v>299</v>
      </c>
      <c r="HJ13" s="1" t="s">
        <v>301</v>
      </c>
      <c r="HK13" s="1" t="s">
        <v>301</v>
      </c>
    </row>
    <row r="14">
      <c r="A14" s="29" t="s">
        <v>582</v>
      </c>
      <c r="B14" s="3">
        <v>13.0</v>
      </c>
      <c r="C14" s="3" t="s">
        <v>583</v>
      </c>
      <c r="D14" s="30">
        <v>27665.0</v>
      </c>
      <c r="E14" s="1">
        <v>50.0</v>
      </c>
      <c r="F14" s="3" t="s">
        <v>253</v>
      </c>
      <c r="G14" s="3" t="s">
        <v>252</v>
      </c>
      <c r="H14" s="3" t="s">
        <v>253</v>
      </c>
      <c r="I14" s="3" t="s">
        <v>253</v>
      </c>
      <c r="J14" s="3" t="s">
        <v>252</v>
      </c>
      <c r="K14" s="3" t="s">
        <v>252</v>
      </c>
      <c r="L14" s="3" t="s">
        <v>254</v>
      </c>
      <c r="M14" s="3" t="s">
        <v>254</v>
      </c>
      <c r="N14" s="3" t="s">
        <v>254</v>
      </c>
      <c r="O14" s="3" t="s">
        <v>254</v>
      </c>
      <c r="P14" s="3" t="s">
        <v>255</v>
      </c>
      <c r="Q14" s="3" t="s">
        <v>358</v>
      </c>
      <c r="R14" s="7" t="s">
        <v>298</v>
      </c>
      <c r="S14" s="7" t="s">
        <v>359</v>
      </c>
      <c r="T14" s="1" t="s">
        <v>259</v>
      </c>
      <c r="U14" s="1" t="s">
        <v>372</v>
      </c>
      <c r="V14" s="1" t="s">
        <v>584</v>
      </c>
      <c r="W14" s="1" t="s">
        <v>254</v>
      </c>
      <c r="X14" s="1" t="s">
        <v>254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 t="s">
        <v>255</v>
      </c>
      <c r="AG14" s="1" t="s">
        <v>585</v>
      </c>
      <c r="AH14" s="1" t="s">
        <v>585</v>
      </c>
      <c r="AI14" s="30">
        <v>45499.0</v>
      </c>
      <c r="AJ14" s="30">
        <v>45503.0</v>
      </c>
      <c r="AK14" s="1" t="s">
        <v>586</v>
      </c>
      <c r="AL14" s="1" t="s">
        <v>587</v>
      </c>
      <c r="AM14" s="1" t="s">
        <v>269</v>
      </c>
      <c r="AN14" s="1" t="s">
        <v>269</v>
      </c>
      <c r="AO14" s="1" t="s">
        <v>283</v>
      </c>
      <c r="AP14" s="1" t="s">
        <v>271</v>
      </c>
      <c r="AQ14" s="1" t="s">
        <v>378</v>
      </c>
      <c r="AR14" s="1">
        <v>1.0</v>
      </c>
      <c r="AS14" s="1" t="s">
        <v>273</v>
      </c>
      <c r="AT14" s="1" t="s">
        <v>274</v>
      </c>
      <c r="AU14" s="1" t="s">
        <v>275</v>
      </c>
      <c r="AV14" s="1" t="s">
        <v>317</v>
      </c>
      <c r="AW14" s="1" t="s">
        <v>318</v>
      </c>
      <c r="AX14" s="1" t="s">
        <v>254</v>
      </c>
      <c r="AY14" s="1">
        <v>0.0</v>
      </c>
      <c r="AZ14" s="1" t="s">
        <v>255</v>
      </c>
      <c r="BA14" s="1" t="s">
        <v>278</v>
      </c>
      <c r="BB14" s="1" t="s">
        <v>254</v>
      </c>
      <c r="BC14" s="1" t="s">
        <v>279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 t="s">
        <v>320</v>
      </c>
      <c r="BM14" s="1" t="s">
        <v>587</v>
      </c>
      <c r="BN14" s="1" t="s">
        <v>269</v>
      </c>
      <c r="BO14" s="1" t="s">
        <v>269</v>
      </c>
      <c r="BP14" s="1" t="s">
        <v>283</v>
      </c>
      <c r="BQ14" s="1" t="s">
        <v>271</v>
      </c>
      <c r="BR14" s="1" t="s">
        <v>254</v>
      </c>
      <c r="BS14" s="1" t="s">
        <v>254</v>
      </c>
      <c r="BT14" s="1" t="s">
        <v>254</v>
      </c>
      <c r="BU14" s="1" t="s">
        <v>254</v>
      </c>
      <c r="BV14" s="1" t="s">
        <v>254</v>
      </c>
      <c r="BW14" s="1" t="s">
        <v>254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2"/>
      <c r="CN14" s="1">
        <v>0.0</v>
      </c>
      <c r="CO14" s="1" t="s">
        <v>254</v>
      </c>
      <c r="CP14" s="1">
        <v>0.0</v>
      </c>
      <c r="CQ14" s="1">
        <v>4.0</v>
      </c>
      <c r="CR14" s="1">
        <v>2.0</v>
      </c>
      <c r="CS14" s="1">
        <v>2.0</v>
      </c>
      <c r="CT14" s="1" t="s">
        <v>591</v>
      </c>
      <c r="CU14" s="1" t="s">
        <v>592</v>
      </c>
      <c r="CV14" s="1" t="s">
        <v>255</v>
      </c>
      <c r="CW14" s="1" t="s">
        <v>255</v>
      </c>
      <c r="CX14" s="1" t="s">
        <v>254</v>
      </c>
      <c r="CY14" s="1" t="s">
        <v>255</v>
      </c>
      <c r="CZ14" s="1" t="s">
        <v>593</v>
      </c>
      <c r="DA14" s="1" t="s">
        <v>255</v>
      </c>
      <c r="DB14" s="1" t="s">
        <v>255</v>
      </c>
      <c r="DC14" s="1" t="s">
        <v>254</v>
      </c>
      <c r="DD14" s="1" t="s">
        <v>255</v>
      </c>
      <c r="DE14" s="1" t="s">
        <v>324</v>
      </c>
      <c r="DF14" s="1" t="s">
        <v>293</v>
      </c>
      <c r="DG14" s="1" t="s">
        <v>323</v>
      </c>
      <c r="DH14" s="1" t="s">
        <v>323</v>
      </c>
      <c r="DI14" s="1" t="s">
        <v>388</v>
      </c>
      <c r="DJ14" s="1" t="s">
        <v>293</v>
      </c>
      <c r="DK14" s="1" t="s">
        <v>293</v>
      </c>
      <c r="DL14" s="1" t="s">
        <v>424</v>
      </c>
      <c r="DM14" s="1" t="s">
        <v>388</v>
      </c>
      <c r="DN14" s="1" t="s">
        <v>293</v>
      </c>
      <c r="DO14" s="1" t="s">
        <v>293</v>
      </c>
      <c r="DP14" s="1" t="s">
        <v>293</v>
      </c>
      <c r="DQ14" s="1" t="s">
        <v>293</v>
      </c>
      <c r="DR14" s="1" t="s">
        <v>293</v>
      </c>
      <c r="DS14" s="1" t="s">
        <v>293</v>
      </c>
      <c r="DT14" s="1" t="s">
        <v>293</v>
      </c>
      <c r="DU14" s="1" t="s">
        <v>293</v>
      </c>
      <c r="DV14" s="1" t="s">
        <v>293</v>
      </c>
      <c r="DW14" s="1" t="s">
        <v>293</v>
      </c>
      <c r="DX14" s="1" t="s">
        <v>293</v>
      </c>
      <c r="DY14" s="1" t="s">
        <v>293</v>
      </c>
      <c r="DZ14" s="1" t="s">
        <v>293</v>
      </c>
      <c r="EA14" s="1" t="s">
        <v>254</v>
      </c>
      <c r="EB14" s="1" t="s">
        <v>254</v>
      </c>
      <c r="EC14" s="1" t="s">
        <v>254</v>
      </c>
      <c r="ED14" s="1">
        <v>0.0</v>
      </c>
      <c r="EE14" s="1" t="s">
        <v>255</v>
      </c>
      <c r="EF14" s="1" t="s">
        <v>325</v>
      </c>
      <c r="EG14" s="1" t="s">
        <v>389</v>
      </c>
      <c r="EI14" s="1" t="s">
        <v>293</v>
      </c>
      <c r="EJ14" s="1" t="s">
        <v>293</v>
      </c>
      <c r="EK14" s="1" t="s">
        <v>293</v>
      </c>
      <c r="EL14" s="1" t="s">
        <v>293</v>
      </c>
      <c r="EM14" s="1" t="s">
        <v>293</v>
      </c>
      <c r="EN14" s="1" t="s">
        <v>293</v>
      </c>
      <c r="EO14" s="1" t="s">
        <v>293</v>
      </c>
      <c r="EP14" s="1" t="s">
        <v>293</v>
      </c>
      <c r="EQ14" s="1" t="s">
        <v>293</v>
      </c>
      <c r="ER14" s="1" t="s">
        <v>293</v>
      </c>
      <c r="ES14" s="1" t="s">
        <v>293</v>
      </c>
      <c r="ET14" s="1" t="s">
        <v>293</v>
      </c>
      <c r="EU14" s="1" t="s">
        <v>293</v>
      </c>
      <c r="EV14" s="1" t="s">
        <v>423</v>
      </c>
      <c r="EW14" s="1" t="s">
        <v>254</v>
      </c>
      <c r="EX14" s="1" t="s">
        <v>254</v>
      </c>
      <c r="EY14" s="12"/>
      <c r="EZ14" s="1">
        <v>0.0</v>
      </c>
      <c r="FA14" s="1">
        <v>0.0</v>
      </c>
      <c r="FB14" s="1" t="s">
        <v>254</v>
      </c>
      <c r="FC14" s="1">
        <v>0.0</v>
      </c>
      <c r="FD14" s="1">
        <v>0.0</v>
      </c>
      <c r="FE14" s="1">
        <v>0.0</v>
      </c>
      <c r="FF14" s="1">
        <v>0.0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0.0</v>
      </c>
      <c r="FP14" s="1">
        <v>0.0</v>
      </c>
      <c r="FQ14" s="1">
        <v>0.0</v>
      </c>
      <c r="FR14" s="28" t="s">
        <v>357</v>
      </c>
      <c r="FS14" s="28" t="s">
        <v>298</v>
      </c>
      <c r="FT14" s="28" t="s">
        <v>298</v>
      </c>
      <c r="FU14" s="28" t="s">
        <v>298</v>
      </c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</row>
    <row r="15">
      <c r="A15" s="29" t="s">
        <v>598</v>
      </c>
      <c r="B15" s="3">
        <v>14.0</v>
      </c>
      <c r="C15" s="3" t="s">
        <v>599</v>
      </c>
      <c r="D15" s="30">
        <v>35761.0</v>
      </c>
      <c r="E15" s="1">
        <v>28.0</v>
      </c>
      <c r="F15" s="3" t="s">
        <v>253</v>
      </c>
      <c r="G15" s="3" t="s">
        <v>252</v>
      </c>
      <c r="H15" s="3" t="s">
        <v>253</v>
      </c>
      <c r="I15" s="3" t="s">
        <v>253</v>
      </c>
      <c r="J15" s="3" t="s">
        <v>252</v>
      </c>
      <c r="K15" s="3" t="s">
        <v>252</v>
      </c>
      <c r="L15" s="3" t="s">
        <v>254</v>
      </c>
      <c r="M15" s="3" t="s">
        <v>254</v>
      </c>
      <c r="N15" s="3" t="s">
        <v>254</v>
      </c>
      <c r="O15" s="3" t="s">
        <v>254</v>
      </c>
      <c r="P15" s="3" t="s">
        <v>255</v>
      </c>
      <c r="Q15" s="3" t="s">
        <v>358</v>
      </c>
      <c r="R15" s="7" t="s">
        <v>298</v>
      </c>
      <c r="S15" s="7" t="s">
        <v>359</v>
      </c>
      <c r="T15" s="1" t="s">
        <v>259</v>
      </c>
      <c r="U15" s="1" t="s">
        <v>469</v>
      </c>
      <c r="V15" s="1" t="s">
        <v>491</v>
      </c>
      <c r="W15" s="1" t="s">
        <v>254</v>
      </c>
      <c r="X15" s="1" t="s">
        <v>254</v>
      </c>
      <c r="Y15" s="1">
        <v>0.0</v>
      </c>
      <c r="Z15" s="1">
        <v>0.0</v>
      </c>
      <c r="AA15" s="1">
        <v>0.0</v>
      </c>
      <c r="AB15" s="1" t="s">
        <v>600</v>
      </c>
      <c r="AC15" s="1">
        <v>0.0</v>
      </c>
      <c r="AD15" s="1">
        <v>0.0</v>
      </c>
      <c r="AE15" s="1" t="s">
        <v>265</v>
      </c>
      <c r="AF15" s="1" t="s">
        <v>254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 t="s">
        <v>601</v>
      </c>
      <c r="AM15" s="1" t="s">
        <v>269</v>
      </c>
      <c r="AN15" s="1" t="s">
        <v>269</v>
      </c>
      <c r="AO15" s="1" t="s">
        <v>283</v>
      </c>
      <c r="AP15" s="1" t="s">
        <v>271</v>
      </c>
      <c r="AQ15" s="1" t="s">
        <v>476</v>
      </c>
      <c r="AR15" s="1">
        <v>2.0</v>
      </c>
      <c r="AS15" s="1" t="s">
        <v>273</v>
      </c>
      <c r="AT15" s="1" t="s">
        <v>274</v>
      </c>
      <c r="AU15" s="1" t="s">
        <v>274</v>
      </c>
      <c r="AV15" s="1" t="s">
        <v>317</v>
      </c>
      <c r="AW15" s="1" t="s">
        <v>380</v>
      </c>
      <c r="AX15" s="1" t="s">
        <v>255</v>
      </c>
      <c r="AY15" s="1">
        <v>0.0</v>
      </c>
      <c r="AZ15" s="1" t="s">
        <v>255</v>
      </c>
      <c r="BA15" s="31" t="s">
        <v>319</v>
      </c>
      <c r="BB15" s="1" t="s">
        <v>255</v>
      </c>
      <c r="BC15" s="1" t="s">
        <v>279</v>
      </c>
      <c r="BD15" s="1">
        <v>0.0</v>
      </c>
      <c r="BE15" s="1">
        <v>0.0</v>
      </c>
      <c r="BF15" s="1">
        <v>0.0</v>
      </c>
      <c r="BG15" s="1">
        <v>0.0</v>
      </c>
      <c r="BH15" s="1">
        <v>1.0</v>
      </c>
      <c r="BI15" s="1" t="s">
        <v>494</v>
      </c>
      <c r="BJ15" s="1" t="s">
        <v>602</v>
      </c>
      <c r="BK15" s="1" t="s">
        <v>407</v>
      </c>
      <c r="BL15" s="1" t="s">
        <v>604</v>
      </c>
      <c r="BM15" s="1" t="s">
        <v>601</v>
      </c>
      <c r="BN15" s="1" t="s">
        <v>269</v>
      </c>
      <c r="BO15" s="1" t="s">
        <v>269</v>
      </c>
      <c r="BP15" s="1" t="s">
        <v>283</v>
      </c>
      <c r="BQ15" s="1" t="s">
        <v>271</v>
      </c>
      <c r="BR15" s="1" t="s">
        <v>254</v>
      </c>
      <c r="BS15" s="1" t="s">
        <v>254</v>
      </c>
      <c r="BT15" s="1" t="s">
        <v>254</v>
      </c>
      <c r="BU15" s="1" t="s">
        <v>254</v>
      </c>
      <c r="BV15" s="1" t="s">
        <v>254</v>
      </c>
      <c r="BW15" s="1" t="s">
        <v>255</v>
      </c>
      <c r="BX15" s="1">
        <v>2.0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2.0</v>
      </c>
      <c r="CG15" s="1">
        <v>0.0</v>
      </c>
      <c r="CH15" s="1">
        <v>0.0</v>
      </c>
      <c r="CI15" s="1">
        <v>0.0</v>
      </c>
      <c r="CJ15" s="1">
        <v>0.0</v>
      </c>
      <c r="CK15" s="1" t="s">
        <v>384</v>
      </c>
      <c r="CL15" s="1" t="s">
        <v>317</v>
      </c>
      <c r="CM15" s="1" t="s">
        <v>254</v>
      </c>
      <c r="CN15" s="1">
        <v>0.0</v>
      </c>
      <c r="CO15" s="1" t="s">
        <v>254</v>
      </c>
      <c r="CP15" s="1">
        <v>0.0</v>
      </c>
      <c r="CQ15" s="1">
        <v>3.0</v>
      </c>
      <c r="CR15" s="1">
        <v>2.0</v>
      </c>
      <c r="CS15" s="1">
        <v>1.0</v>
      </c>
      <c r="CT15" s="1" t="s">
        <v>607</v>
      </c>
      <c r="CU15" s="1" t="s">
        <v>608</v>
      </c>
      <c r="CV15" s="1" t="s">
        <v>254</v>
      </c>
      <c r="CW15" s="1" t="s">
        <v>254</v>
      </c>
      <c r="CX15" s="12"/>
      <c r="CY15" s="1" t="s">
        <v>254</v>
      </c>
      <c r="CZ15" s="1" t="s">
        <v>254</v>
      </c>
      <c r="DA15" s="1" t="s">
        <v>255</v>
      </c>
      <c r="DB15" s="1" t="s">
        <v>255</v>
      </c>
      <c r="DC15" s="1" t="s">
        <v>254</v>
      </c>
      <c r="DD15" s="1" t="s">
        <v>255</v>
      </c>
      <c r="DE15" s="1" t="s">
        <v>388</v>
      </c>
      <c r="DF15" s="1" t="s">
        <v>293</v>
      </c>
      <c r="DG15" s="1" t="s">
        <v>424</v>
      </c>
      <c r="DH15" s="1" t="s">
        <v>293</v>
      </c>
      <c r="DI15" s="1" t="s">
        <v>450</v>
      </c>
      <c r="DJ15" s="1" t="s">
        <v>293</v>
      </c>
      <c r="DK15" s="1" t="s">
        <v>293</v>
      </c>
      <c r="DL15" s="1" t="s">
        <v>388</v>
      </c>
      <c r="DM15" s="1" t="s">
        <v>293</v>
      </c>
      <c r="DN15" s="1" t="s">
        <v>293</v>
      </c>
      <c r="DO15" s="1" t="s">
        <v>293</v>
      </c>
      <c r="DP15" s="1" t="s">
        <v>293</v>
      </c>
      <c r="DQ15" s="1" t="s">
        <v>293</v>
      </c>
      <c r="DR15" s="1" t="s">
        <v>293</v>
      </c>
      <c r="DS15" s="1" t="s">
        <v>293</v>
      </c>
      <c r="DT15" s="1" t="s">
        <v>506</v>
      </c>
      <c r="DU15" s="1" t="s">
        <v>293</v>
      </c>
      <c r="DV15" s="1" t="s">
        <v>293</v>
      </c>
      <c r="DW15" s="1" t="s">
        <v>293</v>
      </c>
      <c r="DX15" s="1" t="s">
        <v>293</v>
      </c>
      <c r="DY15" s="1" t="s">
        <v>293</v>
      </c>
      <c r="DZ15" s="1" t="s">
        <v>293</v>
      </c>
      <c r="EA15" s="1" t="s">
        <v>254</v>
      </c>
      <c r="EB15" s="1" t="s">
        <v>254</v>
      </c>
      <c r="EC15" s="1" t="s">
        <v>254</v>
      </c>
      <c r="ED15" s="1">
        <v>0.0</v>
      </c>
      <c r="EE15" s="1" t="s">
        <v>255</v>
      </c>
      <c r="EF15" s="1" t="s">
        <v>325</v>
      </c>
      <c r="EG15" s="1" t="s">
        <v>389</v>
      </c>
      <c r="EI15" s="1" t="s">
        <v>293</v>
      </c>
      <c r="EJ15" s="1" t="s">
        <v>293</v>
      </c>
      <c r="EK15" s="1" t="s">
        <v>293</v>
      </c>
      <c r="EL15" s="1" t="s">
        <v>293</v>
      </c>
      <c r="EM15" s="1" t="s">
        <v>503</v>
      </c>
      <c r="EN15" s="1" t="s">
        <v>503</v>
      </c>
      <c r="EO15" s="1" t="s">
        <v>293</v>
      </c>
      <c r="EP15" s="1" t="s">
        <v>293</v>
      </c>
      <c r="EQ15" s="1" t="s">
        <v>293</v>
      </c>
      <c r="ER15" s="1" t="s">
        <v>293</v>
      </c>
      <c r="ES15" s="1" t="s">
        <v>293</v>
      </c>
      <c r="ET15" s="1" t="s">
        <v>293</v>
      </c>
      <c r="EU15" s="1" t="s">
        <v>293</v>
      </c>
      <c r="EV15" s="1" t="s">
        <v>423</v>
      </c>
      <c r="EW15" s="1" t="s">
        <v>255</v>
      </c>
      <c r="EX15" s="1" t="s">
        <v>254</v>
      </c>
      <c r="EY15" s="1" t="s">
        <v>484</v>
      </c>
      <c r="EZ15" s="1">
        <v>0.0</v>
      </c>
      <c r="FA15" s="1">
        <v>0.0</v>
      </c>
      <c r="FB15" s="1" t="s">
        <v>254</v>
      </c>
      <c r="FC15" s="1">
        <v>0.0</v>
      </c>
      <c r="FD15" s="1">
        <v>0.0</v>
      </c>
      <c r="FE15" s="1">
        <v>0.0</v>
      </c>
      <c r="FF15" s="1">
        <v>0.0</v>
      </c>
      <c r="FG15" s="1">
        <v>0.0</v>
      </c>
      <c r="FH15" s="1">
        <v>0.0</v>
      </c>
      <c r="FI15" s="1">
        <v>0.0</v>
      </c>
      <c r="FJ15" s="1">
        <v>0.0</v>
      </c>
      <c r="FK15" s="1">
        <v>0.0</v>
      </c>
      <c r="FL15" s="1">
        <v>0.0</v>
      </c>
      <c r="FM15" s="1">
        <v>0.0</v>
      </c>
      <c r="FN15" s="1">
        <v>0.0</v>
      </c>
      <c r="FO15" s="12"/>
      <c r="FP15" s="1">
        <v>0.0</v>
      </c>
      <c r="FQ15" s="1">
        <v>0.0</v>
      </c>
      <c r="FR15" s="28" t="s">
        <v>357</v>
      </c>
      <c r="FS15" s="28" t="s">
        <v>298</v>
      </c>
      <c r="FT15" s="28" t="s">
        <v>298</v>
      </c>
      <c r="FU15" s="28" t="s">
        <v>298</v>
      </c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</row>
    <row r="16">
      <c r="A16" s="29" t="s">
        <v>611</v>
      </c>
      <c r="B16" s="3">
        <v>15.0</v>
      </c>
      <c r="C16" s="3" t="s">
        <v>612</v>
      </c>
      <c r="D16" s="54">
        <v>23468.0</v>
      </c>
      <c r="E16" s="1">
        <v>62.0</v>
      </c>
      <c r="F16" s="3" t="s">
        <v>253</v>
      </c>
      <c r="G16" s="3" t="s">
        <v>252</v>
      </c>
      <c r="H16" s="3" t="s">
        <v>253</v>
      </c>
      <c r="I16" s="3" t="s">
        <v>253</v>
      </c>
      <c r="J16" s="3" t="s">
        <v>252</v>
      </c>
      <c r="K16" s="3" t="s">
        <v>252</v>
      </c>
      <c r="L16" s="3" t="s">
        <v>254</v>
      </c>
      <c r="M16" s="3" t="s">
        <v>254</v>
      </c>
      <c r="N16" s="3" t="s">
        <v>254</v>
      </c>
      <c r="O16" s="3" t="s">
        <v>254</v>
      </c>
      <c r="P16" s="3" t="s">
        <v>255</v>
      </c>
      <c r="Q16" s="3" t="s">
        <v>358</v>
      </c>
      <c r="R16" s="7" t="s">
        <v>298</v>
      </c>
      <c r="S16" s="7" t="s">
        <v>359</v>
      </c>
      <c r="T16" s="1" t="s">
        <v>305</v>
      </c>
      <c r="U16" s="1" t="s">
        <v>360</v>
      </c>
      <c r="V16" s="1" t="s">
        <v>410</v>
      </c>
      <c r="W16" s="1" t="s">
        <v>613</v>
      </c>
      <c r="X16" s="1" t="s">
        <v>254</v>
      </c>
      <c r="Y16" s="1">
        <v>0.0</v>
      </c>
      <c r="Z16" s="1">
        <v>0.0</v>
      </c>
      <c r="AA16" s="1">
        <v>0.0</v>
      </c>
      <c r="AB16" s="1" t="s">
        <v>614</v>
      </c>
      <c r="AC16" s="1">
        <v>0.0</v>
      </c>
      <c r="AD16" s="1" t="s">
        <v>615</v>
      </c>
      <c r="AE16" s="1" t="s">
        <v>265</v>
      </c>
      <c r="AF16" s="1" t="s">
        <v>254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 t="s">
        <v>616</v>
      </c>
      <c r="AM16" s="1" t="s">
        <v>269</v>
      </c>
      <c r="AN16" s="1" t="s">
        <v>269</v>
      </c>
      <c r="AO16" s="1" t="s">
        <v>283</v>
      </c>
      <c r="AP16" s="1" t="s">
        <v>271</v>
      </c>
      <c r="AQ16" s="1" t="s">
        <v>476</v>
      </c>
      <c r="AR16" s="1">
        <v>3.0</v>
      </c>
      <c r="AS16" s="1" t="s">
        <v>617</v>
      </c>
      <c r="AT16" s="1" t="s">
        <v>274</v>
      </c>
      <c r="AU16" s="1" t="s">
        <v>275</v>
      </c>
      <c r="AV16" s="1" t="s">
        <v>276</v>
      </c>
      <c r="AW16" s="1" t="s">
        <v>380</v>
      </c>
      <c r="AX16" s="1" t="s">
        <v>255</v>
      </c>
      <c r="AY16" s="1">
        <v>0.0</v>
      </c>
      <c r="AZ16" s="1" t="s">
        <v>255</v>
      </c>
      <c r="BA16" s="1" t="s">
        <v>347</v>
      </c>
      <c r="BB16" s="1" t="s">
        <v>255</v>
      </c>
      <c r="BC16" s="1" t="s">
        <v>279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2"/>
      <c r="BM16" s="1" t="s">
        <v>616</v>
      </c>
      <c r="BN16" s="1" t="s">
        <v>269</v>
      </c>
      <c r="BO16" s="1" t="s">
        <v>269</v>
      </c>
      <c r="BP16" s="1" t="s">
        <v>283</v>
      </c>
      <c r="BQ16" s="1" t="s">
        <v>271</v>
      </c>
      <c r="BR16" s="1" t="s">
        <v>255</v>
      </c>
      <c r="BS16" s="1" t="s">
        <v>447</v>
      </c>
      <c r="BT16" s="1" t="s">
        <v>414</v>
      </c>
      <c r="BU16" s="1" t="s">
        <v>480</v>
      </c>
      <c r="BV16" s="1" t="s">
        <v>254</v>
      </c>
      <c r="BW16" s="1" t="s">
        <v>255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2.0</v>
      </c>
      <c r="CG16" s="1">
        <v>7.0</v>
      </c>
      <c r="CH16" s="1">
        <v>0.0</v>
      </c>
      <c r="CI16" s="1">
        <v>0.0</v>
      </c>
      <c r="CJ16" s="1" t="s">
        <v>285</v>
      </c>
      <c r="CK16" s="1" t="s">
        <v>384</v>
      </c>
      <c r="CL16" s="1" t="s">
        <v>483</v>
      </c>
      <c r="CM16" s="1" t="s">
        <v>255</v>
      </c>
      <c r="CN16" s="1">
        <v>0.0</v>
      </c>
      <c r="CO16" s="1" t="s">
        <v>549</v>
      </c>
      <c r="CP16" s="1" t="s">
        <v>549</v>
      </c>
      <c r="CQ16" s="1">
        <v>3.0</v>
      </c>
      <c r="CR16" s="1">
        <v>1.0</v>
      </c>
      <c r="CS16" s="1">
        <v>2.0</v>
      </c>
      <c r="CT16" s="1" t="s">
        <v>485</v>
      </c>
      <c r="CU16" s="1" t="s">
        <v>487</v>
      </c>
      <c r="CV16" s="1" t="s">
        <v>255</v>
      </c>
      <c r="CW16" s="1" t="s">
        <v>254</v>
      </c>
      <c r="CX16" s="1" t="s">
        <v>254</v>
      </c>
      <c r="CY16" s="1" t="s">
        <v>254</v>
      </c>
      <c r="CZ16" s="1" t="s">
        <v>254</v>
      </c>
      <c r="DA16" s="1" t="s">
        <v>255</v>
      </c>
      <c r="DB16" s="1" t="s">
        <v>255</v>
      </c>
      <c r="DC16" s="1" t="s">
        <v>255</v>
      </c>
      <c r="DD16" s="1" t="s">
        <v>255</v>
      </c>
      <c r="DE16" s="1" t="s">
        <v>290</v>
      </c>
      <c r="DF16" s="1" t="s">
        <v>388</v>
      </c>
      <c r="DG16" s="1" t="s">
        <v>450</v>
      </c>
      <c r="DH16" s="1" t="s">
        <v>450</v>
      </c>
      <c r="DI16" s="1" t="s">
        <v>450</v>
      </c>
      <c r="DJ16" s="1" t="s">
        <v>293</v>
      </c>
      <c r="DK16" s="1" t="s">
        <v>293</v>
      </c>
      <c r="DL16" s="1" t="s">
        <v>450</v>
      </c>
      <c r="DM16" s="1" t="s">
        <v>324</v>
      </c>
      <c r="DN16" s="1" t="s">
        <v>388</v>
      </c>
      <c r="DO16" s="1" t="s">
        <v>293</v>
      </c>
      <c r="DP16" s="1" t="s">
        <v>293</v>
      </c>
      <c r="DQ16" s="1" t="s">
        <v>293</v>
      </c>
      <c r="DR16" s="1" t="s">
        <v>293</v>
      </c>
      <c r="DS16" s="1" t="s">
        <v>293</v>
      </c>
      <c r="DT16" s="1" t="s">
        <v>293</v>
      </c>
      <c r="DU16" s="1" t="s">
        <v>293</v>
      </c>
      <c r="DV16" s="1" t="s">
        <v>293</v>
      </c>
      <c r="DW16" s="1" t="s">
        <v>293</v>
      </c>
      <c r="DX16" s="1" t="s">
        <v>293</v>
      </c>
      <c r="DY16" s="1" t="s">
        <v>293</v>
      </c>
      <c r="DZ16" s="1" t="s">
        <v>293</v>
      </c>
      <c r="EA16" s="1" t="s">
        <v>254</v>
      </c>
      <c r="EB16" s="1" t="s">
        <v>254</v>
      </c>
      <c r="EC16" s="1" t="s">
        <v>254</v>
      </c>
      <c r="ED16" s="1">
        <v>0.0</v>
      </c>
      <c r="EE16" s="1" t="s">
        <v>255</v>
      </c>
      <c r="EF16" s="1" t="s">
        <v>354</v>
      </c>
      <c r="EG16" s="1" t="s">
        <v>389</v>
      </c>
      <c r="EI16" s="1" t="s">
        <v>293</v>
      </c>
      <c r="EJ16" s="1" t="s">
        <v>293</v>
      </c>
      <c r="EK16" s="1" t="s">
        <v>293</v>
      </c>
      <c r="EL16" s="1" t="s">
        <v>293</v>
      </c>
      <c r="EM16" s="1" t="s">
        <v>503</v>
      </c>
      <c r="EN16" s="1" t="s">
        <v>503</v>
      </c>
      <c r="EO16" s="1" t="s">
        <v>293</v>
      </c>
      <c r="EP16" s="1" t="s">
        <v>293</v>
      </c>
      <c r="EQ16" s="1" t="s">
        <v>293</v>
      </c>
      <c r="ER16" s="1" t="s">
        <v>293</v>
      </c>
      <c r="ES16" s="1" t="s">
        <v>293</v>
      </c>
      <c r="ET16" s="1" t="s">
        <v>293</v>
      </c>
      <c r="EU16" s="1" t="s">
        <v>293</v>
      </c>
      <c r="EV16" s="1" t="s">
        <v>423</v>
      </c>
      <c r="EW16" s="1" t="s">
        <v>254</v>
      </c>
      <c r="EX16" s="1" t="s">
        <v>254</v>
      </c>
      <c r="EY16" s="12"/>
      <c r="EZ16" s="1">
        <v>0.0</v>
      </c>
      <c r="FA16" s="1">
        <v>0.0</v>
      </c>
      <c r="FB16" s="1" t="s">
        <v>254</v>
      </c>
      <c r="FC16" s="1">
        <v>0.0</v>
      </c>
      <c r="FD16" s="1">
        <v>0.0</v>
      </c>
      <c r="FE16" s="1">
        <v>0.0</v>
      </c>
      <c r="FF16" s="1">
        <v>0.0</v>
      </c>
      <c r="FG16" s="1">
        <v>0.0</v>
      </c>
      <c r="FH16" s="1">
        <v>0.0</v>
      </c>
      <c r="FI16" s="1">
        <v>0.0</v>
      </c>
      <c r="FJ16" s="1">
        <v>0.0</v>
      </c>
      <c r="FK16" s="1">
        <v>0.0</v>
      </c>
      <c r="FL16" s="1">
        <v>0.0</v>
      </c>
      <c r="FM16" s="1">
        <v>0.0</v>
      </c>
      <c r="FN16" s="1">
        <v>0.0</v>
      </c>
      <c r="FO16" s="1">
        <v>0.0</v>
      </c>
      <c r="FP16" s="1">
        <v>0.0</v>
      </c>
      <c r="FQ16" s="1">
        <v>0.0</v>
      </c>
      <c r="FR16" s="28" t="s">
        <v>357</v>
      </c>
      <c r="FS16" s="28" t="s">
        <v>298</v>
      </c>
      <c r="FT16" s="28" t="s">
        <v>298</v>
      </c>
      <c r="FU16" s="28" t="s">
        <v>298</v>
      </c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</row>
    <row r="17">
      <c r="A17" s="29" t="s">
        <v>627</v>
      </c>
      <c r="B17" s="3">
        <v>16.0</v>
      </c>
      <c r="C17" s="3" t="s">
        <v>628</v>
      </c>
      <c r="D17" s="30">
        <v>38797.0</v>
      </c>
      <c r="E17" s="1">
        <v>20.0</v>
      </c>
      <c r="F17" s="3" t="s">
        <v>253</v>
      </c>
      <c r="G17" s="3" t="s">
        <v>252</v>
      </c>
      <c r="H17" s="3" t="s">
        <v>253</v>
      </c>
      <c r="I17" s="3" t="s">
        <v>253</v>
      </c>
      <c r="J17" s="3" t="s">
        <v>252</v>
      </c>
      <c r="K17" s="3" t="s">
        <v>252</v>
      </c>
      <c r="L17" s="3" t="s">
        <v>254</v>
      </c>
      <c r="M17" s="3" t="s">
        <v>254</v>
      </c>
      <c r="N17" s="3" t="s">
        <v>254</v>
      </c>
      <c r="O17" s="3" t="s">
        <v>254</v>
      </c>
      <c r="P17" s="3" t="s">
        <v>255</v>
      </c>
      <c r="Q17" s="3" t="s">
        <v>358</v>
      </c>
      <c r="R17" s="7" t="s">
        <v>298</v>
      </c>
      <c r="S17" s="7" t="s">
        <v>359</v>
      </c>
      <c r="T17" s="1" t="s">
        <v>305</v>
      </c>
      <c r="U17" s="1" t="s">
        <v>360</v>
      </c>
      <c r="V17" s="1" t="s">
        <v>491</v>
      </c>
      <c r="W17" s="1" t="s">
        <v>254</v>
      </c>
      <c r="X17" s="1" t="s">
        <v>255</v>
      </c>
      <c r="Y17" s="31" t="s">
        <v>629</v>
      </c>
      <c r="Z17" s="1">
        <v>2.0</v>
      </c>
      <c r="AA17" s="1" t="s">
        <v>492</v>
      </c>
      <c r="AB17" s="1">
        <v>0.0</v>
      </c>
      <c r="AC17" s="1">
        <v>0.0</v>
      </c>
      <c r="AD17" s="1">
        <v>0.0</v>
      </c>
      <c r="AE17" s="1">
        <v>0.0</v>
      </c>
      <c r="AF17" s="1" t="s">
        <v>254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 t="s">
        <v>630</v>
      </c>
      <c r="AM17" s="1" t="s">
        <v>269</v>
      </c>
      <c r="AN17" s="1" t="s">
        <v>269</v>
      </c>
      <c r="AO17" s="1" t="s">
        <v>283</v>
      </c>
      <c r="AP17" s="1" t="s">
        <v>271</v>
      </c>
      <c r="AQ17" s="1" t="s">
        <v>476</v>
      </c>
      <c r="AR17" s="1">
        <v>2.0</v>
      </c>
      <c r="AS17" s="1" t="s">
        <v>617</v>
      </c>
      <c r="AT17" s="1" t="s">
        <v>274</v>
      </c>
      <c r="AU17" s="1" t="s">
        <v>274</v>
      </c>
      <c r="AV17" s="1" t="s">
        <v>379</v>
      </c>
      <c r="AW17" s="1" t="s">
        <v>402</v>
      </c>
      <c r="AX17" s="1" t="s">
        <v>254</v>
      </c>
      <c r="AY17" s="1">
        <v>0.0</v>
      </c>
      <c r="AZ17" s="1" t="s">
        <v>255</v>
      </c>
      <c r="BA17" s="31" t="s">
        <v>319</v>
      </c>
      <c r="BB17" s="1" t="s">
        <v>255</v>
      </c>
      <c r="BC17" s="1" t="s">
        <v>348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 t="s">
        <v>320</v>
      </c>
      <c r="BM17" s="1" t="s">
        <v>630</v>
      </c>
      <c r="BN17" s="1" t="s">
        <v>269</v>
      </c>
      <c r="BO17" s="1" t="s">
        <v>269</v>
      </c>
      <c r="BP17" s="1" t="s">
        <v>283</v>
      </c>
      <c r="BQ17" s="1" t="s">
        <v>271</v>
      </c>
      <c r="BR17" s="1" t="s">
        <v>254</v>
      </c>
      <c r="BS17" s="1" t="s">
        <v>254</v>
      </c>
      <c r="BT17" s="1" t="s">
        <v>254</v>
      </c>
      <c r="BU17" s="1" t="s">
        <v>254</v>
      </c>
      <c r="BV17" s="1" t="s">
        <v>254</v>
      </c>
      <c r="BW17" s="1" t="s">
        <v>255</v>
      </c>
      <c r="BX17" s="1">
        <v>4.0</v>
      </c>
      <c r="BY17" s="1">
        <v>0.0</v>
      </c>
      <c r="BZ17" s="1">
        <v>0.0</v>
      </c>
      <c r="CA17" s="1">
        <v>2.0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2.0</v>
      </c>
      <c r="CH17" s="1">
        <v>0.0</v>
      </c>
      <c r="CI17" s="1">
        <v>0.0</v>
      </c>
      <c r="CJ17" s="1">
        <v>0.0</v>
      </c>
      <c r="CK17" s="1" t="s">
        <v>384</v>
      </c>
      <c r="CL17" s="1" t="s">
        <v>350</v>
      </c>
      <c r="CM17" s="1" t="s">
        <v>254</v>
      </c>
      <c r="CN17" s="1">
        <v>0.0</v>
      </c>
      <c r="CO17" s="1" t="s">
        <v>254</v>
      </c>
      <c r="CP17" s="1">
        <v>0.0</v>
      </c>
      <c r="CQ17" s="1">
        <v>3.0</v>
      </c>
      <c r="CR17" s="1">
        <v>2.0</v>
      </c>
      <c r="CS17" s="1">
        <v>1.0</v>
      </c>
      <c r="CT17" s="1" t="s">
        <v>631</v>
      </c>
      <c r="CU17" s="1" t="s">
        <v>632</v>
      </c>
      <c r="CV17" s="1" t="s">
        <v>255</v>
      </c>
      <c r="CW17" s="1" t="s">
        <v>254</v>
      </c>
      <c r="CX17" s="1" t="s">
        <v>254</v>
      </c>
      <c r="CY17" s="1" t="s">
        <v>254</v>
      </c>
      <c r="CZ17" s="1" t="s">
        <v>254</v>
      </c>
      <c r="DA17" s="1" t="s">
        <v>255</v>
      </c>
      <c r="DB17" s="1" t="s">
        <v>254</v>
      </c>
      <c r="DC17" s="1" t="s">
        <v>254</v>
      </c>
      <c r="DD17" s="1" t="s">
        <v>255</v>
      </c>
      <c r="DE17" s="1" t="s">
        <v>388</v>
      </c>
      <c r="DF17" s="1" t="s">
        <v>293</v>
      </c>
      <c r="DG17" s="1" t="s">
        <v>424</v>
      </c>
      <c r="DH17" s="1" t="s">
        <v>293</v>
      </c>
      <c r="DI17" s="1" t="s">
        <v>424</v>
      </c>
      <c r="DJ17" s="1" t="s">
        <v>293</v>
      </c>
      <c r="DK17" s="1" t="s">
        <v>293</v>
      </c>
      <c r="DL17" s="1" t="s">
        <v>424</v>
      </c>
      <c r="DM17" s="1" t="s">
        <v>388</v>
      </c>
      <c r="DN17" s="1" t="s">
        <v>388</v>
      </c>
      <c r="DO17" s="1" t="s">
        <v>293</v>
      </c>
      <c r="DP17" s="1" t="s">
        <v>293</v>
      </c>
      <c r="DQ17" s="1" t="s">
        <v>293</v>
      </c>
      <c r="DR17" s="1" t="s">
        <v>293</v>
      </c>
      <c r="DS17" s="1" t="s">
        <v>293</v>
      </c>
      <c r="DT17" s="1" t="s">
        <v>293</v>
      </c>
      <c r="DU17" s="1" t="s">
        <v>293</v>
      </c>
      <c r="DV17" s="1" t="s">
        <v>293</v>
      </c>
      <c r="DW17" s="1" t="s">
        <v>293</v>
      </c>
      <c r="DX17" s="1" t="s">
        <v>293</v>
      </c>
      <c r="DY17" s="1" t="s">
        <v>293</v>
      </c>
      <c r="DZ17" s="1" t="s">
        <v>293</v>
      </c>
      <c r="EA17" s="1" t="s">
        <v>254</v>
      </c>
      <c r="EB17" s="1" t="s">
        <v>254</v>
      </c>
      <c r="EC17" s="1" t="s">
        <v>254</v>
      </c>
      <c r="ED17" s="1">
        <v>0.0</v>
      </c>
      <c r="EE17" s="1" t="s">
        <v>255</v>
      </c>
      <c r="EF17" s="1" t="s">
        <v>636</v>
      </c>
      <c r="EG17" s="1" t="s">
        <v>389</v>
      </c>
      <c r="EI17" s="1" t="s">
        <v>293</v>
      </c>
      <c r="EJ17" s="1" t="s">
        <v>293</v>
      </c>
      <c r="EK17" s="1" t="s">
        <v>293</v>
      </c>
      <c r="EL17" s="1" t="s">
        <v>293</v>
      </c>
      <c r="EM17" s="1" t="s">
        <v>293</v>
      </c>
      <c r="EN17" s="1" t="s">
        <v>293</v>
      </c>
      <c r="EO17" s="1" t="s">
        <v>293</v>
      </c>
      <c r="EP17" s="1" t="s">
        <v>293</v>
      </c>
      <c r="EQ17" s="1" t="s">
        <v>293</v>
      </c>
      <c r="ER17" s="1" t="s">
        <v>293</v>
      </c>
      <c r="ES17" s="1" t="s">
        <v>293</v>
      </c>
      <c r="ET17" s="1" t="s">
        <v>293</v>
      </c>
      <c r="EU17" s="1" t="s">
        <v>293</v>
      </c>
      <c r="EV17" s="1" t="s">
        <v>387</v>
      </c>
      <c r="EW17" s="1" t="s">
        <v>254</v>
      </c>
      <c r="EX17" s="1" t="s">
        <v>254</v>
      </c>
      <c r="EY17" s="12"/>
      <c r="EZ17" s="1">
        <v>0.0</v>
      </c>
      <c r="FA17" s="1">
        <v>0.0</v>
      </c>
      <c r="FB17" s="1" t="s">
        <v>254</v>
      </c>
      <c r="FC17" s="1">
        <v>0.0</v>
      </c>
      <c r="FD17" s="1">
        <v>0.0</v>
      </c>
      <c r="FE17" s="1">
        <v>0.0</v>
      </c>
      <c r="FF17" s="1">
        <v>0.0</v>
      </c>
      <c r="FG17" s="1">
        <v>0.0</v>
      </c>
      <c r="FH17" s="1">
        <v>0.0</v>
      </c>
      <c r="FI17" s="1">
        <v>0.0</v>
      </c>
      <c r="FJ17" s="1">
        <v>0.0</v>
      </c>
      <c r="FK17" s="1">
        <v>0.0</v>
      </c>
      <c r="FL17" s="1">
        <v>0.0</v>
      </c>
      <c r="FM17" s="1">
        <v>0.0</v>
      </c>
      <c r="FN17" s="1">
        <v>0.0</v>
      </c>
      <c r="FO17" s="1">
        <v>0.0</v>
      </c>
      <c r="FP17" s="1">
        <v>0.0</v>
      </c>
      <c r="FQ17" s="1">
        <v>0.0</v>
      </c>
      <c r="FR17" s="28" t="s">
        <v>357</v>
      </c>
      <c r="FS17" s="28" t="s">
        <v>298</v>
      </c>
      <c r="FT17" s="28" t="s">
        <v>298</v>
      </c>
      <c r="FU17" s="28" t="s">
        <v>298</v>
      </c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</row>
    <row r="18">
      <c r="A18" s="29" t="s">
        <v>639</v>
      </c>
      <c r="B18" s="3">
        <v>17.0</v>
      </c>
      <c r="C18" s="3" t="s">
        <v>640</v>
      </c>
      <c r="D18" s="30">
        <v>34745.0</v>
      </c>
      <c r="E18" s="1">
        <v>31.0</v>
      </c>
      <c r="F18" s="3" t="s">
        <v>253</v>
      </c>
      <c r="G18" s="3" t="s">
        <v>252</v>
      </c>
      <c r="H18" s="3" t="s">
        <v>253</v>
      </c>
      <c r="I18" s="3" t="s">
        <v>253</v>
      </c>
      <c r="J18" s="3" t="s">
        <v>252</v>
      </c>
      <c r="K18" s="3" t="s">
        <v>252</v>
      </c>
      <c r="L18" s="3" t="s">
        <v>254</v>
      </c>
      <c r="M18" s="3" t="s">
        <v>254</v>
      </c>
      <c r="N18" s="3" t="s">
        <v>254</v>
      </c>
      <c r="O18" s="3" t="s">
        <v>254</v>
      </c>
      <c r="P18" s="3" t="s">
        <v>255</v>
      </c>
      <c r="Q18" s="3" t="s">
        <v>358</v>
      </c>
      <c r="R18" s="7" t="s">
        <v>298</v>
      </c>
      <c r="S18" s="7" t="s">
        <v>359</v>
      </c>
      <c r="T18" s="1" t="s">
        <v>305</v>
      </c>
      <c r="U18" s="1" t="s">
        <v>469</v>
      </c>
      <c r="V18" s="1" t="s">
        <v>642</v>
      </c>
      <c r="X18" s="1" t="s">
        <v>255</v>
      </c>
      <c r="Y18" s="31" t="s">
        <v>629</v>
      </c>
      <c r="Z18" s="1">
        <v>4.0</v>
      </c>
      <c r="AA18" s="1" t="s">
        <v>643</v>
      </c>
      <c r="AB18" s="1">
        <v>0.0</v>
      </c>
      <c r="AC18" s="1">
        <v>0.0</v>
      </c>
      <c r="AD18" s="1">
        <v>0.0</v>
      </c>
      <c r="AE18" s="1">
        <v>0.0</v>
      </c>
      <c r="AF18" s="1" t="s">
        <v>255</v>
      </c>
      <c r="AG18" s="1" t="s">
        <v>644</v>
      </c>
      <c r="AH18" s="1" t="s">
        <v>644</v>
      </c>
      <c r="AI18" s="30">
        <v>45524.0</v>
      </c>
      <c r="AJ18" s="30">
        <v>45524.0</v>
      </c>
      <c r="AK18" s="1" t="s">
        <v>313</v>
      </c>
      <c r="AL18" s="1" t="s">
        <v>645</v>
      </c>
      <c r="AM18" s="1" t="s">
        <v>269</v>
      </c>
      <c r="AN18" s="1" t="s">
        <v>269</v>
      </c>
      <c r="AO18" s="1" t="s">
        <v>283</v>
      </c>
      <c r="AP18" s="1" t="s">
        <v>271</v>
      </c>
      <c r="AQ18" s="1" t="s">
        <v>343</v>
      </c>
      <c r="AR18" s="1">
        <v>4.0</v>
      </c>
      <c r="AS18" s="1" t="s">
        <v>273</v>
      </c>
      <c r="AT18" s="1" t="s">
        <v>274</v>
      </c>
      <c r="AU18" s="1" t="s">
        <v>465</v>
      </c>
      <c r="AV18" s="1" t="s">
        <v>276</v>
      </c>
      <c r="AW18" s="1" t="s">
        <v>380</v>
      </c>
      <c r="AX18" s="1" t="s">
        <v>254</v>
      </c>
      <c r="AY18" s="1">
        <v>0.0</v>
      </c>
      <c r="AZ18" s="1" t="s">
        <v>255</v>
      </c>
      <c r="BA18" s="1" t="s">
        <v>278</v>
      </c>
      <c r="BB18" s="1" t="s">
        <v>255</v>
      </c>
      <c r="BC18" s="1" t="s">
        <v>279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 t="s">
        <v>320</v>
      </c>
      <c r="BM18" s="1" t="s">
        <v>645</v>
      </c>
      <c r="BN18" s="1" t="s">
        <v>269</v>
      </c>
      <c r="BO18" s="1" t="s">
        <v>269</v>
      </c>
      <c r="BP18" s="1" t="s">
        <v>283</v>
      </c>
      <c r="BQ18" s="1" t="s">
        <v>271</v>
      </c>
      <c r="BR18" s="1" t="s">
        <v>254</v>
      </c>
      <c r="BS18" s="1" t="s">
        <v>254</v>
      </c>
      <c r="BT18" s="1" t="s">
        <v>254</v>
      </c>
      <c r="BU18" s="1" t="s">
        <v>254</v>
      </c>
      <c r="BV18" s="1" t="s">
        <v>254</v>
      </c>
      <c r="BW18" s="1" t="s">
        <v>255</v>
      </c>
      <c r="BX18" s="1">
        <v>0.0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1.0</v>
      </c>
      <c r="CG18" s="1">
        <v>1.0</v>
      </c>
      <c r="CH18" s="1">
        <v>0.0</v>
      </c>
      <c r="CI18" s="1">
        <v>0.0</v>
      </c>
      <c r="CJ18" s="1">
        <v>0.0</v>
      </c>
      <c r="CK18" s="1" t="s">
        <v>384</v>
      </c>
      <c r="CL18" s="1" t="s">
        <v>483</v>
      </c>
      <c r="CM18" s="1" t="s">
        <v>254</v>
      </c>
      <c r="CN18" s="1">
        <v>0.0</v>
      </c>
      <c r="CO18" s="1" t="s">
        <v>254</v>
      </c>
      <c r="CP18" s="1">
        <v>0.0</v>
      </c>
      <c r="CQ18" s="1" t="s">
        <v>646</v>
      </c>
      <c r="CU18" s="1">
        <v>0.0</v>
      </c>
      <c r="CV18" s="1" t="s">
        <v>254</v>
      </c>
      <c r="CW18" s="1" t="s">
        <v>254</v>
      </c>
      <c r="CX18" s="1" t="s">
        <v>254</v>
      </c>
      <c r="CY18" s="1" t="s">
        <v>254</v>
      </c>
      <c r="CZ18" s="1" t="s">
        <v>254</v>
      </c>
      <c r="DA18" s="1" t="s">
        <v>255</v>
      </c>
      <c r="DB18" s="1" t="s">
        <v>254</v>
      </c>
      <c r="DC18" s="1" t="s">
        <v>254</v>
      </c>
      <c r="DD18" s="1" t="s">
        <v>255</v>
      </c>
      <c r="DE18" s="1" t="s">
        <v>388</v>
      </c>
      <c r="DF18" s="1" t="s">
        <v>293</v>
      </c>
      <c r="DG18" s="1" t="s">
        <v>450</v>
      </c>
      <c r="DH18" s="1" t="s">
        <v>388</v>
      </c>
      <c r="DI18" s="1" t="s">
        <v>324</v>
      </c>
      <c r="DJ18" s="1" t="s">
        <v>293</v>
      </c>
      <c r="DK18" s="1" t="s">
        <v>293</v>
      </c>
      <c r="DL18" s="1" t="s">
        <v>388</v>
      </c>
      <c r="DM18" s="1" t="s">
        <v>388</v>
      </c>
      <c r="DN18" s="1" t="s">
        <v>388</v>
      </c>
      <c r="DO18" s="1" t="s">
        <v>293</v>
      </c>
      <c r="DP18" s="1" t="s">
        <v>293</v>
      </c>
      <c r="DQ18" s="1" t="s">
        <v>293</v>
      </c>
      <c r="DR18" s="1" t="s">
        <v>293</v>
      </c>
      <c r="DS18" s="1" t="s">
        <v>293</v>
      </c>
      <c r="DT18" s="1" t="s">
        <v>293</v>
      </c>
      <c r="DU18" s="1" t="s">
        <v>293</v>
      </c>
      <c r="DV18" s="1" t="s">
        <v>293</v>
      </c>
      <c r="DW18" s="1" t="s">
        <v>293</v>
      </c>
      <c r="DX18" s="1" t="s">
        <v>293</v>
      </c>
      <c r="DY18" s="1" t="s">
        <v>293</v>
      </c>
      <c r="DZ18" s="1" t="s">
        <v>293</v>
      </c>
      <c r="EA18" s="1" t="s">
        <v>254</v>
      </c>
      <c r="EB18" s="1" t="s">
        <v>254</v>
      </c>
      <c r="EC18" s="1" t="s">
        <v>254</v>
      </c>
      <c r="ED18" s="1">
        <v>0.0</v>
      </c>
      <c r="EE18" s="1" t="s">
        <v>255</v>
      </c>
      <c r="EF18" s="1" t="s">
        <v>452</v>
      </c>
      <c r="EG18" s="1" t="s">
        <v>389</v>
      </c>
      <c r="EI18" s="1" t="s">
        <v>293</v>
      </c>
      <c r="EJ18" s="1" t="s">
        <v>293</v>
      </c>
      <c r="EK18" s="1" t="s">
        <v>293</v>
      </c>
      <c r="EL18" s="1" t="s">
        <v>293</v>
      </c>
      <c r="EM18" s="1" t="s">
        <v>503</v>
      </c>
      <c r="EN18" s="1" t="s">
        <v>503</v>
      </c>
      <c r="EO18" s="1" t="s">
        <v>293</v>
      </c>
      <c r="EP18" s="1" t="s">
        <v>293</v>
      </c>
      <c r="EQ18" s="1" t="s">
        <v>293</v>
      </c>
      <c r="ER18" s="1" t="s">
        <v>293</v>
      </c>
      <c r="ES18" s="1" t="s">
        <v>293</v>
      </c>
      <c r="ET18" s="1" t="s">
        <v>293</v>
      </c>
      <c r="EU18" s="1" t="s">
        <v>293</v>
      </c>
      <c r="EV18" s="1" t="s">
        <v>650</v>
      </c>
      <c r="EX18" s="1" t="s">
        <v>254</v>
      </c>
      <c r="EY18" s="1" t="s">
        <v>425</v>
      </c>
      <c r="EZ18" s="1" t="s">
        <v>427</v>
      </c>
      <c r="FA18" s="1" t="s">
        <v>504</v>
      </c>
      <c r="FB18" s="1" t="s">
        <v>254</v>
      </c>
      <c r="FC18" s="1">
        <v>0.0</v>
      </c>
      <c r="FD18" s="1">
        <v>0.0</v>
      </c>
      <c r="FE18" s="1">
        <v>0.0</v>
      </c>
      <c r="FF18" s="1">
        <v>1.0</v>
      </c>
      <c r="FG18" s="1" t="s">
        <v>651</v>
      </c>
      <c r="FH18" s="1" t="s">
        <v>388</v>
      </c>
      <c r="FI18" s="1">
        <v>0.0</v>
      </c>
      <c r="FJ18" s="1">
        <v>0.0</v>
      </c>
      <c r="FK18" s="1">
        <v>0.0</v>
      </c>
      <c r="FL18" s="1">
        <v>0.0</v>
      </c>
      <c r="FM18" s="12"/>
      <c r="FN18" s="1">
        <v>0.0</v>
      </c>
      <c r="FO18" s="1">
        <v>0.0</v>
      </c>
      <c r="FP18" s="1">
        <v>0.0</v>
      </c>
      <c r="FQ18" s="1">
        <v>0.0</v>
      </c>
      <c r="FR18" s="28" t="s">
        <v>357</v>
      </c>
      <c r="FS18" s="28" t="s">
        <v>298</v>
      </c>
      <c r="FT18" s="28" t="s">
        <v>298</v>
      </c>
      <c r="FU18" s="28" t="s">
        <v>298</v>
      </c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</row>
    <row r="19">
      <c r="A19" s="29" t="s">
        <v>653</v>
      </c>
      <c r="B19" s="3">
        <v>18.0</v>
      </c>
      <c r="C19" s="3" t="s">
        <v>654</v>
      </c>
      <c r="D19" s="30">
        <v>23460.0</v>
      </c>
      <c r="E19" s="1">
        <v>62.0</v>
      </c>
      <c r="F19" s="3" t="s">
        <v>253</v>
      </c>
      <c r="G19" s="3" t="s">
        <v>252</v>
      </c>
      <c r="H19" s="3" t="s">
        <v>253</v>
      </c>
      <c r="I19" s="3" t="s">
        <v>253</v>
      </c>
      <c r="J19" s="3" t="s">
        <v>252</v>
      </c>
      <c r="K19" s="3" t="s">
        <v>252</v>
      </c>
      <c r="L19" s="3" t="s">
        <v>254</v>
      </c>
      <c r="M19" s="3" t="s">
        <v>254</v>
      </c>
      <c r="N19" s="3" t="s">
        <v>254</v>
      </c>
      <c r="O19" s="3" t="s">
        <v>254</v>
      </c>
      <c r="P19" s="3" t="s">
        <v>255</v>
      </c>
      <c r="Q19" s="3" t="s">
        <v>358</v>
      </c>
      <c r="R19" s="7" t="s">
        <v>298</v>
      </c>
      <c r="S19" s="7" t="s">
        <v>359</v>
      </c>
      <c r="T19" s="1" t="s">
        <v>305</v>
      </c>
      <c r="U19" s="1" t="s">
        <v>372</v>
      </c>
      <c r="V19" s="1" t="s">
        <v>656</v>
      </c>
      <c r="W19" s="1" t="s">
        <v>254</v>
      </c>
      <c r="X19" s="1" t="s">
        <v>254</v>
      </c>
      <c r="Y19" s="1">
        <v>0.0</v>
      </c>
      <c r="Z19" s="1">
        <v>0.0</v>
      </c>
      <c r="AA19" s="1">
        <v>0.0</v>
      </c>
      <c r="AB19" s="1" t="s">
        <v>657</v>
      </c>
      <c r="AC19" s="1" t="s">
        <v>658</v>
      </c>
      <c r="AD19" s="1" t="s">
        <v>660</v>
      </c>
      <c r="AE19" s="1">
        <v>0.0</v>
      </c>
      <c r="AF19" s="1" t="s">
        <v>255</v>
      </c>
      <c r="AG19" s="1" t="s">
        <v>662</v>
      </c>
      <c r="AH19" s="1" t="s">
        <v>663</v>
      </c>
      <c r="AI19" s="30">
        <v>45528.0</v>
      </c>
      <c r="AJ19" s="1">
        <v>0.0</v>
      </c>
      <c r="AK19" s="1" t="s">
        <v>313</v>
      </c>
      <c r="AL19" s="1" t="s">
        <v>664</v>
      </c>
      <c r="AM19" s="1" t="s">
        <v>269</v>
      </c>
      <c r="AN19" s="1" t="s">
        <v>269</v>
      </c>
      <c r="AO19" s="1" t="s">
        <v>283</v>
      </c>
      <c r="AP19" s="1" t="s">
        <v>271</v>
      </c>
      <c r="AQ19" s="1" t="s">
        <v>378</v>
      </c>
      <c r="AR19" s="1">
        <v>1.0</v>
      </c>
      <c r="AS19" s="1" t="s">
        <v>273</v>
      </c>
      <c r="AT19" s="1" t="s">
        <v>274</v>
      </c>
      <c r="AU19" s="1" t="s">
        <v>344</v>
      </c>
      <c r="AV19" s="1" t="s">
        <v>276</v>
      </c>
      <c r="AW19" s="1" t="s">
        <v>380</v>
      </c>
      <c r="AX19" s="1" t="s">
        <v>254</v>
      </c>
      <c r="AY19" s="1">
        <v>0.0</v>
      </c>
      <c r="AZ19" s="1" t="s">
        <v>255</v>
      </c>
      <c r="BA19" s="31" t="s">
        <v>319</v>
      </c>
      <c r="BB19" s="1" t="s">
        <v>254</v>
      </c>
      <c r="BC19" s="1" t="s">
        <v>279</v>
      </c>
      <c r="BD19" s="1">
        <v>1.0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 t="s">
        <v>320</v>
      </c>
      <c r="BM19" s="1" t="s">
        <v>664</v>
      </c>
      <c r="BN19" s="1" t="s">
        <v>269</v>
      </c>
      <c r="BO19" s="1" t="s">
        <v>269</v>
      </c>
      <c r="BP19" s="1" t="s">
        <v>283</v>
      </c>
      <c r="BQ19" s="1" t="s">
        <v>271</v>
      </c>
      <c r="BR19" s="1" t="s">
        <v>254</v>
      </c>
      <c r="BS19" s="1" t="s">
        <v>254</v>
      </c>
      <c r="BT19" s="1" t="s">
        <v>254</v>
      </c>
      <c r="BU19" s="1" t="s">
        <v>254</v>
      </c>
      <c r="BV19" s="1" t="s">
        <v>254</v>
      </c>
      <c r="BW19" s="1" t="s">
        <v>254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 t="s">
        <v>254</v>
      </c>
      <c r="CN19" s="1">
        <v>0.0</v>
      </c>
      <c r="CO19" s="1" t="s">
        <v>254</v>
      </c>
      <c r="CP19" s="1">
        <v>0.0</v>
      </c>
      <c r="CQ19" s="1">
        <v>4.0</v>
      </c>
      <c r="CR19" s="1">
        <v>2.0</v>
      </c>
      <c r="CS19" s="1">
        <v>2.0</v>
      </c>
      <c r="CT19" s="1" t="s">
        <v>668</v>
      </c>
      <c r="CU19" s="1" t="s">
        <v>669</v>
      </c>
      <c r="CV19" s="1" t="s">
        <v>255</v>
      </c>
      <c r="CW19" s="1" t="s">
        <v>254</v>
      </c>
      <c r="CX19" s="1" t="s">
        <v>254</v>
      </c>
      <c r="CY19" s="1" t="s">
        <v>254</v>
      </c>
      <c r="CZ19" s="1" t="s">
        <v>254</v>
      </c>
      <c r="DA19" s="1" t="s">
        <v>255</v>
      </c>
      <c r="DB19" s="1" t="s">
        <v>255</v>
      </c>
      <c r="DC19" s="1" t="s">
        <v>254</v>
      </c>
      <c r="DD19" s="1" t="s">
        <v>255</v>
      </c>
      <c r="DE19" s="1" t="s">
        <v>293</v>
      </c>
      <c r="DF19" s="1" t="s">
        <v>293</v>
      </c>
      <c r="DG19" s="1" t="s">
        <v>292</v>
      </c>
      <c r="DH19" s="1" t="s">
        <v>324</v>
      </c>
      <c r="DI19" s="1" t="s">
        <v>324</v>
      </c>
      <c r="DJ19" s="1" t="s">
        <v>293</v>
      </c>
      <c r="DK19" s="1" t="s">
        <v>293</v>
      </c>
      <c r="DL19" s="1" t="s">
        <v>324</v>
      </c>
      <c r="DM19" s="1" t="s">
        <v>293</v>
      </c>
      <c r="DN19" s="1" t="s">
        <v>293</v>
      </c>
      <c r="DO19" s="1" t="s">
        <v>293</v>
      </c>
      <c r="DP19" s="1" t="s">
        <v>293</v>
      </c>
      <c r="DQ19" s="1" t="s">
        <v>293</v>
      </c>
      <c r="DR19" s="1" t="s">
        <v>293</v>
      </c>
      <c r="DS19" s="1" t="s">
        <v>293</v>
      </c>
      <c r="DT19" s="1" t="s">
        <v>293</v>
      </c>
      <c r="DU19" s="1" t="s">
        <v>293</v>
      </c>
      <c r="DV19" s="1" t="s">
        <v>293</v>
      </c>
      <c r="DW19" s="1" t="s">
        <v>293</v>
      </c>
      <c r="DX19" s="1" t="s">
        <v>293</v>
      </c>
      <c r="DY19" s="1" t="s">
        <v>293</v>
      </c>
      <c r="DZ19" s="1" t="s">
        <v>293</v>
      </c>
      <c r="EA19" s="1" t="s">
        <v>254</v>
      </c>
      <c r="EB19" s="1" t="s">
        <v>254</v>
      </c>
      <c r="EC19" s="1" t="s">
        <v>254</v>
      </c>
      <c r="ED19" s="1">
        <v>0.0</v>
      </c>
      <c r="EE19" s="1" t="s">
        <v>255</v>
      </c>
      <c r="EF19" s="1" t="s">
        <v>294</v>
      </c>
      <c r="EG19" s="1" t="s">
        <v>389</v>
      </c>
      <c r="EI19" s="1" t="s">
        <v>503</v>
      </c>
      <c r="EJ19" s="1" t="s">
        <v>293</v>
      </c>
      <c r="EK19" s="1" t="s">
        <v>293</v>
      </c>
      <c r="EL19" s="1" t="s">
        <v>293</v>
      </c>
      <c r="EM19" s="1" t="s">
        <v>503</v>
      </c>
      <c r="EN19" s="1" t="s">
        <v>503</v>
      </c>
      <c r="EO19" s="1" t="s">
        <v>293</v>
      </c>
      <c r="EP19" s="1" t="s">
        <v>293</v>
      </c>
      <c r="EQ19" s="1" t="s">
        <v>293</v>
      </c>
      <c r="ER19" s="1" t="s">
        <v>293</v>
      </c>
      <c r="ES19" s="1" t="s">
        <v>293</v>
      </c>
      <c r="ET19" s="1" t="s">
        <v>293</v>
      </c>
      <c r="EU19" s="1" t="s">
        <v>293</v>
      </c>
      <c r="EV19" s="1" t="s">
        <v>387</v>
      </c>
      <c r="EW19" s="1" t="s">
        <v>254</v>
      </c>
      <c r="EX19" s="1" t="s">
        <v>254</v>
      </c>
      <c r="EY19" s="1" t="s">
        <v>428</v>
      </c>
      <c r="EZ19" s="1">
        <v>0.0</v>
      </c>
      <c r="FA19" s="1">
        <v>0.0</v>
      </c>
      <c r="FB19" s="1" t="s">
        <v>293</v>
      </c>
      <c r="FC19" s="1">
        <v>0.0</v>
      </c>
      <c r="FD19" s="1">
        <v>0.0</v>
      </c>
      <c r="FE19" s="1">
        <v>0.0</v>
      </c>
      <c r="FF19" s="1" t="s">
        <v>293</v>
      </c>
      <c r="FG19" s="1">
        <v>0.0</v>
      </c>
      <c r="FH19" s="1">
        <v>0.0</v>
      </c>
      <c r="FI19" s="1">
        <v>0.0</v>
      </c>
      <c r="FJ19" s="1" t="s">
        <v>293</v>
      </c>
      <c r="FK19" s="1">
        <v>0.0</v>
      </c>
      <c r="FL19" s="1">
        <v>0.0</v>
      </c>
      <c r="FM19" s="1">
        <v>0.0</v>
      </c>
      <c r="FN19" s="1" t="s">
        <v>293</v>
      </c>
      <c r="FO19" s="1">
        <v>0.0</v>
      </c>
      <c r="FP19" s="1">
        <v>0.0</v>
      </c>
      <c r="FQ19" s="1">
        <v>0.0</v>
      </c>
      <c r="FR19" s="28" t="s">
        <v>357</v>
      </c>
      <c r="FS19" s="28" t="s">
        <v>298</v>
      </c>
      <c r="FT19" s="28" t="s">
        <v>298</v>
      </c>
      <c r="FU19" s="28" t="s">
        <v>298</v>
      </c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</row>
    <row r="20">
      <c r="A20" s="29" t="s">
        <v>677</v>
      </c>
      <c r="B20" s="3">
        <v>19.0</v>
      </c>
      <c r="C20" s="3" t="s">
        <v>678</v>
      </c>
      <c r="D20" s="30">
        <v>45319.0</v>
      </c>
      <c r="E20" s="1">
        <v>2.0</v>
      </c>
      <c r="F20" s="3" t="s">
        <v>253</v>
      </c>
      <c r="G20" s="3" t="s">
        <v>252</v>
      </c>
      <c r="H20" s="3" t="s">
        <v>253</v>
      </c>
      <c r="I20" s="3" t="s">
        <v>253</v>
      </c>
      <c r="J20" s="3" t="s">
        <v>252</v>
      </c>
      <c r="K20" s="3" t="s">
        <v>252</v>
      </c>
      <c r="L20" s="3" t="s">
        <v>254</v>
      </c>
      <c r="M20" s="3" t="s">
        <v>254</v>
      </c>
      <c r="N20" s="3" t="s">
        <v>254</v>
      </c>
      <c r="O20" s="3" t="s">
        <v>254</v>
      </c>
      <c r="P20" s="3" t="s">
        <v>255</v>
      </c>
      <c r="Q20" s="3" t="s">
        <v>358</v>
      </c>
      <c r="R20" s="7" t="s">
        <v>298</v>
      </c>
      <c r="S20" s="7" t="s">
        <v>359</v>
      </c>
      <c r="T20" s="1" t="s">
        <v>259</v>
      </c>
      <c r="U20" s="1" t="s">
        <v>306</v>
      </c>
      <c r="V20" s="1" t="s">
        <v>679</v>
      </c>
      <c r="W20" s="1" t="s">
        <v>254</v>
      </c>
      <c r="X20" s="1" t="s">
        <v>254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 t="s">
        <v>254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 t="s">
        <v>682</v>
      </c>
      <c r="AM20" s="1" t="s">
        <v>269</v>
      </c>
      <c r="AN20" s="1" t="s">
        <v>269</v>
      </c>
      <c r="AO20" s="1" t="s">
        <v>283</v>
      </c>
      <c r="AP20" s="1" t="s">
        <v>271</v>
      </c>
      <c r="AQ20" s="1" t="s">
        <v>378</v>
      </c>
      <c r="AR20" s="1">
        <v>2.0</v>
      </c>
      <c r="AS20" s="1" t="s">
        <v>273</v>
      </c>
      <c r="AT20" s="1" t="s">
        <v>274</v>
      </c>
      <c r="AU20" s="1" t="s">
        <v>683</v>
      </c>
      <c r="AV20" s="1" t="s">
        <v>317</v>
      </c>
      <c r="AW20" s="1" t="s">
        <v>402</v>
      </c>
      <c r="AX20" s="1" t="s">
        <v>255</v>
      </c>
      <c r="AY20" s="1" t="s">
        <v>394</v>
      </c>
      <c r="AZ20" s="1" t="s">
        <v>254</v>
      </c>
      <c r="BA20" s="31" t="s">
        <v>319</v>
      </c>
      <c r="BB20" s="1" t="s">
        <v>254</v>
      </c>
      <c r="BC20" s="1" t="s">
        <v>684</v>
      </c>
      <c r="BD20" s="1">
        <v>1.0</v>
      </c>
      <c r="BE20" s="1">
        <v>0.0</v>
      </c>
      <c r="BF20" s="1">
        <v>0.0</v>
      </c>
      <c r="BG20" s="1">
        <v>1.0</v>
      </c>
      <c r="BH20" s="1">
        <v>1.0</v>
      </c>
      <c r="BI20" s="1" t="s">
        <v>494</v>
      </c>
      <c r="BJ20" s="1" t="s">
        <v>685</v>
      </c>
      <c r="BK20" s="1" t="s">
        <v>686</v>
      </c>
      <c r="BL20" s="1" t="s">
        <v>320</v>
      </c>
      <c r="BM20" s="1" t="s">
        <v>682</v>
      </c>
      <c r="BN20" s="1" t="s">
        <v>269</v>
      </c>
      <c r="BO20" s="1" t="s">
        <v>269</v>
      </c>
      <c r="BP20" s="1" t="s">
        <v>283</v>
      </c>
      <c r="BQ20" s="1" t="s">
        <v>271</v>
      </c>
      <c r="BR20" s="1" t="s">
        <v>255</v>
      </c>
      <c r="BS20" s="1" t="s">
        <v>525</v>
      </c>
      <c r="BT20" s="1" t="s">
        <v>414</v>
      </c>
      <c r="BU20" s="1" t="s">
        <v>254</v>
      </c>
      <c r="BV20" s="1" t="s">
        <v>254</v>
      </c>
      <c r="BW20" s="1" t="s">
        <v>254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 t="s">
        <v>254</v>
      </c>
      <c r="CN20" s="1">
        <v>0.0</v>
      </c>
      <c r="CO20" s="1" t="s">
        <v>254</v>
      </c>
      <c r="CP20" s="1">
        <v>0.0</v>
      </c>
      <c r="CQ20" s="1" t="s">
        <v>646</v>
      </c>
      <c r="CU20" s="1">
        <v>0.0</v>
      </c>
      <c r="CV20" s="1" t="s">
        <v>254</v>
      </c>
      <c r="CW20" s="1" t="s">
        <v>254</v>
      </c>
      <c r="CX20" s="1" t="s">
        <v>254</v>
      </c>
      <c r="CY20" s="1" t="s">
        <v>254</v>
      </c>
      <c r="CZ20" s="1" t="s">
        <v>254</v>
      </c>
      <c r="DA20" s="1" t="s">
        <v>254</v>
      </c>
      <c r="DB20" s="1" t="s">
        <v>254</v>
      </c>
      <c r="DC20" s="1" t="s">
        <v>255</v>
      </c>
      <c r="DD20" s="1" t="s">
        <v>255</v>
      </c>
      <c r="DE20" s="1" t="s">
        <v>388</v>
      </c>
      <c r="DF20" s="1" t="s">
        <v>293</v>
      </c>
      <c r="DG20" s="1" t="s">
        <v>324</v>
      </c>
      <c r="DH20" s="1" t="s">
        <v>388</v>
      </c>
      <c r="DI20" s="1" t="s">
        <v>324</v>
      </c>
      <c r="DJ20" s="1" t="s">
        <v>293</v>
      </c>
      <c r="DK20" s="1" t="s">
        <v>293</v>
      </c>
      <c r="DL20" s="1" t="s">
        <v>293</v>
      </c>
      <c r="DM20" s="1" t="s">
        <v>293</v>
      </c>
      <c r="DN20" s="1" t="s">
        <v>293</v>
      </c>
      <c r="DO20" s="1" t="s">
        <v>293</v>
      </c>
      <c r="DP20" s="1" t="s">
        <v>293</v>
      </c>
      <c r="DQ20" s="1" t="s">
        <v>293</v>
      </c>
      <c r="DR20" s="1" t="s">
        <v>293</v>
      </c>
      <c r="DS20" s="1" t="s">
        <v>293</v>
      </c>
      <c r="DT20" s="1" t="s">
        <v>293</v>
      </c>
      <c r="DU20" s="1" t="s">
        <v>293</v>
      </c>
      <c r="DV20" s="1" t="s">
        <v>293</v>
      </c>
      <c r="DW20" s="1" t="s">
        <v>293</v>
      </c>
      <c r="DX20" s="1" t="s">
        <v>293</v>
      </c>
      <c r="DY20" s="1" t="s">
        <v>293</v>
      </c>
      <c r="DZ20" s="1" t="s">
        <v>293</v>
      </c>
      <c r="EA20" s="1" t="s">
        <v>254</v>
      </c>
      <c r="EB20" s="1" t="s">
        <v>254</v>
      </c>
      <c r="EC20" s="1" t="s">
        <v>254</v>
      </c>
      <c r="ED20" s="1">
        <v>0.0</v>
      </c>
      <c r="EE20" s="1" t="s">
        <v>255</v>
      </c>
      <c r="EF20" s="1" t="s">
        <v>294</v>
      </c>
      <c r="EG20" s="1" t="s">
        <v>389</v>
      </c>
      <c r="EI20" s="1" t="s">
        <v>574</v>
      </c>
      <c r="EJ20" s="1" t="s">
        <v>574</v>
      </c>
      <c r="EK20" s="1" t="s">
        <v>293</v>
      </c>
      <c r="EL20" s="1" t="s">
        <v>293</v>
      </c>
      <c r="EM20" s="1" t="s">
        <v>503</v>
      </c>
      <c r="EN20" s="1" t="s">
        <v>503</v>
      </c>
      <c r="EO20" s="1" t="s">
        <v>293</v>
      </c>
      <c r="EP20" s="1" t="s">
        <v>293</v>
      </c>
      <c r="EQ20" s="1" t="s">
        <v>293</v>
      </c>
      <c r="ER20" s="1" t="s">
        <v>293</v>
      </c>
      <c r="ES20" s="1" t="s">
        <v>293</v>
      </c>
      <c r="ET20" s="1" t="s">
        <v>293</v>
      </c>
      <c r="EU20" s="1" t="s">
        <v>293</v>
      </c>
      <c r="EV20" s="1" t="s">
        <v>387</v>
      </c>
      <c r="EW20" s="1" t="s">
        <v>254</v>
      </c>
      <c r="EX20" s="1" t="s">
        <v>254</v>
      </c>
      <c r="EY20" s="1" t="s">
        <v>484</v>
      </c>
      <c r="EZ20" s="1" t="s">
        <v>486</v>
      </c>
      <c r="FA20" s="1" t="s">
        <v>504</v>
      </c>
      <c r="FB20" s="1" t="s">
        <v>255</v>
      </c>
      <c r="FC20" s="1" t="s">
        <v>533</v>
      </c>
      <c r="FD20" s="1" t="s">
        <v>574</v>
      </c>
      <c r="FE20" s="1" t="s">
        <v>504</v>
      </c>
      <c r="FF20" s="1">
        <v>1.0</v>
      </c>
      <c r="FG20" s="1" t="s">
        <v>484</v>
      </c>
      <c r="FH20" s="1" t="s">
        <v>486</v>
      </c>
      <c r="FI20" s="1" t="s">
        <v>428</v>
      </c>
      <c r="FJ20" s="1" t="s">
        <v>293</v>
      </c>
      <c r="FK20" s="1">
        <v>0.0</v>
      </c>
      <c r="FL20" s="1">
        <v>0.0</v>
      </c>
      <c r="FM20" s="1">
        <v>0.0</v>
      </c>
      <c r="FN20" s="1" t="s">
        <v>293</v>
      </c>
      <c r="FO20" s="1">
        <v>0.0</v>
      </c>
      <c r="FP20" s="1">
        <v>0.0</v>
      </c>
      <c r="FQ20" s="1">
        <v>0.0</v>
      </c>
      <c r="FR20" s="28" t="s">
        <v>357</v>
      </c>
      <c r="FS20" s="28" t="s">
        <v>298</v>
      </c>
      <c r="FT20" s="28" t="s">
        <v>298</v>
      </c>
      <c r="FU20" s="28" t="s">
        <v>298</v>
      </c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</row>
    <row r="21">
      <c r="A21" s="29" t="s">
        <v>689</v>
      </c>
      <c r="B21" s="3">
        <v>20.0</v>
      </c>
      <c r="C21" s="3" t="s">
        <v>690</v>
      </c>
      <c r="D21" s="30">
        <v>28479.0</v>
      </c>
      <c r="E21" s="1">
        <v>48.0</v>
      </c>
      <c r="F21" s="3" t="s">
        <v>253</v>
      </c>
      <c r="G21" s="3" t="s">
        <v>252</v>
      </c>
      <c r="H21" s="3" t="s">
        <v>253</v>
      </c>
      <c r="I21" s="3" t="s">
        <v>253</v>
      </c>
      <c r="J21" s="3" t="s">
        <v>252</v>
      </c>
      <c r="K21" s="3" t="s">
        <v>252</v>
      </c>
      <c r="L21" s="3" t="s">
        <v>254</v>
      </c>
      <c r="M21" s="3" t="s">
        <v>254</v>
      </c>
      <c r="N21" s="3" t="s">
        <v>254</v>
      </c>
      <c r="O21" s="3" t="s">
        <v>254</v>
      </c>
      <c r="P21" s="3" t="s">
        <v>255</v>
      </c>
      <c r="Q21" s="3" t="s">
        <v>358</v>
      </c>
      <c r="R21" s="7" t="s">
        <v>298</v>
      </c>
      <c r="S21" s="7" t="s">
        <v>359</v>
      </c>
      <c r="T21" s="1" t="s">
        <v>259</v>
      </c>
      <c r="U21" s="1" t="s">
        <v>306</v>
      </c>
      <c r="V21" s="1" t="s">
        <v>373</v>
      </c>
      <c r="W21" s="1" t="s">
        <v>470</v>
      </c>
      <c r="X21" s="1" t="s">
        <v>254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 t="s">
        <v>254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 t="s">
        <v>691</v>
      </c>
      <c r="AM21" s="1" t="s">
        <v>269</v>
      </c>
      <c r="AN21" s="1" t="s">
        <v>269</v>
      </c>
      <c r="AP21" s="1" t="s">
        <v>271</v>
      </c>
      <c r="AQ21" s="1" t="s">
        <v>476</v>
      </c>
      <c r="AR21" s="1">
        <v>6.0</v>
      </c>
      <c r="AS21" s="1" t="s">
        <v>273</v>
      </c>
      <c r="AT21" s="1" t="s">
        <v>274</v>
      </c>
      <c r="AU21" s="1" t="s">
        <v>275</v>
      </c>
      <c r="AV21" s="1" t="s">
        <v>317</v>
      </c>
      <c r="AW21" s="1" t="s">
        <v>380</v>
      </c>
      <c r="AX21" s="1" t="s">
        <v>254</v>
      </c>
      <c r="AY21" s="1">
        <v>0.0</v>
      </c>
      <c r="AZ21" s="1" t="s">
        <v>255</v>
      </c>
      <c r="BA21" s="31" t="s">
        <v>420</v>
      </c>
      <c r="BB21" s="1" t="s">
        <v>255</v>
      </c>
      <c r="BC21" s="1" t="s">
        <v>279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 t="s">
        <v>320</v>
      </c>
      <c r="BM21" s="1" t="s">
        <v>691</v>
      </c>
      <c r="BN21" s="1" t="s">
        <v>269</v>
      </c>
      <c r="BO21" s="1" t="s">
        <v>269</v>
      </c>
      <c r="BQ21" s="1" t="s">
        <v>271</v>
      </c>
      <c r="BR21" s="1" t="s">
        <v>254</v>
      </c>
      <c r="BS21" s="1" t="s">
        <v>254</v>
      </c>
      <c r="BT21" s="1" t="s">
        <v>254</v>
      </c>
      <c r="BU21" s="1" t="s">
        <v>254</v>
      </c>
      <c r="BV21" s="1" t="s">
        <v>254</v>
      </c>
      <c r="BW21" s="1" t="s">
        <v>255</v>
      </c>
      <c r="BX21" s="1">
        <v>2.0</v>
      </c>
      <c r="BY21" s="1">
        <v>0.0</v>
      </c>
      <c r="BZ21" s="1">
        <v>0.0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 t="s">
        <v>694</v>
      </c>
      <c r="CK21" s="1" t="s">
        <v>384</v>
      </c>
      <c r="CL21" s="1" t="s">
        <v>483</v>
      </c>
      <c r="CM21" s="1" t="s">
        <v>254</v>
      </c>
      <c r="CN21" s="1">
        <v>0.0</v>
      </c>
      <c r="CO21" s="1" t="s">
        <v>254</v>
      </c>
      <c r="CP21" s="1">
        <v>0.0</v>
      </c>
      <c r="CQ21" s="1">
        <v>3.0</v>
      </c>
      <c r="CR21" s="1">
        <v>1.0</v>
      </c>
      <c r="CS21" s="1">
        <v>2.0</v>
      </c>
      <c r="CT21" s="1" t="s">
        <v>696</v>
      </c>
      <c r="CU21" s="1" t="s">
        <v>697</v>
      </c>
      <c r="CV21" s="1" t="s">
        <v>254</v>
      </c>
      <c r="CW21" s="1" t="s">
        <v>254</v>
      </c>
      <c r="CX21" s="1" t="s">
        <v>254</v>
      </c>
      <c r="CY21" s="1" t="s">
        <v>254</v>
      </c>
      <c r="CZ21" s="1" t="s">
        <v>254</v>
      </c>
      <c r="DA21" s="1" t="s">
        <v>254</v>
      </c>
      <c r="DB21" s="1" t="s">
        <v>255</v>
      </c>
      <c r="DC21" s="1" t="s">
        <v>254</v>
      </c>
      <c r="DD21" s="1" t="s">
        <v>255</v>
      </c>
      <c r="DE21" s="1" t="s">
        <v>388</v>
      </c>
      <c r="DF21" s="1" t="s">
        <v>293</v>
      </c>
      <c r="DG21" s="1" t="s">
        <v>424</v>
      </c>
      <c r="DH21" s="1" t="s">
        <v>424</v>
      </c>
      <c r="DI21" s="1" t="s">
        <v>424</v>
      </c>
      <c r="DJ21" s="1" t="s">
        <v>293</v>
      </c>
      <c r="DK21" s="1" t="s">
        <v>293</v>
      </c>
      <c r="DL21" s="1" t="s">
        <v>388</v>
      </c>
      <c r="DM21" s="1" t="s">
        <v>293</v>
      </c>
      <c r="DN21" s="1" t="s">
        <v>293</v>
      </c>
      <c r="DO21" s="1" t="s">
        <v>293</v>
      </c>
      <c r="DP21" s="1" t="s">
        <v>293</v>
      </c>
      <c r="DQ21" s="1" t="s">
        <v>293</v>
      </c>
      <c r="DR21" s="1" t="s">
        <v>293</v>
      </c>
      <c r="DS21" s="1" t="s">
        <v>293</v>
      </c>
      <c r="DT21" s="1" t="s">
        <v>293</v>
      </c>
      <c r="DU21" s="1" t="s">
        <v>293</v>
      </c>
      <c r="DV21" s="1" t="s">
        <v>293</v>
      </c>
      <c r="DW21" s="1" t="s">
        <v>293</v>
      </c>
      <c r="DX21" s="1" t="s">
        <v>293</v>
      </c>
      <c r="DY21" s="1" t="s">
        <v>293</v>
      </c>
      <c r="DZ21" s="1" t="s">
        <v>293</v>
      </c>
      <c r="EA21" s="1" t="s">
        <v>254</v>
      </c>
      <c r="EB21" s="1" t="s">
        <v>254</v>
      </c>
      <c r="EC21" s="1" t="s">
        <v>254</v>
      </c>
      <c r="ED21" s="1">
        <v>0.0</v>
      </c>
      <c r="EE21" s="1" t="s">
        <v>255</v>
      </c>
      <c r="EF21" s="1" t="s">
        <v>294</v>
      </c>
      <c r="EG21" s="1" t="s">
        <v>389</v>
      </c>
      <c r="EI21" s="1" t="s">
        <v>424</v>
      </c>
      <c r="EJ21" s="1" t="s">
        <v>293</v>
      </c>
      <c r="EK21" s="1" t="s">
        <v>293</v>
      </c>
      <c r="EL21" s="1" t="s">
        <v>293</v>
      </c>
      <c r="EM21" s="1" t="s">
        <v>424</v>
      </c>
      <c r="EN21" s="1" t="s">
        <v>293</v>
      </c>
      <c r="EO21" s="1" t="s">
        <v>293</v>
      </c>
      <c r="EP21" s="1" t="s">
        <v>293</v>
      </c>
      <c r="EQ21" s="1" t="s">
        <v>293</v>
      </c>
      <c r="ER21" s="1" t="s">
        <v>293</v>
      </c>
      <c r="ES21" s="1" t="s">
        <v>293</v>
      </c>
      <c r="ET21" s="1" t="s">
        <v>293</v>
      </c>
      <c r="EU21" s="1" t="s">
        <v>293</v>
      </c>
      <c r="EV21" s="1" t="s">
        <v>387</v>
      </c>
      <c r="EW21" s="1" t="s">
        <v>255</v>
      </c>
      <c r="EX21" s="1" t="s">
        <v>254</v>
      </c>
      <c r="EY21" s="1" t="s">
        <v>484</v>
      </c>
      <c r="EZ21" s="1">
        <v>0.0</v>
      </c>
      <c r="FA21" s="1">
        <v>0.0</v>
      </c>
      <c r="FB21" s="1" t="s">
        <v>255</v>
      </c>
      <c r="FC21" s="1" t="s">
        <v>484</v>
      </c>
      <c r="FD21" s="1">
        <v>0.0</v>
      </c>
      <c r="FE21" s="34"/>
      <c r="FF21" s="1">
        <v>1.0</v>
      </c>
      <c r="FG21" s="1" t="s">
        <v>484</v>
      </c>
      <c r="FH21" s="1">
        <v>0.0</v>
      </c>
      <c r="FI21" s="1">
        <v>0.0</v>
      </c>
      <c r="FJ21" s="1">
        <v>0.0</v>
      </c>
      <c r="FK21" s="1" t="s">
        <v>484</v>
      </c>
      <c r="FL21" s="1">
        <v>0.0</v>
      </c>
      <c r="FM21" s="1">
        <v>0.0</v>
      </c>
      <c r="FN21" s="1">
        <v>0.0</v>
      </c>
      <c r="FO21" s="1">
        <v>0.0</v>
      </c>
      <c r="FP21" s="1">
        <v>0.0</v>
      </c>
      <c r="FQ21" s="1">
        <v>0.0</v>
      </c>
      <c r="FR21" s="28" t="s">
        <v>357</v>
      </c>
      <c r="FS21" s="28" t="s">
        <v>298</v>
      </c>
      <c r="FT21" s="28" t="s">
        <v>298</v>
      </c>
      <c r="FU21" s="28" t="s">
        <v>298</v>
      </c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</row>
    <row r="22">
      <c r="A22" s="29" t="s">
        <v>701</v>
      </c>
      <c r="B22" s="3">
        <v>21.0</v>
      </c>
      <c r="C22" s="3" t="s">
        <v>702</v>
      </c>
      <c r="D22" s="30">
        <v>38069.0</v>
      </c>
      <c r="E22" s="1">
        <v>22.0</v>
      </c>
      <c r="F22" s="3" t="s">
        <v>253</v>
      </c>
      <c r="G22" s="3" t="s">
        <v>252</v>
      </c>
      <c r="H22" s="3" t="s">
        <v>253</v>
      </c>
      <c r="I22" s="3" t="s">
        <v>253</v>
      </c>
      <c r="J22" s="3" t="s">
        <v>252</v>
      </c>
      <c r="K22" s="3" t="s">
        <v>252</v>
      </c>
      <c r="L22" s="3" t="s">
        <v>254</v>
      </c>
      <c r="M22" s="3" t="s">
        <v>254</v>
      </c>
      <c r="N22" s="3" t="s">
        <v>254</v>
      </c>
      <c r="O22" s="3" t="s">
        <v>254</v>
      </c>
      <c r="P22" s="3" t="s">
        <v>255</v>
      </c>
      <c r="Q22" s="3" t="s">
        <v>358</v>
      </c>
      <c r="R22" s="7" t="s">
        <v>298</v>
      </c>
      <c r="S22" s="7" t="s">
        <v>359</v>
      </c>
      <c r="T22" s="1" t="s">
        <v>259</v>
      </c>
      <c r="U22" s="1" t="s">
        <v>306</v>
      </c>
      <c r="V22" s="1" t="s">
        <v>703</v>
      </c>
      <c r="W22" s="1" t="s">
        <v>254</v>
      </c>
      <c r="X22" s="1" t="s">
        <v>254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 t="s">
        <v>255</v>
      </c>
      <c r="AG22" s="1" t="s">
        <v>498</v>
      </c>
      <c r="AH22" s="1" t="s">
        <v>499</v>
      </c>
      <c r="AI22" s="1" t="s">
        <v>500</v>
      </c>
      <c r="AJ22" s="1" t="s">
        <v>501</v>
      </c>
      <c r="AK22" s="1" t="s">
        <v>267</v>
      </c>
      <c r="AL22" s="1" t="s">
        <v>704</v>
      </c>
      <c r="AM22" s="1" t="s">
        <v>269</v>
      </c>
      <c r="AN22" s="1" t="s">
        <v>269</v>
      </c>
      <c r="AP22" s="1" t="s">
        <v>271</v>
      </c>
      <c r="AQ22" s="1" t="s">
        <v>476</v>
      </c>
      <c r="AR22" s="1">
        <v>1.0</v>
      </c>
      <c r="AS22" s="1" t="s">
        <v>273</v>
      </c>
      <c r="AT22" s="1" t="s">
        <v>274</v>
      </c>
      <c r="AU22" s="1" t="s">
        <v>274</v>
      </c>
      <c r="AV22" s="1" t="s">
        <v>317</v>
      </c>
      <c r="AW22" s="1" t="s">
        <v>402</v>
      </c>
      <c r="AX22" s="1" t="s">
        <v>254</v>
      </c>
      <c r="AY22" s="1">
        <v>0.0</v>
      </c>
      <c r="AZ22" s="1" t="s">
        <v>255</v>
      </c>
      <c r="BA22" s="31" t="s">
        <v>319</v>
      </c>
      <c r="BB22" s="1" t="s">
        <v>255</v>
      </c>
      <c r="BC22" s="1" t="s">
        <v>279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 t="s">
        <v>604</v>
      </c>
      <c r="BM22" s="1" t="s">
        <v>704</v>
      </c>
      <c r="BN22" s="1" t="s">
        <v>269</v>
      </c>
      <c r="BO22" s="1" t="s">
        <v>269</v>
      </c>
      <c r="BQ22" s="1" t="s">
        <v>271</v>
      </c>
      <c r="BR22" s="1" t="s">
        <v>255</v>
      </c>
      <c r="BS22" s="1" t="s">
        <v>706</v>
      </c>
      <c r="BT22" s="1" t="s">
        <v>254</v>
      </c>
      <c r="BU22" s="1" t="s">
        <v>254</v>
      </c>
      <c r="BV22" s="1" t="s">
        <v>254</v>
      </c>
      <c r="BW22" s="1" t="s">
        <v>254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2"/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  <c r="CL22" s="1">
        <v>0.0</v>
      </c>
      <c r="CM22" s="1" t="s">
        <v>254</v>
      </c>
      <c r="CN22" s="1">
        <v>0.0</v>
      </c>
      <c r="CO22" s="1" t="s">
        <v>254</v>
      </c>
      <c r="CP22" s="1">
        <v>0.0</v>
      </c>
      <c r="CQ22" s="1">
        <v>2.0</v>
      </c>
      <c r="CR22" s="1">
        <v>2.0</v>
      </c>
      <c r="CS22" s="1">
        <v>0.0</v>
      </c>
      <c r="CT22" s="1" t="s">
        <v>707</v>
      </c>
      <c r="CU22" s="1" t="s">
        <v>697</v>
      </c>
      <c r="CV22" s="1" t="s">
        <v>255</v>
      </c>
      <c r="CW22" s="1" t="s">
        <v>255</v>
      </c>
      <c r="CX22" s="1" t="s">
        <v>254</v>
      </c>
      <c r="CY22" s="1" t="s">
        <v>254</v>
      </c>
      <c r="CZ22" s="1" t="s">
        <v>254</v>
      </c>
      <c r="DA22" s="1" t="s">
        <v>254</v>
      </c>
      <c r="DB22" s="1" t="s">
        <v>254</v>
      </c>
      <c r="DC22" s="1" t="s">
        <v>254</v>
      </c>
      <c r="DD22" s="1" t="s">
        <v>255</v>
      </c>
      <c r="DE22" s="1" t="s">
        <v>324</v>
      </c>
      <c r="DF22" s="1" t="s">
        <v>293</v>
      </c>
      <c r="DG22" s="1" t="s">
        <v>324</v>
      </c>
      <c r="DH22" s="1" t="s">
        <v>293</v>
      </c>
      <c r="DI22" s="1" t="s">
        <v>324</v>
      </c>
      <c r="DJ22" s="1" t="s">
        <v>293</v>
      </c>
      <c r="DK22" s="1" t="s">
        <v>293</v>
      </c>
      <c r="DL22" s="1" t="s">
        <v>293</v>
      </c>
      <c r="DM22" s="1" t="s">
        <v>293</v>
      </c>
      <c r="DN22" s="1" t="s">
        <v>293</v>
      </c>
      <c r="DO22" s="1" t="s">
        <v>293</v>
      </c>
      <c r="DP22" s="1" t="s">
        <v>293</v>
      </c>
      <c r="DQ22" s="1" t="s">
        <v>293</v>
      </c>
      <c r="DR22" s="1" t="s">
        <v>293</v>
      </c>
      <c r="DS22" s="1" t="s">
        <v>293</v>
      </c>
      <c r="DT22" s="1" t="s">
        <v>293</v>
      </c>
      <c r="DU22" s="1" t="s">
        <v>293</v>
      </c>
      <c r="DV22" s="1" t="s">
        <v>293</v>
      </c>
      <c r="DW22" s="1" t="s">
        <v>293</v>
      </c>
      <c r="DX22" s="1" t="s">
        <v>293</v>
      </c>
      <c r="DY22" s="1" t="s">
        <v>293</v>
      </c>
      <c r="DZ22" s="1" t="s">
        <v>293</v>
      </c>
      <c r="EA22" s="1" t="s">
        <v>254</v>
      </c>
      <c r="EB22" s="1" t="s">
        <v>254</v>
      </c>
      <c r="EC22" s="1" t="s">
        <v>254</v>
      </c>
      <c r="ED22" s="1">
        <v>0.0</v>
      </c>
      <c r="EE22" s="1" t="s">
        <v>255</v>
      </c>
      <c r="EF22" s="1" t="s">
        <v>325</v>
      </c>
      <c r="EG22" s="1" t="s">
        <v>389</v>
      </c>
      <c r="EI22" s="1" t="s">
        <v>293</v>
      </c>
      <c r="EJ22" s="1" t="s">
        <v>293</v>
      </c>
      <c r="EK22" s="1" t="s">
        <v>293</v>
      </c>
      <c r="EL22" s="1" t="s">
        <v>293</v>
      </c>
      <c r="EM22" s="1" t="s">
        <v>293</v>
      </c>
      <c r="EN22" s="1" t="s">
        <v>293</v>
      </c>
      <c r="EO22" s="1" t="s">
        <v>293</v>
      </c>
      <c r="EP22" s="1" t="s">
        <v>293</v>
      </c>
      <c r="EQ22" s="1" t="s">
        <v>293</v>
      </c>
      <c r="ER22" s="1" t="s">
        <v>293</v>
      </c>
      <c r="ES22" s="1" t="s">
        <v>293</v>
      </c>
      <c r="ET22" s="1" t="s">
        <v>293</v>
      </c>
      <c r="EU22" s="1" t="s">
        <v>293</v>
      </c>
      <c r="EV22" s="1" t="s">
        <v>387</v>
      </c>
      <c r="EW22" s="1" t="s">
        <v>255</v>
      </c>
      <c r="EX22" s="1" t="s">
        <v>254</v>
      </c>
      <c r="EY22" s="1" t="s">
        <v>484</v>
      </c>
      <c r="EZ22" s="1">
        <v>0.0</v>
      </c>
      <c r="FA22" s="1">
        <v>0.0</v>
      </c>
      <c r="FB22" s="1" t="s">
        <v>254</v>
      </c>
      <c r="FC22" s="1">
        <v>0.0</v>
      </c>
      <c r="FD22" s="1">
        <v>0.0</v>
      </c>
      <c r="FE22" s="1">
        <v>0.0</v>
      </c>
      <c r="FF22" s="1">
        <v>0.0</v>
      </c>
      <c r="FG22" s="1">
        <v>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0.0</v>
      </c>
      <c r="FP22" s="1">
        <v>0.0</v>
      </c>
      <c r="FQ22" s="1">
        <v>0.0</v>
      </c>
      <c r="FR22" s="28" t="s">
        <v>357</v>
      </c>
      <c r="FS22" s="28" t="s">
        <v>298</v>
      </c>
      <c r="FT22" s="28" t="s">
        <v>298</v>
      </c>
      <c r="FU22" s="28" t="s">
        <v>298</v>
      </c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</row>
    <row r="23">
      <c r="A23" s="29" t="s">
        <v>710</v>
      </c>
      <c r="B23" s="3">
        <v>22.0</v>
      </c>
      <c r="C23" s="3" t="s">
        <v>711</v>
      </c>
      <c r="D23" s="30">
        <v>36375.0</v>
      </c>
      <c r="E23" s="1">
        <v>26.0</v>
      </c>
      <c r="F23" s="3" t="s">
        <v>253</v>
      </c>
      <c r="G23" s="3" t="s">
        <v>252</v>
      </c>
      <c r="H23" s="3" t="s">
        <v>253</v>
      </c>
      <c r="I23" s="3" t="s">
        <v>253</v>
      </c>
      <c r="J23" s="3" t="s">
        <v>252</v>
      </c>
      <c r="K23" s="3" t="s">
        <v>252</v>
      </c>
      <c r="L23" s="3" t="s">
        <v>254</v>
      </c>
      <c r="M23" s="3" t="s">
        <v>254</v>
      </c>
      <c r="N23" s="3" t="s">
        <v>254</v>
      </c>
      <c r="O23" s="3" t="s">
        <v>254</v>
      </c>
      <c r="P23" s="3" t="s">
        <v>255</v>
      </c>
      <c r="Q23" s="3" t="s">
        <v>358</v>
      </c>
      <c r="R23" s="7" t="s">
        <v>298</v>
      </c>
      <c r="S23" s="7" t="s">
        <v>359</v>
      </c>
      <c r="T23" s="1" t="s">
        <v>259</v>
      </c>
      <c r="U23" s="1" t="s">
        <v>306</v>
      </c>
      <c r="V23" s="1">
        <v>0.0</v>
      </c>
      <c r="W23" s="1" t="s">
        <v>254</v>
      </c>
      <c r="X23" s="1" t="s">
        <v>254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 t="s">
        <v>254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 t="s">
        <v>712</v>
      </c>
      <c r="AM23" s="1" t="s">
        <v>269</v>
      </c>
      <c r="AN23" s="1" t="s">
        <v>269</v>
      </c>
      <c r="AP23" s="1" t="s">
        <v>271</v>
      </c>
      <c r="AQ23" s="1" t="s">
        <v>476</v>
      </c>
      <c r="AR23" s="1">
        <v>1.0</v>
      </c>
      <c r="AS23" s="1" t="s">
        <v>273</v>
      </c>
      <c r="AT23" s="1" t="s">
        <v>274</v>
      </c>
      <c r="AU23" s="1" t="s">
        <v>275</v>
      </c>
      <c r="AV23" s="1" t="s">
        <v>317</v>
      </c>
      <c r="AW23" s="1" t="s">
        <v>318</v>
      </c>
      <c r="AX23" s="1" t="s">
        <v>254</v>
      </c>
      <c r="AY23" s="1">
        <v>0.0</v>
      </c>
      <c r="AZ23" s="1" t="s">
        <v>255</v>
      </c>
      <c r="BA23" s="31" t="s">
        <v>319</v>
      </c>
      <c r="BB23" s="1" t="s">
        <v>255</v>
      </c>
      <c r="BC23" s="1" t="s">
        <v>279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 t="s">
        <v>320</v>
      </c>
      <c r="BM23" s="1" t="s">
        <v>712</v>
      </c>
      <c r="BN23" s="1" t="s">
        <v>269</v>
      </c>
      <c r="BO23" s="1" t="s">
        <v>269</v>
      </c>
      <c r="BQ23" s="1" t="s">
        <v>271</v>
      </c>
      <c r="BR23" s="1" t="s">
        <v>254</v>
      </c>
      <c r="BS23" s="1" t="s">
        <v>254</v>
      </c>
      <c r="BT23" s="1" t="s">
        <v>254</v>
      </c>
      <c r="BU23" s="1" t="s">
        <v>254</v>
      </c>
      <c r="BV23" s="1" t="s">
        <v>254</v>
      </c>
      <c r="BW23" s="1" t="s">
        <v>255</v>
      </c>
      <c r="BX23" s="1">
        <v>10.0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1.0</v>
      </c>
      <c r="CH23" s="1">
        <v>0.0</v>
      </c>
      <c r="CI23" s="1">
        <v>0.0</v>
      </c>
      <c r="CJ23" s="1">
        <v>0.0</v>
      </c>
      <c r="CK23" s="1" t="s">
        <v>384</v>
      </c>
      <c r="CL23" s="1" t="s">
        <v>317</v>
      </c>
      <c r="CM23" s="1" t="s">
        <v>255</v>
      </c>
      <c r="CN23" s="1" t="s">
        <v>713</v>
      </c>
      <c r="CO23" s="1" t="s">
        <v>254</v>
      </c>
      <c r="CP23" s="1">
        <v>0.0</v>
      </c>
      <c r="CQ23" s="1">
        <v>1.0</v>
      </c>
      <c r="CR23" s="1">
        <v>1.0</v>
      </c>
      <c r="CS23" s="1">
        <v>0.0</v>
      </c>
      <c r="CT23" s="1">
        <v>1995.0</v>
      </c>
      <c r="CU23" s="1" t="s">
        <v>714</v>
      </c>
      <c r="CV23" s="1" t="s">
        <v>255</v>
      </c>
      <c r="CW23" s="1" t="s">
        <v>254</v>
      </c>
      <c r="CX23" s="1" t="s">
        <v>254</v>
      </c>
      <c r="CY23" s="1" t="s">
        <v>254</v>
      </c>
      <c r="CZ23" s="1" t="s">
        <v>254</v>
      </c>
      <c r="DA23" s="1" t="s">
        <v>255</v>
      </c>
      <c r="DB23" s="1" t="s">
        <v>255</v>
      </c>
      <c r="DC23" s="1" t="s">
        <v>254</v>
      </c>
      <c r="DD23" s="1" t="s">
        <v>255</v>
      </c>
      <c r="DE23" s="1" t="s">
        <v>324</v>
      </c>
      <c r="DF23" s="1" t="s">
        <v>324</v>
      </c>
      <c r="DG23" s="1" t="s">
        <v>293</v>
      </c>
      <c r="DH23" s="1" t="s">
        <v>293</v>
      </c>
      <c r="DI23" s="1" t="s">
        <v>424</v>
      </c>
      <c r="DJ23" s="1" t="s">
        <v>293</v>
      </c>
      <c r="DK23" s="1" t="s">
        <v>293</v>
      </c>
      <c r="DL23" s="1" t="s">
        <v>324</v>
      </c>
      <c r="DM23" s="1" t="s">
        <v>388</v>
      </c>
      <c r="DN23" s="1" t="s">
        <v>388</v>
      </c>
      <c r="DO23" s="1" t="s">
        <v>293</v>
      </c>
      <c r="DP23" s="1" t="s">
        <v>451</v>
      </c>
      <c r="DQ23" s="1" t="s">
        <v>293</v>
      </c>
      <c r="DR23" s="1" t="s">
        <v>293</v>
      </c>
      <c r="DS23" s="1" t="s">
        <v>293</v>
      </c>
      <c r="DT23" s="1" t="s">
        <v>506</v>
      </c>
      <c r="DU23" s="1" t="s">
        <v>293</v>
      </c>
      <c r="DV23" s="1" t="s">
        <v>293</v>
      </c>
      <c r="DW23" s="1" t="s">
        <v>293</v>
      </c>
      <c r="DX23" s="1" t="s">
        <v>293</v>
      </c>
      <c r="DY23" s="1" t="s">
        <v>293</v>
      </c>
      <c r="DZ23" s="1" t="s">
        <v>293</v>
      </c>
      <c r="EA23" s="1" t="s">
        <v>254</v>
      </c>
      <c r="EB23" s="1" t="s">
        <v>254</v>
      </c>
      <c r="EC23" s="1" t="s">
        <v>254</v>
      </c>
      <c r="ED23" s="1">
        <v>0.0</v>
      </c>
      <c r="EE23" s="1" t="s">
        <v>255</v>
      </c>
      <c r="EF23" s="1" t="s">
        <v>294</v>
      </c>
      <c r="EG23" s="1" t="s">
        <v>389</v>
      </c>
      <c r="EI23" s="1" t="s">
        <v>424</v>
      </c>
      <c r="EJ23" s="1" t="s">
        <v>293</v>
      </c>
      <c r="EK23" s="1" t="s">
        <v>293</v>
      </c>
      <c r="EL23" s="1" t="s">
        <v>293</v>
      </c>
      <c r="EM23" s="1" t="s">
        <v>293</v>
      </c>
      <c r="EN23" s="1" t="s">
        <v>503</v>
      </c>
      <c r="EO23" s="1" t="s">
        <v>293</v>
      </c>
      <c r="EP23" s="1" t="s">
        <v>293</v>
      </c>
      <c r="EQ23" s="1" t="s">
        <v>293</v>
      </c>
      <c r="ER23" s="1" t="s">
        <v>293</v>
      </c>
      <c r="ES23" s="1" t="s">
        <v>293</v>
      </c>
      <c r="ET23" s="1" t="s">
        <v>293</v>
      </c>
      <c r="EU23" s="1" t="s">
        <v>293</v>
      </c>
      <c r="EV23" s="1" t="s">
        <v>387</v>
      </c>
      <c r="EW23" s="1" t="s">
        <v>255</v>
      </c>
      <c r="EX23" s="1" t="s">
        <v>254</v>
      </c>
      <c r="EY23" s="1" t="s">
        <v>484</v>
      </c>
      <c r="EZ23" s="1" t="s">
        <v>509</v>
      </c>
      <c r="FA23" s="1">
        <v>0.0</v>
      </c>
      <c r="FB23" s="1" t="s">
        <v>254</v>
      </c>
      <c r="FC23" s="1">
        <v>0.0</v>
      </c>
      <c r="FD23" s="1">
        <v>0.0</v>
      </c>
      <c r="FE23" s="1">
        <v>0.0</v>
      </c>
      <c r="FF23" s="1">
        <v>0.0</v>
      </c>
      <c r="FG23" s="1">
        <v>0.0</v>
      </c>
      <c r="FH23" s="1">
        <v>0.0</v>
      </c>
      <c r="FI23" s="1">
        <v>0.0</v>
      </c>
      <c r="FJ23" s="1">
        <v>0.0</v>
      </c>
      <c r="FK23" s="1">
        <v>0.0</v>
      </c>
      <c r="FL23" s="1">
        <v>0.0</v>
      </c>
      <c r="FM23" s="1">
        <v>0.0</v>
      </c>
      <c r="FN23" s="1">
        <v>0.0</v>
      </c>
      <c r="FO23" s="1">
        <v>0.0</v>
      </c>
      <c r="FP23" s="1">
        <v>0.0</v>
      </c>
      <c r="FQ23" s="1">
        <v>0.0</v>
      </c>
      <c r="FR23" s="28" t="s">
        <v>357</v>
      </c>
      <c r="FS23" s="28" t="s">
        <v>298</v>
      </c>
      <c r="FT23" s="28" t="s">
        <v>298</v>
      </c>
      <c r="FU23" s="28" t="s">
        <v>298</v>
      </c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</row>
    <row r="24">
      <c r="A24" s="29" t="s">
        <v>715</v>
      </c>
      <c r="B24" s="3">
        <v>23.0</v>
      </c>
      <c r="C24" s="3" t="s">
        <v>716</v>
      </c>
      <c r="D24" s="30">
        <v>36904.0</v>
      </c>
      <c r="E24" s="1">
        <v>25.0</v>
      </c>
      <c r="F24" s="3" t="s">
        <v>252</v>
      </c>
      <c r="G24" s="3" t="s">
        <v>253</v>
      </c>
      <c r="H24" s="3" t="s">
        <v>253</v>
      </c>
      <c r="I24" s="3" t="s">
        <v>252</v>
      </c>
      <c r="J24" s="3" t="s">
        <v>253</v>
      </c>
      <c r="K24" s="3" t="s">
        <v>253</v>
      </c>
      <c r="L24" s="3" t="s">
        <v>254</v>
      </c>
      <c r="M24" s="3" t="s">
        <v>254</v>
      </c>
      <c r="N24" s="3" t="s">
        <v>254</v>
      </c>
      <c r="O24" s="3" t="s">
        <v>255</v>
      </c>
      <c r="P24" s="3" t="s">
        <v>254</v>
      </c>
      <c r="Q24" s="3" t="s">
        <v>358</v>
      </c>
      <c r="R24" s="7" t="s">
        <v>298</v>
      </c>
      <c r="S24" s="7" t="s">
        <v>359</v>
      </c>
      <c r="T24" s="1" t="s">
        <v>259</v>
      </c>
      <c r="U24" s="1" t="s">
        <v>372</v>
      </c>
      <c r="V24" s="1" t="s">
        <v>717</v>
      </c>
      <c r="W24" s="1" t="s">
        <v>254</v>
      </c>
      <c r="X24" s="1" t="s">
        <v>254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 t="s">
        <v>254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 t="s">
        <v>718</v>
      </c>
      <c r="AM24" s="1" t="s">
        <v>719</v>
      </c>
      <c r="AN24" s="1" t="s">
        <v>720</v>
      </c>
      <c r="AO24" s="1" t="s">
        <v>269</v>
      </c>
      <c r="AP24" s="1" t="s">
        <v>342</v>
      </c>
      <c r="AQ24" s="1" t="s">
        <v>342</v>
      </c>
      <c r="AR24" s="1">
        <v>1.0</v>
      </c>
      <c r="AS24" s="1" t="s">
        <v>368</v>
      </c>
      <c r="AT24" s="1" t="s">
        <v>274</v>
      </c>
      <c r="AU24" s="1" t="s">
        <v>316</v>
      </c>
      <c r="AV24" s="1" t="s">
        <v>379</v>
      </c>
      <c r="AW24" s="1" t="s">
        <v>380</v>
      </c>
      <c r="AX24" s="1" t="s">
        <v>255</v>
      </c>
      <c r="AY24" s="12"/>
      <c r="AZ24" s="1" t="s">
        <v>255</v>
      </c>
      <c r="BA24" s="1" t="s">
        <v>420</v>
      </c>
      <c r="BB24" s="1" t="s">
        <v>255</v>
      </c>
      <c r="BC24" s="1" t="s">
        <v>279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 t="s">
        <v>320</v>
      </c>
      <c r="BM24" s="1" t="s">
        <v>718</v>
      </c>
      <c r="BN24" s="1" t="s">
        <v>719</v>
      </c>
      <c r="BO24" s="1" t="s">
        <v>720</v>
      </c>
      <c r="BP24" s="1" t="s">
        <v>269</v>
      </c>
      <c r="BQ24" s="1" t="s">
        <v>342</v>
      </c>
      <c r="BR24" s="1" t="s">
        <v>255</v>
      </c>
      <c r="BS24" s="1" t="s">
        <v>721</v>
      </c>
      <c r="BT24" s="1" t="s">
        <v>722</v>
      </c>
      <c r="BU24" s="1" t="s">
        <v>723</v>
      </c>
      <c r="BV24" s="1" t="s">
        <v>254</v>
      </c>
      <c r="BW24" s="1" t="s">
        <v>255</v>
      </c>
      <c r="BX24" s="1">
        <v>0.0</v>
      </c>
      <c r="BY24" s="1">
        <v>0.0</v>
      </c>
      <c r="BZ24" s="1">
        <v>0.0</v>
      </c>
      <c r="CA24" s="1">
        <v>1.0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 t="s">
        <v>384</v>
      </c>
      <c r="CL24" s="1" t="s">
        <v>379</v>
      </c>
      <c r="CM24" s="1" t="s">
        <v>254</v>
      </c>
      <c r="CN24" s="1">
        <v>0.0</v>
      </c>
      <c r="CO24" s="1" t="s">
        <v>254</v>
      </c>
      <c r="CP24" s="1">
        <v>0.0</v>
      </c>
      <c r="CQ24" s="1" t="s">
        <v>646</v>
      </c>
      <c r="CU24" s="12"/>
      <c r="CV24" s="1" t="s">
        <v>254</v>
      </c>
      <c r="CW24" s="1" t="s">
        <v>254</v>
      </c>
      <c r="CX24" s="1" t="s">
        <v>254</v>
      </c>
      <c r="CY24" s="1" t="s">
        <v>254</v>
      </c>
      <c r="CZ24" s="1" t="s">
        <v>254</v>
      </c>
      <c r="DA24" s="1" t="s">
        <v>255</v>
      </c>
      <c r="DB24" s="1" t="s">
        <v>255</v>
      </c>
      <c r="DC24" s="1" t="s">
        <v>254</v>
      </c>
      <c r="DD24" s="1" t="s">
        <v>255</v>
      </c>
      <c r="DE24" s="1" t="s">
        <v>324</v>
      </c>
      <c r="DF24" s="1" t="s">
        <v>324</v>
      </c>
      <c r="DG24" s="1" t="s">
        <v>388</v>
      </c>
      <c r="DH24" s="1" t="s">
        <v>293</v>
      </c>
      <c r="DI24" s="1" t="s">
        <v>293</v>
      </c>
      <c r="DJ24" s="1" t="s">
        <v>293</v>
      </c>
      <c r="DK24" s="1" t="s">
        <v>388</v>
      </c>
      <c r="DL24" s="1" t="s">
        <v>324</v>
      </c>
      <c r="DM24" s="1" t="s">
        <v>293</v>
      </c>
      <c r="DN24" s="1" t="s">
        <v>293</v>
      </c>
      <c r="DO24" s="1" t="s">
        <v>293</v>
      </c>
      <c r="DP24" s="1" t="s">
        <v>293</v>
      </c>
      <c r="DQ24" s="1" t="s">
        <v>293</v>
      </c>
      <c r="DR24" s="1" t="s">
        <v>293</v>
      </c>
      <c r="DS24" s="1" t="s">
        <v>293</v>
      </c>
      <c r="DT24" s="1" t="s">
        <v>293</v>
      </c>
      <c r="DU24" s="1" t="s">
        <v>293</v>
      </c>
      <c r="DV24" s="1" t="s">
        <v>293</v>
      </c>
      <c r="DW24" s="1" t="s">
        <v>293</v>
      </c>
      <c r="DX24" s="1" t="s">
        <v>293</v>
      </c>
      <c r="DY24" s="1" t="s">
        <v>293</v>
      </c>
      <c r="DZ24" s="1" t="s">
        <v>293</v>
      </c>
      <c r="EA24" s="1" t="s">
        <v>254</v>
      </c>
      <c r="EB24" s="1" t="s">
        <v>254</v>
      </c>
      <c r="EC24" s="1" t="s">
        <v>254</v>
      </c>
      <c r="ED24" s="1">
        <v>0.0</v>
      </c>
      <c r="EE24" s="1" t="s">
        <v>255</v>
      </c>
      <c r="EF24" s="1" t="s">
        <v>294</v>
      </c>
      <c r="EG24" s="1" t="s">
        <v>389</v>
      </c>
      <c r="EI24" s="1" t="s">
        <v>574</v>
      </c>
      <c r="EJ24" s="1" t="s">
        <v>424</v>
      </c>
      <c r="EK24" s="1" t="s">
        <v>426</v>
      </c>
      <c r="EL24" s="1" t="s">
        <v>426</v>
      </c>
      <c r="EM24" s="1" t="s">
        <v>426</v>
      </c>
      <c r="EN24" s="1" t="s">
        <v>424</v>
      </c>
      <c r="EO24" s="1" t="s">
        <v>426</v>
      </c>
      <c r="EP24" s="1" t="s">
        <v>426</v>
      </c>
      <c r="EQ24" s="1" t="s">
        <v>426</v>
      </c>
      <c r="ER24" s="1" t="s">
        <v>426</v>
      </c>
      <c r="ES24" s="1" t="s">
        <v>426</v>
      </c>
      <c r="ET24" s="1" t="s">
        <v>426</v>
      </c>
      <c r="EU24" s="1" t="s">
        <v>426</v>
      </c>
      <c r="EV24" s="1" t="s">
        <v>387</v>
      </c>
      <c r="EW24" s="1" t="s">
        <v>254</v>
      </c>
      <c r="EX24" s="1" t="s">
        <v>254</v>
      </c>
      <c r="EY24" s="1" t="s">
        <v>432</v>
      </c>
      <c r="EZ24" s="1" t="s">
        <v>486</v>
      </c>
      <c r="FA24" s="1" t="s">
        <v>724</v>
      </c>
      <c r="FB24" s="1" t="s">
        <v>254</v>
      </c>
      <c r="FC24" s="1">
        <v>0.0</v>
      </c>
      <c r="FD24" s="1">
        <v>0.0</v>
      </c>
      <c r="FE24" s="1">
        <v>0.0</v>
      </c>
      <c r="FF24" s="1">
        <v>0.0</v>
      </c>
      <c r="FG24" s="1">
        <v>0.0</v>
      </c>
      <c r="FH24" s="1">
        <v>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0.0</v>
      </c>
      <c r="FP24" s="1">
        <v>0.0</v>
      </c>
      <c r="FQ24" s="1">
        <v>0.0</v>
      </c>
      <c r="FR24" s="28" t="s">
        <v>357</v>
      </c>
      <c r="FS24" s="28" t="s">
        <v>298</v>
      </c>
      <c r="FT24" s="28" t="s">
        <v>298</v>
      </c>
      <c r="FU24" s="28" t="s">
        <v>298</v>
      </c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</row>
    <row r="25">
      <c r="A25" s="29" t="s">
        <v>725</v>
      </c>
      <c r="B25" s="3">
        <v>24.0</v>
      </c>
      <c r="C25" s="3" t="s">
        <v>726</v>
      </c>
      <c r="D25" s="30">
        <v>21656.0</v>
      </c>
      <c r="E25" s="1">
        <v>67.0</v>
      </c>
      <c r="F25" s="3" t="s">
        <v>252</v>
      </c>
      <c r="G25" s="3" t="s">
        <v>253</v>
      </c>
      <c r="H25" s="3" t="s">
        <v>253</v>
      </c>
      <c r="I25" s="3" t="s">
        <v>252</v>
      </c>
      <c r="J25" s="3" t="s">
        <v>253</v>
      </c>
      <c r="K25" s="3" t="s">
        <v>253</v>
      </c>
      <c r="L25" s="3" t="s">
        <v>254</v>
      </c>
      <c r="M25" s="3" t="s">
        <v>254</v>
      </c>
      <c r="N25" s="3" t="s">
        <v>254</v>
      </c>
      <c r="O25" s="3" t="s">
        <v>255</v>
      </c>
      <c r="P25" s="3" t="s">
        <v>254</v>
      </c>
      <c r="Q25" s="3" t="s">
        <v>358</v>
      </c>
      <c r="R25" s="7" t="s">
        <v>298</v>
      </c>
      <c r="S25" s="7" t="s">
        <v>359</v>
      </c>
      <c r="T25" s="1" t="s">
        <v>259</v>
      </c>
      <c r="U25" s="1" t="s">
        <v>469</v>
      </c>
      <c r="V25" s="1" t="s">
        <v>410</v>
      </c>
      <c r="W25" s="1" t="s">
        <v>727</v>
      </c>
      <c r="X25" s="1" t="s">
        <v>255</v>
      </c>
      <c r="Y25" s="1">
        <v>1.0</v>
      </c>
      <c r="Z25" s="1">
        <v>1.0</v>
      </c>
      <c r="AA25" s="1" t="s">
        <v>728</v>
      </c>
      <c r="AB25" s="1" t="s">
        <v>729</v>
      </c>
      <c r="AC25" s="1">
        <v>0.0</v>
      </c>
      <c r="AD25" s="1">
        <v>2000.0</v>
      </c>
      <c r="AE25" s="1" t="s">
        <v>265</v>
      </c>
      <c r="AF25" s="1" t="s">
        <v>255</v>
      </c>
      <c r="AG25" s="1" t="s">
        <v>375</v>
      </c>
      <c r="AH25" s="1" t="s">
        <v>266</v>
      </c>
      <c r="AI25" s="1" t="s">
        <v>549</v>
      </c>
      <c r="AJ25" s="12"/>
      <c r="AK25" s="12"/>
      <c r="AL25" s="1" t="s">
        <v>601</v>
      </c>
      <c r="AM25" s="1" t="s">
        <v>269</v>
      </c>
      <c r="AN25" s="1" t="s">
        <v>269</v>
      </c>
      <c r="AP25" s="1" t="s">
        <v>271</v>
      </c>
      <c r="AQ25" s="1" t="s">
        <v>476</v>
      </c>
      <c r="AR25" s="1">
        <v>3.0</v>
      </c>
      <c r="AS25" s="1" t="s">
        <v>273</v>
      </c>
      <c r="AT25" s="1" t="s">
        <v>274</v>
      </c>
      <c r="AU25" s="1" t="s">
        <v>316</v>
      </c>
      <c r="AV25" s="1" t="s">
        <v>276</v>
      </c>
      <c r="AW25" s="1" t="s">
        <v>380</v>
      </c>
      <c r="AX25" s="1" t="s">
        <v>254</v>
      </c>
      <c r="AY25" s="1">
        <v>0.0</v>
      </c>
      <c r="AZ25" s="1" t="s">
        <v>255</v>
      </c>
      <c r="BA25" s="1" t="s">
        <v>278</v>
      </c>
      <c r="BB25" s="1" t="s">
        <v>255</v>
      </c>
      <c r="BC25" s="1" t="s">
        <v>279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 t="s">
        <v>320</v>
      </c>
      <c r="BM25" s="1" t="s">
        <v>601</v>
      </c>
      <c r="BN25" s="1" t="s">
        <v>269</v>
      </c>
      <c r="BO25" s="1" t="s">
        <v>269</v>
      </c>
      <c r="BQ25" s="1" t="s">
        <v>271</v>
      </c>
      <c r="BR25" s="1" t="s">
        <v>254</v>
      </c>
      <c r="BS25" s="1" t="s">
        <v>254</v>
      </c>
      <c r="BT25" s="1" t="s">
        <v>254</v>
      </c>
      <c r="BU25" s="1" t="s">
        <v>254</v>
      </c>
      <c r="BV25" s="1" t="s">
        <v>254</v>
      </c>
      <c r="BW25" s="1" t="s">
        <v>254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 t="s">
        <v>254</v>
      </c>
      <c r="CN25" s="1">
        <v>0.0</v>
      </c>
      <c r="CO25" s="1" t="s">
        <v>254</v>
      </c>
      <c r="CP25" s="1">
        <v>0.0</v>
      </c>
      <c r="CQ25" s="1">
        <v>1.0</v>
      </c>
      <c r="CR25" s="1">
        <v>0.0</v>
      </c>
      <c r="CS25" s="1">
        <v>1.0</v>
      </c>
      <c r="CT25" s="1">
        <v>1959.0</v>
      </c>
      <c r="CU25" s="1" t="s">
        <v>730</v>
      </c>
      <c r="CV25" s="1" t="s">
        <v>254</v>
      </c>
      <c r="CW25" s="1" t="s">
        <v>254</v>
      </c>
      <c r="CX25" s="1" t="s">
        <v>254</v>
      </c>
      <c r="CY25" s="1" t="s">
        <v>254</v>
      </c>
      <c r="CZ25" s="1" t="s">
        <v>254</v>
      </c>
      <c r="DA25" s="1" t="s">
        <v>255</v>
      </c>
      <c r="DB25" s="1" t="s">
        <v>255</v>
      </c>
      <c r="DC25" s="1" t="s">
        <v>254</v>
      </c>
      <c r="DD25" s="1" t="s">
        <v>255</v>
      </c>
      <c r="DE25" s="1" t="s">
        <v>388</v>
      </c>
      <c r="DF25" s="1" t="s">
        <v>426</v>
      </c>
      <c r="DG25" s="1" t="s">
        <v>292</v>
      </c>
      <c r="DH25" s="1" t="s">
        <v>293</v>
      </c>
      <c r="DI25" s="1" t="s">
        <v>293</v>
      </c>
      <c r="DJ25" s="1" t="s">
        <v>293</v>
      </c>
      <c r="DK25" s="1" t="s">
        <v>293</v>
      </c>
      <c r="DL25" s="1" t="s">
        <v>450</v>
      </c>
      <c r="DM25" s="1" t="s">
        <v>293</v>
      </c>
      <c r="DN25" s="1" t="s">
        <v>293</v>
      </c>
      <c r="DO25" s="1" t="s">
        <v>293</v>
      </c>
      <c r="DP25" s="1" t="s">
        <v>293</v>
      </c>
      <c r="DQ25" s="1" t="s">
        <v>293</v>
      </c>
      <c r="DR25" s="1" t="s">
        <v>293</v>
      </c>
      <c r="DS25" s="1" t="s">
        <v>293</v>
      </c>
      <c r="DT25" s="1" t="s">
        <v>293</v>
      </c>
      <c r="DU25" s="1" t="s">
        <v>293</v>
      </c>
      <c r="DV25" s="1" t="s">
        <v>293</v>
      </c>
      <c r="DW25" s="1" t="s">
        <v>293</v>
      </c>
      <c r="DX25" s="1" t="s">
        <v>293</v>
      </c>
      <c r="DY25" s="1" t="s">
        <v>293</v>
      </c>
      <c r="DZ25" s="1" t="s">
        <v>293</v>
      </c>
      <c r="EA25" s="1" t="s">
        <v>254</v>
      </c>
      <c r="EB25" s="1" t="s">
        <v>254</v>
      </c>
      <c r="EC25" s="1" t="s">
        <v>254</v>
      </c>
      <c r="ED25" s="1">
        <v>0.0</v>
      </c>
      <c r="EE25" s="1" t="s">
        <v>255</v>
      </c>
      <c r="EF25" s="1" t="s">
        <v>636</v>
      </c>
      <c r="EG25" s="1" t="s">
        <v>389</v>
      </c>
      <c r="EI25" s="1" t="s">
        <v>426</v>
      </c>
      <c r="EJ25" s="1" t="s">
        <v>426</v>
      </c>
      <c r="EK25" s="1" t="s">
        <v>426</v>
      </c>
      <c r="EL25" s="1" t="s">
        <v>426</v>
      </c>
      <c r="EM25" s="1" t="s">
        <v>426</v>
      </c>
      <c r="EN25" s="1" t="s">
        <v>426</v>
      </c>
      <c r="EO25" s="1" t="s">
        <v>426</v>
      </c>
      <c r="EP25" s="1" t="s">
        <v>426</v>
      </c>
      <c r="EQ25" s="1" t="s">
        <v>426</v>
      </c>
      <c r="ER25" s="1" t="s">
        <v>426</v>
      </c>
      <c r="ES25" s="1" t="s">
        <v>426</v>
      </c>
      <c r="ET25" s="1" t="s">
        <v>426</v>
      </c>
      <c r="EU25" s="1" t="s">
        <v>426</v>
      </c>
      <c r="EV25" s="1" t="s">
        <v>387</v>
      </c>
      <c r="EW25" s="1" t="s">
        <v>254</v>
      </c>
      <c r="EX25" s="1" t="s">
        <v>254</v>
      </c>
      <c r="EY25" s="1" t="s">
        <v>432</v>
      </c>
      <c r="EZ25" s="1" t="s">
        <v>509</v>
      </c>
      <c r="FA25" s="1" t="s">
        <v>428</v>
      </c>
      <c r="FB25" s="1" t="s">
        <v>254</v>
      </c>
      <c r="FC25" s="1">
        <v>0.0</v>
      </c>
      <c r="FD25" s="1">
        <v>0.0</v>
      </c>
      <c r="FE25" s="1">
        <v>0.0</v>
      </c>
      <c r="FF25" s="1">
        <v>0.0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0.0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  <c r="FR25" s="28" t="s">
        <v>357</v>
      </c>
      <c r="FS25" s="28" t="s">
        <v>298</v>
      </c>
      <c r="FT25" s="28" t="s">
        <v>298</v>
      </c>
      <c r="FU25" s="28" t="s">
        <v>298</v>
      </c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</row>
    <row r="26">
      <c r="A26" s="29" t="s">
        <v>731</v>
      </c>
      <c r="B26" s="3">
        <v>25.0</v>
      </c>
      <c r="C26" s="3" t="s">
        <v>732</v>
      </c>
      <c r="D26" s="30">
        <v>23726.0</v>
      </c>
      <c r="E26" s="1">
        <v>61.0</v>
      </c>
      <c r="F26" s="3" t="s">
        <v>253</v>
      </c>
      <c r="G26" s="3" t="s">
        <v>252</v>
      </c>
      <c r="H26" s="3" t="s">
        <v>253</v>
      </c>
      <c r="I26" s="3" t="s">
        <v>253</v>
      </c>
      <c r="J26" s="3" t="s">
        <v>252</v>
      </c>
      <c r="K26" s="3" t="s">
        <v>252</v>
      </c>
      <c r="L26" s="3" t="s">
        <v>254</v>
      </c>
      <c r="M26" s="3" t="s">
        <v>254</v>
      </c>
      <c r="N26" s="3" t="s">
        <v>254</v>
      </c>
      <c r="O26" s="3" t="s">
        <v>254</v>
      </c>
      <c r="P26" s="3" t="s">
        <v>255</v>
      </c>
      <c r="Q26" s="3" t="s">
        <v>358</v>
      </c>
      <c r="R26" s="7" t="s">
        <v>298</v>
      </c>
      <c r="S26" s="7" t="s">
        <v>359</v>
      </c>
      <c r="T26" s="1" t="s">
        <v>305</v>
      </c>
      <c r="U26" s="1" t="s">
        <v>469</v>
      </c>
      <c r="V26" s="1" t="s">
        <v>733</v>
      </c>
      <c r="W26" s="1" t="s">
        <v>254</v>
      </c>
      <c r="X26" s="1" t="s">
        <v>254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 t="s">
        <v>254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 t="s">
        <v>734</v>
      </c>
      <c r="AM26" s="1" t="s">
        <v>269</v>
      </c>
      <c r="AN26" s="1" t="s">
        <v>269</v>
      </c>
      <c r="AP26" s="1" t="s">
        <v>271</v>
      </c>
      <c r="AQ26" s="1" t="s">
        <v>343</v>
      </c>
      <c r="AR26" s="1">
        <v>7.0</v>
      </c>
      <c r="AS26" s="1" t="s">
        <v>617</v>
      </c>
      <c r="AT26" s="1" t="s">
        <v>274</v>
      </c>
      <c r="AU26" s="1" t="s">
        <v>275</v>
      </c>
      <c r="AV26" s="1" t="s">
        <v>276</v>
      </c>
      <c r="AW26" s="1" t="s">
        <v>380</v>
      </c>
      <c r="AX26" s="1" t="s">
        <v>254</v>
      </c>
      <c r="AY26" s="1">
        <v>0.0</v>
      </c>
      <c r="AZ26" s="1" t="s">
        <v>255</v>
      </c>
      <c r="BA26" s="31" t="s">
        <v>735</v>
      </c>
      <c r="BB26" s="1" t="s">
        <v>254</v>
      </c>
      <c r="BC26" s="1" t="s">
        <v>279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 t="s">
        <v>736</v>
      </c>
      <c r="BM26" s="1" t="s">
        <v>734</v>
      </c>
      <c r="BN26" s="1" t="s">
        <v>269</v>
      </c>
      <c r="BO26" s="1" t="s">
        <v>269</v>
      </c>
      <c r="BQ26" s="1" t="s">
        <v>271</v>
      </c>
      <c r="BR26" s="1" t="s">
        <v>254</v>
      </c>
      <c r="BS26" s="1" t="s">
        <v>254</v>
      </c>
      <c r="BT26" s="1" t="s">
        <v>254</v>
      </c>
      <c r="BU26" s="1" t="s">
        <v>254</v>
      </c>
      <c r="BV26" s="1" t="s">
        <v>254</v>
      </c>
      <c r="BW26" s="1" t="s">
        <v>254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 t="s">
        <v>254</v>
      </c>
      <c r="CN26" s="1">
        <v>0.0</v>
      </c>
      <c r="CO26" s="1" t="s">
        <v>254</v>
      </c>
      <c r="CP26" s="1">
        <v>0.0</v>
      </c>
      <c r="CQ26" s="1">
        <v>6.0</v>
      </c>
      <c r="CR26" s="1">
        <v>3.0</v>
      </c>
      <c r="CS26" s="1">
        <v>3.0</v>
      </c>
      <c r="CT26" s="1" t="s">
        <v>737</v>
      </c>
      <c r="CU26" s="1" t="s">
        <v>738</v>
      </c>
      <c r="CV26" s="1" t="s">
        <v>254</v>
      </c>
      <c r="CW26" s="1" t="s">
        <v>254</v>
      </c>
      <c r="CX26" s="1" t="s">
        <v>254</v>
      </c>
      <c r="CY26" s="1" t="s">
        <v>254</v>
      </c>
      <c r="CZ26" s="1" t="s">
        <v>254</v>
      </c>
      <c r="DA26" s="1" t="s">
        <v>255</v>
      </c>
      <c r="DB26" s="1" t="s">
        <v>255</v>
      </c>
      <c r="DC26" s="1" t="s">
        <v>254</v>
      </c>
      <c r="DD26" s="1" t="s">
        <v>255</v>
      </c>
      <c r="DE26" s="1" t="s">
        <v>424</v>
      </c>
      <c r="DF26" s="1" t="s">
        <v>293</v>
      </c>
      <c r="DG26" s="1" t="s">
        <v>293</v>
      </c>
      <c r="DH26" s="1" t="s">
        <v>424</v>
      </c>
      <c r="DI26" s="1" t="s">
        <v>324</v>
      </c>
      <c r="DJ26" s="1" t="s">
        <v>293</v>
      </c>
      <c r="DK26" s="1" t="s">
        <v>293</v>
      </c>
      <c r="DL26" s="1" t="s">
        <v>424</v>
      </c>
      <c r="DM26" s="1" t="s">
        <v>293</v>
      </c>
      <c r="DN26" s="1" t="s">
        <v>293</v>
      </c>
      <c r="DO26" s="1" t="s">
        <v>293</v>
      </c>
      <c r="DP26" s="1" t="s">
        <v>293</v>
      </c>
      <c r="DQ26" s="1" t="s">
        <v>293</v>
      </c>
      <c r="DR26" s="1" t="s">
        <v>293</v>
      </c>
      <c r="DS26" s="1" t="s">
        <v>293</v>
      </c>
      <c r="DT26" s="1" t="s">
        <v>293</v>
      </c>
      <c r="DU26" s="1" t="s">
        <v>293</v>
      </c>
      <c r="DV26" s="1" t="s">
        <v>293</v>
      </c>
      <c r="DW26" s="1" t="s">
        <v>293</v>
      </c>
      <c r="DX26" s="1" t="s">
        <v>293</v>
      </c>
      <c r="DY26" s="1" t="s">
        <v>293</v>
      </c>
      <c r="DZ26" s="1" t="s">
        <v>293</v>
      </c>
      <c r="EA26" s="1" t="s">
        <v>254</v>
      </c>
      <c r="EB26" s="1" t="s">
        <v>254</v>
      </c>
      <c r="EC26" s="1" t="s">
        <v>254</v>
      </c>
      <c r="ED26" s="1">
        <v>0.0</v>
      </c>
      <c r="EE26" s="1" t="s">
        <v>255</v>
      </c>
      <c r="EF26" s="1" t="s">
        <v>325</v>
      </c>
      <c r="EG26" s="1" t="s">
        <v>389</v>
      </c>
      <c r="EI26" s="1" t="s">
        <v>293</v>
      </c>
      <c r="EJ26" s="1" t="s">
        <v>293</v>
      </c>
      <c r="EK26" s="1" t="s">
        <v>293</v>
      </c>
      <c r="EL26" s="1" t="s">
        <v>293</v>
      </c>
      <c r="EM26" s="1" t="s">
        <v>293</v>
      </c>
      <c r="EN26" s="1" t="s">
        <v>293</v>
      </c>
      <c r="EO26" s="1" t="s">
        <v>293</v>
      </c>
      <c r="EP26" s="1" t="s">
        <v>293</v>
      </c>
      <c r="EQ26" s="1" t="s">
        <v>293</v>
      </c>
      <c r="ER26" s="1" t="s">
        <v>293</v>
      </c>
      <c r="ES26" s="1" t="s">
        <v>293</v>
      </c>
      <c r="ET26" s="1" t="s">
        <v>293</v>
      </c>
      <c r="EU26" s="1" t="s">
        <v>293</v>
      </c>
      <c r="EV26" s="1" t="s">
        <v>423</v>
      </c>
      <c r="EW26" s="1" t="s">
        <v>254</v>
      </c>
      <c r="EX26" s="1" t="s">
        <v>254</v>
      </c>
      <c r="EY26" s="1">
        <v>0.0</v>
      </c>
      <c r="EZ26" s="1">
        <v>0.0</v>
      </c>
      <c r="FA26" s="1">
        <v>0.0</v>
      </c>
      <c r="FB26" s="1" t="s">
        <v>254</v>
      </c>
      <c r="FC26" s="1">
        <v>0.0</v>
      </c>
      <c r="FD26" s="1">
        <v>0.0</v>
      </c>
      <c r="FE26" s="1">
        <v>0.0</v>
      </c>
      <c r="FF26" s="1">
        <v>0.0</v>
      </c>
      <c r="FG26" s="1">
        <v>0.0</v>
      </c>
      <c r="FH26" s="1">
        <v>0.0</v>
      </c>
      <c r="FI26" s="1">
        <v>0.0</v>
      </c>
      <c r="FJ26" s="1">
        <v>0.0</v>
      </c>
      <c r="FK26" s="1">
        <v>0.0</v>
      </c>
      <c r="FL26" s="1">
        <v>0.0</v>
      </c>
      <c r="FM26" s="1">
        <v>0.0</v>
      </c>
      <c r="FN26" s="1">
        <v>0.0</v>
      </c>
      <c r="FO26" s="1">
        <v>0.0</v>
      </c>
      <c r="FP26" s="1">
        <v>0.0</v>
      </c>
      <c r="FQ26" s="1">
        <v>0.0</v>
      </c>
      <c r="FR26" s="28" t="s">
        <v>357</v>
      </c>
      <c r="FS26" s="28" t="s">
        <v>298</v>
      </c>
      <c r="FT26" s="28" t="s">
        <v>298</v>
      </c>
      <c r="FU26" s="28" t="s">
        <v>298</v>
      </c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</row>
    <row r="27">
      <c r="A27" s="29" t="s">
        <v>739</v>
      </c>
      <c r="B27" s="3">
        <v>26.0</v>
      </c>
      <c r="C27" s="3" t="s">
        <v>740</v>
      </c>
      <c r="D27" s="30">
        <v>34511.0</v>
      </c>
      <c r="E27" s="1">
        <v>32.0</v>
      </c>
      <c r="F27" s="3" t="s">
        <v>253</v>
      </c>
      <c r="G27" s="3" t="s">
        <v>252</v>
      </c>
      <c r="H27" s="3" t="s">
        <v>253</v>
      </c>
      <c r="I27" s="3" t="s">
        <v>253</v>
      </c>
      <c r="J27" s="3" t="s">
        <v>252</v>
      </c>
      <c r="K27" s="3" t="s">
        <v>252</v>
      </c>
      <c r="L27" s="3" t="s">
        <v>254</v>
      </c>
      <c r="M27" s="3" t="s">
        <v>254</v>
      </c>
      <c r="N27" s="3" t="s">
        <v>254</v>
      </c>
      <c r="O27" s="3" t="s">
        <v>254</v>
      </c>
      <c r="P27" s="3" t="s">
        <v>255</v>
      </c>
      <c r="Q27" s="3" t="s">
        <v>358</v>
      </c>
      <c r="R27" s="7" t="s">
        <v>298</v>
      </c>
      <c r="S27" s="7" t="s">
        <v>359</v>
      </c>
      <c r="T27" s="1" t="s">
        <v>305</v>
      </c>
      <c r="U27" s="1" t="s">
        <v>372</v>
      </c>
      <c r="V27" s="1" t="s">
        <v>742</v>
      </c>
      <c r="W27" s="1" t="s">
        <v>254</v>
      </c>
      <c r="X27" s="1" t="s">
        <v>254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 t="s">
        <v>254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 t="s">
        <v>743</v>
      </c>
      <c r="AM27" s="1" t="s">
        <v>269</v>
      </c>
      <c r="AN27" s="1" t="s">
        <v>269</v>
      </c>
      <c r="AP27" s="1" t="s">
        <v>271</v>
      </c>
      <c r="AQ27" s="1" t="s">
        <v>476</v>
      </c>
      <c r="AR27" s="1">
        <v>1.0</v>
      </c>
      <c r="AS27" s="1" t="s">
        <v>273</v>
      </c>
      <c r="AT27" s="1" t="s">
        <v>274</v>
      </c>
      <c r="AU27" s="1" t="s">
        <v>744</v>
      </c>
      <c r="AV27" s="1" t="s">
        <v>317</v>
      </c>
      <c r="AW27" s="1" t="s">
        <v>380</v>
      </c>
      <c r="AX27" s="1" t="s">
        <v>254</v>
      </c>
      <c r="AY27" s="1">
        <v>0.0</v>
      </c>
      <c r="AZ27" s="1" t="s">
        <v>255</v>
      </c>
      <c r="BA27" s="1" t="s">
        <v>745</v>
      </c>
      <c r="BB27" s="1" t="s">
        <v>255</v>
      </c>
      <c r="BC27" s="1" t="s">
        <v>279</v>
      </c>
      <c r="BD27" s="1">
        <v>0.0</v>
      </c>
      <c r="BE27" s="1">
        <v>0.0</v>
      </c>
      <c r="BF27" s="1">
        <v>0.0</v>
      </c>
      <c r="BG27" s="1">
        <v>0.0</v>
      </c>
      <c r="BH27" s="1">
        <v>1.0</v>
      </c>
      <c r="BI27" s="1" t="s">
        <v>494</v>
      </c>
      <c r="BJ27" s="1" t="s">
        <v>263</v>
      </c>
      <c r="BK27" s="1" t="s">
        <v>686</v>
      </c>
      <c r="BL27" s="1" t="s">
        <v>320</v>
      </c>
      <c r="BM27" s="1" t="s">
        <v>743</v>
      </c>
      <c r="BN27" s="1" t="s">
        <v>269</v>
      </c>
      <c r="BO27" s="1" t="s">
        <v>269</v>
      </c>
      <c r="BQ27" s="1" t="s">
        <v>271</v>
      </c>
      <c r="BR27" s="1" t="s">
        <v>254</v>
      </c>
      <c r="BS27" s="1" t="s">
        <v>254</v>
      </c>
      <c r="BT27" s="1" t="s">
        <v>254</v>
      </c>
      <c r="BU27" s="1" t="s">
        <v>254</v>
      </c>
      <c r="BV27" s="1" t="s">
        <v>254</v>
      </c>
      <c r="BW27" s="1" t="s">
        <v>254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  <c r="CL27" s="1">
        <v>0.0</v>
      </c>
      <c r="CM27" s="1" t="s">
        <v>254</v>
      </c>
      <c r="CN27" s="1">
        <v>0.0</v>
      </c>
      <c r="CO27" s="1" t="s">
        <v>254</v>
      </c>
      <c r="CP27" s="1">
        <v>0.0</v>
      </c>
      <c r="CQ27" s="1">
        <v>3.0</v>
      </c>
      <c r="CR27" s="1">
        <v>0.0</v>
      </c>
      <c r="CS27" s="1">
        <v>3.0</v>
      </c>
      <c r="CT27" s="1" t="s">
        <v>746</v>
      </c>
      <c r="CU27" s="1" t="s">
        <v>535</v>
      </c>
      <c r="CV27" s="1" t="s">
        <v>254</v>
      </c>
      <c r="CW27" s="1" t="s">
        <v>254</v>
      </c>
      <c r="CX27" s="1" t="s">
        <v>254</v>
      </c>
      <c r="CY27" s="1" t="s">
        <v>254</v>
      </c>
      <c r="CZ27" s="1" t="s">
        <v>254</v>
      </c>
      <c r="DA27" s="1" t="s">
        <v>254</v>
      </c>
      <c r="DB27" s="1" t="s">
        <v>254</v>
      </c>
      <c r="DC27" s="1" t="s">
        <v>254</v>
      </c>
      <c r="DD27" s="1" t="s">
        <v>255</v>
      </c>
      <c r="DE27" s="1" t="s">
        <v>424</v>
      </c>
      <c r="DF27" s="1" t="s">
        <v>426</v>
      </c>
      <c r="DG27" s="1" t="s">
        <v>426</v>
      </c>
      <c r="DH27" s="1" t="s">
        <v>426</v>
      </c>
      <c r="DI27" s="1" t="s">
        <v>424</v>
      </c>
      <c r="DJ27" s="1" t="s">
        <v>426</v>
      </c>
      <c r="DK27" s="1" t="s">
        <v>293</v>
      </c>
      <c r="DL27" s="1" t="s">
        <v>293</v>
      </c>
      <c r="DM27" s="1" t="s">
        <v>324</v>
      </c>
      <c r="DN27" s="1" t="s">
        <v>293</v>
      </c>
      <c r="DO27" s="1" t="s">
        <v>293</v>
      </c>
      <c r="DP27" s="1" t="s">
        <v>293</v>
      </c>
      <c r="DQ27" s="1" t="s">
        <v>293</v>
      </c>
      <c r="DR27" s="1" t="s">
        <v>293</v>
      </c>
      <c r="DS27" s="1" t="s">
        <v>293</v>
      </c>
      <c r="DT27" s="1" t="s">
        <v>293</v>
      </c>
      <c r="DU27" s="1" t="s">
        <v>293</v>
      </c>
      <c r="DV27" s="1" t="s">
        <v>293</v>
      </c>
      <c r="DW27" s="1" t="s">
        <v>293</v>
      </c>
      <c r="DX27" s="1" t="s">
        <v>293</v>
      </c>
      <c r="DY27" s="1" t="s">
        <v>293</v>
      </c>
      <c r="DZ27" s="1" t="s">
        <v>293</v>
      </c>
      <c r="EA27" s="1" t="s">
        <v>254</v>
      </c>
      <c r="EB27" s="1" t="s">
        <v>254</v>
      </c>
      <c r="EC27" s="1" t="s">
        <v>254</v>
      </c>
      <c r="ED27" s="1">
        <v>0.0</v>
      </c>
      <c r="EE27" s="1" t="s">
        <v>254</v>
      </c>
      <c r="EF27" s="1" t="s">
        <v>426</v>
      </c>
      <c r="EG27" s="1" t="s">
        <v>426</v>
      </c>
      <c r="EH27" s="1" t="s">
        <v>426</v>
      </c>
      <c r="EI27" s="1" t="s">
        <v>426</v>
      </c>
      <c r="EJ27" s="1" t="s">
        <v>426</v>
      </c>
      <c r="EK27" s="1" t="s">
        <v>426</v>
      </c>
      <c r="EL27" s="1" t="s">
        <v>426</v>
      </c>
      <c r="EM27" s="1" t="s">
        <v>426</v>
      </c>
      <c r="EN27" s="1" t="s">
        <v>426</v>
      </c>
      <c r="EO27" s="1" t="s">
        <v>426</v>
      </c>
      <c r="EP27" s="1" t="s">
        <v>426</v>
      </c>
      <c r="EQ27" s="1" t="s">
        <v>426</v>
      </c>
      <c r="ER27" s="1" t="s">
        <v>426</v>
      </c>
      <c r="ES27" s="1" t="s">
        <v>426</v>
      </c>
      <c r="ET27" s="1" t="s">
        <v>426</v>
      </c>
      <c r="EU27" s="1" t="s">
        <v>426</v>
      </c>
      <c r="EV27" s="1" t="s">
        <v>387</v>
      </c>
      <c r="EW27" s="1" t="s">
        <v>254</v>
      </c>
      <c r="EX27" s="1" t="s">
        <v>254</v>
      </c>
      <c r="EY27" s="1" t="s">
        <v>538</v>
      </c>
      <c r="EZ27" s="1" t="s">
        <v>509</v>
      </c>
      <c r="FA27" s="1" t="s">
        <v>453</v>
      </c>
      <c r="FB27" s="1" t="s">
        <v>254</v>
      </c>
      <c r="FC27" s="1">
        <v>0.0</v>
      </c>
      <c r="FD27" s="1">
        <v>0.0</v>
      </c>
      <c r="FE27" s="1">
        <v>0.0</v>
      </c>
      <c r="FF27" s="1">
        <v>0.0</v>
      </c>
      <c r="FG27" s="1">
        <v>0.0</v>
      </c>
      <c r="FH27" s="1">
        <v>0.0</v>
      </c>
      <c r="FI27" s="1">
        <v>0.0</v>
      </c>
      <c r="FJ27" s="1">
        <v>0.0</v>
      </c>
      <c r="FK27" s="1">
        <v>0.0</v>
      </c>
      <c r="FL27" s="1">
        <v>0.0</v>
      </c>
      <c r="FM27" s="1">
        <v>0.0</v>
      </c>
      <c r="FN27" s="1">
        <v>0.0</v>
      </c>
      <c r="FO27" s="1">
        <v>0.0</v>
      </c>
      <c r="FP27" s="1">
        <v>0.0</v>
      </c>
      <c r="FQ27" s="1">
        <v>0.0</v>
      </c>
      <c r="FR27" s="28" t="s">
        <v>357</v>
      </c>
      <c r="FS27" s="28" t="s">
        <v>298</v>
      </c>
      <c r="FT27" s="28" t="s">
        <v>298</v>
      </c>
      <c r="FU27" s="28" t="s">
        <v>298</v>
      </c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</row>
    <row r="28">
      <c r="A28" s="29" t="s">
        <v>750</v>
      </c>
      <c r="B28" s="3">
        <v>27.0</v>
      </c>
      <c r="C28" s="3" t="s">
        <v>751</v>
      </c>
      <c r="D28" s="30">
        <v>34916.0</v>
      </c>
      <c r="E28" s="1">
        <v>30.0</v>
      </c>
      <c r="F28" s="3" t="s">
        <v>253</v>
      </c>
      <c r="G28" s="3" t="s">
        <v>252</v>
      </c>
      <c r="H28" s="3" t="s">
        <v>253</v>
      </c>
      <c r="I28" s="3" t="s">
        <v>253</v>
      </c>
      <c r="J28" s="3" t="s">
        <v>252</v>
      </c>
      <c r="K28" s="3" t="s">
        <v>252</v>
      </c>
      <c r="L28" s="3" t="s">
        <v>254</v>
      </c>
      <c r="M28" s="3" t="s">
        <v>254</v>
      </c>
      <c r="N28" s="3" t="s">
        <v>254</v>
      </c>
      <c r="O28" s="3" t="s">
        <v>254</v>
      </c>
      <c r="P28" s="3" t="s">
        <v>255</v>
      </c>
      <c r="Q28" s="3" t="s">
        <v>358</v>
      </c>
      <c r="R28" s="7" t="s">
        <v>298</v>
      </c>
      <c r="S28" s="7" t="s">
        <v>359</v>
      </c>
      <c r="T28" s="1" t="s">
        <v>259</v>
      </c>
      <c r="U28" s="1" t="s">
        <v>306</v>
      </c>
      <c r="V28" s="1" t="s">
        <v>373</v>
      </c>
      <c r="W28" s="1" t="s">
        <v>254</v>
      </c>
      <c r="X28" s="1" t="s">
        <v>254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 t="s">
        <v>254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 t="s">
        <v>700</v>
      </c>
      <c r="AM28" s="1" t="s">
        <v>269</v>
      </c>
      <c r="AN28" s="1" t="s">
        <v>269</v>
      </c>
      <c r="AO28" s="1" t="s">
        <v>270</v>
      </c>
      <c r="AP28" s="1" t="s">
        <v>271</v>
      </c>
      <c r="AQ28" s="1" t="s">
        <v>272</v>
      </c>
      <c r="AR28" s="1">
        <v>3.0</v>
      </c>
      <c r="AS28" s="1" t="s">
        <v>273</v>
      </c>
      <c r="AT28" s="1" t="s">
        <v>274</v>
      </c>
      <c r="AU28" s="1" t="s">
        <v>316</v>
      </c>
      <c r="AV28" s="1" t="s">
        <v>276</v>
      </c>
      <c r="AW28" s="1" t="s">
        <v>402</v>
      </c>
      <c r="AX28" s="1" t="s">
        <v>254</v>
      </c>
      <c r="AY28" s="1">
        <v>0.0</v>
      </c>
      <c r="AZ28" s="1" t="s">
        <v>255</v>
      </c>
      <c r="BA28" s="1" t="s">
        <v>420</v>
      </c>
      <c r="BB28" s="1" t="s">
        <v>255</v>
      </c>
      <c r="BC28" s="1" t="s">
        <v>279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 t="s">
        <v>320</v>
      </c>
      <c r="BM28" s="1" t="s">
        <v>700</v>
      </c>
      <c r="BN28" s="1" t="s">
        <v>269</v>
      </c>
      <c r="BO28" s="1" t="s">
        <v>269</v>
      </c>
      <c r="BP28" s="1" t="s">
        <v>270</v>
      </c>
      <c r="BQ28" s="1" t="s">
        <v>271</v>
      </c>
      <c r="BR28" s="1" t="s">
        <v>254</v>
      </c>
      <c r="BS28" s="1" t="s">
        <v>254</v>
      </c>
      <c r="BT28" s="1" t="s">
        <v>254</v>
      </c>
      <c r="BU28" s="1" t="s">
        <v>254</v>
      </c>
      <c r="BV28" s="1" t="s">
        <v>254</v>
      </c>
      <c r="BW28" s="1" t="s">
        <v>254</v>
      </c>
      <c r="BX28" s="1">
        <v>0.0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</v>
      </c>
      <c r="CL28" s="1">
        <v>0.0</v>
      </c>
      <c r="CM28" s="1" t="s">
        <v>254</v>
      </c>
      <c r="CN28" s="1">
        <v>0.0</v>
      </c>
      <c r="CO28" s="1" t="s">
        <v>254</v>
      </c>
      <c r="CP28" s="1">
        <v>0.0</v>
      </c>
      <c r="CQ28" s="1">
        <v>2.0</v>
      </c>
      <c r="CR28" s="1">
        <v>1.0</v>
      </c>
      <c r="CS28" s="1">
        <v>1.0</v>
      </c>
      <c r="CT28" s="1" t="s">
        <v>754</v>
      </c>
      <c r="CU28" s="1" t="s">
        <v>697</v>
      </c>
      <c r="CV28" s="1" t="s">
        <v>254</v>
      </c>
      <c r="CW28" s="1" t="s">
        <v>254</v>
      </c>
      <c r="CX28" s="1" t="s">
        <v>254</v>
      </c>
      <c r="CY28" s="1" t="s">
        <v>254</v>
      </c>
      <c r="CZ28" s="1" t="s">
        <v>254</v>
      </c>
      <c r="DA28" s="1" t="s">
        <v>254</v>
      </c>
      <c r="DB28" s="1" t="s">
        <v>254</v>
      </c>
      <c r="DC28" s="12"/>
      <c r="DD28" s="1" t="s">
        <v>255</v>
      </c>
      <c r="DE28" s="1" t="s">
        <v>388</v>
      </c>
      <c r="DF28" s="1" t="s">
        <v>293</v>
      </c>
      <c r="DG28" s="1" t="s">
        <v>293</v>
      </c>
      <c r="DH28" s="1" t="s">
        <v>324</v>
      </c>
      <c r="DI28" s="1" t="s">
        <v>291</v>
      </c>
      <c r="DJ28" s="1" t="s">
        <v>293</v>
      </c>
      <c r="DK28" s="1" t="s">
        <v>293</v>
      </c>
      <c r="DL28" s="1" t="s">
        <v>324</v>
      </c>
      <c r="DM28" s="1" t="s">
        <v>293</v>
      </c>
      <c r="DN28" s="1" t="s">
        <v>293</v>
      </c>
      <c r="DO28" s="1" t="s">
        <v>293</v>
      </c>
      <c r="DP28" s="1" t="s">
        <v>293</v>
      </c>
      <c r="DQ28" s="1" t="s">
        <v>293</v>
      </c>
      <c r="DR28" s="1" t="s">
        <v>293</v>
      </c>
      <c r="DS28" s="1" t="s">
        <v>293</v>
      </c>
      <c r="DT28" s="1" t="s">
        <v>293</v>
      </c>
      <c r="DU28" s="1" t="s">
        <v>293</v>
      </c>
      <c r="DV28" s="1" t="s">
        <v>293</v>
      </c>
      <c r="DW28" s="1" t="s">
        <v>293</v>
      </c>
      <c r="DX28" s="1" t="s">
        <v>293</v>
      </c>
      <c r="DY28" s="1" t="s">
        <v>293</v>
      </c>
      <c r="DZ28" s="1" t="s">
        <v>293</v>
      </c>
      <c r="EA28" s="1" t="s">
        <v>254</v>
      </c>
      <c r="EB28" s="1" t="s">
        <v>254</v>
      </c>
      <c r="EC28" s="1" t="s">
        <v>254</v>
      </c>
      <c r="ED28" s="1">
        <v>0.0</v>
      </c>
      <c r="EE28" s="1" t="s">
        <v>255</v>
      </c>
      <c r="EF28" s="1" t="s">
        <v>325</v>
      </c>
      <c r="EG28" s="1" t="s">
        <v>389</v>
      </c>
      <c r="EI28" s="1" t="s">
        <v>390</v>
      </c>
      <c r="EJ28" s="1" t="s">
        <v>390</v>
      </c>
      <c r="EK28" s="12"/>
      <c r="EL28" s="1" t="s">
        <v>390</v>
      </c>
      <c r="EM28" s="1" t="s">
        <v>293</v>
      </c>
      <c r="EN28" s="1" t="s">
        <v>293</v>
      </c>
      <c r="EO28" s="1" t="s">
        <v>293</v>
      </c>
      <c r="EP28" s="1" t="s">
        <v>293</v>
      </c>
      <c r="EQ28" s="1" t="s">
        <v>293</v>
      </c>
      <c r="ER28" s="1" t="s">
        <v>293</v>
      </c>
      <c r="ES28" s="1" t="s">
        <v>293</v>
      </c>
      <c r="ET28" s="1" t="s">
        <v>293</v>
      </c>
      <c r="EU28" s="1" t="s">
        <v>293</v>
      </c>
      <c r="EV28" s="1" t="s">
        <v>387</v>
      </c>
      <c r="EW28" s="1" t="s">
        <v>254</v>
      </c>
      <c r="EX28" s="1" t="s">
        <v>254</v>
      </c>
      <c r="EY28" s="12"/>
      <c r="EZ28" s="1" t="s">
        <v>293</v>
      </c>
      <c r="FA28" s="1">
        <v>0.0</v>
      </c>
      <c r="FB28" s="1" t="s">
        <v>254</v>
      </c>
      <c r="FC28" s="1">
        <v>0.0</v>
      </c>
      <c r="FD28" s="1">
        <v>0.0</v>
      </c>
      <c r="FE28" s="1">
        <v>0.0</v>
      </c>
      <c r="FF28" s="1">
        <v>0.0</v>
      </c>
      <c r="FG28" s="1">
        <v>0.0</v>
      </c>
      <c r="FH28" s="1">
        <v>0.0</v>
      </c>
      <c r="FI28" s="1">
        <v>0.0</v>
      </c>
      <c r="FJ28" s="1">
        <v>0.0</v>
      </c>
      <c r="FK28" s="1">
        <v>0.0</v>
      </c>
      <c r="FL28" s="1">
        <v>0.0</v>
      </c>
      <c r="FM28" s="1">
        <v>0.0</v>
      </c>
      <c r="FN28" s="1">
        <v>0.0</v>
      </c>
      <c r="FO28" s="1">
        <v>0.0</v>
      </c>
      <c r="FP28" s="1">
        <v>0.0</v>
      </c>
      <c r="FQ28" s="1">
        <v>0.0</v>
      </c>
      <c r="FR28" s="28" t="s">
        <v>357</v>
      </c>
      <c r="FS28" s="28" t="s">
        <v>298</v>
      </c>
      <c r="FT28" s="28" t="s">
        <v>298</v>
      </c>
      <c r="FU28" s="28" t="s">
        <v>298</v>
      </c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</row>
    <row r="29">
      <c r="A29" s="29" t="s">
        <v>403</v>
      </c>
      <c r="B29" s="3">
        <v>28.0</v>
      </c>
      <c r="C29" s="3" t="s">
        <v>404</v>
      </c>
      <c r="D29" s="30">
        <v>16296.0</v>
      </c>
      <c r="E29" s="1">
        <v>81.0</v>
      </c>
      <c r="F29" s="3" t="s">
        <v>252</v>
      </c>
      <c r="G29" s="3" t="s">
        <v>252</v>
      </c>
      <c r="H29" s="3" t="s">
        <v>253</v>
      </c>
      <c r="I29" s="3" t="s">
        <v>252</v>
      </c>
      <c r="J29" s="3" t="s">
        <v>252</v>
      </c>
      <c r="K29" s="3" t="s">
        <v>252</v>
      </c>
      <c r="L29" s="3" t="s">
        <v>254</v>
      </c>
      <c r="M29" s="3" t="s">
        <v>254</v>
      </c>
      <c r="N29" s="3" t="s">
        <v>406</v>
      </c>
      <c r="O29" s="3" t="s">
        <v>255</v>
      </c>
      <c r="P29" s="3" t="s">
        <v>255</v>
      </c>
      <c r="Q29" s="3" t="s">
        <v>358</v>
      </c>
      <c r="R29" s="7" t="s">
        <v>257</v>
      </c>
      <c r="S29" s="7" t="s">
        <v>258</v>
      </c>
      <c r="T29" s="1" t="s">
        <v>259</v>
      </c>
      <c r="U29" s="1" t="s">
        <v>372</v>
      </c>
      <c r="V29" s="1" t="s">
        <v>410</v>
      </c>
      <c r="W29" s="1" t="s">
        <v>412</v>
      </c>
      <c r="X29" s="1" t="s">
        <v>254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 t="s">
        <v>254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 t="s">
        <v>415</v>
      </c>
      <c r="AM29" s="1" t="s">
        <v>269</v>
      </c>
      <c r="AN29" s="1" t="s">
        <v>269</v>
      </c>
      <c r="AP29" s="1" t="s">
        <v>342</v>
      </c>
      <c r="AQ29" s="1" t="s">
        <v>378</v>
      </c>
      <c r="AR29" s="1">
        <v>2.0</v>
      </c>
      <c r="AS29" s="1" t="s">
        <v>273</v>
      </c>
      <c r="AT29" s="1" t="s">
        <v>274</v>
      </c>
      <c r="AU29" s="1" t="s">
        <v>419</v>
      </c>
      <c r="AV29" s="1" t="s">
        <v>379</v>
      </c>
      <c r="AW29" s="1" t="s">
        <v>380</v>
      </c>
      <c r="AX29" s="1" t="s">
        <v>254</v>
      </c>
      <c r="AY29" s="1">
        <v>0.0</v>
      </c>
      <c r="AZ29" s="1" t="s">
        <v>255</v>
      </c>
      <c r="BA29" s="1" t="s">
        <v>420</v>
      </c>
      <c r="BB29" s="1" t="s">
        <v>254</v>
      </c>
      <c r="BC29" s="1" t="s">
        <v>279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 t="s">
        <v>320</v>
      </c>
      <c r="BM29" s="1" t="s">
        <v>415</v>
      </c>
      <c r="BN29" s="1" t="s">
        <v>269</v>
      </c>
      <c r="BO29" s="1" t="s">
        <v>269</v>
      </c>
      <c r="BQ29" s="1" t="s">
        <v>342</v>
      </c>
      <c r="BR29" s="1" t="s">
        <v>254</v>
      </c>
      <c r="BS29" s="1" t="s">
        <v>254</v>
      </c>
      <c r="BT29" s="1" t="s">
        <v>254</v>
      </c>
      <c r="BU29" s="1" t="s">
        <v>254</v>
      </c>
      <c r="BV29" s="1" t="s">
        <v>254</v>
      </c>
      <c r="BW29" s="1" t="s">
        <v>254</v>
      </c>
      <c r="BX29" s="12"/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 t="s">
        <v>254</v>
      </c>
      <c r="CN29" s="1">
        <v>0.0</v>
      </c>
      <c r="CO29" s="1" t="s">
        <v>254</v>
      </c>
      <c r="CP29" s="1">
        <v>0.0</v>
      </c>
      <c r="CQ29" s="1">
        <v>1.0</v>
      </c>
      <c r="CR29" s="1">
        <v>0.0</v>
      </c>
      <c r="CS29" s="1">
        <v>1.0</v>
      </c>
      <c r="CT29" s="1">
        <v>1968.0</v>
      </c>
      <c r="CU29" s="1" t="s">
        <v>421</v>
      </c>
      <c r="CV29" s="1" t="s">
        <v>254</v>
      </c>
      <c r="CW29" s="1" t="s">
        <v>254</v>
      </c>
      <c r="CX29" s="1" t="s">
        <v>254</v>
      </c>
      <c r="CY29" s="1" t="s">
        <v>254</v>
      </c>
      <c r="CZ29" s="1" t="s">
        <v>254</v>
      </c>
      <c r="DA29" s="1" t="s">
        <v>255</v>
      </c>
      <c r="DB29" s="1" t="s">
        <v>255</v>
      </c>
      <c r="DC29" s="1" t="s">
        <v>254</v>
      </c>
      <c r="DD29" s="1" t="s">
        <v>255</v>
      </c>
      <c r="DE29" s="1" t="s">
        <v>424</v>
      </c>
      <c r="DF29" s="1" t="s">
        <v>426</v>
      </c>
      <c r="DG29" s="1" t="s">
        <v>324</v>
      </c>
      <c r="DH29" s="1" t="s">
        <v>424</v>
      </c>
      <c r="DI29" s="1" t="s">
        <v>293</v>
      </c>
      <c r="DJ29" s="1" t="s">
        <v>293</v>
      </c>
      <c r="DK29" s="1" t="s">
        <v>293</v>
      </c>
      <c r="DL29" s="1" t="s">
        <v>293</v>
      </c>
      <c r="DM29" s="1" t="s">
        <v>388</v>
      </c>
      <c r="DO29" s="1" t="s">
        <v>293</v>
      </c>
      <c r="DP29" s="1" t="s">
        <v>293</v>
      </c>
      <c r="DQ29" s="1" t="s">
        <v>293</v>
      </c>
      <c r="DR29" s="1" t="s">
        <v>293</v>
      </c>
      <c r="DS29" s="1" t="s">
        <v>293</v>
      </c>
      <c r="DT29" s="1" t="s">
        <v>293</v>
      </c>
      <c r="DU29" s="1" t="s">
        <v>293</v>
      </c>
      <c r="DV29" s="1" t="s">
        <v>293</v>
      </c>
      <c r="DW29" s="1" t="s">
        <v>293</v>
      </c>
      <c r="DX29" s="1" t="s">
        <v>293</v>
      </c>
      <c r="DY29" s="1" t="s">
        <v>293</v>
      </c>
      <c r="DZ29" s="1" t="s">
        <v>293</v>
      </c>
      <c r="EA29" s="1" t="s">
        <v>254</v>
      </c>
      <c r="EB29" s="1" t="s">
        <v>254</v>
      </c>
      <c r="EC29" s="1" t="s">
        <v>254</v>
      </c>
      <c r="ED29" s="1">
        <v>0.0</v>
      </c>
      <c r="EE29" s="1" t="s">
        <v>255</v>
      </c>
      <c r="EF29" s="1" t="s">
        <v>294</v>
      </c>
      <c r="EG29" s="1" t="s">
        <v>389</v>
      </c>
      <c r="EI29" s="1" t="s">
        <v>426</v>
      </c>
      <c r="EJ29" s="1" t="s">
        <v>293</v>
      </c>
      <c r="EK29" s="1" t="s">
        <v>293</v>
      </c>
      <c r="EL29" s="1" t="s">
        <v>293</v>
      </c>
      <c r="EM29" s="1" t="s">
        <v>293</v>
      </c>
      <c r="EN29" s="1" t="s">
        <v>293</v>
      </c>
      <c r="EO29" s="1" t="s">
        <v>293</v>
      </c>
      <c r="EP29" s="1" t="s">
        <v>293</v>
      </c>
      <c r="EQ29" s="1" t="s">
        <v>293</v>
      </c>
      <c r="ER29" s="1" t="s">
        <v>293</v>
      </c>
      <c r="ES29" s="1" t="s">
        <v>293</v>
      </c>
      <c r="ET29" s="1" t="s">
        <v>293</v>
      </c>
      <c r="EU29" s="1" t="s">
        <v>293</v>
      </c>
      <c r="EV29" s="1" t="s">
        <v>431</v>
      </c>
      <c r="EW29" s="1" t="s">
        <v>254</v>
      </c>
      <c r="EX29" s="1" t="s">
        <v>254</v>
      </c>
      <c r="EY29" s="1" t="s">
        <v>432</v>
      </c>
      <c r="EZ29" s="1" t="s">
        <v>427</v>
      </c>
      <c r="FA29" s="1" t="s">
        <v>428</v>
      </c>
      <c r="FB29" s="1" t="s">
        <v>254</v>
      </c>
      <c r="FC29" s="1">
        <v>0.0</v>
      </c>
      <c r="FD29" s="1">
        <v>0.0</v>
      </c>
      <c r="FE29" s="1">
        <v>0.0</v>
      </c>
      <c r="FF29" s="1">
        <v>0.0</v>
      </c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0.0</v>
      </c>
      <c r="FP29" s="1">
        <v>0.0</v>
      </c>
      <c r="FQ29" s="1">
        <v>0.0</v>
      </c>
      <c r="FR29" s="27" t="s">
        <v>198</v>
      </c>
      <c r="FS29" s="28" t="s">
        <v>205</v>
      </c>
      <c r="FT29" s="28" t="s">
        <v>205</v>
      </c>
      <c r="FU29" s="28" t="s">
        <v>298</v>
      </c>
      <c r="FV29" s="1">
        <v>20.0</v>
      </c>
      <c r="FW29" s="1" t="s">
        <v>300</v>
      </c>
      <c r="FX29" s="1">
        <v>18.0</v>
      </c>
      <c r="FY29" s="1" t="s">
        <v>300</v>
      </c>
      <c r="FZ29" s="1">
        <v>20.0</v>
      </c>
      <c r="GA29" s="1" t="s">
        <v>300</v>
      </c>
      <c r="GB29" s="1" t="s">
        <v>301</v>
      </c>
      <c r="GC29" s="1" t="s">
        <v>301</v>
      </c>
      <c r="GD29" s="1">
        <v>6.0</v>
      </c>
      <c r="GE29" s="1" t="s">
        <v>299</v>
      </c>
      <c r="GF29" s="1" t="s">
        <v>301</v>
      </c>
      <c r="GG29" s="1" t="s">
        <v>301</v>
      </c>
      <c r="GH29" s="1">
        <v>20.0</v>
      </c>
      <c r="GI29" s="1" t="s">
        <v>331</v>
      </c>
      <c r="GJ29" s="1">
        <v>26.0</v>
      </c>
      <c r="GK29" s="1" t="s">
        <v>300</v>
      </c>
      <c r="GL29" s="1">
        <v>6.0</v>
      </c>
      <c r="GM29" s="1" t="s">
        <v>299</v>
      </c>
      <c r="GN29" s="1">
        <v>26.0</v>
      </c>
      <c r="GO29" s="1" t="s">
        <v>300</v>
      </c>
      <c r="GP29" s="1">
        <v>16.0</v>
      </c>
      <c r="GQ29" s="1" t="s">
        <v>299</v>
      </c>
      <c r="GR29" s="1">
        <v>28.0</v>
      </c>
      <c r="GS29" s="1" t="s">
        <v>300</v>
      </c>
      <c r="GT29" s="1">
        <v>26.0</v>
      </c>
      <c r="GU29" s="1" t="s">
        <v>300</v>
      </c>
      <c r="GV29" s="1" t="s">
        <v>301</v>
      </c>
      <c r="GW29" s="1" t="s">
        <v>301</v>
      </c>
      <c r="GX29" s="1" t="s">
        <v>301</v>
      </c>
      <c r="GY29" s="1" t="s">
        <v>301</v>
      </c>
      <c r="GZ29" s="1">
        <v>26.0</v>
      </c>
      <c r="HA29" s="1" t="s">
        <v>300</v>
      </c>
      <c r="HB29" s="1" t="s">
        <v>301</v>
      </c>
      <c r="HC29" s="1" t="s">
        <v>301</v>
      </c>
      <c r="HD29" s="1" t="s">
        <v>301</v>
      </c>
      <c r="HE29" s="1" t="s">
        <v>301</v>
      </c>
      <c r="HF29" s="1">
        <v>13.0</v>
      </c>
      <c r="HG29" s="1" t="s">
        <v>299</v>
      </c>
      <c r="HH29" s="1">
        <v>22.0</v>
      </c>
      <c r="HI29" s="1" t="s">
        <v>299</v>
      </c>
      <c r="HJ29" s="1" t="s">
        <v>301</v>
      </c>
      <c r="HK29" s="1" t="s">
        <v>301</v>
      </c>
    </row>
    <row r="30">
      <c r="A30" s="29" t="s">
        <v>403</v>
      </c>
      <c r="B30" s="3" t="s">
        <v>444</v>
      </c>
      <c r="C30" s="3" t="s">
        <v>445</v>
      </c>
      <c r="D30" s="30">
        <v>16296.0</v>
      </c>
      <c r="E30" s="1">
        <v>81.0</v>
      </c>
      <c r="F30" s="3" t="s">
        <v>252</v>
      </c>
      <c r="G30" s="3" t="s">
        <v>252</v>
      </c>
      <c r="H30" s="3" t="s">
        <v>253</v>
      </c>
      <c r="I30" s="3" t="s">
        <v>252</v>
      </c>
      <c r="J30" s="3" t="s">
        <v>252</v>
      </c>
      <c r="K30" s="3" t="s">
        <v>252</v>
      </c>
      <c r="L30" s="3" t="s">
        <v>254</v>
      </c>
      <c r="M30" s="3" t="s">
        <v>254</v>
      </c>
      <c r="N30" s="3" t="s">
        <v>406</v>
      </c>
      <c r="O30" s="3" t="s">
        <v>255</v>
      </c>
      <c r="P30" s="3" t="s">
        <v>255</v>
      </c>
      <c r="Q30" s="3" t="s">
        <v>358</v>
      </c>
      <c r="R30" s="7" t="s">
        <v>334</v>
      </c>
      <c r="S30" s="7" t="s">
        <v>258</v>
      </c>
      <c r="T30" s="1" t="s">
        <v>259</v>
      </c>
      <c r="U30" s="1" t="s">
        <v>372</v>
      </c>
      <c r="V30" s="1" t="s">
        <v>410</v>
      </c>
      <c r="W30" s="1" t="s">
        <v>412</v>
      </c>
      <c r="X30" s="1" t="s">
        <v>254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 t="s">
        <v>254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 t="s">
        <v>415</v>
      </c>
      <c r="AM30" s="1" t="s">
        <v>269</v>
      </c>
      <c r="AN30" s="1" t="s">
        <v>269</v>
      </c>
      <c r="AP30" s="1" t="s">
        <v>342</v>
      </c>
      <c r="AQ30" s="1" t="s">
        <v>378</v>
      </c>
      <c r="AR30" s="1">
        <v>2.0</v>
      </c>
      <c r="AS30" s="1" t="s">
        <v>273</v>
      </c>
      <c r="AT30" s="1" t="s">
        <v>274</v>
      </c>
      <c r="AU30" s="1" t="s">
        <v>419</v>
      </c>
      <c r="AV30" s="1" t="s">
        <v>379</v>
      </c>
      <c r="AW30" s="1" t="s">
        <v>380</v>
      </c>
      <c r="AX30" s="1" t="s">
        <v>254</v>
      </c>
      <c r="AY30" s="1">
        <v>0.0</v>
      </c>
      <c r="AZ30" s="1" t="s">
        <v>255</v>
      </c>
      <c r="BA30" s="1" t="s">
        <v>420</v>
      </c>
      <c r="BB30" s="1" t="s">
        <v>254</v>
      </c>
      <c r="BC30" s="1" t="s">
        <v>279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 t="s">
        <v>320</v>
      </c>
      <c r="BM30" s="1" t="s">
        <v>415</v>
      </c>
      <c r="BN30" s="1" t="s">
        <v>269</v>
      </c>
      <c r="BO30" s="1" t="s">
        <v>269</v>
      </c>
      <c r="BQ30" s="1" t="s">
        <v>342</v>
      </c>
      <c r="BR30" s="1" t="s">
        <v>254</v>
      </c>
      <c r="BS30" s="1" t="s">
        <v>254</v>
      </c>
      <c r="BT30" s="1" t="s">
        <v>254</v>
      </c>
      <c r="BU30" s="1" t="s">
        <v>254</v>
      </c>
      <c r="BV30" s="1" t="s">
        <v>254</v>
      </c>
      <c r="BW30" s="1" t="s">
        <v>254</v>
      </c>
      <c r="BX30" s="12"/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 t="s">
        <v>254</v>
      </c>
      <c r="CN30" s="1">
        <v>0.0</v>
      </c>
      <c r="CO30" s="1" t="s">
        <v>254</v>
      </c>
      <c r="CP30" s="1">
        <v>0.0</v>
      </c>
      <c r="CQ30" s="1">
        <v>1.0</v>
      </c>
      <c r="CR30" s="1">
        <v>0.0</v>
      </c>
      <c r="CS30" s="1">
        <v>1.0</v>
      </c>
      <c r="CT30" s="1">
        <v>1968.0</v>
      </c>
      <c r="CU30" s="1" t="s">
        <v>421</v>
      </c>
      <c r="CV30" s="1" t="s">
        <v>254</v>
      </c>
      <c r="CW30" s="1" t="s">
        <v>254</v>
      </c>
      <c r="CX30" s="1" t="s">
        <v>254</v>
      </c>
      <c r="CY30" s="1" t="s">
        <v>254</v>
      </c>
      <c r="CZ30" s="1" t="s">
        <v>254</v>
      </c>
      <c r="DA30" s="1" t="s">
        <v>255</v>
      </c>
      <c r="DB30" s="1" t="s">
        <v>255</v>
      </c>
      <c r="DC30" s="1" t="s">
        <v>254</v>
      </c>
      <c r="DD30" s="1" t="s">
        <v>255</v>
      </c>
      <c r="DE30" s="1" t="s">
        <v>424</v>
      </c>
      <c r="DF30" s="1" t="s">
        <v>426</v>
      </c>
      <c r="DG30" s="1" t="s">
        <v>324</v>
      </c>
      <c r="DH30" s="1" t="s">
        <v>424</v>
      </c>
      <c r="DI30" s="1" t="s">
        <v>293</v>
      </c>
      <c r="DJ30" s="1" t="s">
        <v>293</v>
      </c>
      <c r="DK30" s="1" t="s">
        <v>293</v>
      </c>
      <c r="DL30" s="1" t="s">
        <v>293</v>
      </c>
      <c r="DM30" s="1" t="s">
        <v>388</v>
      </c>
      <c r="DO30" s="1" t="s">
        <v>293</v>
      </c>
      <c r="DP30" s="1" t="s">
        <v>293</v>
      </c>
      <c r="DQ30" s="1" t="s">
        <v>293</v>
      </c>
      <c r="DR30" s="1" t="s">
        <v>293</v>
      </c>
      <c r="DS30" s="1" t="s">
        <v>293</v>
      </c>
      <c r="DT30" s="1" t="s">
        <v>293</v>
      </c>
      <c r="DU30" s="1" t="s">
        <v>293</v>
      </c>
      <c r="DV30" s="1" t="s">
        <v>293</v>
      </c>
      <c r="DW30" s="1" t="s">
        <v>293</v>
      </c>
      <c r="DX30" s="1" t="s">
        <v>293</v>
      </c>
      <c r="DY30" s="1" t="s">
        <v>293</v>
      </c>
      <c r="DZ30" s="1" t="s">
        <v>293</v>
      </c>
      <c r="EA30" s="1" t="s">
        <v>254</v>
      </c>
      <c r="EB30" s="1" t="s">
        <v>254</v>
      </c>
      <c r="EC30" s="1" t="s">
        <v>254</v>
      </c>
      <c r="ED30" s="1">
        <v>0.0</v>
      </c>
      <c r="EE30" s="1" t="s">
        <v>255</v>
      </c>
      <c r="EF30" s="1" t="s">
        <v>294</v>
      </c>
      <c r="EG30" s="1" t="s">
        <v>389</v>
      </c>
      <c r="EI30" s="1" t="s">
        <v>426</v>
      </c>
      <c r="EJ30" s="1" t="s">
        <v>293</v>
      </c>
      <c r="EK30" s="1" t="s">
        <v>293</v>
      </c>
      <c r="EL30" s="1" t="s">
        <v>293</v>
      </c>
      <c r="EM30" s="1" t="s">
        <v>293</v>
      </c>
      <c r="EN30" s="1" t="s">
        <v>293</v>
      </c>
      <c r="EO30" s="1" t="s">
        <v>293</v>
      </c>
      <c r="EP30" s="1" t="s">
        <v>293</v>
      </c>
      <c r="EQ30" s="1" t="s">
        <v>293</v>
      </c>
      <c r="ER30" s="1" t="s">
        <v>293</v>
      </c>
      <c r="ES30" s="1" t="s">
        <v>293</v>
      </c>
      <c r="ET30" s="1" t="s">
        <v>293</v>
      </c>
      <c r="EU30" s="1" t="s">
        <v>293</v>
      </c>
      <c r="EV30" s="1" t="s">
        <v>431</v>
      </c>
      <c r="EW30" s="1" t="s">
        <v>254</v>
      </c>
      <c r="EX30" s="1" t="s">
        <v>254</v>
      </c>
      <c r="EY30" s="1" t="s">
        <v>432</v>
      </c>
      <c r="EZ30" s="1" t="s">
        <v>427</v>
      </c>
      <c r="FA30" s="1" t="s">
        <v>428</v>
      </c>
      <c r="FB30" s="1" t="s">
        <v>254</v>
      </c>
      <c r="FC30" s="1">
        <v>0.0</v>
      </c>
      <c r="FD30" s="1">
        <v>0.0</v>
      </c>
      <c r="FE30" s="1">
        <v>0.0</v>
      </c>
      <c r="FF30" s="1">
        <v>0.0</v>
      </c>
      <c r="FG30" s="1">
        <v>0.0</v>
      </c>
      <c r="FH30" s="1">
        <v>0.0</v>
      </c>
      <c r="FI30" s="1">
        <v>0.0</v>
      </c>
      <c r="FJ30" s="1">
        <v>0.0</v>
      </c>
      <c r="FK30" s="1">
        <v>0.0</v>
      </c>
      <c r="FL30" s="1">
        <v>0.0</v>
      </c>
      <c r="FM30" s="1">
        <v>0.0</v>
      </c>
      <c r="FN30" s="1">
        <v>0.0</v>
      </c>
      <c r="FO30" s="1">
        <v>0.0</v>
      </c>
      <c r="FP30" s="1">
        <v>0.0</v>
      </c>
      <c r="FQ30" s="1">
        <v>0.0</v>
      </c>
      <c r="FR30" s="27" t="s">
        <v>198</v>
      </c>
      <c r="FS30" s="28" t="s">
        <v>205</v>
      </c>
      <c r="FT30" s="28" t="s">
        <v>205</v>
      </c>
      <c r="FU30" s="28" t="s">
        <v>205</v>
      </c>
      <c r="FV30" s="1">
        <v>6.0</v>
      </c>
      <c r="FW30" s="1" t="s">
        <v>299</v>
      </c>
      <c r="FX30" s="1">
        <v>13.0</v>
      </c>
      <c r="FY30" s="1" t="s">
        <v>299</v>
      </c>
      <c r="FZ30" s="1">
        <v>6.0</v>
      </c>
      <c r="GA30" s="1" t="s">
        <v>299</v>
      </c>
      <c r="GB30" s="1" t="s">
        <v>301</v>
      </c>
      <c r="GC30" s="1" t="s">
        <v>301</v>
      </c>
      <c r="GD30" s="1">
        <v>6.0</v>
      </c>
      <c r="GE30" s="1" t="s">
        <v>299</v>
      </c>
      <c r="GF30" s="1" t="s">
        <v>301</v>
      </c>
      <c r="GG30" s="1" t="s">
        <v>301</v>
      </c>
      <c r="GH30" s="1">
        <v>6.0</v>
      </c>
      <c r="GI30" s="1" t="s">
        <v>299</v>
      </c>
      <c r="GJ30" s="1">
        <v>6.0</v>
      </c>
      <c r="GK30" s="1" t="s">
        <v>299</v>
      </c>
      <c r="GL30" s="1">
        <v>6.0</v>
      </c>
      <c r="GM30" s="1" t="s">
        <v>299</v>
      </c>
      <c r="GN30" s="1">
        <v>22.0</v>
      </c>
      <c r="GO30" s="1" t="s">
        <v>299</v>
      </c>
      <c r="GP30" s="1">
        <v>16.0</v>
      </c>
      <c r="GQ30" s="1" t="s">
        <v>299</v>
      </c>
      <c r="GR30" s="1">
        <v>18.0</v>
      </c>
      <c r="GS30" s="1" t="s">
        <v>299</v>
      </c>
      <c r="GT30" s="1">
        <v>6.0</v>
      </c>
      <c r="GU30" s="1" t="s">
        <v>299</v>
      </c>
      <c r="GV30" s="1" t="s">
        <v>301</v>
      </c>
      <c r="GW30" s="1" t="s">
        <v>301</v>
      </c>
      <c r="GX30" s="1" t="s">
        <v>301</v>
      </c>
      <c r="GY30" s="1" t="s">
        <v>301</v>
      </c>
      <c r="GZ30" s="1">
        <v>22.0</v>
      </c>
      <c r="HA30" s="1" t="s">
        <v>299</v>
      </c>
      <c r="HB30" s="1" t="s">
        <v>301</v>
      </c>
      <c r="HC30" s="1" t="s">
        <v>301</v>
      </c>
      <c r="HD30" s="1" t="s">
        <v>301</v>
      </c>
      <c r="HE30" s="1" t="s">
        <v>301</v>
      </c>
      <c r="HF30" s="1">
        <v>10.0</v>
      </c>
      <c r="HG30" s="1" t="s">
        <v>299</v>
      </c>
      <c r="HH30" s="1">
        <v>26.0</v>
      </c>
      <c r="HI30" s="1" t="s">
        <v>300</v>
      </c>
      <c r="HJ30" s="1" t="s">
        <v>301</v>
      </c>
      <c r="HK30" s="1" t="s">
        <v>301</v>
      </c>
    </row>
    <row r="31">
      <c r="A31" s="29" t="s">
        <v>768</v>
      </c>
      <c r="B31" s="3">
        <v>29.0</v>
      </c>
      <c r="C31" s="3" t="s">
        <v>769</v>
      </c>
      <c r="D31" s="1">
        <v>1969.0</v>
      </c>
      <c r="E31" s="1">
        <v>57.0</v>
      </c>
      <c r="F31" s="3" t="s">
        <v>253</v>
      </c>
      <c r="G31" s="3" t="s">
        <v>252</v>
      </c>
      <c r="H31" s="3" t="s">
        <v>253</v>
      </c>
      <c r="I31" s="3" t="s">
        <v>253</v>
      </c>
      <c r="J31" s="3" t="s">
        <v>252</v>
      </c>
      <c r="K31" s="3" t="s">
        <v>252</v>
      </c>
      <c r="L31" s="3" t="s">
        <v>254</v>
      </c>
      <c r="M31" s="3" t="s">
        <v>254</v>
      </c>
      <c r="N31" s="3" t="s">
        <v>254</v>
      </c>
      <c r="O31" s="3" t="s">
        <v>254</v>
      </c>
      <c r="P31" s="3" t="s">
        <v>255</v>
      </c>
      <c r="Q31" s="3" t="s">
        <v>358</v>
      </c>
      <c r="R31" s="7" t="s">
        <v>298</v>
      </c>
      <c r="S31" s="7" t="s">
        <v>359</v>
      </c>
      <c r="T31" s="1" t="s">
        <v>259</v>
      </c>
      <c r="U31" s="1" t="s">
        <v>306</v>
      </c>
      <c r="V31" s="1" t="s">
        <v>771</v>
      </c>
      <c r="X31" s="1" t="s">
        <v>254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 t="s">
        <v>254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 t="s">
        <v>704</v>
      </c>
      <c r="AM31" s="1" t="s">
        <v>269</v>
      </c>
      <c r="AN31" s="1" t="s">
        <v>269</v>
      </c>
      <c r="AP31" s="1" t="s">
        <v>271</v>
      </c>
      <c r="AQ31" s="1" t="s">
        <v>476</v>
      </c>
      <c r="AR31" s="1">
        <v>1.0</v>
      </c>
      <c r="AS31" s="1" t="s">
        <v>273</v>
      </c>
      <c r="AT31" s="1" t="s">
        <v>274</v>
      </c>
      <c r="AU31" s="1" t="s">
        <v>419</v>
      </c>
      <c r="AV31" s="1" t="s">
        <v>317</v>
      </c>
      <c r="AW31" s="1" t="s">
        <v>380</v>
      </c>
      <c r="AX31" s="1" t="s">
        <v>255</v>
      </c>
      <c r="AY31" s="1" t="s">
        <v>772</v>
      </c>
      <c r="AZ31" s="1" t="s">
        <v>254</v>
      </c>
      <c r="BA31" s="31" t="s">
        <v>420</v>
      </c>
      <c r="BB31" s="1" t="s">
        <v>255</v>
      </c>
      <c r="BC31" s="1" t="s">
        <v>279</v>
      </c>
      <c r="BD31" s="1">
        <v>0.0</v>
      </c>
      <c r="BE31" s="1">
        <v>0.0</v>
      </c>
      <c r="BF31" s="1">
        <v>1.0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 t="s">
        <v>320</v>
      </c>
      <c r="BM31" s="1" t="s">
        <v>704</v>
      </c>
      <c r="BN31" s="1" t="s">
        <v>269</v>
      </c>
      <c r="BO31" s="1" t="s">
        <v>269</v>
      </c>
      <c r="BQ31" s="1" t="s">
        <v>271</v>
      </c>
      <c r="BR31" s="1" t="s">
        <v>255</v>
      </c>
      <c r="BS31" s="1" t="s">
        <v>773</v>
      </c>
      <c r="BT31" s="1" t="s">
        <v>414</v>
      </c>
      <c r="BU31" s="1">
        <v>1.0</v>
      </c>
      <c r="BV31" s="1" t="s">
        <v>774</v>
      </c>
      <c r="BW31" s="1" t="s">
        <v>255</v>
      </c>
      <c r="BX31" s="1">
        <v>20.0</v>
      </c>
      <c r="BY31" s="1">
        <v>2.0</v>
      </c>
      <c r="BZ31" s="1">
        <v>10.0</v>
      </c>
      <c r="CA31" s="1">
        <v>14.0</v>
      </c>
      <c r="CB31" s="1">
        <v>0.0</v>
      </c>
      <c r="CC31" s="1">
        <v>0.0</v>
      </c>
      <c r="CD31" s="1">
        <v>0.0</v>
      </c>
      <c r="CE31" s="1">
        <v>0.0</v>
      </c>
      <c r="CF31" s="1">
        <v>1.0</v>
      </c>
      <c r="CG31" s="1">
        <v>1.0</v>
      </c>
      <c r="CH31" s="1">
        <v>0.0</v>
      </c>
      <c r="CI31" s="1">
        <v>0.0</v>
      </c>
      <c r="CJ31" s="1">
        <v>0.0</v>
      </c>
      <c r="CK31" s="1" t="s">
        <v>775</v>
      </c>
      <c r="CL31" s="1" t="s">
        <v>776</v>
      </c>
      <c r="CM31" s="1" t="s">
        <v>254</v>
      </c>
      <c r="CN31" s="1">
        <v>0.0</v>
      </c>
      <c r="CO31" s="1" t="s">
        <v>254</v>
      </c>
      <c r="CP31" s="1">
        <v>0.0</v>
      </c>
      <c r="CQ31" s="1" t="s">
        <v>646</v>
      </c>
      <c r="CU31" s="1">
        <v>0.0</v>
      </c>
      <c r="CV31" s="1" t="s">
        <v>254</v>
      </c>
      <c r="CW31" s="1" t="s">
        <v>254</v>
      </c>
      <c r="CX31" s="1" t="s">
        <v>254</v>
      </c>
      <c r="CY31" s="1" t="s">
        <v>254</v>
      </c>
      <c r="CZ31" s="1" t="s">
        <v>254</v>
      </c>
      <c r="DA31" s="1" t="s">
        <v>254</v>
      </c>
      <c r="DB31" s="1" t="s">
        <v>254</v>
      </c>
      <c r="DC31" s="1" t="s">
        <v>255</v>
      </c>
      <c r="DD31" s="1" t="s">
        <v>255</v>
      </c>
      <c r="DE31" s="1" t="s">
        <v>426</v>
      </c>
      <c r="DF31" s="1" t="s">
        <v>426</v>
      </c>
      <c r="DG31" s="1" t="s">
        <v>388</v>
      </c>
      <c r="DH31" s="1" t="s">
        <v>388</v>
      </c>
      <c r="DI31" s="1" t="s">
        <v>388</v>
      </c>
      <c r="DJ31" s="1" t="s">
        <v>293</v>
      </c>
      <c r="DK31" s="1" t="s">
        <v>293</v>
      </c>
      <c r="DL31" s="1" t="s">
        <v>388</v>
      </c>
      <c r="DM31" s="1" t="s">
        <v>293</v>
      </c>
      <c r="DN31" s="1" t="s">
        <v>388</v>
      </c>
      <c r="DO31" s="1" t="s">
        <v>293</v>
      </c>
      <c r="DP31" s="1" t="s">
        <v>293</v>
      </c>
      <c r="DQ31" s="1" t="s">
        <v>293</v>
      </c>
      <c r="DR31" s="1" t="s">
        <v>293</v>
      </c>
      <c r="DS31" s="1" t="s">
        <v>293</v>
      </c>
      <c r="DT31" s="1" t="s">
        <v>293</v>
      </c>
      <c r="DU31" s="1" t="s">
        <v>293</v>
      </c>
      <c r="DV31" s="1" t="s">
        <v>293</v>
      </c>
      <c r="DW31" s="1" t="s">
        <v>293</v>
      </c>
      <c r="DX31" s="1" t="s">
        <v>293</v>
      </c>
      <c r="DY31" s="1" t="s">
        <v>293</v>
      </c>
      <c r="DZ31" s="1" t="s">
        <v>293</v>
      </c>
      <c r="EA31" s="1" t="s">
        <v>254</v>
      </c>
      <c r="EB31" s="1" t="s">
        <v>254</v>
      </c>
      <c r="EC31" s="1" t="s">
        <v>254</v>
      </c>
      <c r="ED31" s="1">
        <v>0.0</v>
      </c>
      <c r="EE31" s="1" t="s">
        <v>254</v>
      </c>
      <c r="EF31" s="1">
        <v>0.0</v>
      </c>
      <c r="EG31" s="1">
        <v>0.0</v>
      </c>
      <c r="EH31" s="1">
        <v>0.0</v>
      </c>
      <c r="EI31" s="1" t="s">
        <v>503</v>
      </c>
      <c r="EJ31" s="1" t="s">
        <v>503</v>
      </c>
      <c r="EK31" s="1" t="s">
        <v>503</v>
      </c>
      <c r="EL31" s="1" t="s">
        <v>503</v>
      </c>
      <c r="EM31" s="1" t="s">
        <v>503</v>
      </c>
      <c r="EN31" s="1" t="s">
        <v>503</v>
      </c>
      <c r="EO31" s="1" t="s">
        <v>574</v>
      </c>
      <c r="EP31" s="1" t="s">
        <v>293</v>
      </c>
      <c r="EQ31" s="1" t="s">
        <v>293</v>
      </c>
      <c r="ER31" s="1" t="s">
        <v>293</v>
      </c>
      <c r="ES31" s="1" t="s">
        <v>293</v>
      </c>
      <c r="ET31" s="1" t="s">
        <v>293</v>
      </c>
      <c r="EU31" s="1" t="s">
        <v>293</v>
      </c>
      <c r="EV31" s="1" t="s">
        <v>431</v>
      </c>
      <c r="EW31" s="1" t="s">
        <v>255</v>
      </c>
      <c r="EX31" s="1" t="s">
        <v>254</v>
      </c>
      <c r="EY31" s="1" t="s">
        <v>432</v>
      </c>
      <c r="EZ31" s="1" t="s">
        <v>574</v>
      </c>
      <c r="FA31" s="1" t="s">
        <v>428</v>
      </c>
      <c r="FB31" s="1" t="s">
        <v>254</v>
      </c>
      <c r="FC31" s="1">
        <v>0.0</v>
      </c>
      <c r="FD31" s="1">
        <v>0.0</v>
      </c>
      <c r="FE31" s="1">
        <v>0.0</v>
      </c>
      <c r="FF31" s="1">
        <v>0.0</v>
      </c>
      <c r="FG31" s="1">
        <v>0.0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0.0</v>
      </c>
      <c r="FQ31" s="1">
        <v>0.0</v>
      </c>
      <c r="FR31" s="28" t="s">
        <v>357</v>
      </c>
      <c r="FS31" s="28" t="s">
        <v>298</v>
      </c>
      <c r="FT31" s="28" t="s">
        <v>298</v>
      </c>
      <c r="FU31" s="28" t="s">
        <v>298</v>
      </c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</row>
    <row r="32">
      <c r="A32" s="29" t="s">
        <v>777</v>
      </c>
      <c r="B32" s="3">
        <v>30.0</v>
      </c>
      <c r="C32" s="3" t="s">
        <v>779</v>
      </c>
      <c r="D32" s="30">
        <v>2013.0</v>
      </c>
      <c r="E32" s="1" t="s">
        <v>357</v>
      </c>
      <c r="F32" s="3" t="s">
        <v>253</v>
      </c>
      <c r="G32" s="3" t="s">
        <v>252</v>
      </c>
      <c r="H32" s="3" t="s">
        <v>253</v>
      </c>
      <c r="I32" s="3" t="s">
        <v>253</v>
      </c>
      <c r="J32" s="3" t="s">
        <v>252</v>
      </c>
      <c r="K32" s="3" t="s">
        <v>252</v>
      </c>
      <c r="L32" s="3" t="s">
        <v>254</v>
      </c>
      <c r="M32" s="3" t="s">
        <v>254</v>
      </c>
      <c r="N32" s="3" t="s">
        <v>254</v>
      </c>
      <c r="O32" s="3" t="s">
        <v>254</v>
      </c>
      <c r="P32" s="3" t="s">
        <v>255</v>
      </c>
      <c r="Q32" s="3" t="s">
        <v>358</v>
      </c>
      <c r="R32" s="7" t="s">
        <v>298</v>
      </c>
      <c r="S32" s="7" t="s">
        <v>359</v>
      </c>
      <c r="T32" s="1" t="s">
        <v>305</v>
      </c>
      <c r="U32" s="1" t="s">
        <v>372</v>
      </c>
      <c r="V32" s="1" t="s">
        <v>410</v>
      </c>
      <c r="W32" s="1" t="s">
        <v>780</v>
      </c>
      <c r="X32" s="1" t="s">
        <v>254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 t="s">
        <v>255</v>
      </c>
      <c r="AG32" s="1" t="s">
        <v>781</v>
      </c>
      <c r="AH32" s="1" t="s">
        <v>266</v>
      </c>
      <c r="AI32" s="30">
        <v>45603.0</v>
      </c>
      <c r="AJ32" s="1" t="s">
        <v>366</v>
      </c>
      <c r="AK32" s="1" t="s">
        <v>267</v>
      </c>
      <c r="AL32" s="1" t="s">
        <v>782</v>
      </c>
      <c r="AM32" s="1" t="s">
        <v>269</v>
      </c>
      <c r="AN32" s="1" t="s">
        <v>269</v>
      </c>
      <c r="AO32" s="1" t="s">
        <v>269</v>
      </c>
      <c r="AP32" s="1" t="s">
        <v>271</v>
      </c>
      <c r="AQ32" s="1" t="s">
        <v>476</v>
      </c>
      <c r="AR32" s="1">
        <v>2.0</v>
      </c>
      <c r="AS32" s="1" t="s">
        <v>273</v>
      </c>
      <c r="AT32" s="1" t="s">
        <v>274</v>
      </c>
      <c r="AU32" s="1" t="s">
        <v>419</v>
      </c>
      <c r="AV32" s="1" t="s">
        <v>317</v>
      </c>
      <c r="AW32" s="1" t="s">
        <v>380</v>
      </c>
      <c r="AX32" s="1" t="s">
        <v>254</v>
      </c>
      <c r="AY32" s="1">
        <v>0.0</v>
      </c>
      <c r="AZ32" s="1" t="s">
        <v>255</v>
      </c>
      <c r="BA32" s="1" t="s">
        <v>420</v>
      </c>
      <c r="BB32" s="1" t="s">
        <v>255</v>
      </c>
      <c r="BC32" s="1" t="s">
        <v>279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 t="s">
        <v>320</v>
      </c>
      <c r="BM32" s="1" t="s">
        <v>782</v>
      </c>
      <c r="BN32" s="1" t="s">
        <v>269</v>
      </c>
      <c r="BO32" s="1" t="s">
        <v>269</v>
      </c>
      <c r="BP32" s="1" t="s">
        <v>269</v>
      </c>
      <c r="BQ32" s="1" t="s">
        <v>271</v>
      </c>
      <c r="BR32" s="1" t="s">
        <v>254</v>
      </c>
      <c r="BS32" s="1" t="s">
        <v>254</v>
      </c>
      <c r="BT32" s="1" t="s">
        <v>254</v>
      </c>
      <c r="BU32" s="1" t="s">
        <v>254</v>
      </c>
      <c r="BV32" s="1" t="s">
        <v>254</v>
      </c>
      <c r="BW32" s="1" t="s">
        <v>254</v>
      </c>
      <c r="BX32" s="1">
        <v>2.0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 t="s">
        <v>254</v>
      </c>
      <c r="CN32" s="1">
        <v>0.0</v>
      </c>
      <c r="CO32" s="1" t="s">
        <v>254</v>
      </c>
      <c r="CP32" s="1">
        <v>0.0</v>
      </c>
      <c r="CQ32" s="1" t="s">
        <v>646</v>
      </c>
      <c r="CU32" s="1">
        <v>0.0</v>
      </c>
      <c r="CV32" s="1" t="s">
        <v>254</v>
      </c>
      <c r="CW32" s="1" t="s">
        <v>254</v>
      </c>
      <c r="CX32" s="1" t="s">
        <v>254</v>
      </c>
      <c r="CY32" s="1" t="s">
        <v>254</v>
      </c>
      <c r="CZ32" s="1" t="s">
        <v>254</v>
      </c>
      <c r="DA32" s="1" t="s">
        <v>255</v>
      </c>
      <c r="DB32" s="1" t="s">
        <v>255</v>
      </c>
      <c r="DC32" s="1" t="s">
        <v>254</v>
      </c>
      <c r="DD32" s="1" t="s">
        <v>255</v>
      </c>
      <c r="DE32" s="1" t="s">
        <v>388</v>
      </c>
      <c r="DF32" s="1" t="s">
        <v>293</v>
      </c>
      <c r="DG32" s="1" t="s">
        <v>324</v>
      </c>
      <c r="DH32" s="1" t="s">
        <v>388</v>
      </c>
      <c r="DI32" s="1" t="s">
        <v>324</v>
      </c>
      <c r="DJ32" s="1" t="s">
        <v>293</v>
      </c>
      <c r="DK32" s="1" t="s">
        <v>293</v>
      </c>
      <c r="DL32" s="1" t="s">
        <v>293</v>
      </c>
      <c r="DM32" s="1" t="s">
        <v>293</v>
      </c>
      <c r="DN32" s="1" t="s">
        <v>293</v>
      </c>
      <c r="DO32" s="1" t="s">
        <v>293</v>
      </c>
      <c r="DP32" s="1" t="s">
        <v>293</v>
      </c>
      <c r="DQ32" s="1" t="s">
        <v>293</v>
      </c>
      <c r="DR32" s="1" t="s">
        <v>293</v>
      </c>
      <c r="DS32" s="1" t="s">
        <v>293</v>
      </c>
      <c r="DT32" s="1" t="s">
        <v>293</v>
      </c>
      <c r="DU32" s="1" t="s">
        <v>293</v>
      </c>
      <c r="DV32" s="1" t="s">
        <v>293</v>
      </c>
      <c r="DW32" s="1" t="s">
        <v>293</v>
      </c>
      <c r="DX32" s="1" t="s">
        <v>293</v>
      </c>
      <c r="DY32" s="1" t="s">
        <v>293</v>
      </c>
      <c r="DZ32" s="1" t="s">
        <v>293</v>
      </c>
      <c r="EA32" s="1" t="s">
        <v>254</v>
      </c>
      <c r="EB32" s="1" t="s">
        <v>254</v>
      </c>
      <c r="EC32" s="1" t="s">
        <v>254</v>
      </c>
      <c r="ED32" s="1">
        <v>0.0</v>
      </c>
      <c r="EE32" s="1" t="s">
        <v>255</v>
      </c>
      <c r="EF32" s="1" t="s">
        <v>325</v>
      </c>
      <c r="EG32" s="1" t="s">
        <v>389</v>
      </c>
      <c r="EI32" s="1" t="s">
        <v>293</v>
      </c>
      <c r="EJ32" s="1" t="s">
        <v>293</v>
      </c>
      <c r="EK32" s="1" t="s">
        <v>293</v>
      </c>
      <c r="EL32" s="1" t="s">
        <v>293</v>
      </c>
      <c r="EM32" s="1" t="s">
        <v>293</v>
      </c>
      <c r="EN32" s="1" t="s">
        <v>293</v>
      </c>
      <c r="EO32" s="1" t="s">
        <v>293</v>
      </c>
      <c r="EP32" s="1" t="s">
        <v>293</v>
      </c>
      <c r="EQ32" s="1" t="s">
        <v>293</v>
      </c>
      <c r="ER32" s="1" t="s">
        <v>293</v>
      </c>
      <c r="ES32" s="1" t="s">
        <v>293</v>
      </c>
      <c r="ET32" s="1" t="s">
        <v>293</v>
      </c>
      <c r="EU32" s="1" t="s">
        <v>293</v>
      </c>
      <c r="EV32" s="1" t="s">
        <v>423</v>
      </c>
      <c r="EW32" s="1" t="s">
        <v>254</v>
      </c>
      <c r="EX32" s="1" t="s">
        <v>254</v>
      </c>
      <c r="EY32" s="1">
        <v>0.0</v>
      </c>
      <c r="EZ32" s="1">
        <v>0.0</v>
      </c>
      <c r="FA32" s="1">
        <v>0.0</v>
      </c>
      <c r="FB32" s="1" t="s">
        <v>254</v>
      </c>
      <c r="FC32" s="1">
        <v>0.0</v>
      </c>
      <c r="FD32" s="1">
        <v>0.0</v>
      </c>
      <c r="FE32" s="1">
        <v>0.0</v>
      </c>
      <c r="FF32" s="1">
        <v>0.0</v>
      </c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0.0</v>
      </c>
      <c r="FN32" s="1">
        <v>0.0</v>
      </c>
      <c r="FO32" s="1">
        <v>0.0</v>
      </c>
      <c r="FP32" s="1">
        <v>0.0</v>
      </c>
      <c r="FQ32" s="1">
        <v>0.0</v>
      </c>
      <c r="FR32" s="28" t="s">
        <v>357</v>
      </c>
      <c r="FS32" s="28" t="s">
        <v>298</v>
      </c>
      <c r="FT32" s="28" t="s">
        <v>298</v>
      </c>
      <c r="FU32" s="28" t="s">
        <v>298</v>
      </c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</row>
    <row r="33">
      <c r="A33" s="29" t="s">
        <v>786</v>
      </c>
      <c r="B33" s="3">
        <v>31.0</v>
      </c>
      <c r="C33" s="3" t="s">
        <v>787</v>
      </c>
      <c r="D33" s="30">
        <v>22018.0</v>
      </c>
      <c r="E33" s="1">
        <v>66.0</v>
      </c>
      <c r="F33" s="3" t="s">
        <v>253</v>
      </c>
      <c r="G33" s="3" t="s">
        <v>252</v>
      </c>
      <c r="H33" s="3" t="s">
        <v>253</v>
      </c>
      <c r="I33" s="3" t="s">
        <v>253</v>
      </c>
      <c r="J33" s="3" t="s">
        <v>252</v>
      </c>
      <c r="K33" s="3" t="s">
        <v>252</v>
      </c>
      <c r="L33" s="3" t="s">
        <v>254</v>
      </c>
      <c r="M33" s="3" t="s">
        <v>254</v>
      </c>
      <c r="N33" s="3" t="s">
        <v>254</v>
      </c>
      <c r="O33" s="3" t="s">
        <v>254</v>
      </c>
      <c r="P33" s="3" t="s">
        <v>255</v>
      </c>
      <c r="Q33" s="3" t="s">
        <v>358</v>
      </c>
      <c r="R33" s="7" t="s">
        <v>298</v>
      </c>
      <c r="S33" s="7" t="s">
        <v>359</v>
      </c>
      <c r="T33" s="1" t="s">
        <v>305</v>
      </c>
      <c r="U33" s="1" t="s">
        <v>306</v>
      </c>
      <c r="V33" s="1" t="s">
        <v>656</v>
      </c>
      <c r="W33" s="1" t="s">
        <v>254</v>
      </c>
      <c r="X33" s="1" t="s">
        <v>254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 t="s">
        <v>254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 t="s">
        <v>788</v>
      </c>
      <c r="AM33" s="1" t="s">
        <v>682</v>
      </c>
      <c r="AN33" s="1" t="s">
        <v>269</v>
      </c>
      <c r="AO33" s="1" t="s">
        <v>269</v>
      </c>
      <c r="AP33" s="1" t="s">
        <v>271</v>
      </c>
      <c r="AQ33" s="1" t="s">
        <v>378</v>
      </c>
      <c r="AR33" s="1">
        <v>3.0</v>
      </c>
      <c r="AS33" s="1" t="s">
        <v>273</v>
      </c>
      <c r="AT33" s="1" t="s">
        <v>274</v>
      </c>
      <c r="AU33" s="1" t="s">
        <v>344</v>
      </c>
      <c r="AV33" s="1" t="s">
        <v>379</v>
      </c>
      <c r="AW33" s="1" t="s">
        <v>380</v>
      </c>
      <c r="AX33" s="1" t="s">
        <v>254</v>
      </c>
      <c r="AY33" s="1">
        <v>0.0</v>
      </c>
      <c r="AZ33" s="1" t="s">
        <v>255</v>
      </c>
      <c r="BA33" s="31" t="s">
        <v>319</v>
      </c>
      <c r="BB33" s="1" t="s">
        <v>254</v>
      </c>
      <c r="BC33" s="1" t="s">
        <v>279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 t="s">
        <v>320</v>
      </c>
      <c r="BM33" s="1" t="s">
        <v>788</v>
      </c>
      <c r="BN33" s="1" t="s">
        <v>682</v>
      </c>
      <c r="BO33" s="1" t="s">
        <v>269</v>
      </c>
      <c r="BP33" s="1" t="s">
        <v>269</v>
      </c>
      <c r="BQ33" s="1" t="s">
        <v>271</v>
      </c>
      <c r="BR33" s="1" t="s">
        <v>255</v>
      </c>
      <c r="BS33" s="1" t="s">
        <v>773</v>
      </c>
      <c r="BT33" s="1" t="s">
        <v>414</v>
      </c>
      <c r="BU33" s="1" t="s">
        <v>254</v>
      </c>
      <c r="BV33" s="1" t="s">
        <v>254</v>
      </c>
      <c r="BW33" s="1" t="s">
        <v>254</v>
      </c>
      <c r="BX33" s="1">
        <v>2.0</v>
      </c>
      <c r="BY33" s="1">
        <v>0.0</v>
      </c>
      <c r="BZ33" s="1">
        <v>5.0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 t="s">
        <v>775</v>
      </c>
      <c r="CL33" s="1" t="s">
        <v>776</v>
      </c>
      <c r="CM33" s="1" t="s">
        <v>254</v>
      </c>
      <c r="CN33" s="1">
        <v>0.0</v>
      </c>
      <c r="CO33" s="1" t="s">
        <v>254</v>
      </c>
      <c r="CP33" s="1">
        <v>0.0</v>
      </c>
      <c r="CQ33" s="1">
        <v>2.0</v>
      </c>
      <c r="CR33" s="1">
        <v>1.0</v>
      </c>
      <c r="CS33" s="1">
        <v>1.0</v>
      </c>
      <c r="CT33" s="1">
        <v>1967.0</v>
      </c>
      <c r="CU33" s="1" t="s">
        <v>505</v>
      </c>
      <c r="CV33" s="1" t="s">
        <v>254</v>
      </c>
      <c r="CW33" s="1" t="s">
        <v>254</v>
      </c>
      <c r="CX33" s="1" t="s">
        <v>254</v>
      </c>
      <c r="CY33" s="1" t="s">
        <v>254</v>
      </c>
      <c r="CZ33" s="1" t="s">
        <v>254</v>
      </c>
      <c r="DA33" s="1" t="s">
        <v>254</v>
      </c>
      <c r="DB33" s="1" t="s">
        <v>254</v>
      </c>
      <c r="DC33" s="1" t="s">
        <v>254</v>
      </c>
      <c r="DD33" s="1" t="s">
        <v>255</v>
      </c>
      <c r="DE33" s="1" t="s">
        <v>424</v>
      </c>
      <c r="DF33" s="1" t="s">
        <v>426</v>
      </c>
      <c r="DG33" s="1" t="s">
        <v>426</v>
      </c>
      <c r="DH33" s="1" t="s">
        <v>426</v>
      </c>
      <c r="DI33" s="1" t="s">
        <v>424</v>
      </c>
      <c r="DJ33" s="1" t="s">
        <v>426</v>
      </c>
      <c r="DK33" s="1" t="s">
        <v>293</v>
      </c>
      <c r="DL33" s="1" t="s">
        <v>293</v>
      </c>
      <c r="DM33" s="1" t="s">
        <v>324</v>
      </c>
      <c r="DN33" s="1" t="s">
        <v>293</v>
      </c>
      <c r="DO33" s="1" t="s">
        <v>293</v>
      </c>
      <c r="DP33" s="1" t="s">
        <v>293</v>
      </c>
      <c r="DQ33" s="1" t="s">
        <v>293</v>
      </c>
      <c r="DR33" s="1" t="s">
        <v>293</v>
      </c>
      <c r="DS33" s="1" t="s">
        <v>293</v>
      </c>
      <c r="DT33" s="1" t="s">
        <v>293</v>
      </c>
      <c r="DU33" s="1" t="s">
        <v>293</v>
      </c>
      <c r="DV33" s="1" t="s">
        <v>293</v>
      </c>
      <c r="DW33" s="1" t="s">
        <v>293</v>
      </c>
      <c r="DX33" s="1" t="s">
        <v>293</v>
      </c>
      <c r="DY33" s="1" t="s">
        <v>293</v>
      </c>
      <c r="DZ33" s="1" t="s">
        <v>293</v>
      </c>
      <c r="EA33" s="1" t="s">
        <v>254</v>
      </c>
      <c r="EB33" s="1" t="s">
        <v>254</v>
      </c>
      <c r="EC33" s="1" t="s">
        <v>254</v>
      </c>
      <c r="ED33" s="1">
        <v>0.0</v>
      </c>
      <c r="EE33" s="1" t="s">
        <v>254</v>
      </c>
      <c r="EF33" s="1" t="s">
        <v>426</v>
      </c>
      <c r="EG33" s="1" t="s">
        <v>426</v>
      </c>
      <c r="EH33" s="1" t="s">
        <v>426</v>
      </c>
      <c r="EI33" s="1" t="s">
        <v>426</v>
      </c>
      <c r="EJ33" s="1" t="s">
        <v>426</v>
      </c>
      <c r="EK33" s="1" t="s">
        <v>426</v>
      </c>
      <c r="EL33" s="1" t="s">
        <v>426</v>
      </c>
      <c r="EM33" s="1" t="s">
        <v>426</v>
      </c>
      <c r="EN33" s="1" t="s">
        <v>426</v>
      </c>
      <c r="EO33" s="1" t="s">
        <v>426</v>
      </c>
      <c r="EP33" s="1" t="s">
        <v>426</v>
      </c>
      <c r="EQ33" s="1" t="s">
        <v>426</v>
      </c>
      <c r="ER33" s="1" t="s">
        <v>426</v>
      </c>
      <c r="ES33" s="1" t="s">
        <v>426</v>
      </c>
      <c r="ET33" s="1" t="s">
        <v>426</v>
      </c>
      <c r="EU33" s="1" t="s">
        <v>426</v>
      </c>
      <c r="EV33" s="1" t="s">
        <v>387</v>
      </c>
      <c r="EW33" s="1" t="s">
        <v>254</v>
      </c>
      <c r="EX33" s="1" t="s">
        <v>254</v>
      </c>
      <c r="EY33" s="1" t="s">
        <v>538</v>
      </c>
      <c r="EZ33" s="1" t="s">
        <v>509</v>
      </c>
      <c r="FA33" s="1" t="s">
        <v>453</v>
      </c>
      <c r="FB33" s="1" t="s">
        <v>254</v>
      </c>
      <c r="FC33" s="1">
        <v>0.0</v>
      </c>
      <c r="FD33" s="1">
        <v>0.0</v>
      </c>
      <c r="FE33" s="1">
        <v>0.0</v>
      </c>
      <c r="FF33" s="1">
        <v>0.0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0.0</v>
      </c>
      <c r="FP33" s="1">
        <v>0.0</v>
      </c>
      <c r="FQ33" s="1">
        <v>0.0</v>
      </c>
      <c r="FR33" s="28" t="s">
        <v>357</v>
      </c>
      <c r="FS33" s="28" t="s">
        <v>298</v>
      </c>
      <c r="FT33" s="28" t="s">
        <v>298</v>
      </c>
      <c r="FU33" s="28" t="s">
        <v>298</v>
      </c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</row>
    <row r="34">
      <c r="A34" s="29" t="s">
        <v>467</v>
      </c>
      <c r="B34" s="3">
        <v>32.0</v>
      </c>
      <c r="C34" s="3" t="s">
        <v>468</v>
      </c>
      <c r="D34" s="30">
        <v>22020.0</v>
      </c>
      <c r="E34" s="1">
        <v>66.0</v>
      </c>
      <c r="F34" s="3" t="s">
        <v>253</v>
      </c>
      <c r="G34" s="3" t="s">
        <v>252</v>
      </c>
      <c r="H34" s="3" t="s">
        <v>253</v>
      </c>
      <c r="I34" s="3" t="s">
        <v>253</v>
      </c>
      <c r="J34" s="3" t="s">
        <v>252</v>
      </c>
      <c r="K34" s="3" t="s">
        <v>252</v>
      </c>
      <c r="L34" s="3" t="s">
        <v>254</v>
      </c>
      <c r="M34" s="3" t="s">
        <v>254</v>
      </c>
      <c r="N34" s="3" t="s">
        <v>254</v>
      </c>
      <c r="O34" s="3" t="s">
        <v>254</v>
      </c>
      <c r="P34" s="3" t="s">
        <v>255</v>
      </c>
      <c r="Q34" s="3" t="s">
        <v>358</v>
      </c>
      <c r="R34" s="7" t="s">
        <v>257</v>
      </c>
      <c r="S34" s="7" t="s">
        <v>258</v>
      </c>
      <c r="T34" s="1" t="s">
        <v>305</v>
      </c>
      <c r="U34" s="1" t="s">
        <v>469</v>
      </c>
      <c r="V34" s="1" t="s">
        <v>410</v>
      </c>
      <c r="W34" s="1" t="s">
        <v>470</v>
      </c>
      <c r="X34" s="1" t="s">
        <v>254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 t="s">
        <v>255</v>
      </c>
      <c r="AG34" s="1" t="s">
        <v>471</v>
      </c>
      <c r="AH34" s="1" t="s">
        <v>472</v>
      </c>
      <c r="AI34" s="30">
        <v>45603.0</v>
      </c>
      <c r="AJ34" s="1" t="s">
        <v>366</v>
      </c>
      <c r="AK34" s="1" t="s">
        <v>267</v>
      </c>
      <c r="AL34" s="1" t="s">
        <v>475</v>
      </c>
      <c r="AM34" s="1" t="s">
        <v>475</v>
      </c>
      <c r="AN34" s="1" t="s">
        <v>269</v>
      </c>
      <c r="AO34" s="1" t="s">
        <v>269</v>
      </c>
      <c r="AP34" s="1" t="s">
        <v>271</v>
      </c>
      <c r="AQ34" s="1" t="s">
        <v>476</v>
      </c>
      <c r="AR34" s="1">
        <v>2.0</v>
      </c>
      <c r="AS34" s="1" t="s">
        <v>273</v>
      </c>
      <c r="AT34" s="1" t="s">
        <v>274</v>
      </c>
      <c r="AU34" s="1" t="s">
        <v>419</v>
      </c>
      <c r="AV34" s="1" t="s">
        <v>317</v>
      </c>
      <c r="AW34" s="1" t="s">
        <v>380</v>
      </c>
      <c r="AX34" s="1" t="s">
        <v>254</v>
      </c>
      <c r="AY34" s="1">
        <v>0.0</v>
      </c>
      <c r="AZ34" s="1" t="s">
        <v>255</v>
      </c>
      <c r="BA34" s="1" t="s">
        <v>420</v>
      </c>
      <c r="BB34" s="1" t="s">
        <v>255</v>
      </c>
      <c r="BC34" s="1" t="s">
        <v>279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 t="s">
        <v>320</v>
      </c>
      <c r="BM34" s="1" t="s">
        <v>475</v>
      </c>
      <c r="BN34" s="1" t="s">
        <v>475</v>
      </c>
      <c r="BO34" s="1" t="s">
        <v>269</v>
      </c>
      <c r="BP34" s="1" t="s">
        <v>269</v>
      </c>
      <c r="BQ34" s="1" t="s">
        <v>271</v>
      </c>
      <c r="BR34" s="1" t="s">
        <v>255</v>
      </c>
      <c r="BS34" s="1" t="s">
        <v>447</v>
      </c>
      <c r="BT34" s="1" t="s">
        <v>414</v>
      </c>
      <c r="BU34" s="1" t="s">
        <v>480</v>
      </c>
      <c r="BV34" s="1" t="s">
        <v>254</v>
      </c>
      <c r="BW34" s="1" t="s">
        <v>255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2.0</v>
      </c>
      <c r="CG34" s="1">
        <v>7.0</v>
      </c>
      <c r="CH34" s="1">
        <v>0.0</v>
      </c>
      <c r="CI34" s="1">
        <v>0.0</v>
      </c>
      <c r="CJ34" s="1" t="s">
        <v>482</v>
      </c>
      <c r="CK34" s="1" t="s">
        <v>384</v>
      </c>
      <c r="CL34" s="1" t="s">
        <v>483</v>
      </c>
      <c r="CM34" s="1" t="s">
        <v>255</v>
      </c>
      <c r="CN34" s="1">
        <v>0.0</v>
      </c>
      <c r="CO34" s="1" t="s">
        <v>254</v>
      </c>
      <c r="CP34" s="1">
        <v>0.0</v>
      </c>
      <c r="CQ34" s="1">
        <v>3.0</v>
      </c>
      <c r="CR34" s="1">
        <v>2.0</v>
      </c>
      <c r="CS34" s="1">
        <v>1.0</v>
      </c>
      <c r="CT34" s="1" t="s">
        <v>485</v>
      </c>
      <c r="CU34" s="1" t="s">
        <v>487</v>
      </c>
      <c r="CV34" s="1" t="s">
        <v>254</v>
      </c>
      <c r="CW34" s="1" t="s">
        <v>254</v>
      </c>
      <c r="CX34" s="1" t="s">
        <v>254</v>
      </c>
      <c r="CY34" s="1" t="s">
        <v>254</v>
      </c>
      <c r="CZ34" s="1" t="s">
        <v>254</v>
      </c>
      <c r="DA34" s="1" t="s">
        <v>255</v>
      </c>
      <c r="DB34" s="1" t="s">
        <v>255</v>
      </c>
      <c r="DC34" s="1" t="s">
        <v>254</v>
      </c>
      <c r="DD34" s="1" t="s">
        <v>255</v>
      </c>
      <c r="DE34" s="1" t="s">
        <v>388</v>
      </c>
      <c r="DF34" s="1" t="s">
        <v>293</v>
      </c>
      <c r="DG34" s="1" t="s">
        <v>324</v>
      </c>
      <c r="DH34" s="1" t="s">
        <v>388</v>
      </c>
      <c r="DI34" s="1" t="s">
        <v>324</v>
      </c>
      <c r="DJ34" s="1" t="s">
        <v>293</v>
      </c>
      <c r="DK34" s="1" t="s">
        <v>293</v>
      </c>
      <c r="DL34" s="1" t="s">
        <v>293</v>
      </c>
      <c r="DM34" s="1" t="s">
        <v>293</v>
      </c>
      <c r="DN34" s="1" t="s">
        <v>293</v>
      </c>
      <c r="DO34" s="1" t="s">
        <v>293</v>
      </c>
      <c r="DP34" s="1" t="s">
        <v>293</v>
      </c>
      <c r="DQ34" s="1" t="s">
        <v>293</v>
      </c>
      <c r="DR34" s="1" t="s">
        <v>293</v>
      </c>
      <c r="DS34" s="1" t="s">
        <v>293</v>
      </c>
      <c r="DT34" s="1" t="s">
        <v>293</v>
      </c>
      <c r="DU34" s="1" t="s">
        <v>293</v>
      </c>
      <c r="DV34" s="1" t="s">
        <v>293</v>
      </c>
      <c r="DW34" s="1" t="s">
        <v>293</v>
      </c>
      <c r="DX34" s="1" t="s">
        <v>293</v>
      </c>
      <c r="DY34" s="1" t="s">
        <v>293</v>
      </c>
      <c r="DZ34" s="1" t="s">
        <v>293</v>
      </c>
      <c r="EA34" s="1" t="s">
        <v>254</v>
      </c>
      <c r="EB34" s="1" t="s">
        <v>254</v>
      </c>
      <c r="EC34" s="1" t="s">
        <v>254</v>
      </c>
      <c r="ED34" s="1">
        <v>0.0</v>
      </c>
      <c r="EE34" s="1" t="s">
        <v>255</v>
      </c>
      <c r="EF34" s="1" t="s">
        <v>325</v>
      </c>
      <c r="EG34" s="1" t="s">
        <v>389</v>
      </c>
      <c r="EI34" s="1" t="s">
        <v>293</v>
      </c>
      <c r="EJ34" s="1" t="s">
        <v>293</v>
      </c>
      <c r="EK34" s="1" t="s">
        <v>293</v>
      </c>
      <c r="EL34" s="1" t="s">
        <v>293</v>
      </c>
      <c r="EM34" s="1" t="s">
        <v>293</v>
      </c>
      <c r="EN34" s="1" t="s">
        <v>293</v>
      </c>
      <c r="EO34" s="1" t="s">
        <v>293</v>
      </c>
      <c r="EP34" s="1" t="s">
        <v>293</v>
      </c>
      <c r="EQ34" s="1" t="s">
        <v>293</v>
      </c>
      <c r="ER34" s="1" t="s">
        <v>293</v>
      </c>
      <c r="ES34" s="1" t="s">
        <v>293</v>
      </c>
      <c r="ET34" s="1" t="s">
        <v>293</v>
      </c>
      <c r="EU34" s="1" t="s">
        <v>293</v>
      </c>
      <c r="EV34" s="1" t="s">
        <v>423</v>
      </c>
      <c r="EW34" s="1" t="s">
        <v>254</v>
      </c>
      <c r="EX34" s="1" t="s">
        <v>254</v>
      </c>
      <c r="EY34" s="1">
        <v>0.0</v>
      </c>
      <c r="EZ34" s="1">
        <v>0.0</v>
      </c>
      <c r="FA34" s="1">
        <v>0.0</v>
      </c>
      <c r="FB34" s="1" t="s">
        <v>254</v>
      </c>
      <c r="FC34" s="1">
        <v>0.0</v>
      </c>
      <c r="FD34" s="1">
        <v>0.0</v>
      </c>
      <c r="FE34" s="1">
        <v>0.0</v>
      </c>
      <c r="FF34" s="1">
        <v>0.0</v>
      </c>
      <c r="FG34" s="1">
        <v>0.0</v>
      </c>
      <c r="FH34" s="1">
        <v>0.0</v>
      </c>
      <c r="FI34" s="1">
        <v>0.0</v>
      </c>
      <c r="FJ34" s="1">
        <v>0.0</v>
      </c>
      <c r="FK34" s="1">
        <v>0.0</v>
      </c>
      <c r="FL34" s="1">
        <v>0.0</v>
      </c>
      <c r="FM34" s="1">
        <v>0.0</v>
      </c>
      <c r="FN34" s="1">
        <v>0.0</v>
      </c>
      <c r="FO34" s="1">
        <v>0.0</v>
      </c>
      <c r="FP34" s="1">
        <v>0.0</v>
      </c>
      <c r="FQ34" s="1">
        <v>0.0</v>
      </c>
      <c r="FR34" s="27" t="s">
        <v>198</v>
      </c>
      <c r="FS34" s="28" t="s">
        <v>205</v>
      </c>
      <c r="FT34" s="28" t="s">
        <v>205</v>
      </c>
      <c r="FU34" s="28" t="s">
        <v>298</v>
      </c>
      <c r="FV34" s="1">
        <v>6.0</v>
      </c>
      <c r="FW34" s="1" t="s">
        <v>299</v>
      </c>
      <c r="FX34" s="1">
        <v>17.0</v>
      </c>
      <c r="FY34" s="1" t="s">
        <v>299</v>
      </c>
      <c r="FZ34" s="1">
        <v>6.0</v>
      </c>
      <c r="GA34" s="1" t="s">
        <v>299</v>
      </c>
      <c r="GB34" s="1" t="s">
        <v>301</v>
      </c>
      <c r="GC34" s="1" t="s">
        <v>301</v>
      </c>
      <c r="GD34" s="1">
        <v>6.0</v>
      </c>
      <c r="GE34" s="1" t="s">
        <v>299</v>
      </c>
      <c r="GF34" s="1" t="s">
        <v>301</v>
      </c>
      <c r="GG34" s="1" t="s">
        <v>301</v>
      </c>
      <c r="GH34" s="1">
        <v>8.0</v>
      </c>
      <c r="GI34" s="1" t="s">
        <v>299</v>
      </c>
      <c r="GJ34" s="1">
        <v>6.0</v>
      </c>
      <c r="GK34" s="1" t="s">
        <v>299</v>
      </c>
      <c r="GL34" s="1">
        <v>6.0</v>
      </c>
      <c r="GM34" s="1" t="s">
        <v>299</v>
      </c>
      <c r="GN34" s="1">
        <v>16.0</v>
      </c>
      <c r="GO34" s="1" t="s">
        <v>299</v>
      </c>
      <c r="GP34" s="1">
        <v>16.0</v>
      </c>
      <c r="GQ34" s="1" t="s">
        <v>299</v>
      </c>
      <c r="GR34" s="1">
        <v>22.0</v>
      </c>
      <c r="GS34" s="1" t="s">
        <v>300</v>
      </c>
      <c r="GT34" s="1">
        <v>8.0</v>
      </c>
      <c r="GU34" s="1" t="s">
        <v>299</v>
      </c>
      <c r="GV34" s="1" t="s">
        <v>301</v>
      </c>
      <c r="GW34" s="1" t="s">
        <v>301</v>
      </c>
      <c r="GX34" s="1" t="s">
        <v>301</v>
      </c>
      <c r="GY34" s="1" t="s">
        <v>301</v>
      </c>
      <c r="GZ34" s="1">
        <v>18.0</v>
      </c>
      <c r="HA34" s="1" t="s">
        <v>299</v>
      </c>
      <c r="HB34" s="1" t="s">
        <v>301</v>
      </c>
      <c r="HC34" s="1" t="s">
        <v>301</v>
      </c>
      <c r="HD34" s="1" t="s">
        <v>301</v>
      </c>
      <c r="HE34" s="1" t="s">
        <v>301</v>
      </c>
      <c r="HF34" s="1">
        <v>6.0</v>
      </c>
      <c r="HG34" s="1" t="s">
        <v>299</v>
      </c>
      <c r="HH34" s="1">
        <v>22.0</v>
      </c>
      <c r="HI34" s="1" t="s">
        <v>299</v>
      </c>
      <c r="HJ34" s="1" t="s">
        <v>301</v>
      </c>
      <c r="HK34" s="1" t="s">
        <v>301</v>
      </c>
    </row>
    <row r="35">
      <c r="A35" s="29" t="s">
        <v>794</v>
      </c>
      <c r="B35" s="3">
        <v>33.0</v>
      </c>
      <c r="C35" s="3" t="s">
        <v>795</v>
      </c>
      <c r="D35" s="30">
        <v>45611.0</v>
      </c>
      <c r="E35" s="1">
        <v>1.0</v>
      </c>
      <c r="F35" s="3" t="s">
        <v>253</v>
      </c>
      <c r="G35" s="3" t="s">
        <v>252</v>
      </c>
      <c r="H35" s="3" t="s">
        <v>253</v>
      </c>
      <c r="I35" s="3" t="s">
        <v>253</v>
      </c>
      <c r="J35" s="3" t="s">
        <v>252</v>
      </c>
      <c r="K35" s="3" t="s">
        <v>252</v>
      </c>
      <c r="L35" s="3" t="s">
        <v>254</v>
      </c>
      <c r="M35" s="3" t="s">
        <v>254</v>
      </c>
      <c r="N35" s="3" t="s">
        <v>254</v>
      </c>
      <c r="O35" s="3" t="s">
        <v>254</v>
      </c>
      <c r="P35" s="3" t="s">
        <v>255</v>
      </c>
      <c r="Q35" s="3" t="s">
        <v>358</v>
      </c>
      <c r="R35" s="7" t="s">
        <v>298</v>
      </c>
      <c r="S35" s="7" t="s">
        <v>359</v>
      </c>
      <c r="T35" s="1" t="s">
        <v>305</v>
      </c>
      <c r="U35" s="1" t="s">
        <v>372</v>
      </c>
      <c r="V35" s="1" t="s">
        <v>796</v>
      </c>
      <c r="W35" s="1" t="s">
        <v>254</v>
      </c>
      <c r="X35" s="1" t="s">
        <v>254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 t="s">
        <v>255</v>
      </c>
      <c r="AG35" s="1" t="s">
        <v>471</v>
      </c>
      <c r="AH35" s="1" t="s">
        <v>472</v>
      </c>
      <c r="AI35" s="30">
        <v>45580.0</v>
      </c>
      <c r="AJ35" s="1" t="s">
        <v>366</v>
      </c>
      <c r="AK35" s="1" t="s">
        <v>267</v>
      </c>
      <c r="AL35" s="1" t="s">
        <v>797</v>
      </c>
      <c r="AM35" s="1" t="s">
        <v>269</v>
      </c>
      <c r="AN35" s="1" t="s">
        <v>269</v>
      </c>
      <c r="AP35" s="1" t="s">
        <v>271</v>
      </c>
      <c r="AQ35" s="1" t="s">
        <v>378</v>
      </c>
      <c r="AR35" s="1">
        <v>4.0</v>
      </c>
      <c r="AS35" s="1" t="s">
        <v>273</v>
      </c>
      <c r="AT35" s="1" t="s">
        <v>274</v>
      </c>
      <c r="AU35" s="1" t="s">
        <v>316</v>
      </c>
      <c r="AV35" s="1" t="s">
        <v>276</v>
      </c>
      <c r="AW35" s="1" t="s">
        <v>380</v>
      </c>
      <c r="AX35" s="1" t="s">
        <v>254</v>
      </c>
      <c r="AY35" s="1">
        <v>0.0</v>
      </c>
      <c r="AZ35" s="1" t="s">
        <v>255</v>
      </c>
      <c r="BA35" s="1" t="s">
        <v>278</v>
      </c>
      <c r="BB35" s="1" t="s">
        <v>255</v>
      </c>
      <c r="BC35" s="1" t="s">
        <v>279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 t="s">
        <v>320</v>
      </c>
      <c r="BM35" s="1" t="s">
        <v>798</v>
      </c>
      <c r="BN35" s="1" t="s">
        <v>269</v>
      </c>
      <c r="BO35" s="1" t="s">
        <v>269</v>
      </c>
      <c r="BQ35" s="1" t="s">
        <v>271</v>
      </c>
      <c r="BR35" s="1" t="s">
        <v>254</v>
      </c>
      <c r="BS35" s="1" t="s">
        <v>254</v>
      </c>
      <c r="BT35" s="1" t="s">
        <v>254</v>
      </c>
      <c r="BU35" s="1" t="s">
        <v>254</v>
      </c>
      <c r="BV35" s="1" t="s">
        <v>254</v>
      </c>
      <c r="BW35" s="1" t="s">
        <v>254</v>
      </c>
      <c r="BX35" s="1">
        <v>0.0</v>
      </c>
      <c r="BY35" s="1">
        <v>0.0</v>
      </c>
      <c r="BZ35" s="12"/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 t="s">
        <v>254</v>
      </c>
      <c r="CN35" s="1">
        <v>0.0</v>
      </c>
      <c r="CO35" s="1" t="s">
        <v>254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 t="s">
        <v>254</v>
      </c>
      <c r="CW35" s="1" t="s">
        <v>254</v>
      </c>
      <c r="CX35" s="1" t="s">
        <v>254</v>
      </c>
      <c r="CY35" s="1" t="s">
        <v>254</v>
      </c>
      <c r="CZ35" s="1" t="s">
        <v>254</v>
      </c>
      <c r="DA35" s="1" t="s">
        <v>254</v>
      </c>
      <c r="DB35" s="1" t="s">
        <v>254</v>
      </c>
      <c r="DC35" s="1" t="s">
        <v>254</v>
      </c>
      <c r="DD35" s="1" t="s">
        <v>255</v>
      </c>
      <c r="DE35" s="1" t="s">
        <v>324</v>
      </c>
      <c r="DF35" s="1" t="s">
        <v>293</v>
      </c>
      <c r="DG35" s="1" t="s">
        <v>324</v>
      </c>
      <c r="DH35" s="1" t="s">
        <v>293</v>
      </c>
      <c r="DI35" s="1" t="s">
        <v>324</v>
      </c>
      <c r="DJ35" s="1" t="s">
        <v>293</v>
      </c>
      <c r="DK35" s="1" t="s">
        <v>293</v>
      </c>
      <c r="DL35" s="1" t="s">
        <v>293</v>
      </c>
      <c r="DM35" s="1" t="s">
        <v>293</v>
      </c>
      <c r="DN35" s="1" t="s">
        <v>293</v>
      </c>
      <c r="DO35" s="1" t="s">
        <v>293</v>
      </c>
      <c r="DP35" s="1" t="s">
        <v>293</v>
      </c>
      <c r="DQ35" s="1" t="s">
        <v>293</v>
      </c>
      <c r="DR35" s="1" t="s">
        <v>293</v>
      </c>
      <c r="DS35" s="1" t="s">
        <v>293</v>
      </c>
      <c r="DT35" s="1" t="s">
        <v>293</v>
      </c>
      <c r="DU35" s="1" t="s">
        <v>293</v>
      </c>
      <c r="DV35" s="1" t="s">
        <v>293</v>
      </c>
      <c r="DW35" s="1" t="s">
        <v>293</v>
      </c>
      <c r="DX35" s="1" t="s">
        <v>293</v>
      </c>
      <c r="DY35" s="1" t="s">
        <v>293</v>
      </c>
      <c r="DZ35" s="1" t="s">
        <v>293</v>
      </c>
      <c r="EA35" s="1" t="s">
        <v>254</v>
      </c>
      <c r="EB35" s="1" t="s">
        <v>254</v>
      </c>
      <c r="EC35" s="1" t="s">
        <v>254</v>
      </c>
      <c r="ED35" s="1">
        <v>0.0</v>
      </c>
      <c r="EE35" s="1" t="s">
        <v>255</v>
      </c>
      <c r="EF35" s="1" t="s">
        <v>325</v>
      </c>
      <c r="EG35" s="1" t="s">
        <v>389</v>
      </c>
      <c r="EI35" s="1" t="s">
        <v>293</v>
      </c>
      <c r="EJ35" s="1" t="s">
        <v>293</v>
      </c>
      <c r="EK35" s="1" t="s">
        <v>293</v>
      </c>
      <c r="EL35" s="1" t="s">
        <v>293</v>
      </c>
      <c r="EM35" s="1" t="s">
        <v>293</v>
      </c>
      <c r="EN35" s="1" t="s">
        <v>293</v>
      </c>
      <c r="EO35" s="1" t="s">
        <v>293</v>
      </c>
      <c r="EP35" s="1" t="s">
        <v>293</v>
      </c>
      <c r="EQ35" s="1" t="s">
        <v>293</v>
      </c>
      <c r="ER35" s="1" t="s">
        <v>293</v>
      </c>
      <c r="ES35" s="1" t="s">
        <v>293</v>
      </c>
      <c r="ET35" s="1" t="s">
        <v>293</v>
      </c>
      <c r="EU35" s="1" t="s">
        <v>293</v>
      </c>
      <c r="EV35" s="1" t="s">
        <v>387</v>
      </c>
      <c r="EW35" s="1" t="s">
        <v>255</v>
      </c>
      <c r="EX35" s="1" t="s">
        <v>254</v>
      </c>
      <c r="EY35" s="1" t="s">
        <v>484</v>
      </c>
      <c r="EZ35" s="1">
        <v>0.0</v>
      </c>
      <c r="FA35" s="1">
        <v>0.0</v>
      </c>
      <c r="FB35" s="1" t="s">
        <v>254</v>
      </c>
      <c r="FC35" s="1">
        <v>0.0</v>
      </c>
      <c r="FD35" s="1">
        <v>0.0</v>
      </c>
      <c r="FE35" s="1">
        <v>0.0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0.0</v>
      </c>
      <c r="FO35" s="1">
        <v>0.0</v>
      </c>
      <c r="FP35" s="1">
        <v>0.0</v>
      </c>
      <c r="FQ35" s="1">
        <v>0.0</v>
      </c>
      <c r="FR35" s="28" t="s">
        <v>357</v>
      </c>
      <c r="FS35" s="28" t="s">
        <v>298</v>
      </c>
      <c r="FT35" s="28" t="s">
        <v>298</v>
      </c>
      <c r="FU35" s="28" t="s">
        <v>298</v>
      </c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</row>
    <row r="36">
      <c r="A36" s="29" t="s">
        <v>800</v>
      </c>
      <c r="B36" s="3">
        <v>34.0</v>
      </c>
      <c r="C36" s="3" t="s">
        <v>801</v>
      </c>
      <c r="D36" s="30">
        <v>45611.0</v>
      </c>
      <c r="E36" s="1">
        <v>1.0</v>
      </c>
      <c r="F36" s="3" t="s">
        <v>252</v>
      </c>
      <c r="G36" s="3" t="s">
        <v>253</v>
      </c>
      <c r="H36" s="3" t="s">
        <v>253</v>
      </c>
      <c r="I36" s="3" t="s">
        <v>252</v>
      </c>
      <c r="J36" s="3" t="s">
        <v>253</v>
      </c>
      <c r="K36" s="3" t="s">
        <v>253</v>
      </c>
      <c r="L36" s="3" t="s">
        <v>254</v>
      </c>
      <c r="M36" s="3" t="s">
        <v>254</v>
      </c>
      <c r="N36" s="3" t="s">
        <v>254</v>
      </c>
      <c r="O36" s="3" t="s">
        <v>255</v>
      </c>
      <c r="P36" s="3" t="s">
        <v>255</v>
      </c>
      <c r="Q36" s="3" t="s">
        <v>358</v>
      </c>
      <c r="R36" s="7" t="s">
        <v>298</v>
      </c>
      <c r="S36" s="7" t="s">
        <v>359</v>
      </c>
      <c r="T36" s="1" t="s">
        <v>259</v>
      </c>
      <c r="U36" s="1" t="s">
        <v>372</v>
      </c>
      <c r="V36" s="1" t="s">
        <v>802</v>
      </c>
      <c r="W36" s="1" t="s">
        <v>254</v>
      </c>
      <c r="X36" s="1" t="s">
        <v>254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 t="s">
        <v>254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 t="s">
        <v>805</v>
      </c>
      <c r="AM36" s="1" t="s">
        <v>269</v>
      </c>
      <c r="AN36" s="1" t="s">
        <v>269</v>
      </c>
      <c r="AP36" s="1" t="s">
        <v>271</v>
      </c>
      <c r="AQ36" s="1" t="s">
        <v>378</v>
      </c>
      <c r="AR36" s="1">
        <v>1.0</v>
      </c>
      <c r="AS36" s="1" t="s">
        <v>273</v>
      </c>
      <c r="AT36" s="1" t="s">
        <v>274</v>
      </c>
      <c r="AU36" s="1" t="s">
        <v>274</v>
      </c>
      <c r="AV36" s="1" t="s">
        <v>317</v>
      </c>
      <c r="AW36" s="1" t="s">
        <v>402</v>
      </c>
      <c r="AX36" s="1" t="s">
        <v>254</v>
      </c>
      <c r="AY36" s="1">
        <v>0.0</v>
      </c>
      <c r="AZ36" s="1" t="s">
        <v>255</v>
      </c>
      <c r="BA36" s="31" t="s">
        <v>319</v>
      </c>
      <c r="BB36" s="1" t="s">
        <v>255</v>
      </c>
      <c r="BC36" s="1" t="s">
        <v>279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 t="s">
        <v>604</v>
      </c>
      <c r="BM36" s="1" t="s">
        <v>805</v>
      </c>
      <c r="BN36" s="1" t="s">
        <v>269</v>
      </c>
      <c r="BO36" s="1" t="s">
        <v>269</v>
      </c>
      <c r="BQ36" s="1" t="s">
        <v>271</v>
      </c>
      <c r="BR36" s="1" t="s">
        <v>254</v>
      </c>
      <c r="BS36" s="1" t="s">
        <v>254</v>
      </c>
      <c r="BT36" s="1" t="s">
        <v>254</v>
      </c>
      <c r="BU36" s="1" t="s">
        <v>254</v>
      </c>
      <c r="BV36" s="1" t="s">
        <v>254</v>
      </c>
      <c r="BW36" s="1" t="s">
        <v>254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 t="s">
        <v>254</v>
      </c>
      <c r="CN36" s="1">
        <v>0.0</v>
      </c>
      <c r="CO36" s="1" t="s">
        <v>254</v>
      </c>
      <c r="CP36" s="1">
        <v>0.0</v>
      </c>
      <c r="CQ36" s="1">
        <v>1.0</v>
      </c>
      <c r="CR36" s="1">
        <v>1.0</v>
      </c>
      <c r="CS36" s="1">
        <v>0.0</v>
      </c>
      <c r="CT36" s="1">
        <v>1977.0</v>
      </c>
      <c r="CU36" s="1">
        <v>0.0</v>
      </c>
      <c r="CV36" s="1" t="s">
        <v>254</v>
      </c>
      <c r="CW36" s="1" t="s">
        <v>254</v>
      </c>
      <c r="CX36" s="1" t="s">
        <v>254</v>
      </c>
      <c r="CY36" s="1" t="s">
        <v>254</v>
      </c>
      <c r="CZ36" s="1" t="s">
        <v>254</v>
      </c>
      <c r="DA36" s="1" t="s">
        <v>254</v>
      </c>
      <c r="DB36" s="1" t="s">
        <v>254</v>
      </c>
      <c r="DC36" s="1" t="s">
        <v>254</v>
      </c>
      <c r="DD36" s="1" t="s">
        <v>255</v>
      </c>
      <c r="DE36" s="1" t="s">
        <v>388</v>
      </c>
      <c r="DF36" s="1" t="s">
        <v>426</v>
      </c>
      <c r="DG36" s="1" t="s">
        <v>292</v>
      </c>
      <c r="DH36" s="1" t="s">
        <v>293</v>
      </c>
      <c r="DI36" s="1" t="s">
        <v>293</v>
      </c>
      <c r="DJ36" s="1" t="s">
        <v>293</v>
      </c>
      <c r="DK36" s="1" t="s">
        <v>293</v>
      </c>
      <c r="DL36" s="1" t="s">
        <v>450</v>
      </c>
      <c r="DM36" s="1" t="s">
        <v>293</v>
      </c>
      <c r="DN36" s="1" t="s">
        <v>293</v>
      </c>
      <c r="DO36" s="1" t="s">
        <v>293</v>
      </c>
      <c r="DP36" s="1" t="s">
        <v>293</v>
      </c>
      <c r="DQ36" s="1" t="s">
        <v>293</v>
      </c>
      <c r="DR36" s="1" t="s">
        <v>293</v>
      </c>
      <c r="DS36" s="1" t="s">
        <v>293</v>
      </c>
      <c r="DT36" s="1" t="s">
        <v>293</v>
      </c>
      <c r="DU36" s="1" t="s">
        <v>293</v>
      </c>
      <c r="DV36" s="1" t="s">
        <v>293</v>
      </c>
      <c r="DW36" s="1" t="s">
        <v>293</v>
      </c>
      <c r="DX36" s="1" t="s">
        <v>293</v>
      </c>
      <c r="DY36" s="1" t="s">
        <v>293</v>
      </c>
      <c r="DZ36" s="1" t="s">
        <v>293</v>
      </c>
      <c r="EA36" s="1" t="s">
        <v>254</v>
      </c>
      <c r="EB36" s="1" t="s">
        <v>254</v>
      </c>
      <c r="EC36" s="1" t="s">
        <v>254</v>
      </c>
      <c r="ED36" s="1">
        <v>0.0</v>
      </c>
      <c r="EE36" s="1" t="s">
        <v>255</v>
      </c>
      <c r="EF36" s="1" t="s">
        <v>636</v>
      </c>
      <c r="EG36" s="1" t="s">
        <v>389</v>
      </c>
      <c r="EI36" s="1" t="s">
        <v>426</v>
      </c>
      <c r="EJ36" s="1" t="s">
        <v>426</v>
      </c>
      <c r="EK36" s="1" t="s">
        <v>426</v>
      </c>
      <c r="EL36" s="1" t="s">
        <v>426</v>
      </c>
      <c r="EM36" s="1" t="s">
        <v>426</v>
      </c>
      <c r="EN36" s="1" t="s">
        <v>426</v>
      </c>
      <c r="EO36" s="1" t="s">
        <v>426</v>
      </c>
      <c r="EP36" s="1" t="s">
        <v>426</v>
      </c>
      <c r="EQ36" s="1" t="s">
        <v>426</v>
      </c>
      <c r="ER36" s="1" t="s">
        <v>426</v>
      </c>
      <c r="ES36" s="1" t="s">
        <v>426</v>
      </c>
      <c r="ET36" s="1" t="s">
        <v>426</v>
      </c>
      <c r="EU36" s="1" t="s">
        <v>426</v>
      </c>
      <c r="EV36" s="1" t="s">
        <v>387</v>
      </c>
      <c r="EW36" s="1" t="s">
        <v>254</v>
      </c>
      <c r="EX36" s="1" t="s">
        <v>254</v>
      </c>
      <c r="EY36" s="1" t="s">
        <v>432</v>
      </c>
      <c r="EZ36" s="1" t="s">
        <v>509</v>
      </c>
      <c r="FA36" s="1" t="s">
        <v>428</v>
      </c>
      <c r="FB36" s="1" t="s">
        <v>254</v>
      </c>
      <c r="FC36" s="1">
        <v>0.0</v>
      </c>
      <c r="FD36" s="1">
        <v>0.0</v>
      </c>
      <c r="FE36" s="1">
        <v>0.0</v>
      </c>
      <c r="FF36" s="1">
        <v>0.0</v>
      </c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0.0</v>
      </c>
      <c r="FN36" s="1">
        <v>0.0</v>
      </c>
      <c r="FO36" s="1">
        <v>0.0</v>
      </c>
      <c r="FP36" s="1">
        <v>0.0</v>
      </c>
      <c r="FQ36" s="1">
        <v>0.0</v>
      </c>
      <c r="FR36" s="28" t="s">
        <v>357</v>
      </c>
      <c r="FS36" s="28" t="s">
        <v>298</v>
      </c>
      <c r="FT36" s="28" t="s">
        <v>298</v>
      </c>
      <c r="FU36" s="28" t="s">
        <v>298</v>
      </c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</row>
    <row r="37">
      <c r="A37" s="29" t="s">
        <v>495</v>
      </c>
      <c r="B37" s="3">
        <v>35.0</v>
      </c>
      <c r="C37" s="3" t="s">
        <v>496</v>
      </c>
      <c r="D37" s="30">
        <v>45625.0</v>
      </c>
      <c r="E37" s="1">
        <v>1.0</v>
      </c>
      <c r="F37" s="3" t="s">
        <v>253</v>
      </c>
      <c r="G37" s="3" t="s">
        <v>252</v>
      </c>
      <c r="H37" s="3" t="s">
        <v>253</v>
      </c>
      <c r="I37" s="3" t="s">
        <v>253</v>
      </c>
      <c r="J37" s="3" t="s">
        <v>252</v>
      </c>
      <c r="K37" s="3" t="s">
        <v>252</v>
      </c>
      <c r="L37" s="3" t="s">
        <v>254</v>
      </c>
      <c r="M37" s="3" t="s">
        <v>254</v>
      </c>
      <c r="N37" s="3" t="s">
        <v>254</v>
      </c>
      <c r="O37" s="3" t="s">
        <v>254</v>
      </c>
      <c r="P37" s="3" t="s">
        <v>255</v>
      </c>
      <c r="Q37" s="3" t="s">
        <v>358</v>
      </c>
      <c r="R37" s="7" t="s">
        <v>334</v>
      </c>
      <c r="S37" s="7" t="s">
        <v>304</v>
      </c>
      <c r="T37" s="1" t="s">
        <v>259</v>
      </c>
      <c r="U37" s="1" t="s">
        <v>372</v>
      </c>
      <c r="V37" s="1" t="s">
        <v>410</v>
      </c>
      <c r="W37" s="1" t="s">
        <v>412</v>
      </c>
      <c r="X37" s="1" t="s">
        <v>254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 t="s">
        <v>255</v>
      </c>
      <c r="AG37" s="1" t="s">
        <v>498</v>
      </c>
      <c r="AH37" s="1" t="s">
        <v>499</v>
      </c>
      <c r="AI37" s="1" t="s">
        <v>500</v>
      </c>
      <c r="AJ37" s="1" t="s">
        <v>501</v>
      </c>
      <c r="AK37" s="1" t="s">
        <v>267</v>
      </c>
      <c r="AL37" s="1" t="s">
        <v>502</v>
      </c>
      <c r="AM37" s="1" t="s">
        <v>269</v>
      </c>
      <c r="AN37" s="1" t="s">
        <v>269</v>
      </c>
      <c r="AP37" s="1" t="s">
        <v>271</v>
      </c>
      <c r="AQ37" s="1" t="s">
        <v>476</v>
      </c>
      <c r="AR37" s="1">
        <v>1.0</v>
      </c>
      <c r="AS37" s="1" t="s">
        <v>273</v>
      </c>
      <c r="AT37" s="1" t="s">
        <v>274</v>
      </c>
      <c r="AU37" s="1" t="s">
        <v>274</v>
      </c>
      <c r="AV37" s="1" t="s">
        <v>317</v>
      </c>
      <c r="AW37" s="1" t="s">
        <v>402</v>
      </c>
      <c r="AX37" s="1" t="s">
        <v>254</v>
      </c>
      <c r="AY37" s="1">
        <v>0.0</v>
      </c>
      <c r="AZ37" s="1" t="s">
        <v>255</v>
      </c>
      <c r="BA37" s="31" t="s">
        <v>319</v>
      </c>
      <c r="BB37" s="1" t="s">
        <v>255</v>
      </c>
      <c r="BC37" s="1" t="s">
        <v>279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 t="s">
        <v>320</v>
      </c>
      <c r="BM37" s="1" t="s">
        <v>502</v>
      </c>
      <c r="BN37" s="1" t="s">
        <v>269</v>
      </c>
      <c r="BO37" s="1" t="s">
        <v>269</v>
      </c>
      <c r="BQ37" s="1" t="s">
        <v>271</v>
      </c>
      <c r="BR37" s="1" t="s">
        <v>254</v>
      </c>
      <c r="BS37" s="1" t="s">
        <v>254</v>
      </c>
      <c r="BT37" s="1" t="s">
        <v>254</v>
      </c>
      <c r="BU37" s="1" t="s">
        <v>254</v>
      </c>
      <c r="BV37" s="1" t="s">
        <v>254</v>
      </c>
      <c r="BW37" s="1" t="s">
        <v>254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 t="s">
        <v>254</v>
      </c>
      <c r="CN37" s="1">
        <v>0.0</v>
      </c>
      <c r="CO37" s="1" t="s">
        <v>254</v>
      </c>
      <c r="CP37" s="1">
        <v>0.0</v>
      </c>
      <c r="CQ37" s="1">
        <v>1.0</v>
      </c>
      <c r="CR37" s="1">
        <v>1.0</v>
      </c>
      <c r="CS37" s="1">
        <v>0.0</v>
      </c>
      <c r="CT37" s="1">
        <v>1978.0</v>
      </c>
      <c r="CU37" s="1" t="s">
        <v>505</v>
      </c>
      <c r="CV37" s="1" t="s">
        <v>254</v>
      </c>
      <c r="CW37" s="1" t="s">
        <v>254</v>
      </c>
      <c r="CX37" s="1" t="s">
        <v>254</v>
      </c>
      <c r="CY37" s="1" t="s">
        <v>254</v>
      </c>
      <c r="CZ37" s="1" t="s">
        <v>254</v>
      </c>
      <c r="DA37" s="1" t="s">
        <v>254</v>
      </c>
      <c r="DB37" s="1" t="s">
        <v>254</v>
      </c>
      <c r="DC37" s="1" t="s">
        <v>254</v>
      </c>
      <c r="DD37" s="1" t="s">
        <v>255</v>
      </c>
      <c r="DE37" s="1" t="s">
        <v>324</v>
      </c>
      <c r="DF37" s="1" t="s">
        <v>324</v>
      </c>
      <c r="DG37" s="1" t="s">
        <v>293</v>
      </c>
      <c r="DH37" s="1" t="s">
        <v>293</v>
      </c>
      <c r="DI37" s="1" t="s">
        <v>424</v>
      </c>
      <c r="DJ37" s="1" t="s">
        <v>293</v>
      </c>
      <c r="DK37" s="1" t="s">
        <v>293</v>
      </c>
      <c r="DL37" s="1" t="s">
        <v>324</v>
      </c>
      <c r="DM37" s="1" t="s">
        <v>388</v>
      </c>
      <c r="DN37" s="1" t="s">
        <v>388</v>
      </c>
      <c r="DO37" s="1" t="s">
        <v>293</v>
      </c>
      <c r="DP37" s="1" t="s">
        <v>451</v>
      </c>
      <c r="DQ37" s="1" t="s">
        <v>293</v>
      </c>
      <c r="DR37" s="1" t="s">
        <v>293</v>
      </c>
      <c r="DS37" s="1" t="s">
        <v>293</v>
      </c>
      <c r="DT37" s="1" t="s">
        <v>506</v>
      </c>
      <c r="DU37" s="1" t="s">
        <v>293</v>
      </c>
      <c r="DV37" s="1" t="s">
        <v>293</v>
      </c>
      <c r="DW37" s="1" t="s">
        <v>293</v>
      </c>
      <c r="DX37" s="1" t="s">
        <v>293</v>
      </c>
      <c r="DY37" s="1" t="s">
        <v>293</v>
      </c>
      <c r="DZ37" s="1" t="s">
        <v>293</v>
      </c>
      <c r="EA37" s="1" t="s">
        <v>254</v>
      </c>
      <c r="EB37" s="1" t="s">
        <v>254</v>
      </c>
      <c r="EC37" s="1" t="s">
        <v>254</v>
      </c>
      <c r="ED37" s="1">
        <v>0.0</v>
      </c>
      <c r="EE37" s="1" t="s">
        <v>255</v>
      </c>
      <c r="EF37" s="1" t="s">
        <v>294</v>
      </c>
      <c r="EG37" s="1" t="s">
        <v>389</v>
      </c>
      <c r="EI37" s="1" t="s">
        <v>424</v>
      </c>
      <c r="EJ37" s="1" t="s">
        <v>293</v>
      </c>
      <c r="EK37" s="1" t="s">
        <v>293</v>
      </c>
      <c r="EL37" s="1" t="s">
        <v>293</v>
      </c>
      <c r="EM37" s="1" t="s">
        <v>293</v>
      </c>
      <c r="EN37" s="1" t="s">
        <v>503</v>
      </c>
      <c r="EO37" s="1" t="s">
        <v>293</v>
      </c>
      <c r="EP37" s="1" t="s">
        <v>293</v>
      </c>
      <c r="EQ37" s="1" t="s">
        <v>293</v>
      </c>
      <c r="ER37" s="1" t="s">
        <v>293</v>
      </c>
      <c r="ES37" s="1" t="s">
        <v>293</v>
      </c>
      <c r="ET37" s="1" t="s">
        <v>293</v>
      </c>
      <c r="EU37" s="1" t="s">
        <v>293</v>
      </c>
      <c r="EV37" s="1" t="s">
        <v>387</v>
      </c>
      <c r="EW37" s="1" t="s">
        <v>255</v>
      </c>
      <c r="EX37" s="1" t="s">
        <v>254</v>
      </c>
      <c r="EY37" s="1" t="s">
        <v>484</v>
      </c>
      <c r="EZ37" s="1" t="s">
        <v>509</v>
      </c>
      <c r="FA37" s="1">
        <v>0.0</v>
      </c>
      <c r="FB37" s="1" t="s">
        <v>254</v>
      </c>
      <c r="FC37" s="1">
        <v>0.0</v>
      </c>
      <c r="FD37" s="1">
        <v>0.0</v>
      </c>
      <c r="FE37" s="1">
        <v>0.0</v>
      </c>
      <c r="FF37" s="1">
        <v>0.0</v>
      </c>
      <c r="FG37" s="1">
        <v>0.0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0.0</v>
      </c>
      <c r="FN37" s="1">
        <v>0.0</v>
      </c>
      <c r="FO37" s="1">
        <v>0.0</v>
      </c>
      <c r="FP37" s="1">
        <v>0.0</v>
      </c>
      <c r="FQ37" s="1">
        <v>0.0</v>
      </c>
      <c r="FR37" s="27" t="s">
        <v>514</v>
      </c>
      <c r="FS37" s="28" t="s">
        <v>205</v>
      </c>
      <c r="FT37" s="28" t="s">
        <v>205</v>
      </c>
      <c r="FU37" s="28" t="s">
        <v>205</v>
      </c>
      <c r="FV37" s="1">
        <v>20.0</v>
      </c>
      <c r="FW37" s="1" t="s">
        <v>300</v>
      </c>
      <c r="FX37" s="1">
        <v>18.0</v>
      </c>
      <c r="FY37" s="1" t="s">
        <v>300</v>
      </c>
      <c r="FZ37" s="1">
        <v>20.0</v>
      </c>
      <c r="GA37" s="1" t="s">
        <v>300</v>
      </c>
      <c r="GB37" s="1" t="s">
        <v>301</v>
      </c>
      <c r="GC37" s="1" t="s">
        <v>301</v>
      </c>
      <c r="GD37" s="1">
        <v>8.0</v>
      </c>
      <c r="GE37" s="1" t="s">
        <v>299</v>
      </c>
      <c r="GF37" s="1" t="s">
        <v>301</v>
      </c>
      <c r="GG37" s="1" t="s">
        <v>301</v>
      </c>
      <c r="GH37" s="1">
        <v>18.0</v>
      </c>
      <c r="GI37" s="1" t="s">
        <v>299</v>
      </c>
      <c r="GJ37" s="1">
        <v>20.0</v>
      </c>
      <c r="GK37" s="1" t="s">
        <v>299</v>
      </c>
      <c r="GL37" s="1">
        <v>6.0</v>
      </c>
      <c r="GM37" s="1" t="s">
        <v>299</v>
      </c>
      <c r="GN37" s="1">
        <v>22.0</v>
      </c>
      <c r="GO37" s="1" t="s">
        <v>299</v>
      </c>
      <c r="GP37" s="1">
        <v>16.0</v>
      </c>
      <c r="GQ37" s="1" t="s">
        <v>299</v>
      </c>
      <c r="GR37" s="1">
        <v>6.0</v>
      </c>
      <c r="GS37" s="1" t="s">
        <v>299</v>
      </c>
      <c r="GT37" s="1">
        <v>20.0</v>
      </c>
      <c r="GU37" s="1" t="s">
        <v>331</v>
      </c>
      <c r="GV37" s="1" t="s">
        <v>301</v>
      </c>
      <c r="GW37" s="1" t="s">
        <v>301</v>
      </c>
      <c r="GX37" s="1" t="s">
        <v>301</v>
      </c>
      <c r="GY37" s="1" t="s">
        <v>301</v>
      </c>
      <c r="GZ37" s="1">
        <v>26.0</v>
      </c>
      <c r="HA37" s="1" t="s">
        <v>300</v>
      </c>
      <c r="HB37" s="1" t="s">
        <v>301</v>
      </c>
      <c r="HC37" s="1" t="s">
        <v>301</v>
      </c>
      <c r="HD37" s="1" t="s">
        <v>301</v>
      </c>
      <c r="HE37" s="1" t="s">
        <v>301</v>
      </c>
      <c r="HF37" s="1">
        <v>18.0</v>
      </c>
      <c r="HG37" s="1" t="s">
        <v>299</v>
      </c>
      <c r="HH37" s="1">
        <v>20.0</v>
      </c>
      <c r="HI37" s="1" t="s">
        <v>299</v>
      </c>
      <c r="HJ37" s="1" t="s">
        <v>301</v>
      </c>
      <c r="HK37" s="1" t="s">
        <v>301</v>
      </c>
    </row>
    <row r="38">
      <c r="A38" s="29" t="s">
        <v>810</v>
      </c>
      <c r="B38" s="3">
        <v>36.0</v>
      </c>
      <c r="C38" s="3" t="s">
        <v>811</v>
      </c>
      <c r="D38" s="30">
        <v>44097.0</v>
      </c>
      <c r="E38" s="1">
        <v>5.0</v>
      </c>
      <c r="F38" s="3" t="s">
        <v>253</v>
      </c>
      <c r="G38" s="3" t="s">
        <v>252</v>
      </c>
      <c r="H38" s="3" t="s">
        <v>253</v>
      </c>
      <c r="I38" s="3" t="s">
        <v>253</v>
      </c>
      <c r="J38" s="3" t="s">
        <v>252</v>
      </c>
      <c r="K38" s="3" t="s">
        <v>252</v>
      </c>
      <c r="L38" s="3" t="s">
        <v>254</v>
      </c>
      <c r="M38" s="3" t="s">
        <v>254</v>
      </c>
      <c r="N38" s="3" t="s">
        <v>254</v>
      </c>
      <c r="O38" s="3" t="s">
        <v>254</v>
      </c>
      <c r="P38" s="3" t="s">
        <v>255</v>
      </c>
      <c r="Q38" s="3" t="s">
        <v>358</v>
      </c>
      <c r="R38" s="7" t="s">
        <v>298</v>
      </c>
      <c r="S38" s="7" t="s">
        <v>359</v>
      </c>
      <c r="T38" s="1" t="s">
        <v>305</v>
      </c>
      <c r="U38" s="1" t="s">
        <v>372</v>
      </c>
      <c r="V38" s="1" t="s">
        <v>812</v>
      </c>
      <c r="W38" s="1" t="s">
        <v>254</v>
      </c>
      <c r="X38" s="1" t="s">
        <v>254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 t="s">
        <v>255</v>
      </c>
      <c r="AG38" s="1" t="s">
        <v>585</v>
      </c>
      <c r="AH38" s="1" t="s">
        <v>585</v>
      </c>
      <c r="AI38" s="1" t="s">
        <v>549</v>
      </c>
      <c r="AJ38" s="1" t="s">
        <v>366</v>
      </c>
      <c r="AK38" s="1" t="s">
        <v>813</v>
      </c>
      <c r="AL38" s="1" t="s">
        <v>664</v>
      </c>
      <c r="AM38" s="1" t="s">
        <v>269</v>
      </c>
      <c r="AN38" s="1" t="s">
        <v>269</v>
      </c>
      <c r="AO38" s="1" t="s">
        <v>283</v>
      </c>
      <c r="AP38" s="1" t="s">
        <v>271</v>
      </c>
      <c r="AQ38" s="1" t="s">
        <v>476</v>
      </c>
      <c r="AR38" s="1">
        <v>1.0</v>
      </c>
      <c r="AS38" s="1" t="s">
        <v>273</v>
      </c>
      <c r="AT38" s="1" t="s">
        <v>274</v>
      </c>
      <c r="AU38" s="1" t="s">
        <v>419</v>
      </c>
      <c r="AV38" s="1" t="s">
        <v>317</v>
      </c>
      <c r="AW38" s="1" t="s">
        <v>380</v>
      </c>
      <c r="AX38" s="1" t="s">
        <v>255</v>
      </c>
      <c r="AY38" s="1" t="s">
        <v>772</v>
      </c>
      <c r="AZ38" s="1" t="s">
        <v>254</v>
      </c>
      <c r="BA38" s="31" t="s">
        <v>420</v>
      </c>
      <c r="BB38" s="1" t="s">
        <v>255</v>
      </c>
      <c r="BC38" s="1" t="s">
        <v>279</v>
      </c>
      <c r="BD38" s="1">
        <v>0.0</v>
      </c>
      <c r="BE38" s="1">
        <v>0.0</v>
      </c>
      <c r="BF38" s="1">
        <v>1.0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 t="s">
        <v>320</v>
      </c>
      <c r="BM38" s="1" t="s">
        <v>664</v>
      </c>
      <c r="BN38" s="1" t="s">
        <v>269</v>
      </c>
      <c r="BO38" s="1" t="s">
        <v>269</v>
      </c>
      <c r="BP38" s="1" t="s">
        <v>283</v>
      </c>
      <c r="BQ38" s="1" t="s">
        <v>271</v>
      </c>
      <c r="BR38" s="1" t="s">
        <v>254</v>
      </c>
      <c r="BS38" s="1" t="s">
        <v>254</v>
      </c>
      <c r="BT38" s="1" t="s">
        <v>254</v>
      </c>
      <c r="BU38" s="1" t="s">
        <v>254</v>
      </c>
      <c r="BV38" s="1" t="s">
        <v>254</v>
      </c>
      <c r="BW38" s="1" t="s">
        <v>254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 t="s">
        <v>254</v>
      </c>
      <c r="CN38" s="1">
        <v>0.0</v>
      </c>
      <c r="CO38" s="1" t="s">
        <v>254</v>
      </c>
      <c r="CP38" s="1">
        <v>0.0</v>
      </c>
      <c r="CQ38" s="1">
        <v>3.0</v>
      </c>
      <c r="CR38" s="1">
        <v>2.0</v>
      </c>
      <c r="CS38" s="1">
        <v>1.0</v>
      </c>
      <c r="CT38" s="1" t="s">
        <v>817</v>
      </c>
      <c r="CU38" s="1" t="s">
        <v>818</v>
      </c>
      <c r="CV38" s="1" t="s">
        <v>254</v>
      </c>
      <c r="CW38" s="1" t="s">
        <v>254</v>
      </c>
      <c r="CX38" s="1" t="s">
        <v>254</v>
      </c>
      <c r="CY38" s="1" t="s">
        <v>254</v>
      </c>
      <c r="CZ38" s="1" t="s">
        <v>254</v>
      </c>
      <c r="DA38" s="1" t="s">
        <v>254</v>
      </c>
      <c r="DB38" s="1" t="s">
        <v>254</v>
      </c>
      <c r="DC38" s="1" t="s">
        <v>254</v>
      </c>
      <c r="DD38" s="1" t="s">
        <v>255</v>
      </c>
      <c r="DE38" s="1" t="s">
        <v>388</v>
      </c>
      <c r="DF38" s="1" t="s">
        <v>293</v>
      </c>
      <c r="DG38" s="1" t="s">
        <v>424</v>
      </c>
      <c r="DH38" s="1" t="s">
        <v>293</v>
      </c>
      <c r="DI38" s="1" t="s">
        <v>450</v>
      </c>
      <c r="DJ38" s="1" t="s">
        <v>293</v>
      </c>
      <c r="DK38" s="1" t="s">
        <v>293</v>
      </c>
      <c r="DL38" s="1" t="s">
        <v>388</v>
      </c>
      <c r="DM38" s="1" t="s">
        <v>293</v>
      </c>
      <c r="DN38" s="1" t="s">
        <v>293</v>
      </c>
      <c r="DO38" s="1" t="s">
        <v>293</v>
      </c>
      <c r="DP38" s="1" t="s">
        <v>293</v>
      </c>
      <c r="DQ38" s="1" t="s">
        <v>293</v>
      </c>
      <c r="DR38" s="1" t="s">
        <v>293</v>
      </c>
      <c r="DS38" s="1" t="s">
        <v>293</v>
      </c>
      <c r="DT38" s="1" t="s">
        <v>506</v>
      </c>
      <c r="DU38" s="1" t="s">
        <v>293</v>
      </c>
      <c r="DV38" s="1" t="s">
        <v>293</v>
      </c>
      <c r="DW38" s="1" t="s">
        <v>293</v>
      </c>
      <c r="DX38" s="1" t="s">
        <v>293</v>
      </c>
      <c r="DY38" s="1" t="s">
        <v>293</v>
      </c>
      <c r="DZ38" s="1" t="s">
        <v>293</v>
      </c>
      <c r="EA38" s="1" t="s">
        <v>254</v>
      </c>
      <c r="EB38" s="1" t="s">
        <v>254</v>
      </c>
      <c r="EC38" s="1" t="s">
        <v>254</v>
      </c>
      <c r="ED38" s="1">
        <v>0.0</v>
      </c>
      <c r="EE38" s="1" t="s">
        <v>255</v>
      </c>
      <c r="EF38" s="1" t="s">
        <v>325</v>
      </c>
      <c r="EG38" s="1" t="s">
        <v>389</v>
      </c>
      <c r="EI38" s="1" t="s">
        <v>293</v>
      </c>
      <c r="EJ38" s="1" t="s">
        <v>293</v>
      </c>
      <c r="EK38" s="1" t="s">
        <v>293</v>
      </c>
      <c r="EL38" s="1" t="s">
        <v>293</v>
      </c>
      <c r="EM38" s="1" t="s">
        <v>503</v>
      </c>
      <c r="EN38" s="1" t="s">
        <v>503</v>
      </c>
      <c r="EO38" s="1" t="s">
        <v>293</v>
      </c>
      <c r="EP38" s="1" t="s">
        <v>293</v>
      </c>
      <c r="EQ38" s="1" t="s">
        <v>293</v>
      </c>
      <c r="ER38" s="1" t="s">
        <v>293</v>
      </c>
      <c r="ES38" s="1" t="s">
        <v>293</v>
      </c>
      <c r="ET38" s="1" t="s">
        <v>293</v>
      </c>
      <c r="EU38" s="1" t="s">
        <v>293</v>
      </c>
      <c r="EV38" s="1" t="s">
        <v>423</v>
      </c>
      <c r="EW38" s="1" t="s">
        <v>255</v>
      </c>
      <c r="EX38" s="1" t="s">
        <v>254</v>
      </c>
      <c r="EY38" s="1" t="s">
        <v>484</v>
      </c>
      <c r="EZ38" s="1">
        <v>0.0</v>
      </c>
      <c r="FA38" s="1">
        <v>0.0</v>
      </c>
      <c r="FB38" s="1" t="s">
        <v>254</v>
      </c>
      <c r="FC38" s="1">
        <v>0.0</v>
      </c>
      <c r="FD38" s="1">
        <v>0.0</v>
      </c>
      <c r="FE38" s="1">
        <v>0.0</v>
      </c>
      <c r="FF38" s="1">
        <v>0.0</v>
      </c>
      <c r="FG38" s="1">
        <v>0.0</v>
      </c>
      <c r="FH38" s="1">
        <v>0.0</v>
      </c>
      <c r="FI38" s="1">
        <v>0.0</v>
      </c>
      <c r="FJ38" s="1">
        <v>0.0</v>
      </c>
      <c r="FK38" s="1">
        <v>0.0</v>
      </c>
      <c r="FL38" s="1">
        <v>0.0</v>
      </c>
      <c r="FM38" s="1">
        <v>0.0</v>
      </c>
      <c r="FN38" s="1">
        <v>0.0</v>
      </c>
      <c r="FO38" s="12"/>
      <c r="FP38" s="1">
        <v>0.0</v>
      </c>
      <c r="FQ38" s="1">
        <v>0.0</v>
      </c>
      <c r="FR38" s="28" t="s">
        <v>357</v>
      </c>
      <c r="FS38" s="28" t="s">
        <v>298</v>
      </c>
      <c r="FT38" s="28" t="s">
        <v>298</v>
      </c>
      <c r="FU38" s="28" t="s">
        <v>298</v>
      </c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</row>
    <row r="39">
      <c r="A39" s="29" t="s">
        <v>819</v>
      </c>
      <c r="B39" s="3">
        <v>37.0</v>
      </c>
      <c r="C39" s="3" t="s">
        <v>820</v>
      </c>
      <c r="D39" s="30">
        <v>30923.0</v>
      </c>
      <c r="E39" s="1">
        <v>41.0</v>
      </c>
      <c r="F39" s="3" t="s">
        <v>253</v>
      </c>
      <c r="G39" s="3" t="s">
        <v>253</v>
      </c>
      <c r="H39" s="3" t="s">
        <v>252</v>
      </c>
      <c r="I39" s="3" t="s">
        <v>253</v>
      </c>
      <c r="J39" s="3" t="s">
        <v>252</v>
      </c>
      <c r="K39" s="3" t="s">
        <v>253</v>
      </c>
      <c r="L39" s="3" t="s">
        <v>255</v>
      </c>
      <c r="M39" s="3" t="s">
        <v>254</v>
      </c>
      <c r="N39" s="3" t="s">
        <v>255</v>
      </c>
      <c r="O39" s="3" t="s">
        <v>255</v>
      </c>
      <c r="P39" s="3" t="s">
        <v>254</v>
      </c>
      <c r="Q39" s="3" t="s">
        <v>358</v>
      </c>
      <c r="R39" s="7" t="s">
        <v>298</v>
      </c>
      <c r="S39" s="7" t="s">
        <v>359</v>
      </c>
      <c r="T39" s="1" t="s">
        <v>305</v>
      </c>
      <c r="U39" s="1" t="s">
        <v>469</v>
      </c>
      <c r="V39" s="1" t="s">
        <v>812</v>
      </c>
      <c r="W39" s="1" t="s">
        <v>254</v>
      </c>
      <c r="X39" s="1" t="s">
        <v>254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 t="s">
        <v>255</v>
      </c>
      <c r="AG39" s="1" t="s">
        <v>375</v>
      </c>
      <c r="AH39" s="1" t="s">
        <v>266</v>
      </c>
      <c r="AI39" s="1" t="s">
        <v>549</v>
      </c>
      <c r="AJ39" s="1" t="s">
        <v>366</v>
      </c>
      <c r="AK39" s="1" t="s">
        <v>313</v>
      </c>
      <c r="AL39" s="1" t="s">
        <v>821</v>
      </c>
      <c r="AM39" s="1" t="s">
        <v>269</v>
      </c>
      <c r="AN39" s="1" t="s">
        <v>269</v>
      </c>
      <c r="AO39" s="1" t="s">
        <v>283</v>
      </c>
      <c r="AP39" s="1" t="s">
        <v>271</v>
      </c>
      <c r="AQ39" s="1" t="s">
        <v>378</v>
      </c>
      <c r="AR39" s="1">
        <v>4.0</v>
      </c>
      <c r="AS39" s="1" t="s">
        <v>273</v>
      </c>
      <c r="AT39" s="1" t="s">
        <v>274</v>
      </c>
      <c r="AU39" s="1" t="s">
        <v>316</v>
      </c>
      <c r="AV39" s="1" t="s">
        <v>276</v>
      </c>
      <c r="AW39" s="1" t="s">
        <v>380</v>
      </c>
      <c r="AX39" s="1" t="s">
        <v>254</v>
      </c>
      <c r="AY39" s="1">
        <v>0.0</v>
      </c>
      <c r="AZ39" s="1" t="s">
        <v>254</v>
      </c>
      <c r="BA39" s="1" t="s">
        <v>278</v>
      </c>
      <c r="BB39" s="1" t="s">
        <v>255</v>
      </c>
      <c r="BC39" s="1" t="s">
        <v>279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 t="s">
        <v>320</v>
      </c>
      <c r="BM39" s="1" t="s">
        <v>821</v>
      </c>
      <c r="BN39" s="1" t="s">
        <v>269</v>
      </c>
      <c r="BO39" s="1" t="s">
        <v>269</v>
      </c>
      <c r="BP39" s="1" t="s">
        <v>283</v>
      </c>
      <c r="BQ39" s="1" t="s">
        <v>271</v>
      </c>
      <c r="BR39" s="1" t="s">
        <v>254</v>
      </c>
      <c r="BS39" s="1" t="s">
        <v>254</v>
      </c>
      <c r="BT39" s="1" t="s">
        <v>254</v>
      </c>
      <c r="BU39" s="1" t="s">
        <v>254</v>
      </c>
      <c r="BV39" s="1" t="s">
        <v>254</v>
      </c>
      <c r="BW39" s="1" t="s">
        <v>254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 t="s">
        <v>254</v>
      </c>
      <c r="CN39" s="1">
        <v>0.0</v>
      </c>
      <c r="CO39" s="1" t="s">
        <v>254</v>
      </c>
      <c r="CP39" s="1">
        <v>0.0</v>
      </c>
      <c r="CQ39" s="1">
        <v>2.0</v>
      </c>
      <c r="CR39" s="1">
        <v>1.0</v>
      </c>
      <c r="CS39" s="1">
        <v>1.0</v>
      </c>
      <c r="CT39" s="1">
        <v>1996.0</v>
      </c>
      <c r="CU39" s="1" t="s">
        <v>505</v>
      </c>
      <c r="CV39" s="1" t="s">
        <v>254</v>
      </c>
      <c r="CW39" s="1" t="s">
        <v>254</v>
      </c>
      <c r="CX39" s="1" t="s">
        <v>254</v>
      </c>
      <c r="CY39" s="1" t="s">
        <v>254</v>
      </c>
      <c r="CZ39" s="1" t="s">
        <v>254</v>
      </c>
      <c r="DA39" s="1" t="s">
        <v>254</v>
      </c>
      <c r="DB39" s="1" t="s">
        <v>254</v>
      </c>
      <c r="DC39" s="1" t="s">
        <v>254</v>
      </c>
      <c r="DD39" s="1" t="s">
        <v>255</v>
      </c>
      <c r="DE39" s="1" t="s">
        <v>424</v>
      </c>
      <c r="DF39" s="1" t="s">
        <v>426</v>
      </c>
      <c r="DG39" s="1" t="s">
        <v>324</v>
      </c>
      <c r="DH39" s="1" t="s">
        <v>424</v>
      </c>
      <c r="DI39" s="1" t="s">
        <v>293</v>
      </c>
      <c r="DJ39" s="1" t="s">
        <v>293</v>
      </c>
      <c r="DK39" s="1" t="s">
        <v>293</v>
      </c>
      <c r="DL39" s="1" t="s">
        <v>293</v>
      </c>
      <c r="DM39" s="1" t="s">
        <v>388</v>
      </c>
      <c r="DO39" s="1" t="s">
        <v>293</v>
      </c>
      <c r="DP39" s="1" t="s">
        <v>293</v>
      </c>
      <c r="DQ39" s="1" t="s">
        <v>293</v>
      </c>
      <c r="DR39" s="1" t="s">
        <v>293</v>
      </c>
      <c r="DS39" s="1" t="s">
        <v>293</v>
      </c>
      <c r="DT39" s="1" t="s">
        <v>293</v>
      </c>
      <c r="DU39" s="1" t="s">
        <v>293</v>
      </c>
      <c r="DV39" s="1" t="s">
        <v>293</v>
      </c>
      <c r="DW39" s="1" t="s">
        <v>293</v>
      </c>
      <c r="DX39" s="1" t="s">
        <v>293</v>
      </c>
      <c r="DY39" s="1" t="s">
        <v>293</v>
      </c>
      <c r="DZ39" s="1" t="s">
        <v>293</v>
      </c>
      <c r="EA39" s="1" t="s">
        <v>254</v>
      </c>
      <c r="EB39" s="1" t="s">
        <v>254</v>
      </c>
      <c r="EC39" s="1" t="s">
        <v>254</v>
      </c>
      <c r="ED39" s="1">
        <v>0.0</v>
      </c>
      <c r="EE39" s="1" t="s">
        <v>255</v>
      </c>
      <c r="EF39" s="1" t="s">
        <v>294</v>
      </c>
      <c r="EG39" s="1" t="s">
        <v>389</v>
      </c>
      <c r="EI39" s="1" t="s">
        <v>426</v>
      </c>
      <c r="EJ39" s="1" t="s">
        <v>293</v>
      </c>
      <c r="EK39" s="1" t="s">
        <v>293</v>
      </c>
      <c r="EL39" s="1" t="s">
        <v>293</v>
      </c>
      <c r="EM39" s="1" t="s">
        <v>293</v>
      </c>
      <c r="EN39" s="1" t="s">
        <v>293</v>
      </c>
      <c r="EO39" s="1" t="s">
        <v>293</v>
      </c>
      <c r="EP39" s="1" t="s">
        <v>293</v>
      </c>
      <c r="EQ39" s="1" t="s">
        <v>293</v>
      </c>
      <c r="ER39" s="1" t="s">
        <v>293</v>
      </c>
      <c r="ES39" s="1" t="s">
        <v>293</v>
      </c>
      <c r="ET39" s="1" t="s">
        <v>293</v>
      </c>
      <c r="EU39" s="1" t="s">
        <v>293</v>
      </c>
      <c r="EV39" s="1" t="s">
        <v>431</v>
      </c>
      <c r="EW39" s="1" t="s">
        <v>254</v>
      </c>
      <c r="EX39" s="1" t="s">
        <v>254</v>
      </c>
      <c r="EY39" s="1" t="s">
        <v>432</v>
      </c>
      <c r="EZ39" s="1" t="s">
        <v>427</v>
      </c>
      <c r="FA39" s="1" t="s">
        <v>428</v>
      </c>
      <c r="FB39" s="1" t="s">
        <v>254</v>
      </c>
      <c r="FC39" s="1">
        <v>0.0</v>
      </c>
      <c r="FD39" s="1">
        <v>0.0</v>
      </c>
      <c r="FE39" s="1">
        <v>0.0</v>
      </c>
      <c r="FF39" s="1">
        <v>0.0</v>
      </c>
      <c r="FG39" s="1">
        <v>0.0</v>
      </c>
      <c r="FH39" s="1">
        <v>0.0</v>
      </c>
      <c r="FI39" s="1">
        <v>0.0</v>
      </c>
      <c r="FJ39" s="1">
        <v>0.0</v>
      </c>
      <c r="FK39" s="1">
        <v>0.0</v>
      </c>
      <c r="FL39" s="1">
        <v>0.0</v>
      </c>
      <c r="FM39" s="1">
        <v>0.0</v>
      </c>
      <c r="FN39" s="1">
        <v>0.0</v>
      </c>
      <c r="FO39" s="1">
        <v>0.0</v>
      </c>
      <c r="FP39" s="1">
        <v>0.0</v>
      </c>
      <c r="FQ39" s="1">
        <v>0.0</v>
      </c>
      <c r="FR39" s="28" t="s">
        <v>357</v>
      </c>
      <c r="FS39" s="28" t="s">
        <v>298</v>
      </c>
      <c r="FT39" s="28" t="s">
        <v>298</v>
      </c>
      <c r="FU39" s="28" t="s">
        <v>298</v>
      </c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</row>
    <row r="40">
      <c r="A40" s="29" t="s">
        <v>824</v>
      </c>
      <c r="B40" s="3">
        <v>38.0</v>
      </c>
      <c r="C40" s="3" t="s">
        <v>825</v>
      </c>
      <c r="D40" s="30">
        <v>30193.0</v>
      </c>
      <c r="E40" s="1">
        <v>43.0</v>
      </c>
      <c r="F40" s="3" t="s">
        <v>253</v>
      </c>
      <c r="G40" s="3" t="s">
        <v>252</v>
      </c>
      <c r="H40" s="3" t="s">
        <v>253</v>
      </c>
      <c r="I40" s="3" t="s">
        <v>253</v>
      </c>
      <c r="J40" s="3" t="s">
        <v>252</v>
      </c>
      <c r="K40" s="3" t="s">
        <v>252</v>
      </c>
      <c r="L40" s="3" t="s">
        <v>254</v>
      </c>
      <c r="M40" s="3" t="s">
        <v>254</v>
      </c>
      <c r="N40" s="3" t="s">
        <v>254</v>
      </c>
      <c r="O40" s="3" t="s">
        <v>254</v>
      </c>
      <c r="P40" s="3" t="s">
        <v>255</v>
      </c>
      <c r="Q40" s="3" t="s">
        <v>358</v>
      </c>
      <c r="R40" s="7" t="s">
        <v>298</v>
      </c>
      <c r="S40" s="7" t="s">
        <v>359</v>
      </c>
      <c r="T40" s="1" t="s">
        <v>305</v>
      </c>
      <c r="U40" s="1" t="s">
        <v>372</v>
      </c>
      <c r="V40" s="1" t="s">
        <v>826</v>
      </c>
      <c r="W40" s="1" t="s">
        <v>254</v>
      </c>
      <c r="X40" s="1" t="s">
        <v>255</v>
      </c>
      <c r="Y40" s="31" t="s">
        <v>362</v>
      </c>
      <c r="Z40" s="1">
        <v>5.0</v>
      </c>
      <c r="AA40" s="1" t="s">
        <v>363</v>
      </c>
      <c r="AB40" s="1">
        <v>0.0</v>
      </c>
      <c r="AC40" s="1">
        <v>0.0</v>
      </c>
      <c r="AD40" s="1">
        <v>0.0</v>
      </c>
      <c r="AE40" s="1">
        <v>0.0</v>
      </c>
      <c r="AF40" s="1" t="s">
        <v>255</v>
      </c>
      <c r="AG40" s="1" t="s">
        <v>364</v>
      </c>
      <c r="AH40" s="1" t="s">
        <v>365</v>
      </c>
      <c r="AI40" s="30">
        <v>45615.0</v>
      </c>
      <c r="AJ40" s="1" t="s">
        <v>366</v>
      </c>
      <c r="AK40" s="1" t="s">
        <v>267</v>
      </c>
      <c r="AL40" s="1" t="s">
        <v>734</v>
      </c>
      <c r="AM40" s="1" t="s">
        <v>269</v>
      </c>
      <c r="AN40" s="1" t="s">
        <v>269</v>
      </c>
      <c r="AP40" s="1" t="s">
        <v>271</v>
      </c>
      <c r="AQ40" s="1" t="s">
        <v>343</v>
      </c>
      <c r="AR40" s="1">
        <v>3.0</v>
      </c>
      <c r="AS40" s="1" t="s">
        <v>273</v>
      </c>
      <c r="AT40" s="1" t="s">
        <v>274</v>
      </c>
      <c r="AU40" s="1" t="s">
        <v>316</v>
      </c>
      <c r="AV40" s="1" t="s">
        <v>276</v>
      </c>
      <c r="AW40" s="1" t="s">
        <v>380</v>
      </c>
      <c r="AX40" s="1" t="s">
        <v>254</v>
      </c>
      <c r="AY40" s="1">
        <v>0.0</v>
      </c>
      <c r="AZ40" s="1" t="s">
        <v>255</v>
      </c>
      <c r="BA40" s="1" t="s">
        <v>278</v>
      </c>
      <c r="BB40" s="1" t="s">
        <v>255</v>
      </c>
      <c r="BC40" s="1" t="s">
        <v>279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 t="s">
        <v>320</v>
      </c>
      <c r="BM40" s="1" t="s">
        <v>734</v>
      </c>
      <c r="BN40" s="1" t="s">
        <v>269</v>
      </c>
      <c r="BO40" s="1" t="s">
        <v>269</v>
      </c>
      <c r="BQ40" s="1" t="s">
        <v>271</v>
      </c>
      <c r="BR40" s="1" t="s">
        <v>254</v>
      </c>
      <c r="BS40" s="1" t="s">
        <v>254</v>
      </c>
      <c r="BT40" s="1" t="s">
        <v>254</v>
      </c>
      <c r="BU40" s="1" t="s">
        <v>254</v>
      </c>
      <c r="BV40" s="1" t="s">
        <v>254</v>
      </c>
      <c r="BW40" s="1" t="s">
        <v>254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1">
        <v>0.0</v>
      </c>
      <c r="CM40" s="1" t="s">
        <v>254</v>
      </c>
      <c r="CN40" s="1">
        <v>0.0</v>
      </c>
      <c r="CO40" s="1" t="s">
        <v>254</v>
      </c>
      <c r="CP40" s="1">
        <v>0.0</v>
      </c>
      <c r="CQ40" s="1">
        <v>3.0</v>
      </c>
      <c r="CR40" s="1">
        <v>1.0</v>
      </c>
      <c r="CS40" s="1">
        <v>2.0</v>
      </c>
      <c r="CT40" s="1" t="s">
        <v>534</v>
      </c>
      <c r="CU40" s="1" t="s">
        <v>535</v>
      </c>
      <c r="CV40" s="1" t="s">
        <v>254</v>
      </c>
      <c r="CW40" s="1" t="s">
        <v>254</v>
      </c>
      <c r="CX40" s="1" t="s">
        <v>254</v>
      </c>
      <c r="CY40" s="1" t="s">
        <v>254</v>
      </c>
      <c r="CZ40" s="1" t="s">
        <v>254</v>
      </c>
      <c r="DA40" s="1" t="s">
        <v>254</v>
      </c>
      <c r="DB40" s="1" t="s">
        <v>254</v>
      </c>
      <c r="DC40" s="1" t="s">
        <v>254</v>
      </c>
      <c r="DD40" s="1" t="s">
        <v>255</v>
      </c>
      <c r="DE40" s="1" t="s">
        <v>424</v>
      </c>
      <c r="DF40" s="1" t="s">
        <v>426</v>
      </c>
      <c r="DG40" s="1" t="s">
        <v>426</v>
      </c>
      <c r="DH40" s="1" t="s">
        <v>426</v>
      </c>
      <c r="DI40" s="1" t="s">
        <v>424</v>
      </c>
      <c r="DJ40" s="1" t="s">
        <v>426</v>
      </c>
      <c r="DK40" s="1" t="s">
        <v>293</v>
      </c>
      <c r="DL40" s="1" t="s">
        <v>293</v>
      </c>
      <c r="DM40" s="1" t="s">
        <v>324</v>
      </c>
      <c r="DN40" s="1" t="s">
        <v>293</v>
      </c>
      <c r="DO40" s="1" t="s">
        <v>293</v>
      </c>
      <c r="DP40" s="1" t="s">
        <v>293</v>
      </c>
      <c r="DQ40" s="1" t="s">
        <v>293</v>
      </c>
      <c r="DR40" s="1" t="s">
        <v>293</v>
      </c>
      <c r="DS40" s="1" t="s">
        <v>293</v>
      </c>
      <c r="DT40" s="1" t="s">
        <v>293</v>
      </c>
      <c r="DU40" s="1" t="s">
        <v>293</v>
      </c>
      <c r="DV40" s="1" t="s">
        <v>293</v>
      </c>
      <c r="DW40" s="1" t="s">
        <v>293</v>
      </c>
      <c r="DX40" s="1" t="s">
        <v>293</v>
      </c>
      <c r="DY40" s="1" t="s">
        <v>293</v>
      </c>
      <c r="DZ40" s="1" t="s">
        <v>293</v>
      </c>
      <c r="EA40" s="1" t="s">
        <v>254</v>
      </c>
      <c r="EB40" s="1" t="s">
        <v>254</v>
      </c>
      <c r="EC40" s="1" t="s">
        <v>254</v>
      </c>
      <c r="ED40" s="1">
        <v>0.0</v>
      </c>
      <c r="EE40" s="1" t="s">
        <v>254</v>
      </c>
      <c r="EF40" s="1" t="s">
        <v>426</v>
      </c>
      <c r="EG40" s="1" t="s">
        <v>426</v>
      </c>
      <c r="EH40" s="1" t="s">
        <v>426</v>
      </c>
      <c r="EI40" s="1" t="s">
        <v>426</v>
      </c>
      <c r="EJ40" s="1" t="s">
        <v>426</v>
      </c>
      <c r="EK40" s="1" t="s">
        <v>426</v>
      </c>
      <c r="EL40" s="1" t="s">
        <v>426</v>
      </c>
      <c r="EM40" s="1" t="s">
        <v>426</v>
      </c>
      <c r="EN40" s="1" t="s">
        <v>426</v>
      </c>
      <c r="EO40" s="1" t="s">
        <v>426</v>
      </c>
      <c r="EP40" s="1" t="s">
        <v>426</v>
      </c>
      <c r="EQ40" s="1" t="s">
        <v>426</v>
      </c>
      <c r="ER40" s="1" t="s">
        <v>426</v>
      </c>
      <c r="ES40" s="1" t="s">
        <v>426</v>
      </c>
      <c r="ET40" s="1" t="s">
        <v>426</v>
      </c>
      <c r="EU40" s="1" t="s">
        <v>426</v>
      </c>
      <c r="EV40" s="1" t="s">
        <v>387</v>
      </c>
      <c r="EW40" s="1" t="s">
        <v>254</v>
      </c>
      <c r="EX40" s="1" t="s">
        <v>254</v>
      </c>
      <c r="EY40" s="1" t="s">
        <v>538</v>
      </c>
      <c r="EZ40" s="1" t="s">
        <v>509</v>
      </c>
      <c r="FA40" s="1" t="s">
        <v>453</v>
      </c>
      <c r="FB40" s="1" t="s">
        <v>254</v>
      </c>
      <c r="FC40" s="1">
        <v>0.0</v>
      </c>
      <c r="FD40" s="1">
        <v>0.0</v>
      </c>
      <c r="FE40" s="1">
        <v>0.0</v>
      </c>
      <c r="FF40" s="1">
        <v>0.0</v>
      </c>
      <c r="FG40" s="1">
        <v>0.0</v>
      </c>
      <c r="FH40" s="1">
        <v>0.0</v>
      </c>
      <c r="FI40" s="1">
        <v>0.0</v>
      </c>
      <c r="FJ40" s="1">
        <v>0.0</v>
      </c>
      <c r="FK40" s="1">
        <v>0.0</v>
      </c>
      <c r="FL40" s="1">
        <v>0.0</v>
      </c>
      <c r="FM40" s="1">
        <v>0.0</v>
      </c>
      <c r="FN40" s="1">
        <v>0.0</v>
      </c>
      <c r="FO40" s="1">
        <v>0.0</v>
      </c>
      <c r="FP40" s="1">
        <v>0.0</v>
      </c>
      <c r="FQ40" s="1">
        <v>0.0</v>
      </c>
      <c r="FR40" s="28" t="s">
        <v>357</v>
      </c>
      <c r="FS40" s="28" t="s">
        <v>298</v>
      </c>
      <c r="FT40" s="28" t="s">
        <v>298</v>
      </c>
      <c r="FU40" s="28" t="s">
        <v>298</v>
      </c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</row>
    <row r="41">
      <c r="A41" s="29" t="s">
        <v>832</v>
      </c>
      <c r="B41" s="3">
        <v>39.0</v>
      </c>
      <c r="C41" s="3" t="s">
        <v>833</v>
      </c>
      <c r="D41" s="30">
        <v>27636.0</v>
      </c>
      <c r="E41" s="1">
        <v>50.0</v>
      </c>
      <c r="F41" s="3" t="s">
        <v>253</v>
      </c>
      <c r="G41" s="3" t="s">
        <v>252</v>
      </c>
      <c r="H41" s="3" t="s">
        <v>253</v>
      </c>
      <c r="I41" s="3" t="s">
        <v>253</v>
      </c>
      <c r="J41" s="3" t="s">
        <v>252</v>
      </c>
      <c r="K41" s="3" t="s">
        <v>252</v>
      </c>
      <c r="L41" s="3" t="s">
        <v>254</v>
      </c>
      <c r="M41" s="3" t="s">
        <v>254</v>
      </c>
      <c r="N41" s="3" t="s">
        <v>254</v>
      </c>
      <c r="O41" s="3" t="s">
        <v>254</v>
      </c>
      <c r="P41" s="3" t="s">
        <v>255</v>
      </c>
      <c r="Q41" s="3" t="s">
        <v>358</v>
      </c>
      <c r="R41" s="7" t="s">
        <v>298</v>
      </c>
      <c r="S41" s="7" t="s">
        <v>359</v>
      </c>
      <c r="T41" s="1" t="s">
        <v>305</v>
      </c>
      <c r="U41" s="1" t="s">
        <v>372</v>
      </c>
      <c r="V41" s="1" t="s">
        <v>410</v>
      </c>
      <c r="W41" s="1" t="s">
        <v>412</v>
      </c>
      <c r="X41" s="1" t="s">
        <v>254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 t="s">
        <v>254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 t="s">
        <v>268</v>
      </c>
      <c r="AM41" s="1" t="s">
        <v>269</v>
      </c>
      <c r="AN41" s="1" t="s">
        <v>269</v>
      </c>
      <c r="AO41" s="1" t="s">
        <v>270</v>
      </c>
      <c r="AP41" s="1" t="s">
        <v>271</v>
      </c>
      <c r="AQ41" s="1" t="s">
        <v>272</v>
      </c>
      <c r="AR41" s="1">
        <v>2.0</v>
      </c>
      <c r="AS41" s="1" t="s">
        <v>273</v>
      </c>
      <c r="AT41" s="1" t="s">
        <v>274</v>
      </c>
      <c r="AU41" s="1" t="s">
        <v>275</v>
      </c>
      <c r="AV41" s="1" t="s">
        <v>276</v>
      </c>
      <c r="AW41" s="1" t="s">
        <v>277</v>
      </c>
      <c r="AX41" s="1" t="s">
        <v>254</v>
      </c>
      <c r="AY41" s="1">
        <v>0.0</v>
      </c>
      <c r="AZ41" s="1" t="s">
        <v>255</v>
      </c>
      <c r="BA41" s="1" t="s">
        <v>278</v>
      </c>
      <c r="BB41" s="1" t="s">
        <v>254</v>
      </c>
      <c r="BC41" s="1" t="s">
        <v>279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 t="s">
        <v>280</v>
      </c>
      <c r="BM41" s="1" t="s">
        <v>268</v>
      </c>
      <c r="BN41" s="1" t="s">
        <v>269</v>
      </c>
      <c r="BO41" s="1" t="s">
        <v>269</v>
      </c>
      <c r="BP41" s="1" t="s">
        <v>270</v>
      </c>
      <c r="BQ41" s="1" t="s">
        <v>271</v>
      </c>
      <c r="BR41" s="1" t="s">
        <v>254</v>
      </c>
      <c r="BS41" s="1" t="s">
        <v>254</v>
      </c>
      <c r="BT41" s="1" t="s">
        <v>254</v>
      </c>
      <c r="BU41" s="1" t="s">
        <v>254</v>
      </c>
      <c r="BV41" s="1" t="s">
        <v>254</v>
      </c>
      <c r="BW41" s="1" t="s">
        <v>254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  <c r="CL41" s="1">
        <v>0.0</v>
      </c>
      <c r="CM41" s="1" t="s">
        <v>254</v>
      </c>
      <c r="CN41" s="1">
        <v>0.0</v>
      </c>
      <c r="CO41" s="1" t="s">
        <v>254</v>
      </c>
      <c r="CP41" s="1">
        <v>0.0</v>
      </c>
      <c r="CQ41" s="1">
        <v>2.0</v>
      </c>
      <c r="CR41" s="1">
        <v>1.0</v>
      </c>
      <c r="CS41" s="1">
        <v>1.0</v>
      </c>
      <c r="CT41" s="1" t="s">
        <v>834</v>
      </c>
      <c r="CU41" s="1" t="s">
        <v>697</v>
      </c>
      <c r="CV41" s="1" t="s">
        <v>254</v>
      </c>
      <c r="CW41" s="1" t="s">
        <v>254</v>
      </c>
      <c r="CX41" s="1" t="s">
        <v>254</v>
      </c>
      <c r="CY41" s="1" t="s">
        <v>254</v>
      </c>
      <c r="CZ41" s="1" t="s">
        <v>254</v>
      </c>
      <c r="DA41" s="1" t="s">
        <v>254</v>
      </c>
      <c r="DB41" s="1" t="s">
        <v>254</v>
      </c>
      <c r="DC41" s="1" t="s">
        <v>254</v>
      </c>
      <c r="DD41" s="1" t="s">
        <v>255</v>
      </c>
      <c r="DE41" s="1" t="s">
        <v>388</v>
      </c>
      <c r="DF41" s="1" t="s">
        <v>293</v>
      </c>
      <c r="DG41" s="1" t="s">
        <v>424</v>
      </c>
      <c r="DH41" s="1" t="s">
        <v>293</v>
      </c>
      <c r="DI41" s="1" t="s">
        <v>450</v>
      </c>
      <c r="DJ41" s="1" t="s">
        <v>293</v>
      </c>
      <c r="DK41" s="1" t="s">
        <v>293</v>
      </c>
      <c r="DL41" s="1" t="s">
        <v>388</v>
      </c>
      <c r="DM41" s="1" t="s">
        <v>293</v>
      </c>
      <c r="DN41" s="1" t="s">
        <v>293</v>
      </c>
      <c r="DO41" s="1" t="s">
        <v>293</v>
      </c>
      <c r="DP41" s="1" t="s">
        <v>293</v>
      </c>
      <c r="DQ41" s="1" t="s">
        <v>293</v>
      </c>
      <c r="DR41" s="1" t="s">
        <v>293</v>
      </c>
      <c r="DS41" s="1" t="s">
        <v>293</v>
      </c>
      <c r="DT41" s="1" t="s">
        <v>506</v>
      </c>
      <c r="DU41" s="1" t="s">
        <v>293</v>
      </c>
      <c r="DV41" s="1" t="s">
        <v>293</v>
      </c>
      <c r="DW41" s="1" t="s">
        <v>293</v>
      </c>
      <c r="DX41" s="1" t="s">
        <v>293</v>
      </c>
      <c r="DY41" s="1" t="s">
        <v>293</v>
      </c>
      <c r="DZ41" s="1" t="s">
        <v>293</v>
      </c>
      <c r="EA41" s="1" t="s">
        <v>254</v>
      </c>
      <c r="EB41" s="1" t="s">
        <v>254</v>
      </c>
      <c r="EC41" s="1" t="s">
        <v>254</v>
      </c>
      <c r="ED41" s="1">
        <v>0.0</v>
      </c>
      <c r="EE41" s="1" t="s">
        <v>255</v>
      </c>
      <c r="EF41" s="1" t="s">
        <v>325</v>
      </c>
      <c r="EG41" s="1" t="s">
        <v>389</v>
      </c>
      <c r="EI41" s="1" t="s">
        <v>293</v>
      </c>
      <c r="EJ41" s="1" t="s">
        <v>293</v>
      </c>
      <c r="EK41" s="1" t="s">
        <v>293</v>
      </c>
      <c r="EL41" s="1" t="s">
        <v>293</v>
      </c>
      <c r="EM41" s="1" t="s">
        <v>503</v>
      </c>
      <c r="EN41" s="1" t="s">
        <v>503</v>
      </c>
      <c r="EO41" s="1" t="s">
        <v>293</v>
      </c>
      <c r="EP41" s="1" t="s">
        <v>293</v>
      </c>
      <c r="EQ41" s="1" t="s">
        <v>293</v>
      </c>
      <c r="ER41" s="1" t="s">
        <v>293</v>
      </c>
      <c r="ES41" s="1" t="s">
        <v>293</v>
      </c>
      <c r="ET41" s="1" t="s">
        <v>293</v>
      </c>
      <c r="EU41" s="1" t="s">
        <v>293</v>
      </c>
      <c r="EV41" s="1" t="s">
        <v>423</v>
      </c>
      <c r="EW41" s="1" t="s">
        <v>255</v>
      </c>
      <c r="EX41" s="1" t="s">
        <v>254</v>
      </c>
      <c r="EY41" s="1" t="s">
        <v>484</v>
      </c>
      <c r="EZ41" s="1">
        <v>0.0</v>
      </c>
      <c r="FA41" s="1">
        <v>0.0</v>
      </c>
      <c r="FB41" s="1" t="s">
        <v>254</v>
      </c>
      <c r="FC41" s="1">
        <v>0.0</v>
      </c>
      <c r="FD41" s="1">
        <v>0.0</v>
      </c>
      <c r="FE41" s="1">
        <v>0.0</v>
      </c>
      <c r="FF41" s="1">
        <v>0.0</v>
      </c>
      <c r="FG41" s="1">
        <v>0.0</v>
      </c>
      <c r="FH41" s="1">
        <v>0.0</v>
      </c>
      <c r="FI41" s="1">
        <v>0.0</v>
      </c>
      <c r="FJ41" s="1">
        <v>0.0</v>
      </c>
      <c r="FK41" s="1">
        <v>0.0</v>
      </c>
      <c r="FL41" s="1">
        <v>0.0</v>
      </c>
      <c r="FM41" s="1">
        <v>0.0</v>
      </c>
      <c r="FN41" s="1">
        <v>0.0</v>
      </c>
      <c r="FO41" s="1">
        <v>0.0</v>
      </c>
      <c r="FP41" s="1">
        <v>0.0</v>
      </c>
      <c r="FQ41" s="1">
        <v>0.0</v>
      </c>
      <c r="FR41" s="28" t="s">
        <v>357</v>
      </c>
      <c r="FS41" s="28" t="s">
        <v>298</v>
      </c>
      <c r="FT41" s="28" t="s">
        <v>298</v>
      </c>
      <c r="FU41" s="28" t="s">
        <v>298</v>
      </c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</row>
    <row r="42">
      <c r="A42" s="29" t="s">
        <v>835</v>
      </c>
      <c r="B42" s="3">
        <v>40.0</v>
      </c>
      <c r="C42" s="3" t="s">
        <v>836</v>
      </c>
      <c r="D42" s="30">
        <v>23687.0</v>
      </c>
      <c r="E42" s="1">
        <v>61.0</v>
      </c>
      <c r="F42" s="3" t="s">
        <v>253</v>
      </c>
      <c r="G42" s="3" t="s">
        <v>252</v>
      </c>
      <c r="H42" s="3" t="s">
        <v>253</v>
      </c>
      <c r="I42" s="3" t="s">
        <v>253</v>
      </c>
      <c r="J42" s="3" t="s">
        <v>252</v>
      </c>
      <c r="K42" s="3" t="s">
        <v>252</v>
      </c>
      <c r="L42" s="3" t="s">
        <v>254</v>
      </c>
      <c r="M42" s="3" t="s">
        <v>254</v>
      </c>
      <c r="N42" s="3" t="s">
        <v>254</v>
      </c>
      <c r="O42" s="3" t="s">
        <v>254</v>
      </c>
      <c r="P42" s="3" t="s">
        <v>255</v>
      </c>
      <c r="Q42" s="3" t="s">
        <v>358</v>
      </c>
      <c r="R42" s="7" t="s">
        <v>298</v>
      </c>
      <c r="S42" s="7" t="s">
        <v>359</v>
      </c>
      <c r="T42" s="1" t="s">
        <v>259</v>
      </c>
      <c r="U42" s="1" t="s">
        <v>372</v>
      </c>
      <c r="V42" s="1" t="s">
        <v>838</v>
      </c>
      <c r="W42" s="1" t="s">
        <v>254</v>
      </c>
      <c r="X42" s="1" t="s">
        <v>255</v>
      </c>
      <c r="Y42" s="31" t="s">
        <v>362</v>
      </c>
      <c r="Z42" s="1">
        <v>2.0</v>
      </c>
      <c r="AA42" s="1" t="s">
        <v>839</v>
      </c>
      <c r="AB42" s="1">
        <v>0.0</v>
      </c>
      <c r="AC42" s="1">
        <v>0.0</v>
      </c>
      <c r="AD42" s="1">
        <v>0.0</v>
      </c>
      <c r="AE42" s="1">
        <v>0.0</v>
      </c>
      <c r="AF42" s="1" t="s">
        <v>255</v>
      </c>
      <c r="AG42" s="1" t="s">
        <v>266</v>
      </c>
      <c r="AH42" s="1" t="s">
        <v>266</v>
      </c>
      <c r="AI42" s="30">
        <v>45622.0</v>
      </c>
      <c r="AJ42" s="30">
        <v>45623.0</v>
      </c>
      <c r="AK42" s="1" t="s">
        <v>267</v>
      </c>
      <c r="AL42" s="1" t="s">
        <v>700</v>
      </c>
      <c r="AM42" s="1" t="s">
        <v>269</v>
      </c>
      <c r="AN42" s="1" t="s">
        <v>269</v>
      </c>
      <c r="AO42" s="1" t="s">
        <v>270</v>
      </c>
      <c r="AP42" s="1" t="s">
        <v>271</v>
      </c>
      <c r="AQ42" s="1" t="s">
        <v>272</v>
      </c>
      <c r="AR42" s="1">
        <v>2.0</v>
      </c>
      <c r="AS42" s="1" t="s">
        <v>273</v>
      </c>
      <c r="AT42" s="1" t="s">
        <v>274</v>
      </c>
      <c r="AU42" s="1" t="s">
        <v>840</v>
      </c>
      <c r="AV42" s="1" t="s">
        <v>841</v>
      </c>
      <c r="AW42" s="1" t="s">
        <v>380</v>
      </c>
      <c r="AX42" s="1" t="s">
        <v>255</v>
      </c>
      <c r="AY42" s="1" t="s">
        <v>842</v>
      </c>
      <c r="AZ42" s="1" t="s">
        <v>255</v>
      </c>
      <c r="BA42" s="1" t="s">
        <v>841</v>
      </c>
      <c r="BB42" s="1" t="s">
        <v>255</v>
      </c>
      <c r="BC42" s="1" t="s">
        <v>279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 t="s">
        <v>320</v>
      </c>
      <c r="BM42" s="1" t="s">
        <v>700</v>
      </c>
      <c r="BN42" s="1" t="s">
        <v>269</v>
      </c>
      <c r="BO42" s="1" t="s">
        <v>269</v>
      </c>
      <c r="BP42" s="1" t="s">
        <v>270</v>
      </c>
      <c r="BQ42" s="1" t="s">
        <v>271</v>
      </c>
      <c r="BR42" s="1" t="s">
        <v>254</v>
      </c>
      <c r="BS42" s="1" t="s">
        <v>254</v>
      </c>
      <c r="BT42" s="1" t="s">
        <v>254</v>
      </c>
      <c r="BU42" s="1" t="s">
        <v>254</v>
      </c>
      <c r="BV42" s="1" t="s">
        <v>254</v>
      </c>
      <c r="BW42" s="1" t="s">
        <v>254</v>
      </c>
      <c r="BX42" s="1">
        <v>10.0</v>
      </c>
      <c r="BY42" s="1">
        <v>0.0</v>
      </c>
      <c r="BZ42" s="1">
        <v>0.0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1.0</v>
      </c>
      <c r="CG42" s="1">
        <v>0.0</v>
      </c>
      <c r="CH42" s="1">
        <v>0.0</v>
      </c>
      <c r="CI42" s="1">
        <v>0.0</v>
      </c>
      <c r="CJ42" s="1">
        <v>0.0</v>
      </c>
      <c r="CK42" s="1" t="s">
        <v>384</v>
      </c>
      <c r="CL42" s="1" t="s">
        <v>843</v>
      </c>
      <c r="CM42" s="1" t="s">
        <v>254</v>
      </c>
      <c r="CN42" s="1">
        <v>0.0</v>
      </c>
      <c r="CO42" s="1" t="s">
        <v>254</v>
      </c>
      <c r="CP42" s="1">
        <v>0.0</v>
      </c>
      <c r="CQ42" s="1">
        <v>1.0</v>
      </c>
      <c r="CR42" s="1">
        <v>1.0</v>
      </c>
      <c r="CS42" s="1">
        <v>0.0</v>
      </c>
      <c r="CT42" s="1">
        <v>1960.0</v>
      </c>
      <c r="CU42" s="1" t="s">
        <v>714</v>
      </c>
      <c r="CV42" s="1" t="s">
        <v>254</v>
      </c>
      <c r="CW42" s="1" t="s">
        <v>254</v>
      </c>
      <c r="CX42" s="1" t="s">
        <v>254</v>
      </c>
      <c r="CY42" s="1" t="s">
        <v>254</v>
      </c>
      <c r="CZ42" s="1" t="s">
        <v>254</v>
      </c>
      <c r="DA42" s="1" t="s">
        <v>254</v>
      </c>
      <c r="DB42" s="1" t="s">
        <v>254</v>
      </c>
      <c r="DC42" s="1" t="s">
        <v>254</v>
      </c>
      <c r="DD42" s="1" t="s">
        <v>255</v>
      </c>
      <c r="DE42" s="1" t="s">
        <v>424</v>
      </c>
      <c r="DF42" s="1" t="s">
        <v>426</v>
      </c>
      <c r="DG42" s="1" t="s">
        <v>426</v>
      </c>
      <c r="DH42" s="1" t="s">
        <v>426</v>
      </c>
      <c r="DI42" s="1" t="s">
        <v>424</v>
      </c>
      <c r="DJ42" s="1" t="s">
        <v>426</v>
      </c>
      <c r="DK42" s="1" t="s">
        <v>293</v>
      </c>
      <c r="DL42" s="1" t="s">
        <v>293</v>
      </c>
      <c r="DM42" s="1" t="s">
        <v>324</v>
      </c>
      <c r="DN42" s="1" t="s">
        <v>293</v>
      </c>
      <c r="DO42" s="1" t="s">
        <v>293</v>
      </c>
      <c r="DP42" s="1" t="s">
        <v>293</v>
      </c>
      <c r="DQ42" s="1" t="s">
        <v>293</v>
      </c>
      <c r="DR42" s="1" t="s">
        <v>293</v>
      </c>
      <c r="DS42" s="1" t="s">
        <v>293</v>
      </c>
      <c r="DT42" s="1" t="s">
        <v>293</v>
      </c>
      <c r="DU42" s="1" t="s">
        <v>293</v>
      </c>
      <c r="DV42" s="1" t="s">
        <v>293</v>
      </c>
      <c r="DW42" s="1" t="s">
        <v>293</v>
      </c>
      <c r="DX42" s="1" t="s">
        <v>293</v>
      </c>
      <c r="DY42" s="1" t="s">
        <v>293</v>
      </c>
      <c r="DZ42" s="1" t="s">
        <v>293</v>
      </c>
      <c r="EA42" s="1" t="s">
        <v>254</v>
      </c>
      <c r="EB42" s="1" t="s">
        <v>254</v>
      </c>
      <c r="EC42" s="1" t="s">
        <v>254</v>
      </c>
      <c r="ED42" s="1">
        <v>0.0</v>
      </c>
      <c r="EE42" s="1" t="s">
        <v>254</v>
      </c>
      <c r="EF42" s="1" t="s">
        <v>426</v>
      </c>
      <c r="EG42" s="1" t="s">
        <v>426</v>
      </c>
      <c r="EH42" s="1" t="s">
        <v>426</v>
      </c>
      <c r="EI42" s="1" t="s">
        <v>426</v>
      </c>
      <c r="EJ42" s="1" t="s">
        <v>426</v>
      </c>
      <c r="EK42" s="1" t="s">
        <v>426</v>
      </c>
      <c r="EL42" s="1" t="s">
        <v>426</v>
      </c>
      <c r="EM42" s="1" t="s">
        <v>426</v>
      </c>
      <c r="EN42" s="1" t="s">
        <v>426</v>
      </c>
      <c r="EO42" s="1" t="s">
        <v>426</v>
      </c>
      <c r="EP42" s="1" t="s">
        <v>426</v>
      </c>
      <c r="EQ42" s="1" t="s">
        <v>426</v>
      </c>
      <c r="ER42" s="1" t="s">
        <v>426</v>
      </c>
      <c r="ES42" s="1" t="s">
        <v>426</v>
      </c>
      <c r="ET42" s="1" t="s">
        <v>426</v>
      </c>
      <c r="EU42" s="1" t="s">
        <v>426</v>
      </c>
      <c r="EV42" s="1" t="s">
        <v>387</v>
      </c>
      <c r="EW42" s="1" t="s">
        <v>254</v>
      </c>
      <c r="EX42" s="1" t="s">
        <v>254</v>
      </c>
      <c r="EY42" s="1" t="s">
        <v>538</v>
      </c>
      <c r="EZ42" s="1" t="s">
        <v>509</v>
      </c>
      <c r="FA42" s="1" t="s">
        <v>453</v>
      </c>
      <c r="FB42" s="1" t="s">
        <v>254</v>
      </c>
      <c r="FC42" s="1">
        <v>0.0</v>
      </c>
      <c r="FD42" s="1">
        <v>0.0</v>
      </c>
      <c r="FE42" s="1">
        <v>0.0</v>
      </c>
      <c r="FF42" s="1">
        <v>0.0</v>
      </c>
      <c r="FG42" s="1">
        <v>0.0</v>
      </c>
      <c r="FH42" s="1">
        <v>0.0</v>
      </c>
      <c r="FI42" s="1">
        <v>0.0</v>
      </c>
      <c r="FJ42" s="1">
        <v>0.0</v>
      </c>
      <c r="FK42" s="1">
        <v>0.0</v>
      </c>
      <c r="FL42" s="1">
        <v>0.0</v>
      </c>
      <c r="FM42" s="1">
        <v>0.0</v>
      </c>
      <c r="FN42" s="1">
        <v>0.0</v>
      </c>
      <c r="FO42" s="1">
        <v>0.0</v>
      </c>
      <c r="FP42" s="1">
        <v>0.0</v>
      </c>
      <c r="FQ42" s="1">
        <v>0.0</v>
      </c>
      <c r="FR42" s="28" t="s">
        <v>357</v>
      </c>
      <c r="FS42" s="28" t="s">
        <v>298</v>
      </c>
      <c r="FT42" s="28" t="s">
        <v>298</v>
      </c>
      <c r="FU42" s="28" t="s">
        <v>298</v>
      </c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</row>
    <row r="43">
      <c r="A43" s="29" t="s">
        <v>846</v>
      </c>
      <c r="B43" s="3">
        <v>41.0</v>
      </c>
      <c r="C43" s="3" t="s">
        <v>847</v>
      </c>
      <c r="D43" s="30">
        <v>27161.0</v>
      </c>
      <c r="E43" s="1">
        <v>52.0</v>
      </c>
      <c r="F43" s="3" t="s">
        <v>253</v>
      </c>
      <c r="G43" s="3" t="s">
        <v>252</v>
      </c>
      <c r="H43" s="3" t="s">
        <v>253</v>
      </c>
      <c r="I43" s="3" t="s">
        <v>253</v>
      </c>
      <c r="J43" s="3" t="s">
        <v>252</v>
      </c>
      <c r="K43" s="3" t="s">
        <v>252</v>
      </c>
      <c r="L43" s="3" t="s">
        <v>254</v>
      </c>
      <c r="M43" s="3" t="s">
        <v>254</v>
      </c>
      <c r="N43" s="3" t="s">
        <v>254</v>
      </c>
      <c r="O43" s="3" t="s">
        <v>254</v>
      </c>
      <c r="P43" s="3" t="s">
        <v>255</v>
      </c>
      <c r="Q43" s="3" t="s">
        <v>358</v>
      </c>
      <c r="R43" s="7" t="s">
        <v>298</v>
      </c>
      <c r="S43" s="7" t="s">
        <v>359</v>
      </c>
      <c r="T43" s="1" t="s">
        <v>259</v>
      </c>
      <c r="U43" s="1" t="s">
        <v>372</v>
      </c>
      <c r="V43" s="1" t="s">
        <v>703</v>
      </c>
      <c r="W43" s="1" t="s">
        <v>254</v>
      </c>
      <c r="X43" s="1" t="s">
        <v>254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 t="s">
        <v>254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 t="s">
        <v>848</v>
      </c>
      <c r="AM43" s="1" t="s">
        <v>269</v>
      </c>
      <c r="AN43" s="1" t="s">
        <v>269</v>
      </c>
      <c r="AO43" s="1" t="s">
        <v>283</v>
      </c>
      <c r="AP43" s="1" t="s">
        <v>271</v>
      </c>
      <c r="AQ43" s="1" t="s">
        <v>378</v>
      </c>
      <c r="AR43" s="1">
        <v>4.0</v>
      </c>
      <c r="AS43" s="1" t="s">
        <v>273</v>
      </c>
      <c r="AT43" s="1" t="s">
        <v>274</v>
      </c>
      <c r="AU43" s="1" t="s">
        <v>316</v>
      </c>
      <c r="AV43" s="1" t="s">
        <v>276</v>
      </c>
      <c r="AW43" s="1" t="s">
        <v>380</v>
      </c>
      <c r="AX43" s="1" t="s">
        <v>254</v>
      </c>
      <c r="AY43" s="1">
        <v>0.0</v>
      </c>
      <c r="AZ43" s="1" t="s">
        <v>254</v>
      </c>
      <c r="BA43" s="1" t="s">
        <v>278</v>
      </c>
      <c r="BB43" s="1" t="s">
        <v>255</v>
      </c>
      <c r="BC43" s="1" t="s">
        <v>279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 t="s">
        <v>320</v>
      </c>
      <c r="BM43" s="1" t="s">
        <v>848</v>
      </c>
      <c r="BN43" s="1" t="s">
        <v>269</v>
      </c>
      <c r="BO43" s="1" t="s">
        <v>269</v>
      </c>
      <c r="BP43" s="1" t="s">
        <v>283</v>
      </c>
      <c r="BQ43" s="1" t="s">
        <v>271</v>
      </c>
      <c r="BR43" s="1" t="s">
        <v>254</v>
      </c>
      <c r="BS43" s="1" t="s">
        <v>254</v>
      </c>
      <c r="BT43" s="1" t="s">
        <v>254</v>
      </c>
      <c r="BU43" s="1" t="s">
        <v>254</v>
      </c>
      <c r="BV43" s="1" t="s">
        <v>254</v>
      </c>
      <c r="BW43" s="1" t="s">
        <v>254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 t="s">
        <v>254</v>
      </c>
      <c r="CN43" s="1">
        <v>0.0</v>
      </c>
      <c r="CO43" s="1" t="s">
        <v>254</v>
      </c>
      <c r="CP43" s="1">
        <v>0.0</v>
      </c>
      <c r="CQ43" s="1">
        <v>1.0</v>
      </c>
      <c r="CR43" s="1">
        <v>1.0</v>
      </c>
      <c r="CS43" s="1">
        <v>0.0</v>
      </c>
      <c r="CT43" s="1">
        <v>1972.0</v>
      </c>
      <c r="CU43" s="1" t="s">
        <v>714</v>
      </c>
      <c r="CV43" s="1" t="s">
        <v>254</v>
      </c>
      <c r="CW43" s="1" t="s">
        <v>254</v>
      </c>
      <c r="CX43" s="1" t="s">
        <v>254</v>
      </c>
      <c r="CY43" s="1" t="s">
        <v>254</v>
      </c>
      <c r="CZ43" s="1" t="s">
        <v>254</v>
      </c>
      <c r="DA43" s="1" t="s">
        <v>254</v>
      </c>
      <c r="DB43" s="1" t="s">
        <v>254</v>
      </c>
      <c r="DC43" s="1" t="s">
        <v>254</v>
      </c>
      <c r="DD43" s="1" t="s">
        <v>255</v>
      </c>
      <c r="DE43" s="1" t="s">
        <v>388</v>
      </c>
      <c r="DF43" s="1" t="s">
        <v>293</v>
      </c>
      <c r="DG43" s="1" t="s">
        <v>324</v>
      </c>
      <c r="DH43" s="1" t="s">
        <v>388</v>
      </c>
      <c r="DI43" s="1" t="s">
        <v>324</v>
      </c>
      <c r="DJ43" s="1" t="s">
        <v>293</v>
      </c>
      <c r="DK43" s="1" t="s">
        <v>293</v>
      </c>
      <c r="DL43" s="1" t="s">
        <v>293</v>
      </c>
      <c r="DM43" s="1" t="s">
        <v>293</v>
      </c>
      <c r="DN43" s="1" t="s">
        <v>293</v>
      </c>
      <c r="DO43" s="1" t="s">
        <v>293</v>
      </c>
      <c r="DP43" s="1" t="s">
        <v>293</v>
      </c>
      <c r="DQ43" s="1" t="s">
        <v>293</v>
      </c>
      <c r="DR43" s="1" t="s">
        <v>293</v>
      </c>
      <c r="DS43" s="1" t="s">
        <v>293</v>
      </c>
      <c r="DT43" s="1" t="s">
        <v>293</v>
      </c>
      <c r="DU43" s="1" t="s">
        <v>293</v>
      </c>
      <c r="DV43" s="1" t="s">
        <v>293</v>
      </c>
      <c r="DW43" s="1" t="s">
        <v>293</v>
      </c>
      <c r="DX43" s="1" t="s">
        <v>293</v>
      </c>
      <c r="DY43" s="1" t="s">
        <v>293</v>
      </c>
      <c r="DZ43" s="1" t="s">
        <v>293</v>
      </c>
      <c r="EA43" s="1" t="s">
        <v>254</v>
      </c>
      <c r="EB43" s="1" t="s">
        <v>254</v>
      </c>
      <c r="EC43" s="1" t="s">
        <v>254</v>
      </c>
      <c r="ED43" s="1">
        <v>0.0</v>
      </c>
      <c r="EE43" s="1" t="s">
        <v>255</v>
      </c>
      <c r="EF43" s="1" t="s">
        <v>325</v>
      </c>
      <c r="EG43" s="1" t="s">
        <v>389</v>
      </c>
      <c r="EI43" s="1" t="s">
        <v>293</v>
      </c>
      <c r="EJ43" s="1" t="s">
        <v>293</v>
      </c>
      <c r="EK43" s="1" t="s">
        <v>293</v>
      </c>
      <c r="EL43" s="1" t="s">
        <v>293</v>
      </c>
      <c r="EM43" s="1" t="s">
        <v>293</v>
      </c>
      <c r="EN43" s="1" t="s">
        <v>293</v>
      </c>
      <c r="EO43" s="1" t="s">
        <v>293</v>
      </c>
      <c r="EP43" s="1" t="s">
        <v>293</v>
      </c>
      <c r="EQ43" s="1" t="s">
        <v>293</v>
      </c>
      <c r="ER43" s="1" t="s">
        <v>293</v>
      </c>
      <c r="ES43" s="1" t="s">
        <v>293</v>
      </c>
      <c r="ET43" s="1" t="s">
        <v>293</v>
      </c>
      <c r="EU43" s="1" t="s">
        <v>293</v>
      </c>
      <c r="EV43" s="1" t="s">
        <v>423</v>
      </c>
      <c r="EW43" s="1" t="s">
        <v>254</v>
      </c>
      <c r="EX43" s="1" t="s">
        <v>254</v>
      </c>
      <c r="EY43" s="1">
        <v>0.0</v>
      </c>
      <c r="EZ43" s="1">
        <v>0.0</v>
      </c>
      <c r="FA43" s="1">
        <v>0.0</v>
      </c>
      <c r="FB43" s="1" t="s">
        <v>254</v>
      </c>
      <c r="FC43" s="1">
        <v>0.0</v>
      </c>
      <c r="FD43" s="1">
        <v>0.0</v>
      </c>
      <c r="FE43" s="1">
        <v>0.0</v>
      </c>
      <c r="FF43" s="1">
        <v>0.0</v>
      </c>
      <c r="FG43" s="1">
        <v>0.0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0.0</v>
      </c>
      <c r="FN43" s="1">
        <v>0.0</v>
      </c>
      <c r="FO43" s="1">
        <v>0.0</v>
      </c>
      <c r="FP43" s="1">
        <v>0.0</v>
      </c>
      <c r="FQ43" s="1">
        <v>0.0</v>
      </c>
      <c r="FR43" s="28" t="s">
        <v>357</v>
      </c>
      <c r="FS43" s="28" t="s">
        <v>298</v>
      </c>
      <c r="FT43" s="28" t="s">
        <v>298</v>
      </c>
      <c r="FU43" s="28" t="s">
        <v>298</v>
      </c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  <c r="HB43" s="34"/>
      <c r="HC43" s="34"/>
      <c r="HD43" s="34"/>
      <c r="HE43" s="34"/>
      <c r="HF43" s="34"/>
      <c r="HG43" s="34"/>
      <c r="HH43" s="34"/>
      <c r="HI43" s="34"/>
      <c r="HJ43" s="34"/>
      <c r="HK43" s="34"/>
    </row>
    <row r="44">
      <c r="A44" s="29" t="s">
        <v>849</v>
      </c>
      <c r="B44" s="3">
        <v>42.0</v>
      </c>
      <c r="C44" s="3" t="s">
        <v>850</v>
      </c>
      <c r="D44" s="30">
        <v>36629.0</v>
      </c>
      <c r="E44" s="1">
        <v>26.0</v>
      </c>
      <c r="F44" s="3" t="s">
        <v>252</v>
      </c>
      <c r="G44" s="3" t="s">
        <v>253</v>
      </c>
      <c r="H44" s="3" t="s">
        <v>253</v>
      </c>
      <c r="I44" s="3" t="s">
        <v>252</v>
      </c>
      <c r="J44" s="3" t="s">
        <v>253</v>
      </c>
      <c r="K44" s="3" t="s">
        <v>253</v>
      </c>
      <c r="L44" s="3" t="s">
        <v>254</v>
      </c>
      <c r="M44" s="3" t="s">
        <v>254</v>
      </c>
      <c r="N44" s="3" t="s">
        <v>254</v>
      </c>
      <c r="O44" s="3" t="s">
        <v>255</v>
      </c>
      <c r="P44" s="3" t="s">
        <v>254</v>
      </c>
      <c r="Q44" s="3" t="s">
        <v>358</v>
      </c>
      <c r="R44" s="7" t="s">
        <v>298</v>
      </c>
      <c r="S44" s="7" t="s">
        <v>359</v>
      </c>
      <c r="T44" s="1" t="s">
        <v>259</v>
      </c>
      <c r="U44" s="1" t="s">
        <v>372</v>
      </c>
      <c r="V44" s="1" t="s">
        <v>703</v>
      </c>
      <c r="W44" s="1" t="s">
        <v>254</v>
      </c>
      <c r="X44" s="1" t="s">
        <v>254</v>
      </c>
      <c r="Y44" s="3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 t="s">
        <v>255</v>
      </c>
      <c r="AG44" s="1" t="s">
        <v>851</v>
      </c>
      <c r="AH44" s="1" t="s">
        <v>248</v>
      </c>
      <c r="AI44" s="30">
        <v>45649.0</v>
      </c>
      <c r="AJ44" s="30">
        <v>45649.0</v>
      </c>
      <c r="AK44" s="1" t="s">
        <v>313</v>
      </c>
      <c r="AL44" s="1" t="s">
        <v>852</v>
      </c>
      <c r="AM44" s="1" t="s">
        <v>269</v>
      </c>
      <c r="AN44" s="1" t="s">
        <v>269</v>
      </c>
      <c r="AO44" s="1" t="s">
        <v>283</v>
      </c>
      <c r="AP44" s="1" t="s">
        <v>271</v>
      </c>
      <c r="AQ44" s="1" t="s">
        <v>378</v>
      </c>
      <c r="AR44" s="1">
        <v>3.0</v>
      </c>
      <c r="AS44" s="1" t="s">
        <v>273</v>
      </c>
      <c r="AT44" s="1" t="s">
        <v>274</v>
      </c>
      <c r="AU44" s="1" t="s">
        <v>316</v>
      </c>
      <c r="AV44" s="1" t="s">
        <v>276</v>
      </c>
      <c r="AW44" s="1" t="s">
        <v>380</v>
      </c>
      <c r="AX44" s="1" t="s">
        <v>254</v>
      </c>
      <c r="AY44" s="1">
        <v>0.0</v>
      </c>
      <c r="AZ44" s="1" t="s">
        <v>254</v>
      </c>
      <c r="BA44" s="1" t="s">
        <v>278</v>
      </c>
      <c r="BB44" s="1" t="s">
        <v>255</v>
      </c>
      <c r="BC44" s="1" t="s">
        <v>279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 t="s">
        <v>320</v>
      </c>
      <c r="BM44" s="1" t="s">
        <v>852</v>
      </c>
      <c r="BN44" s="1" t="s">
        <v>269</v>
      </c>
      <c r="BO44" s="1" t="s">
        <v>269</v>
      </c>
      <c r="BP44" s="1" t="s">
        <v>283</v>
      </c>
      <c r="BQ44" s="1" t="s">
        <v>271</v>
      </c>
      <c r="BR44" s="1" t="s">
        <v>254</v>
      </c>
      <c r="BS44" s="1" t="s">
        <v>254</v>
      </c>
      <c r="BT44" s="1" t="s">
        <v>254</v>
      </c>
      <c r="BU44" s="1" t="s">
        <v>254</v>
      </c>
      <c r="BV44" s="1" t="s">
        <v>254</v>
      </c>
      <c r="BW44" s="1" t="s">
        <v>254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 t="s">
        <v>254</v>
      </c>
      <c r="CN44" s="1">
        <v>0.0</v>
      </c>
      <c r="CO44" s="1" t="s">
        <v>254</v>
      </c>
      <c r="CP44" s="1">
        <v>0.0</v>
      </c>
      <c r="CQ44" s="1">
        <v>1.0</v>
      </c>
      <c r="CR44" s="1">
        <v>0.0</v>
      </c>
      <c r="CS44" s="1">
        <v>1.0</v>
      </c>
      <c r="CT44" s="1">
        <v>1998.0</v>
      </c>
      <c r="CU44" s="1" t="s">
        <v>714</v>
      </c>
      <c r="CV44" s="1" t="s">
        <v>254</v>
      </c>
      <c r="CW44" s="1" t="s">
        <v>254</v>
      </c>
      <c r="CX44" s="1" t="s">
        <v>254</v>
      </c>
      <c r="CY44" s="1" t="s">
        <v>254</v>
      </c>
      <c r="CZ44" s="1" t="s">
        <v>254</v>
      </c>
      <c r="DA44" s="1" t="s">
        <v>254</v>
      </c>
      <c r="DB44" s="1" t="s">
        <v>254</v>
      </c>
      <c r="DC44" s="1" t="s">
        <v>254</v>
      </c>
      <c r="DD44" s="1" t="s">
        <v>255</v>
      </c>
      <c r="DE44" s="1" t="s">
        <v>424</v>
      </c>
      <c r="DF44" s="1" t="s">
        <v>426</v>
      </c>
      <c r="DG44" s="1" t="s">
        <v>426</v>
      </c>
      <c r="DH44" s="1" t="s">
        <v>426</v>
      </c>
      <c r="DI44" s="1" t="s">
        <v>424</v>
      </c>
      <c r="DJ44" s="1" t="s">
        <v>426</v>
      </c>
      <c r="DK44" s="1" t="s">
        <v>293</v>
      </c>
      <c r="DL44" s="1" t="s">
        <v>293</v>
      </c>
      <c r="DM44" s="1" t="s">
        <v>324</v>
      </c>
      <c r="DN44" s="1" t="s">
        <v>293</v>
      </c>
      <c r="DO44" s="1" t="s">
        <v>293</v>
      </c>
      <c r="DP44" s="1" t="s">
        <v>293</v>
      </c>
      <c r="DQ44" s="1" t="s">
        <v>293</v>
      </c>
      <c r="DR44" s="1" t="s">
        <v>293</v>
      </c>
      <c r="DS44" s="1" t="s">
        <v>293</v>
      </c>
      <c r="DT44" s="1" t="s">
        <v>293</v>
      </c>
      <c r="DU44" s="1" t="s">
        <v>293</v>
      </c>
      <c r="DV44" s="1" t="s">
        <v>293</v>
      </c>
      <c r="DW44" s="1" t="s">
        <v>293</v>
      </c>
      <c r="DX44" s="1" t="s">
        <v>293</v>
      </c>
      <c r="DY44" s="1" t="s">
        <v>293</v>
      </c>
      <c r="DZ44" s="1" t="s">
        <v>293</v>
      </c>
      <c r="EA44" s="1" t="s">
        <v>254</v>
      </c>
      <c r="EB44" s="1" t="s">
        <v>254</v>
      </c>
      <c r="EC44" s="1" t="s">
        <v>254</v>
      </c>
      <c r="ED44" s="1">
        <v>0.0</v>
      </c>
      <c r="EE44" s="1" t="s">
        <v>254</v>
      </c>
      <c r="EF44" s="1" t="s">
        <v>426</v>
      </c>
      <c r="EG44" s="1" t="s">
        <v>426</v>
      </c>
      <c r="EH44" s="1" t="s">
        <v>426</v>
      </c>
      <c r="EI44" s="1" t="s">
        <v>426</v>
      </c>
      <c r="EJ44" s="1" t="s">
        <v>426</v>
      </c>
      <c r="EK44" s="1" t="s">
        <v>426</v>
      </c>
      <c r="EL44" s="1" t="s">
        <v>426</v>
      </c>
      <c r="EM44" s="1" t="s">
        <v>426</v>
      </c>
      <c r="EN44" s="1" t="s">
        <v>426</v>
      </c>
      <c r="EO44" s="1" t="s">
        <v>426</v>
      </c>
      <c r="EP44" s="1" t="s">
        <v>426</v>
      </c>
      <c r="EQ44" s="1" t="s">
        <v>426</v>
      </c>
      <c r="ER44" s="1" t="s">
        <v>426</v>
      </c>
      <c r="ES44" s="1" t="s">
        <v>426</v>
      </c>
      <c r="ET44" s="1" t="s">
        <v>426</v>
      </c>
      <c r="EU44" s="1" t="s">
        <v>426</v>
      </c>
      <c r="EV44" s="1" t="s">
        <v>387</v>
      </c>
      <c r="EW44" s="1" t="s">
        <v>254</v>
      </c>
      <c r="EX44" s="1" t="s">
        <v>254</v>
      </c>
      <c r="EY44" s="1" t="s">
        <v>538</v>
      </c>
      <c r="EZ44" s="1" t="s">
        <v>509</v>
      </c>
      <c r="FA44" s="1" t="s">
        <v>453</v>
      </c>
      <c r="FB44" s="1" t="s">
        <v>254</v>
      </c>
      <c r="FC44" s="1">
        <v>0.0</v>
      </c>
      <c r="FD44" s="1">
        <v>0.0</v>
      </c>
      <c r="FE44" s="1">
        <v>0.0</v>
      </c>
      <c r="FF44" s="1">
        <v>0.0</v>
      </c>
      <c r="FG44" s="1">
        <v>0.0</v>
      </c>
      <c r="FH44" s="1">
        <v>0.0</v>
      </c>
      <c r="FI44" s="1">
        <v>0.0</v>
      </c>
      <c r="FJ44" s="1">
        <v>0.0</v>
      </c>
      <c r="FK44" s="1">
        <v>0.0</v>
      </c>
      <c r="FL44" s="1">
        <v>0.0</v>
      </c>
      <c r="FM44" s="1">
        <v>0.0</v>
      </c>
      <c r="FN44" s="1">
        <v>0.0</v>
      </c>
      <c r="FO44" s="1">
        <v>0.0</v>
      </c>
      <c r="FP44" s="1">
        <v>0.0</v>
      </c>
      <c r="FQ44" s="1">
        <v>0.0</v>
      </c>
      <c r="FR44" s="28" t="s">
        <v>357</v>
      </c>
      <c r="FS44" s="28" t="s">
        <v>298</v>
      </c>
      <c r="FT44" s="28" t="s">
        <v>298</v>
      </c>
      <c r="FU44" s="28" t="s">
        <v>298</v>
      </c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</row>
    <row r="45">
      <c r="A45" s="44" t="s">
        <v>522</v>
      </c>
      <c r="B45" s="3">
        <v>43.0</v>
      </c>
      <c r="C45" s="3" t="s">
        <v>523</v>
      </c>
      <c r="D45" s="30">
        <v>34834.0</v>
      </c>
      <c r="E45" s="1">
        <v>31.0</v>
      </c>
      <c r="F45" s="3" t="s">
        <v>252</v>
      </c>
      <c r="G45" s="3" t="s">
        <v>253</v>
      </c>
      <c r="H45" s="3" t="s">
        <v>253</v>
      </c>
      <c r="I45" s="3" t="s">
        <v>252</v>
      </c>
      <c r="J45" s="3" t="s">
        <v>253</v>
      </c>
      <c r="K45" s="3" t="s">
        <v>253</v>
      </c>
      <c r="L45" s="3" t="s">
        <v>254</v>
      </c>
      <c r="M45" s="3" t="s">
        <v>255</v>
      </c>
      <c r="N45" s="3" t="s">
        <v>254</v>
      </c>
      <c r="O45" s="3" t="s">
        <v>255</v>
      </c>
      <c r="P45" s="3" t="s">
        <v>254</v>
      </c>
      <c r="Q45" s="3" t="s">
        <v>256</v>
      </c>
      <c r="R45" s="7" t="s">
        <v>257</v>
      </c>
      <c r="S45" s="7" t="s">
        <v>258</v>
      </c>
      <c r="T45" s="1" t="s">
        <v>134</v>
      </c>
      <c r="U45" s="1" t="s">
        <v>469</v>
      </c>
      <c r="V45" s="1" t="s">
        <v>529</v>
      </c>
      <c r="W45" s="1" t="s">
        <v>254</v>
      </c>
      <c r="X45" s="1" t="s">
        <v>254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 t="s">
        <v>254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 t="s">
        <v>530</v>
      </c>
      <c r="AM45" s="1" t="s">
        <v>269</v>
      </c>
      <c r="AN45" s="1" t="s">
        <v>269</v>
      </c>
      <c r="AO45" s="1" t="s">
        <v>283</v>
      </c>
      <c r="AP45" s="1" t="s">
        <v>271</v>
      </c>
      <c r="AQ45" s="1" t="s">
        <v>378</v>
      </c>
      <c r="AR45" s="1">
        <v>3.0</v>
      </c>
      <c r="AS45" s="1" t="s">
        <v>273</v>
      </c>
      <c r="AT45" s="1" t="s">
        <v>274</v>
      </c>
      <c r="AU45" s="1" t="s">
        <v>316</v>
      </c>
      <c r="AV45" s="1" t="s">
        <v>276</v>
      </c>
      <c r="AW45" s="1" t="s">
        <v>380</v>
      </c>
      <c r="AX45" s="1" t="s">
        <v>254</v>
      </c>
      <c r="AY45" s="1">
        <v>0.0</v>
      </c>
      <c r="AZ45" s="1" t="s">
        <v>255</v>
      </c>
      <c r="BA45" s="1" t="s">
        <v>278</v>
      </c>
      <c r="BB45" s="1" t="s">
        <v>255</v>
      </c>
      <c r="BC45" s="1" t="s">
        <v>279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 t="s">
        <v>320</v>
      </c>
      <c r="BM45" s="1" t="s">
        <v>530</v>
      </c>
      <c r="BN45" s="1" t="s">
        <v>269</v>
      </c>
      <c r="BO45" s="1" t="s">
        <v>269</v>
      </c>
      <c r="BQ45" s="1" t="s">
        <v>271</v>
      </c>
      <c r="BR45" s="1" t="s">
        <v>254</v>
      </c>
      <c r="BS45" s="1" t="s">
        <v>254</v>
      </c>
      <c r="BT45" s="1" t="s">
        <v>254</v>
      </c>
      <c r="BU45" s="1" t="s">
        <v>254</v>
      </c>
      <c r="BV45" s="1" t="s">
        <v>254</v>
      </c>
      <c r="BW45" s="1" t="s">
        <v>254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 t="s">
        <v>254</v>
      </c>
      <c r="CN45" s="1">
        <v>0.0</v>
      </c>
      <c r="CO45" s="1" t="s">
        <v>254</v>
      </c>
      <c r="CP45" s="1">
        <v>0.0</v>
      </c>
      <c r="CQ45" s="1">
        <v>3.0</v>
      </c>
      <c r="CR45" s="1">
        <v>1.0</v>
      </c>
      <c r="CS45" s="1">
        <v>2.0</v>
      </c>
      <c r="CT45" s="1" t="s">
        <v>534</v>
      </c>
      <c r="CU45" s="1" t="s">
        <v>535</v>
      </c>
      <c r="CV45" s="1" t="s">
        <v>254</v>
      </c>
      <c r="CW45" s="1" t="s">
        <v>254</v>
      </c>
      <c r="CX45" s="1" t="s">
        <v>254</v>
      </c>
      <c r="CY45" s="1" t="s">
        <v>254</v>
      </c>
      <c r="CZ45" s="1" t="s">
        <v>254</v>
      </c>
      <c r="DA45" s="1" t="s">
        <v>254</v>
      </c>
      <c r="DB45" s="1" t="s">
        <v>254</v>
      </c>
      <c r="DC45" s="1" t="s">
        <v>254</v>
      </c>
      <c r="DD45" s="1" t="s">
        <v>255</v>
      </c>
      <c r="DE45" s="1" t="s">
        <v>424</v>
      </c>
      <c r="DF45" s="1" t="s">
        <v>426</v>
      </c>
      <c r="DG45" s="1" t="s">
        <v>426</v>
      </c>
      <c r="DH45" s="1" t="s">
        <v>426</v>
      </c>
      <c r="DI45" s="1" t="s">
        <v>424</v>
      </c>
      <c r="DJ45" s="1" t="s">
        <v>426</v>
      </c>
      <c r="DK45" s="1" t="s">
        <v>293</v>
      </c>
      <c r="DL45" s="1" t="s">
        <v>293</v>
      </c>
      <c r="DM45" s="1" t="s">
        <v>324</v>
      </c>
      <c r="DN45" s="1" t="s">
        <v>293</v>
      </c>
      <c r="DO45" s="1" t="s">
        <v>293</v>
      </c>
      <c r="DP45" s="1" t="s">
        <v>293</v>
      </c>
      <c r="DQ45" s="1" t="s">
        <v>293</v>
      </c>
      <c r="DR45" s="1" t="s">
        <v>293</v>
      </c>
      <c r="DS45" s="1" t="s">
        <v>293</v>
      </c>
      <c r="DT45" s="1" t="s">
        <v>293</v>
      </c>
      <c r="DU45" s="1" t="s">
        <v>293</v>
      </c>
      <c r="DV45" s="1" t="s">
        <v>293</v>
      </c>
      <c r="DW45" s="1" t="s">
        <v>293</v>
      </c>
      <c r="DX45" s="1" t="s">
        <v>293</v>
      </c>
      <c r="DY45" s="1" t="s">
        <v>293</v>
      </c>
      <c r="DZ45" s="1" t="s">
        <v>293</v>
      </c>
      <c r="EA45" s="1" t="s">
        <v>254</v>
      </c>
      <c r="EB45" s="1" t="s">
        <v>254</v>
      </c>
      <c r="EC45" s="1" t="s">
        <v>254</v>
      </c>
      <c r="ED45" s="1">
        <v>0.0</v>
      </c>
      <c r="EE45" s="1" t="s">
        <v>254</v>
      </c>
      <c r="EF45" s="1" t="s">
        <v>426</v>
      </c>
      <c r="EG45" s="1" t="s">
        <v>426</v>
      </c>
      <c r="EH45" s="1" t="s">
        <v>426</v>
      </c>
      <c r="EI45" s="1" t="s">
        <v>426</v>
      </c>
      <c r="EJ45" s="1" t="s">
        <v>426</v>
      </c>
      <c r="EK45" s="1" t="s">
        <v>426</v>
      </c>
      <c r="EL45" s="1" t="s">
        <v>426</v>
      </c>
      <c r="EM45" s="1" t="s">
        <v>426</v>
      </c>
      <c r="EN45" s="1" t="s">
        <v>426</v>
      </c>
      <c r="EO45" s="1" t="s">
        <v>426</v>
      </c>
      <c r="EP45" s="1" t="s">
        <v>426</v>
      </c>
      <c r="EQ45" s="1" t="s">
        <v>426</v>
      </c>
      <c r="ER45" s="1" t="s">
        <v>426</v>
      </c>
      <c r="ES45" s="1" t="s">
        <v>426</v>
      </c>
      <c r="ET45" s="1" t="s">
        <v>426</v>
      </c>
      <c r="EU45" s="1" t="s">
        <v>426</v>
      </c>
      <c r="EV45" s="1" t="s">
        <v>387</v>
      </c>
      <c r="EW45" s="1" t="s">
        <v>254</v>
      </c>
      <c r="EX45" s="1" t="s">
        <v>254</v>
      </c>
      <c r="EY45" s="1" t="s">
        <v>538</v>
      </c>
      <c r="EZ45" s="1" t="s">
        <v>509</v>
      </c>
      <c r="FA45" s="1" t="s">
        <v>453</v>
      </c>
      <c r="FB45" s="1" t="s">
        <v>254</v>
      </c>
      <c r="FC45" s="1">
        <v>0.0</v>
      </c>
      <c r="FD45" s="1">
        <v>0.0</v>
      </c>
      <c r="FE45" s="1">
        <v>0.0</v>
      </c>
      <c r="FF45" s="1">
        <v>0.0</v>
      </c>
      <c r="FG45" s="1">
        <v>0.0</v>
      </c>
      <c r="FH45" s="1">
        <v>0.0</v>
      </c>
      <c r="FI45" s="1">
        <v>0.0</v>
      </c>
      <c r="FJ45" s="1">
        <v>0.0</v>
      </c>
      <c r="FK45" s="1">
        <v>0.0</v>
      </c>
      <c r="FL45" s="1">
        <v>0.0</v>
      </c>
      <c r="FM45" s="1">
        <v>0.0</v>
      </c>
      <c r="FN45" s="1">
        <v>0.0</v>
      </c>
      <c r="FO45" s="1">
        <v>0.0</v>
      </c>
      <c r="FP45" s="1">
        <v>0.0</v>
      </c>
      <c r="FQ45" s="1">
        <v>0.0</v>
      </c>
      <c r="FR45" s="45" t="s">
        <v>198</v>
      </c>
      <c r="FS45" s="28" t="s">
        <v>205</v>
      </c>
      <c r="FT45" s="28" t="s">
        <v>205</v>
      </c>
      <c r="FU45" s="28" t="s">
        <v>298</v>
      </c>
      <c r="FV45" s="1">
        <v>6.0</v>
      </c>
      <c r="FW45" s="1" t="s">
        <v>299</v>
      </c>
      <c r="FX45" s="1">
        <v>18.0</v>
      </c>
      <c r="FY45" s="1" t="s">
        <v>300</v>
      </c>
      <c r="FZ45" s="1">
        <v>20.0</v>
      </c>
      <c r="GA45" s="1" t="s">
        <v>300</v>
      </c>
      <c r="GB45" s="1">
        <v>6.0</v>
      </c>
      <c r="GC45" s="1" t="s">
        <v>299</v>
      </c>
      <c r="GD45" s="1">
        <v>17.0</v>
      </c>
      <c r="GE45" s="1" t="s">
        <v>331</v>
      </c>
      <c r="GF45" s="1">
        <v>22.0</v>
      </c>
      <c r="GG45" s="1" t="s">
        <v>300</v>
      </c>
      <c r="GH45" s="1">
        <v>22.0</v>
      </c>
      <c r="GI45" s="1" t="s">
        <v>300</v>
      </c>
      <c r="GJ45" s="1">
        <v>25.0</v>
      </c>
      <c r="GK45" s="1" t="s">
        <v>300</v>
      </c>
      <c r="GL45" s="1">
        <v>6.0</v>
      </c>
      <c r="GM45" s="1" t="s">
        <v>299</v>
      </c>
      <c r="GN45" s="1">
        <v>26.0</v>
      </c>
      <c r="GO45" s="1" t="s">
        <v>300</v>
      </c>
      <c r="GP45" s="1">
        <v>6.0</v>
      </c>
      <c r="GQ45" s="1" t="s">
        <v>299</v>
      </c>
      <c r="GR45" s="1">
        <v>19.0</v>
      </c>
      <c r="GS45" s="1" t="s">
        <v>331</v>
      </c>
      <c r="GT45" s="1">
        <v>16.0</v>
      </c>
      <c r="GU45" s="1" t="s">
        <v>299</v>
      </c>
      <c r="GV45" s="1">
        <v>6.0</v>
      </c>
      <c r="GW45" s="1" t="s">
        <v>299</v>
      </c>
      <c r="GX45" s="1">
        <v>16.0</v>
      </c>
      <c r="GY45" s="1" t="s">
        <v>300</v>
      </c>
      <c r="GZ45" s="1">
        <v>19.0</v>
      </c>
      <c r="HA45" s="1" t="s">
        <v>299</v>
      </c>
      <c r="HB45" s="1">
        <v>6.0</v>
      </c>
      <c r="HC45" s="1" t="s">
        <v>299</v>
      </c>
      <c r="HD45" s="1">
        <v>20.0</v>
      </c>
      <c r="HE45" s="1" t="s">
        <v>300</v>
      </c>
      <c r="HF45" s="1">
        <v>24.0</v>
      </c>
      <c r="HG45" s="1" t="s">
        <v>331</v>
      </c>
      <c r="HH45" s="1">
        <v>29.0</v>
      </c>
      <c r="HI45" s="1" t="s">
        <v>300</v>
      </c>
      <c r="HJ45" s="1">
        <v>16.0</v>
      </c>
      <c r="HK45" s="1" t="s">
        <v>299</v>
      </c>
    </row>
    <row r="46">
      <c r="A46" s="44" t="s">
        <v>522</v>
      </c>
      <c r="B46" s="3" t="s">
        <v>444</v>
      </c>
      <c r="C46" s="3" t="s">
        <v>546</v>
      </c>
      <c r="D46" s="30">
        <v>16915.0</v>
      </c>
      <c r="E46" s="1">
        <v>80.0</v>
      </c>
      <c r="F46" s="3" t="s">
        <v>252</v>
      </c>
      <c r="G46" s="3" t="s">
        <v>253</v>
      </c>
      <c r="H46" s="3" t="s">
        <v>253</v>
      </c>
      <c r="I46" s="3" t="s">
        <v>252</v>
      </c>
      <c r="J46" s="3" t="s">
        <v>253</v>
      </c>
      <c r="K46" s="3" t="s">
        <v>253</v>
      </c>
      <c r="L46" s="3" t="s">
        <v>254</v>
      </c>
      <c r="M46" s="3" t="s">
        <v>255</v>
      </c>
      <c r="N46" s="3" t="s">
        <v>254</v>
      </c>
      <c r="O46" s="3" t="s">
        <v>255</v>
      </c>
      <c r="P46" s="3" t="s">
        <v>254</v>
      </c>
      <c r="Q46" s="3" t="s">
        <v>548</v>
      </c>
      <c r="R46" s="7" t="s">
        <v>257</v>
      </c>
      <c r="S46" s="7" t="s">
        <v>258</v>
      </c>
      <c r="T46" s="1" t="s">
        <v>305</v>
      </c>
      <c r="U46" s="1" t="s">
        <v>550</v>
      </c>
      <c r="V46" s="1" t="s">
        <v>261</v>
      </c>
      <c r="W46" s="1" t="s">
        <v>254</v>
      </c>
      <c r="X46" s="1" t="s">
        <v>254</v>
      </c>
      <c r="Y46" s="1" t="s">
        <v>262</v>
      </c>
      <c r="Z46" s="1">
        <v>0.0</v>
      </c>
      <c r="AA46" s="34"/>
      <c r="AB46" s="34"/>
      <c r="AC46" s="1">
        <v>0.0</v>
      </c>
      <c r="AD46" s="1">
        <v>0.0</v>
      </c>
      <c r="AE46" s="1">
        <v>0.0</v>
      </c>
      <c r="AF46" s="1" t="s">
        <v>255</v>
      </c>
      <c r="AG46" s="1" t="s">
        <v>266</v>
      </c>
      <c r="AH46" s="1" t="s">
        <v>266</v>
      </c>
      <c r="AI46" s="1" t="s">
        <v>552</v>
      </c>
      <c r="AJ46" s="30">
        <v>45794.0</v>
      </c>
      <c r="AK46" s="1" t="s">
        <v>267</v>
      </c>
      <c r="AL46" s="1" t="s">
        <v>553</v>
      </c>
      <c r="AM46" s="1" t="s">
        <v>269</v>
      </c>
      <c r="AN46" s="1" t="s">
        <v>269</v>
      </c>
      <c r="AO46" s="1" t="s">
        <v>270</v>
      </c>
      <c r="AP46" s="1" t="s">
        <v>271</v>
      </c>
      <c r="AQ46" s="1" t="s">
        <v>272</v>
      </c>
      <c r="AR46" s="1">
        <v>3.0</v>
      </c>
      <c r="AS46" s="1" t="s">
        <v>273</v>
      </c>
      <c r="AT46" s="1" t="s">
        <v>274</v>
      </c>
      <c r="AU46" s="1" t="s">
        <v>275</v>
      </c>
      <c r="AV46" s="1" t="s">
        <v>276</v>
      </c>
      <c r="AW46" s="1" t="s">
        <v>277</v>
      </c>
      <c r="AX46" s="1" t="s">
        <v>254</v>
      </c>
      <c r="AY46" s="1">
        <v>0.0</v>
      </c>
      <c r="AZ46" s="1" t="s">
        <v>255</v>
      </c>
      <c r="BA46" s="1" t="s">
        <v>278</v>
      </c>
      <c r="BB46" s="1" t="s">
        <v>254</v>
      </c>
      <c r="BC46" s="1" t="s">
        <v>279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 t="s">
        <v>554</v>
      </c>
      <c r="BM46" s="1" t="s">
        <v>268</v>
      </c>
      <c r="BN46" s="1" t="s">
        <v>281</v>
      </c>
      <c r="BO46" s="1" t="s">
        <v>282</v>
      </c>
      <c r="BP46" s="1" t="s">
        <v>283</v>
      </c>
      <c r="BQ46" s="1" t="s">
        <v>284</v>
      </c>
      <c r="BR46" s="1" t="s">
        <v>254</v>
      </c>
      <c r="BS46" s="1" t="s">
        <v>254</v>
      </c>
      <c r="BT46" s="1" t="s">
        <v>254</v>
      </c>
      <c r="BU46" s="1" t="s">
        <v>254</v>
      </c>
      <c r="BV46" s="1" t="s">
        <v>254</v>
      </c>
      <c r="BW46" s="1" t="s">
        <v>255</v>
      </c>
      <c r="BX46" s="34"/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1.0</v>
      </c>
      <c r="CH46" s="1">
        <v>0.0</v>
      </c>
      <c r="CI46" s="1">
        <v>0.0</v>
      </c>
      <c r="CJ46" s="1" t="s">
        <v>285</v>
      </c>
      <c r="CK46" s="1" t="s">
        <v>286</v>
      </c>
      <c r="CL46" s="1" t="s">
        <v>287</v>
      </c>
      <c r="CM46" s="1" t="s">
        <v>254</v>
      </c>
      <c r="CN46" s="1">
        <v>0.0</v>
      </c>
      <c r="CO46" s="1" t="s">
        <v>254</v>
      </c>
      <c r="CP46" s="1">
        <v>0.0</v>
      </c>
      <c r="CQ46" s="1">
        <v>1.0</v>
      </c>
      <c r="CR46" s="1">
        <v>0.0</v>
      </c>
      <c r="CS46" s="1">
        <v>1.0</v>
      </c>
      <c r="CT46" s="34"/>
      <c r="CU46" s="1">
        <v>0.0</v>
      </c>
      <c r="CV46" s="1" t="s">
        <v>254</v>
      </c>
      <c r="CW46" s="1" t="s">
        <v>254</v>
      </c>
      <c r="CX46" s="1" t="s">
        <v>254</v>
      </c>
      <c r="CY46" s="1" t="s">
        <v>254</v>
      </c>
      <c r="CZ46" s="1" t="s">
        <v>254</v>
      </c>
      <c r="DA46" s="1" t="s">
        <v>255</v>
      </c>
      <c r="DB46" s="1" t="s">
        <v>254</v>
      </c>
      <c r="DC46" s="1" t="s">
        <v>254</v>
      </c>
      <c r="DD46" s="1" t="s">
        <v>255</v>
      </c>
      <c r="DE46" s="1" t="s">
        <v>290</v>
      </c>
      <c r="DF46" s="1" t="s">
        <v>291</v>
      </c>
      <c r="DG46" s="1" t="s">
        <v>292</v>
      </c>
      <c r="DH46" s="1" t="s">
        <v>292</v>
      </c>
      <c r="DI46" s="1" t="s">
        <v>290</v>
      </c>
      <c r="DJ46" s="1" t="s">
        <v>293</v>
      </c>
      <c r="DK46" s="1" t="s">
        <v>293</v>
      </c>
      <c r="DL46" s="1" t="s">
        <v>290</v>
      </c>
      <c r="DM46" s="1" t="s">
        <v>291</v>
      </c>
      <c r="DN46" s="1" t="s">
        <v>293</v>
      </c>
      <c r="DO46" s="1" t="s">
        <v>293</v>
      </c>
      <c r="DP46" s="1" t="s">
        <v>293</v>
      </c>
      <c r="DQ46" s="1" t="s">
        <v>293</v>
      </c>
      <c r="DR46" s="1" t="s">
        <v>293</v>
      </c>
      <c r="DS46" s="1" t="s">
        <v>293</v>
      </c>
      <c r="DT46" s="1" t="s">
        <v>293</v>
      </c>
      <c r="DU46" s="1" t="s">
        <v>293</v>
      </c>
      <c r="DV46" s="1" t="s">
        <v>293</v>
      </c>
      <c r="DW46" s="1" t="s">
        <v>293</v>
      </c>
      <c r="DX46" s="1" t="s">
        <v>293</v>
      </c>
      <c r="DY46" s="1" t="s">
        <v>293</v>
      </c>
      <c r="DZ46" s="1" t="s">
        <v>293</v>
      </c>
      <c r="EA46" s="1" t="s">
        <v>254</v>
      </c>
      <c r="EB46" s="1" t="s">
        <v>254</v>
      </c>
      <c r="EC46" s="1" t="s">
        <v>254</v>
      </c>
      <c r="ED46" s="1">
        <v>0.0</v>
      </c>
      <c r="EE46" s="1" t="s">
        <v>255</v>
      </c>
      <c r="EF46" s="1" t="s">
        <v>294</v>
      </c>
      <c r="EG46" s="1" t="s">
        <v>295</v>
      </c>
      <c r="EI46" s="1" t="s">
        <v>293</v>
      </c>
      <c r="EJ46" s="1" t="s">
        <v>293</v>
      </c>
      <c r="EK46" s="1" t="s">
        <v>293</v>
      </c>
      <c r="EL46" s="1" t="s">
        <v>293</v>
      </c>
      <c r="EM46" s="1" t="s">
        <v>293</v>
      </c>
      <c r="EN46" s="1" t="s">
        <v>296</v>
      </c>
      <c r="EO46" s="1" t="s">
        <v>293</v>
      </c>
      <c r="EP46" s="1" t="s">
        <v>293</v>
      </c>
      <c r="EQ46" s="1" t="s">
        <v>293</v>
      </c>
      <c r="ER46" s="1" t="s">
        <v>293</v>
      </c>
      <c r="ES46" s="1" t="s">
        <v>293</v>
      </c>
      <c r="ET46" s="1" t="s">
        <v>293</v>
      </c>
      <c r="EU46" s="1" t="s">
        <v>293</v>
      </c>
      <c r="EV46" s="1" t="s">
        <v>297</v>
      </c>
      <c r="EW46" s="1" t="s">
        <v>254</v>
      </c>
      <c r="EX46" s="1" t="s">
        <v>254</v>
      </c>
      <c r="EY46" s="1">
        <v>0.0</v>
      </c>
      <c r="EZ46" s="1">
        <v>0.0</v>
      </c>
      <c r="FA46" s="1">
        <v>0.0</v>
      </c>
      <c r="FB46" s="1" t="s">
        <v>254</v>
      </c>
      <c r="FC46" s="1">
        <v>0.0</v>
      </c>
      <c r="FD46" s="1">
        <v>0.0</v>
      </c>
      <c r="FE46" s="1">
        <v>0.0</v>
      </c>
      <c r="FF46" s="1" t="s">
        <v>293</v>
      </c>
      <c r="FG46" s="1">
        <v>0.0</v>
      </c>
      <c r="FH46" s="1">
        <v>0.0</v>
      </c>
      <c r="FI46" s="1">
        <v>0.0</v>
      </c>
      <c r="FJ46" s="1" t="s">
        <v>293</v>
      </c>
      <c r="FK46" s="1">
        <v>0.0</v>
      </c>
      <c r="FL46" s="1">
        <v>0.0</v>
      </c>
      <c r="FM46" s="1">
        <v>0.0</v>
      </c>
      <c r="FN46" s="1" t="s">
        <v>293</v>
      </c>
      <c r="FO46" s="1">
        <v>0.0</v>
      </c>
      <c r="FP46" s="1">
        <v>0.0</v>
      </c>
      <c r="FQ46" s="1">
        <v>0.0</v>
      </c>
      <c r="FR46" s="45" t="s">
        <v>198</v>
      </c>
      <c r="FS46" s="28" t="s">
        <v>205</v>
      </c>
      <c r="FT46" s="28" t="s">
        <v>205</v>
      </c>
      <c r="FU46" s="28" t="s">
        <v>298</v>
      </c>
      <c r="FV46" s="1">
        <v>6.0</v>
      </c>
      <c r="FW46" s="1" t="s">
        <v>299</v>
      </c>
      <c r="FX46" s="1">
        <v>18.0</v>
      </c>
      <c r="FY46" s="1" t="s">
        <v>300</v>
      </c>
      <c r="FZ46" s="1">
        <v>20.0</v>
      </c>
      <c r="GA46" s="1" t="s">
        <v>300</v>
      </c>
      <c r="GB46" s="1">
        <v>6.0</v>
      </c>
      <c r="GC46" s="1" t="s">
        <v>299</v>
      </c>
      <c r="GD46" s="1">
        <v>17.0</v>
      </c>
      <c r="GE46" s="1" t="s">
        <v>331</v>
      </c>
      <c r="GF46" s="1">
        <v>22.0</v>
      </c>
      <c r="GG46" s="1" t="s">
        <v>300</v>
      </c>
      <c r="GH46" s="1">
        <v>22.0</v>
      </c>
      <c r="GI46" s="1" t="s">
        <v>300</v>
      </c>
      <c r="GJ46" s="1">
        <v>25.0</v>
      </c>
      <c r="GK46" s="1" t="s">
        <v>300</v>
      </c>
      <c r="GL46" s="1">
        <v>6.0</v>
      </c>
      <c r="GM46" s="1" t="s">
        <v>299</v>
      </c>
      <c r="GN46" s="1">
        <v>26.0</v>
      </c>
      <c r="GO46" s="1" t="s">
        <v>300</v>
      </c>
      <c r="GP46" s="1">
        <v>6.0</v>
      </c>
      <c r="GQ46" s="1" t="s">
        <v>299</v>
      </c>
      <c r="GR46" s="1">
        <v>19.0</v>
      </c>
      <c r="GS46" s="1" t="s">
        <v>331</v>
      </c>
      <c r="GT46" s="1">
        <v>16.0</v>
      </c>
      <c r="GU46" s="1" t="s">
        <v>299</v>
      </c>
      <c r="GV46" s="1">
        <v>6.0</v>
      </c>
      <c r="GW46" s="1" t="s">
        <v>299</v>
      </c>
      <c r="GX46" s="1">
        <v>16.0</v>
      </c>
      <c r="GY46" s="1" t="s">
        <v>300</v>
      </c>
      <c r="GZ46" s="1">
        <v>19.0</v>
      </c>
      <c r="HA46" s="1" t="s">
        <v>299</v>
      </c>
      <c r="HB46" s="1">
        <v>6.0</v>
      </c>
      <c r="HC46" s="1" t="s">
        <v>299</v>
      </c>
      <c r="HD46" s="1">
        <v>20.0</v>
      </c>
      <c r="HE46" s="1" t="s">
        <v>300</v>
      </c>
      <c r="HF46" s="1">
        <v>24.0</v>
      </c>
      <c r="HG46" s="1" t="s">
        <v>331</v>
      </c>
      <c r="HH46" s="1">
        <v>29.0</v>
      </c>
      <c r="HI46" s="1" t="s">
        <v>300</v>
      </c>
      <c r="HJ46" s="1">
        <v>16.0</v>
      </c>
      <c r="HK46" s="1" t="s">
        <v>299</v>
      </c>
    </row>
    <row r="47">
      <c r="A47" s="44" t="s">
        <v>855</v>
      </c>
      <c r="B47" s="3">
        <v>44.0</v>
      </c>
      <c r="C47" s="3" t="s">
        <v>856</v>
      </c>
      <c r="D47" s="30">
        <v>34282.0</v>
      </c>
      <c r="E47" s="1">
        <v>32.0</v>
      </c>
      <c r="F47" s="3" t="s">
        <v>253</v>
      </c>
      <c r="G47" s="3" t="s">
        <v>252</v>
      </c>
      <c r="H47" s="3" t="s">
        <v>253</v>
      </c>
      <c r="I47" s="3" t="s">
        <v>253</v>
      </c>
      <c r="J47" s="3" t="s">
        <v>252</v>
      </c>
      <c r="K47" s="3" t="s">
        <v>252</v>
      </c>
      <c r="L47" s="3" t="s">
        <v>254</v>
      </c>
      <c r="M47" s="3" t="s">
        <v>254</v>
      </c>
      <c r="N47" s="3" t="s">
        <v>254</v>
      </c>
      <c r="O47" s="3" t="s">
        <v>254</v>
      </c>
      <c r="P47" s="3" t="s">
        <v>255</v>
      </c>
      <c r="Q47" s="3" t="s">
        <v>548</v>
      </c>
      <c r="R47" s="7" t="s">
        <v>298</v>
      </c>
      <c r="S47" s="7" t="s">
        <v>359</v>
      </c>
      <c r="T47" s="1" t="s">
        <v>259</v>
      </c>
      <c r="U47" s="1" t="s">
        <v>306</v>
      </c>
      <c r="V47" s="1" t="s">
        <v>857</v>
      </c>
      <c r="W47" s="1" t="s">
        <v>858</v>
      </c>
      <c r="X47" s="1" t="s">
        <v>254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 t="s">
        <v>265</v>
      </c>
      <c r="AF47" s="1" t="s">
        <v>255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 t="s">
        <v>314</v>
      </c>
      <c r="AM47" s="1" t="s">
        <v>269</v>
      </c>
      <c r="AN47" s="1" t="s">
        <v>269</v>
      </c>
      <c r="AO47" s="1" t="s">
        <v>270</v>
      </c>
      <c r="AP47" s="1" t="s">
        <v>271</v>
      </c>
      <c r="AQ47" s="1" t="s">
        <v>315</v>
      </c>
      <c r="AR47" s="1">
        <v>3.0</v>
      </c>
      <c r="AS47" s="1" t="s">
        <v>273</v>
      </c>
      <c r="AT47" s="1" t="s">
        <v>274</v>
      </c>
      <c r="AU47" s="1" t="s">
        <v>316</v>
      </c>
      <c r="AV47" s="1" t="s">
        <v>317</v>
      </c>
      <c r="AW47" s="1" t="s">
        <v>318</v>
      </c>
      <c r="AX47" s="1" t="s">
        <v>254</v>
      </c>
      <c r="AY47" s="1">
        <v>0.0</v>
      </c>
      <c r="AZ47" s="1" t="s">
        <v>255</v>
      </c>
      <c r="BA47" s="31" t="s">
        <v>319</v>
      </c>
      <c r="BB47" s="1" t="s">
        <v>255</v>
      </c>
      <c r="BC47" s="1" t="s">
        <v>279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 t="s">
        <v>320</v>
      </c>
      <c r="BM47" s="1" t="s">
        <v>314</v>
      </c>
      <c r="BN47" s="1" t="s">
        <v>281</v>
      </c>
      <c r="BO47" s="1" t="s">
        <v>282</v>
      </c>
      <c r="BP47" s="1" t="s">
        <v>283</v>
      </c>
      <c r="BQ47" s="1" t="s">
        <v>284</v>
      </c>
      <c r="BR47" s="1" t="s">
        <v>254</v>
      </c>
      <c r="BS47" s="1" t="s">
        <v>254</v>
      </c>
      <c r="BT47" s="1" t="s">
        <v>254</v>
      </c>
      <c r="BU47" s="1" t="s">
        <v>254</v>
      </c>
      <c r="BV47" s="1" t="s">
        <v>254</v>
      </c>
      <c r="BW47" s="1" t="s">
        <v>254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0.0</v>
      </c>
      <c r="CM47" s="1" t="s">
        <v>254</v>
      </c>
      <c r="CN47" s="1">
        <v>0.0</v>
      </c>
      <c r="CO47" s="1" t="s">
        <v>254</v>
      </c>
      <c r="CP47" s="1">
        <v>0.0</v>
      </c>
      <c r="CQ47" s="1">
        <v>6.0</v>
      </c>
      <c r="CR47" s="1">
        <v>3.0</v>
      </c>
      <c r="CS47" s="1">
        <v>0.0</v>
      </c>
      <c r="CT47" s="1">
        <v>0.0</v>
      </c>
      <c r="CU47" s="1">
        <v>0.0</v>
      </c>
      <c r="CV47" s="1" t="s">
        <v>254</v>
      </c>
      <c r="CW47" s="1" t="s">
        <v>254</v>
      </c>
      <c r="CX47" s="1" t="s">
        <v>254</v>
      </c>
      <c r="CY47" s="1" t="s">
        <v>254</v>
      </c>
      <c r="CZ47" s="1" t="s">
        <v>254</v>
      </c>
      <c r="DA47" s="1" t="s">
        <v>255</v>
      </c>
      <c r="DB47" s="1" t="s">
        <v>255</v>
      </c>
      <c r="DC47" s="1" t="s">
        <v>254</v>
      </c>
      <c r="DD47" s="1" t="s">
        <v>255</v>
      </c>
      <c r="DE47" s="1" t="s">
        <v>293</v>
      </c>
      <c r="DF47" s="1" t="s">
        <v>293</v>
      </c>
      <c r="DG47" s="1" t="s">
        <v>323</v>
      </c>
      <c r="DH47" s="1" t="s">
        <v>291</v>
      </c>
      <c r="DI47" s="1" t="s">
        <v>324</v>
      </c>
      <c r="DJ47" s="1" t="s">
        <v>293</v>
      </c>
      <c r="DK47" s="1" t="s">
        <v>293</v>
      </c>
      <c r="DL47" s="1" t="s">
        <v>323</v>
      </c>
      <c r="DM47" s="1" t="s">
        <v>293</v>
      </c>
      <c r="DN47" s="1" t="s">
        <v>291</v>
      </c>
      <c r="DO47" s="1" t="s">
        <v>293</v>
      </c>
      <c r="DP47" s="1" t="s">
        <v>293</v>
      </c>
      <c r="DQ47" s="1" t="s">
        <v>293</v>
      </c>
      <c r="DR47" s="1" t="s">
        <v>293</v>
      </c>
      <c r="DS47" s="1" t="s">
        <v>293</v>
      </c>
      <c r="DT47" s="1" t="s">
        <v>293</v>
      </c>
      <c r="DU47" s="1" t="s">
        <v>293</v>
      </c>
      <c r="DV47" s="1" t="s">
        <v>293</v>
      </c>
      <c r="DW47" s="1" t="s">
        <v>293</v>
      </c>
      <c r="DX47" s="1" t="s">
        <v>293</v>
      </c>
      <c r="DY47" s="1" t="s">
        <v>293</v>
      </c>
      <c r="DZ47" s="1" t="s">
        <v>293</v>
      </c>
      <c r="EA47" s="1" t="s">
        <v>254</v>
      </c>
      <c r="EB47" s="1" t="s">
        <v>254</v>
      </c>
      <c r="EC47" s="1" t="s">
        <v>254</v>
      </c>
      <c r="ED47" s="1">
        <v>0.0</v>
      </c>
      <c r="EE47" s="1" t="s">
        <v>255</v>
      </c>
      <c r="EF47" s="1" t="s">
        <v>354</v>
      </c>
      <c r="EG47" s="1" t="s">
        <v>295</v>
      </c>
      <c r="EI47" s="1" t="s">
        <v>293</v>
      </c>
      <c r="EJ47" s="1" t="s">
        <v>293</v>
      </c>
      <c r="EK47" s="1" t="s">
        <v>293</v>
      </c>
      <c r="EL47" s="1" t="s">
        <v>293</v>
      </c>
      <c r="EM47" s="1" t="s">
        <v>293</v>
      </c>
      <c r="EN47" s="1" t="s">
        <v>296</v>
      </c>
      <c r="EO47" s="1" t="s">
        <v>293</v>
      </c>
      <c r="EP47" s="1" t="s">
        <v>293</v>
      </c>
      <c r="EQ47" s="1" t="s">
        <v>293</v>
      </c>
      <c r="ER47" s="1" t="s">
        <v>293</v>
      </c>
      <c r="ES47" s="1" t="s">
        <v>293</v>
      </c>
      <c r="ET47" s="1" t="s">
        <v>293</v>
      </c>
      <c r="EU47" s="1" t="s">
        <v>293</v>
      </c>
      <c r="EV47" s="1" t="s">
        <v>297</v>
      </c>
      <c r="EW47" s="1" t="s">
        <v>254</v>
      </c>
      <c r="EX47" s="1" t="s">
        <v>254</v>
      </c>
      <c r="EY47" s="1">
        <v>0.0</v>
      </c>
      <c r="EZ47" s="1">
        <v>0.0</v>
      </c>
      <c r="FA47" s="1">
        <v>0.0</v>
      </c>
      <c r="FB47" s="1" t="s">
        <v>254</v>
      </c>
      <c r="FC47" s="1">
        <v>0.0</v>
      </c>
      <c r="FD47" s="1">
        <v>0.0</v>
      </c>
      <c r="FE47" s="1">
        <v>0.0</v>
      </c>
      <c r="FF47" s="1" t="s">
        <v>293</v>
      </c>
      <c r="FG47" s="1">
        <v>0.0</v>
      </c>
      <c r="FH47" s="1">
        <v>0.0</v>
      </c>
      <c r="FI47" s="1">
        <v>0.0</v>
      </c>
      <c r="FJ47" s="1" t="s">
        <v>293</v>
      </c>
      <c r="FK47" s="1">
        <v>0.0</v>
      </c>
      <c r="FL47" s="1">
        <v>0.0</v>
      </c>
      <c r="FM47" s="1">
        <v>0.0</v>
      </c>
      <c r="FN47" s="1" t="s">
        <v>293</v>
      </c>
      <c r="FO47" s="1">
        <v>0.0</v>
      </c>
      <c r="FP47" s="1">
        <v>0.0</v>
      </c>
      <c r="FQ47" s="1">
        <v>0.0</v>
      </c>
      <c r="FR47" s="28" t="s">
        <v>357</v>
      </c>
      <c r="FS47" s="28" t="s">
        <v>298</v>
      </c>
      <c r="FT47" s="28" t="s">
        <v>298</v>
      </c>
      <c r="FU47" s="28" t="s">
        <v>298</v>
      </c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  <c r="HB47" s="34"/>
      <c r="HC47" s="34"/>
      <c r="HD47" s="34"/>
      <c r="HE47" s="34"/>
      <c r="HF47" s="34"/>
      <c r="HG47" s="34"/>
      <c r="HH47" s="34"/>
      <c r="HI47" s="34"/>
      <c r="HJ47" s="34"/>
      <c r="HK47" s="34"/>
    </row>
    <row r="48">
      <c r="A48" s="44" t="s">
        <v>859</v>
      </c>
      <c r="B48" s="3">
        <v>45.0</v>
      </c>
      <c r="C48" s="3" t="s">
        <v>748</v>
      </c>
      <c r="D48" s="30">
        <v>34280.0</v>
      </c>
      <c r="E48" s="1">
        <v>32.0</v>
      </c>
      <c r="F48" s="3" t="s">
        <v>252</v>
      </c>
      <c r="G48" s="3" t="s">
        <v>253</v>
      </c>
      <c r="H48" s="3" t="s">
        <v>253</v>
      </c>
      <c r="I48" s="3" t="s">
        <v>252</v>
      </c>
      <c r="J48" s="3" t="s">
        <v>253</v>
      </c>
      <c r="K48" s="3" t="s">
        <v>253</v>
      </c>
      <c r="L48" s="3" t="s">
        <v>254</v>
      </c>
      <c r="M48" s="3" t="s">
        <v>255</v>
      </c>
      <c r="N48" s="3" t="s">
        <v>254</v>
      </c>
      <c r="O48" s="3" t="s">
        <v>255</v>
      </c>
      <c r="P48" s="3" t="s">
        <v>254</v>
      </c>
      <c r="Q48" s="3" t="s">
        <v>548</v>
      </c>
      <c r="R48" s="7" t="s">
        <v>298</v>
      </c>
      <c r="S48" s="7" t="s">
        <v>359</v>
      </c>
      <c r="T48" s="1" t="s">
        <v>259</v>
      </c>
      <c r="U48" s="1" t="s">
        <v>260</v>
      </c>
      <c r="V48" s="1" t="s">
        <v>335</v>
      </c>
      <c r="X48" s="1" t="s">
        <v>254</v>
      </c>
      <c r="Y48" s="1">
        <v>0.0</v>
      </c>
      <c r="Z48" s="1">
        <v>0.0</v>
      </c>
      <c r="AA48" s="1">
        <v>0.0</v>
      </c>
      <c r="AB48" s="1" t="s">
        <v>336</v>
      </c>
      <c r="AC48" s="1">
        <v>0.0</v>
      </c>
      <c r="AD48" s="1">
        <v>2024.0</v>
      </c>
      <c r="AE48" s="1" t="s">
        <v>265</v>
      </c>
      <c r="AF48" s="1" t="s">
        <v>255</v>
      </c>
      <c r="AG48" s="1" t="s">
        <v>337</v>
      </c>
      <c r="AH48" s="1" t="s">
        <v>338</v>
      </c>
      <c r="AI48" s="1" t="s">
        <v>860</v>
      </c>
      <c r="AJ48" s="1" t="s">
        <v>340</v>
      </c>
      <c r="AK48" s="1" t="s">
        <v>313</v>
      </c>
      <c r="AL48" s="1" t="s">
        <v>400</v>
      </c>
      <c r="AM48" s="1" t="s">
        <v>341</v>
      </c>
      <c r="AN48" s="1" t="s">
        <v>341</v>
      </c>
      <c r="AO48" s="1" t="s">
        <v>270</v>
      </c>
      <c r="AP48" s="1" t="s">
        <v>342</v>
      </c>
      <c r="AQ48" s="1" t="s">
        <v>343</v>
      </c>
      <c r="AR48" s="1">
        <v>4.0</v>
      </c>
      <c r="AS48" s="1" t="s">
        <v>273</v>
      </c>
      <c r="AT48" s="1" t="s">
        <v>274</v>
      </c>
      <c r="AU48" s="1" t="s">
        <v>344</v>
      </c>
      <c r="AV48" s="1" t="s">
        <v>345</v>
      </c>
      <c r="AW48" s="31" t="s">
        <v>346</v>
      </c>
      <c r="AX48" s="1" t="s">
        <v>254</v>
      </c>
      <c r="AY48" s="1">
        <v>0.0</v>
      </c>
      <c r="AZ48" s="1" t="s">
        <v>255</v>
      </c>
      <c r="BA48" s="1" t="s">
        <v>347</v>
      </c>
      <c r="BB48" s="1" t="s">
        <v>254</v>
      </c>
      <c r="BC48" s="1" t="s">
        <v>348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34"/>
      <c r="BK48" s="34"/>
      <c r="BL48" s="1" t="s">
        <v>320</v>
      </c>
      <c r="BM48" s="1" t="s">
        <v>400</v>
      </c>
      <c r="BN48" s="1" t="s">
        <v>341</v>
      </c>
      <c r="BO48" s="1" t="s">
        <v>341</v>
      </c>
      <c r="BP48" s="1" t="s">
        <v>283</v>
      </c>
      <c r="BQ48" s="1" t="s">
        <v>349</v>
      </c>
      <c r="BR48" s="1" t="s">
        <v>254</v>
      </c>
      <c r="BS48" s="1" t="s">
        <v>254</v>
      </c>
      <c r="BT48" s="1" t="s">
        <v>254</v>
      </c>
      <c r="BU48" s="1" t="s">
        <v>254</v>
      </c>
      <c r="BV48" s="1" t="s">
        <v>254</v>
      </c>
      <c r="BW48" s="1" t="s">
        <v>255</v>
      </c>
      <c r="BX48" s="1">
        <v>0.0</v>
      </c>
      <c r="BY48" s="1">
        <v>0.0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1.0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  <c r="CL48" s="1" t="s">
        <v>350</v>
      </c>
      <c r="CM48" s="1" t="s">
        <v>254</v>
      </c>
      <c r="CN48" s="1">
        <v>0.0</v>
      </c>
      <c r="CO48" s="1" t="s">
        <v>254</v>
      </c>
      <c r="CP48" s="1">
        <v>0.0</v>
      </c>
      <c r="CQ48" s="1">
        <v>4.0</v>
      </c>
      <c r="CR48" s="1">
        <v>2.0</v>
      </c>
      <c r="CS48" s="1">
        <v>2.0</v>
      </c>
      <c r="CT48" s="1" t="s">
        <v>351</v>
      </c>
      <c r="CU48" s="1" t="s">
        <v>352</v>
      </c>
      <c r="CV48" s="1" t="s">
        <v>254</v>
      </c>
      <c r="CW48" s="1" t="s">
        <v>254</v>
      </c>
      <c r="CX48" s="1" t="s">
        <v>254</v>
      </c>
      <c r="CY48" s="1" t="s">
        <v>254</v>
      </c>
      <c r="CZ48" s="1" t="s">
        <v>254</v>
      </c>
      <c r="DA48" s="1" t="s">
        <v>255</v>
      </c>
      <c r="DB48" s="1" t="s">
        <v>254</v>
      </c>
      <c r="DC48" s="1" t="s">
        <v>254</v>
      </c>
      <c r="DD48" s="1" t="s">
        <v>255</v>
      </c>
      <c r="DE48" s="1" t="s">
        <v>353</v>
      </c>
      <c r="DF48" s="1" t="s">
        <v>293</v>
      </c>
      <c r="DG48" s="1" t="s">
        <v>293</v>
      </c>
      <c r="DH48" s="1" t="s">
        <v>293</v>
      </c>
      <c r="DI48" s="1" t="s">
        <v>323</v>
      </c>
      <c r="DJ48" s="1" t="s">
        <v>293</v>
      </c>
      <c r="DK48" s="1" t="s">
        <v>293</v>
      </c>
      <c r="DL48" s="1" t="s">
        <v>323</v>
      </c>
      <c r="DM48" s="1" t="s">
        <v>293</v>
      </c>
      <c r="DN48" s="1" t="s">
        <v>293</v>
      </c>
      <c r="DO48" s="1" t="s">
        <v>293</v>
      </c>
      <c r="DP48" s="1" t="s">
        <v>293</v>
      </c>
      <c r="DQ48" s="1" t="s">
        <v>293</v>
      </c>
      <c r="DR48" s="1" t="s">
        <v>293</v>
      </c>
      <c r="DS48" s="1" t="s">
        <v>293</v>
      </c>
      <c r="DT48" s="1" t="s">
        <v>293</v>
      </c>
      <c r="DU48" s="1" t="s">
        <v>293</v>
      </c>
      <c r="DV48" s="1" t="s">
        <v>293</v>
      </c>
      <c r="DW48" s="1" t="s">
        <v>293</v>
      </c>
      <c r="DX48" s="1" t="s">
        <v>293</v>
      </c>
      <c r="DY48" s="1" t="s">
        <v>293</v>
      </c>
      <c r="DZ48" s="1" t="s">
        <v>293</v>
      </c>
      <c r="EA48" s="1" t="s">
        <v>254</v>
      </c>
      <c r="EB48" s="34"/>
      <c r="EC48" s="1" t="s">
        <v>254</v>
      </c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1">
        <v>0.0</v>
      </c>
      <c r="EZ48" s="34"/>
      <c r="FA48" s="34"/>
      <c r="FB48" s="34"/>
      <c r="FC48" s="34"/>
      <c r="FD48" s="34"/>
      <c r="FE48" s="34"/>
      <c r="FF48" s="34"/>
      <c r="FG48" s="34"/>
      <c r="FH48" s="34"/>
      <c r="FI48" s="1">
        <v>0.0</v>
      </c>
      <c r="FJ48" s="34"/>
      <c r="FK48" s="34"/>
      <c r="FL48" s="34"/>
      <c r="FM48" s="34"/>
      <c r="FN48" s="34"/>
      <c r="FO48" s="34"/>
      <c r="FP48" s="34"/>
      <c r="FQ48" s="1">
        <v>0.0</v>
      </c>
      <c r="FR48" s="28" t="s">
        <v>357</v>
      </c>
      <c r="FS48" s="28" t="s">
        <v>298</v>
      </c>
      <c r="FT48" s="28" t="s">
        <v>298</v>
      </c>
      <c r="FU48" s="28" t="s">
        <v>298</v>
      </c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  <c r="GX48" s="34"/>
      <c r="GY48" s="34"/>
      <c r="GZ48" s="34"/>
      <c r="HA48" s="34"/>
      <c r="HB48" s="34"/>
      <c r="HC48" s="34"/>
      <c r="HD48" s="34"/>
      <c r="HE48" s="34"/>
      <c r="HF48" s="34"/>
      <c r="HG48" s="34"/>
      <c r="HH48" s="34"/>
      <c r="HI48" s="34"/>
      <c r="HJ48" s="34"/>
      <c r="HK48" s="34"/>
    </row>
    <row r="49">
      <c r="A49" s="44" t="s">
        <v>861</v>
      </c>
      <c r="B49" s="3">
        <v>46.0</v>
      </c>
      <c r="C49" s="3" t="s">
        <v>755</v>
      </c>
      <c r="D49" s="30">
        <v>34675.0</v>
      </c>
      <c r="E49" s="1">
        <v>31.0</v>
      </c>
      <c r="F49" s="3" t="s">
        <v>252</v>
      </c>
      <c r="G49" s="3" t="s">
        <v>253</v>
      </c>
      <c r="H49" s="3" t="s">
        <v>253</v>
      </c>
      <c r="I49" s="3" t="s">
        <v>252</v>
      </c>
      <c r="J49" s="3" t="s">
        <v>253</v>
      </c>
      <c r="K49" s="3" t="s">
        <v>253</v>
      </c>
      <c r="L49" s="3" t="s">
        <v>254</v>
      </c>
      <c r="M49" s="3" t="s">
        <v>255</v>
      </c>
      <c r="N49" s="3" t="s">
        <v>357</v>
      </c>
      <c r="O49" s="3" t="s">
        <v>255</v>
      </c>
      <c r="P49" s="3" t="s">
        <v>254</v>
      </c>
      <c r="Q49" s="3" t="s">
        <v>548</v>
      </c>
      <c r="R49" s="7" t="s">
        <v>298</v>
      </c>
      <c r="S49" s="7" t="s">
        <v>359</v>
      </c>
      <c r="T49" s="1" t="s">
        <v>259</v>
      </c>
      <c r="U49" s="1" t="s">
        <v>360</v>
      </c>
      <c r="V49" s="1" t="s">
        <v>361</v>
      </c>
      <c r="W49" s="1" t="s">
        <v>254</v>
      </c>
      <c r="X49" s="1" t="s">
        <v>255</v>
      </c>
      <c r="Y49" s="31" t="s">
        <v>362</v>
      </c>
      <c r="Z49" s="1">
        <v>5.0</v>
      </c>
      <c r="AA49" s="1" t="s">
        <v>363</v>
      </c>
      <c r="AB49" s="1">
        <v>0.0</v>
      </c>
      <c r="AC49" s="1">
        <v>0.0</v>
      </c>
      <c r="AD49" s="1">
        <v>0.0</v>
      </c>
      <c r="AE49" s="1">
        <v>0.0</v>
      </c>
      <c r="AF49" s="1" t="s">
        <v>255</v>
      </c>
      <c r="AG49" s="1" t="s">
        <v>364</v>
      </c>
      <c r="AH49" s="1" t="s">
        <v>365</v>
      </c>
      <c r="AI49" s="30">
        <v>45825.0</v>
      </c>
      <c r="AJ49" s="1" t="s">
        <v>366</v>
      </c>
      <c r="AK49" s="1" t="s">
        <v>267</v>
      </c>
      <c r="AL49" s="1" t="s">
        <v>367</v>
      </c>
      <c r="AM49" s="1" t="s">
        <v>269</v>
      </c>
      <c r="AN49" s="1" t="s">
        <v>269</v>
      </c>
      <c r="AO49" s="1" t="s">
        <v>270</v>
      </c>
      <c r="AP49" s="1" t="s">
        <v>271</v>
      </c>
      <c r="AQ49" s="1" t="s">
        <v>343</v>
      </c>
      <c r="AR49" s="1">
        <v>3.0</v>
      </c>
      <c r="AS49" s="1" t="s">
        <v>368</v>
      </c>
      <c r="AT49" s="1" t="s">
        <v>274</v>
      </c>
      <c r="AU49" s="1" t="s">
        <v>370</v>
      </c>
      <c r="AV49" s="31" t="s">
        <v>317</v>
      </c>
      <c r="AW49" s="1" t="s">
        <v>346</v>
      </c>
      <c r="AX49" s="1" t="s">
        <v>254</v>
      </c>
      <c r="AY49" s="1">
        <v>0.0</v>
      </c>
      <c r="AZ49" s="1" t="s">
        <v>255</v>
      </c>
      <c r="BA49" s="31" t="s">
        <v>319</v>
      </c>
      <c r="BB49" s="1" t="s">
        <v>255</v>
      </c>
      <c r="BC49" s="1" t="s">
        <v>279</v>
      </c>
      <c r="BD49" s="1">
        <v>0.0</v>
      </c>
      <c r="BE49" s="1">
        <v>1.0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 t="s">
        <v>320</v>
      </c>
      <c r="BM49" s="1" t="s">
        <v>367</v>
      </c>
      <c r="BN49" s="1" t="s">
        <v>269</v>
      </c>
      <c r="BO49" s="1" t="s">
        <v>269</v>
      </c>
      <c r="BP49" s="1" t="s">
        <v>270</v>
      </c>
      <c r="BQ49" s="1" t="s">
        <v>271</v>
      </c>
      <c r="BR49" s="34"/>
      <c r="BS49" s="1" t="s">
        <v>254</v>
      </c>
      <c r="BT49" s="1" t="s">
        <v>254</v>
      </c>
      <c r="BU49" s="1" t="s">
        <v>254</v>
      </c>
      <c r="BV49" s="1" t="s">
        <v>254</v>
      </c>
      <c r="BW49" s="1" t="s">
        <v>254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 t="s">
        <v>254</v>
      </c>
      <c r="CN49" s="1">
        <v>0.0</v>
      </c>
      <c r="CO49" s="1" t="s">
        <v>254</v>
      </c>
      <c r="CP49" s="1">
        <v>0.0</v>
      </c>
      <c r="CQ49" s="1">
        <v>4.0</v>
      </c>
      <c r="CR49" s="1">
        <v>2.0</v>
      </c>
      <c r="CS49" s="1">
        <v>2.0</v>
      </c>
      <c r="CT49" s="1" t="s">
        <v>376</v>
      </c>
      <c r="CU49" s="1" t="s">
        <v>377</v>
      </c>
      <c r="CV49" s="1" t="s">
        <v>254</v>
      </c>
      <c r="CW49" s="1" t="s">
        <v>254</v>
      </c>
      <c r="CX49" s="1" t="s">
        <v>254</v>
      </c>
      <c r="CY49" s="1" t="s">
        <v>254</v>
      </c>
      <c r="CZ49" s="1" t="s">
        <v>254</v>
      </c>
      <c r="DA49" s="1" t="s">
        <v>255</v>
      </c>
      <c r="DB49" s="1" t="s">
        <v>254</v>
      </c>
      <c r="DC49" s="1" t="s">
        <v>254</v>
      </c>
      <c r="DD49" s="1" t="s">
        <v>255</v>
      </c>
      <c r="DE49" s="1" t="s">
        <v>353</v>
      </c>
      <c r="DF49" s="1" t="s">
        <v>293</v>
      </c>
      <c r="DG49" s="1" t="s">
        <v>353</v>
      </c>
      <c r="DH49" s="1" t="s">
        <v>353</v>
      </c>
      <c r="DI49" s="1" t="s">
        <v>353</v>
      </c>
      <c r="DJ49" s="1" t="s">
        <v>293</v>
      </c>
      <c r="DK49" s="1" t="s">
        <v>293</v>
      </c>
      <c r="DL49" s="1" t="s">
        <v>353</v>
      </c>
      <c r="DM49" s="1" t="s">
        <v>293</v>
      </c>
      <c r="DN49" s="1" t="s">
        <v>293</v>
      </c>
      <c r="DO49" s="1" t="s">
        <v>293</v>
      </c>
      <c r="DP49" s="1" t="s">
        <v>293</v>
      </c>
      <c r="DQ49" s="1" t="s">
        <v>293</v>
      </c>
      <c r="DR49" s="1" t="s">
        <v>293</v>
      </c>
      <c r="DS49" s="1" t="s">
        <v>293</v>
      </c>
      <c r="DT49" s="1" t="s">
        <v>293</v>
      </c>
      <c r="DU49" s="1" t="s">
        <v>293</v>
      </c>
      <c r="DV49" s="1" t="s">
        <v>293</v>
      </c>
      <c r="DW49" s="1" t="s">
        <v>293</v>
      </c>
      <c r="DX49" s="1" t="s">
        <v>293</v>
      </c>
      <c r="DY49" s="1" t="s">
        <v>293</v>
      </c>
      <c r="DZ49" s="1" t="s">
        <v>293</v>
      </c>
      <c r="EA49" s="1" t="s">
        <v>254</v>
      </c>
      <c r="EB49" s="1" t="s">
        <v>254</v>
      </c>
      <c r="EC49" s="1" t="s">
        <v>254</v>
      </c>
      <c r="ED49" s="1">
        <v>0.0</v>
      </c>
      <c r="EE49" s="1" t="s">
        <v>255</v>
      </c>
      <c r="EF49" s="1" t="s">
        <v>294</v>
      </c>
      <c r="EG49" s="1" t="s">
        <v>295</v>
      </c>
      <c r="EI49" s="31" t="s">
        <v>383</v>
      </c>
      <c r="EJ49" s="1" t="s">
        <v>293</v>
      </c>
      <c r="EK49" s="1" t="s">
        <v>293</v>
      </c>
      <c r="EL49" s="1" t="s">
        <v>293</v>
      </c>
      <c r="EM49" s="1" t="s">
        <v>293</v>
      </c>
      <c r="EN49" s="1" t="s">
        <v>293</v>
      </c>
      <c r="EO49" s="1" t="s">
        <v>293</v>
      </c>
      <c r="EP49" s="1" t="s">
        <v>293</v>
      </c>
      <c r="EQ49" s="1" t="s">
        <v>293</v>
      </c>
      <c r="ER49" s="1" t="s">
        <v>293</v>
      </c>
      <c r="ES49" s="1" t="s">
        <v>293</v>
      </c>
      <c r="ET49" s="1" t="s">
        <v>293</v>
      </c>
      <c r="EU49" s="1" t="s">
        <v>293</v>
      </c>
      <c r="EV49" s="1" t="s">
        <v>387</v>
      </c>
      <c r="EW49" s="1" t="s">
        <v>254</v>
      </c>
      <c r="EX49" s="1" t="s">
        <v>254</v>
      </c>
      <c r="EY49" s="1">
        <v>0.0</v>
      </c>
      <c r="EZ49" s="1">
        <v>0.0</v>
      </c>
      <c r="FA49" s="1">
        <v>0.0</v>
      </c>
      <c r="FB49" s="1" t="s">
        <v>254</v>
      </c>
      <c r="FC49" s="1">
        <v>0.0</v>
      </c>
      <c r="FD49" s="1">
        <v>0.0</v>
      </c>
      <c r="FE49" s="1">
        <v>0.0</v>
      </c>
      <c r="FF49" s="1" t="s">
        <v>293</v>
      </c>
      <c r="FG49" s="1">
        <v>0.0</v>
      </c>
      <c r="FH49" s="1">
        <v>0.0</v>
      </c>
      <c r="FI49" s="1">
        <v>0.0</v>
      </c>
      <c r="FJ49" s="1" t="s">
        <v>293</v>
      </c>
      <c r="FK49" s="1">
        <v>0.0</v>
      </c>
      <c r="FL49" s="1">
        <v>0.0</v>
      </c>
      <c r="FM49" s="1">
        <v>0.0</v>
      </c>
      <c r="FN49" s="1" t="s">
        <v>293</v>
      </c>
      <c r="FO49" s="1">
        <v>0.0</v>
      </c>
      <c r="FP49" s="1">
        <v>0.0</v>
      </c>
      <c r="FQ49" s="1">
        <v>0.0</v>
      </c>
      <c r="FR49" s="28" t="s">
        <v>357</v>
      </c>
      <c r="FS49" s="28" t="s">
        <v>298</v>
      </c>
      <c r="FT49" s="28" t="s">
        <v>298</v>
      </c>
      <c r="FU49" s="28" t="s">
        <v>298</v>
      </c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  <c r="GV49" s="34"/>
      <c r="GW49" s="34"/>
      <c r="GX49" s="34"/>
      <c r="GY49" s="34"/>
      <c r="GZ49" s="34"/>
      <c r="HA49" s="34"/>
      <c r="HB49" s="34"/>
      <c r="HC49" s="34"/>
      <c r="HD49" s="34"/>
      <c r="HE49" s="34"/>
      <c r="HF49" s="34"/>
      <c r="HG49" s="34"/>
      <c r="HH49" s="34"/>
      <c r="HI49" s="34"/>
      <c r="HJ49" s="34"/>
      <c r="HK49" s="34"/>
    </row>
    <row r="50">
      <c r="A50" s="44" t="s">
        <v>862</v>
      </c>
      <c r="B50" s="3">
        <v>47.0</v>
      </c>
      <c r="C50" s="3" t="s">
        <v>757</v>
      </c>
      <c r="D50" s="1">
        <v>2010.0</v>
      </c>
      <c r="E50" s="1">
        <v>16.0</v>
      </c>
      <c r="F50" s="3" t="s">
        <v>253</v>
      </c>
      <c r="G50" s="3" t="s">
        <v>252</v>
      </c>
      <c r="H50" s="3" t="s">
        <v>253</v>
      </c>
      <c r="I50" s="3" t="s">
        <v>253</v>
      </c>
      <c r="J50" s="3" t="s">
        <v>252</v>
      </c>
      <c r="K50" s="3" t="s">
        <v>252</v>
      </c>
      <c r="L50" s="3" t="s">
        <v>254</v>
      </c>
      <c r="M50" s="3" t="s">
        <v>254</v>
      </c>
      <c r="N50" s="3" t="s">
        <v>254</v>
      </c>
      <c r="O50" s="3" t="s">
        <v>254</v>
      </c>
      <c r="P50" s="3" t="s">
        <v>255</v>
      </c>
      <c r="Q50" s="3" t="s">
        <v>548</v>
      </c>
      <c r="R50" s="7" t="s">
        <v>298</v>
      </c>
      <c r="S50" s="7" t="s">
        <v>359</v>
      </c>
      <c r="T50" s="1" t="s">
        <v>305</v>
      </c>
      <c r="U50" s="1" t="s">
        <v>306</v>
      </c>
      <c r="V50" s="1" t="s">
        <v>393</v>
      </c>
      <c r="W50" s="1" t="s">
        <v>394</v>
      </c>
      <c r="X50" s="1" t="s">
        <v>254</v>
      </c>
      <c r="Y50" s="1">
        <v>0.0</v>
      </c>
      <c r="Z50" s="1">
        <v>0.0</v>
      </c>
      <c r="AA50" s="1">
        <v>0.0</v>
      </c>
      <c r="AB50" s="1" t="s">
        <v>395</v>
      </c>
      <c r="AD50" s="1" t="s">
        <v>396</v>
      </c>
      <c r="AE50" s="1" t="s">
        <v>265</v>
      </c>
      <c r="AF50" s="1" t="s">
        <v>255</v>
      </c>
      <c r="AG50" s="1" t="s">
        <v>397</v>
      </c>
      <c r="AH50" s="1" t="s">
        <v>398</v>
      </c>
      <c r="AI50" s="1" t="s">
        <v>865</v>
      </c>
      <c r="AJ50" s="1" t="s">
        <v>366</v>
      </c>
      <c r="AK50" s="1" t="s">
        <v>267</v>
      </c>
      <c r="AL50" s="1" t="s">
        <v>400</v>
      </c>
      <c r="AM50" s="1" t="s">
        <v>269</v>
      </c>
      <c r="AN50" s="1" t="s">
        <v>269</v>
      </c>
      <c r="AO50" s="1" t="s">
        <v>270</v>
      </c>
      <c r="AP50" s="1" t="s">
        <v>284</v>
      </c>
      <c r="AQ50" s="1" t="s">
        <v>401</v>
      </c>
      <c r="AR50" s="1">
        <v>5.0</v>
      </c>
      <c r="AS50" s="1" t="s">
        <v>273</v>
      </c>
      <c r="AT50" s="1" t="s">
        <v>274</v>
      </c>
      <c r="AU50" s="1" t="s">
        <v>275</v>
      </c>
      <c r="AV50" s="1" t="s">
        <v>317</v>
      </c>
      <c r="AW50" s="1" t="s">
        <v>402</v>
      </c>
      <c r="AX50" s="1" t="s">
        <v>254</v>
      </c>
      <c r="AY50" s="1">
        <v>0.0</v>
      </c>
      <c r="AZ50" s="1" t="s">
        <v>255</v>
      </c>
      <c r="BA50" s="1" t="s">
        <v>319</v>
      </c>
      <c r="BB50" s="1" t="s">
        <v>255</v>
      </c>
      <c r="BC50" s="31" t="s">
        <v>279</v>
      </c>
      <c r="BD50" s="1">
        <v>1.0</v>
      </c>
      <c r="BE50" s="1">
        <v>0.0</v>
      </c>
      <c r="BF50" s="1">
        <v>0.0</v>
      </c>
      <c r="BG50" s="1">
        <v>0.0</v>
      </c>
      <c r="BH50" s="1">
        <v>1.0</v>
      </c>
      <c r="BI50" s="1" t="s">
        <v>405</v>
      </c>
      <c r="BJ50" s="1" t="s">
        <v>263</v>
      </c>
      <c r="BK50" s="1" t="s">
        <v>407</v>
      </c>
      <c r="BL50" s="1" t="s">
        <v>382</v>
      </c>
      <c r="BM50" s="1" t="s">
        <v>408</v>
      </c>
      <c r="BN50" s="1" t="s">
        <v>408</v>
      </c>
      <c r="BO50" s="1" t="s">
        <v>409</v>
      </c>
      <c r="BP50" s="1" t="s">
        <v>409</v>
      </c>
      <c r="BQ50" s="1" t="s">
        <v>411</v>
      </c>
      <c r="BR50" s="1" t="s">
        <v>255</v>
      </c>
      <c r="BS50" s="1" t="s">
        <v>413</v>
      </c>
      <c r="BT50" s="1" t="s">
        <v>414</v>
      </c>
      <c r="BU50" s="1" t="s">
        <v>254</v>
      </c>
      <c r="BV50" s="1" t="s">
        <v>254</v>
      </c>
      <c r="BW50" s="1" t="s">
        <v>255</v>
      </c>
      <c r="BX50" s="1">
        <v>10.0</v>
      </c>
      <c r="BY50" s="1">
        <v>1.0</v>
      </c>
      <c r="BZ50" s="1">
        <v>1.0</v>
      </c>
      <c r="CA50" s="1">
        <v>10.0</v>
      </c>
      <c r="CB50" s="1">
        <v>0.0</v>
      </c>
      <c r="CC50" s="1">
        <v>0.0</v>
      </c>
      <c r="CD50" s="1">
        <v>0.0</v>
      </c>
      <c r="CE50" s="1">
        <v>0.0</v>
      </c>
      <c r="CF50" s="1">
        <v>1.0</v>
      </c>
      <c r="CG50" s="1">
        <v>1.0</v>
      </c>
      <c r="CH50" s="1">
        <v>0.0</v>
      </c>
      <c r="CI50" s="1">
        <v>0.0</v>
      </c>
      <c r="CJ50" s="1" t="s">
        <v>416</v>
      </c>
      <c r="CK50" s="1" t="s">
        <v>384</v>
      </c>
      <c r="CL50" s="1" t="s">
        <v>317</v>
      </c>
      <c r="CM50" s="1" t="s">
        <v>254</v>
      </c>
      <c r="CN50" s="1">
        <v>0.0</v>
      </c>
      <c r="CO50" s="1" t="s">
        <v>254</v>
      </c>
      <c r="CP50" s="1">
        <v>0.0</v>
      </c>
      <c r="CQ50" s="1">
        <v>5.0</v>
      </c>
      <c r="CR50" s="1">
        <v>2.0</v>
      </c>
      <c r="CS50" s="1">
        <v>1.0</v>
      </c>
      <c r="CT50" s="1">
        <v>0.0</v>
      </c>
      <c r="CU50" s="1">
        <v>0.0</v>
      </c>
      <c r="CV50" s="1" t="s">
        <v>254</v>
      </c>
      <c r="CW50" s="1" t="s">
        <v>254</v>
      </c>
      <c r="CX50" s="1" t="s">
        <v>254</v>
      </c>
      <c r="CY50" s="1" t="s">
        <v>254</v>
      </c>
      <c r="CZ50" s="1" t="s">
        <v>254</v>
      </c>
      <c r="DA50" s="1" t="s">
        <v>254</v>
      </c>
      <c r="DB50" s="1" t="s">
        <v>255</v>
      </c>
      <c r="DC50" s="1" t="s">
        <v>254</v>
      </c>
      <c r="DD50" s="1" t="s">
        <v>255</v>
      </c>
      <c r="DE50" s="1" t="s">
        <v>323</v>
      </c>
      <c r="DF50" s="1" t="s">
        <v>293</v>
      </c>
      <c r="DG50" s="1" t="s">
        <v>323</v>
      </c>
      <c r="DH50" s="1" t="s">
        <v>323</v>
      </c>
      <c r="DI50" s="1" t="s">
        <v>291</v>
      </c>
      <c r="DJ50" s="1" t="s">
        <v>293</v>
      </c>
      <c r="DK50" s="1" t="s">
        <v>293</v>
      </c>
      <c r="DL50" s="1" t="s">
        <v>290</v>
      </c>
      <c r="DM50" s="1" t="s">
        <v>323</v>
      </c>
      <c r="DN50" s="1" t="s">
        <v>293</v>
      </c>
      <c r="DO50" s="1" t="s">
        <v>293</v>
      </c>
      <c r="DP50" s="1" t="s">
        <v>293</v>
      </c>
      <c r="DQ50" s="1" t="s">
        <v>293</v>
      </c>
      <c r="DR50" s="1" t="s">
        <v>293</v>
      </c>
      <c r="DS50" s="1" t="s">
        <v>293</v>
      </c>
      <c r="DT50" s="1" t="s">
        <v>293</v>
      </c>
      <c r="DU50" s="1" t="s">
        <v>293</v>
      </c>
      <c r="DV50" s="1" t="s">
        <v>293</v>
      </c>
      <c r="DW50" s="1" t="s">
        <v>293</v>
      </c>
      <c r="DX50" s="1" t="s">
        <v>293</v>
      </c>
      <c r="DY50" s="1" t="s">
        <v>293</v>
      </c>
      <c r="DZ50" s="1" t="s">
        <v>293</v>
      </c>
      <c r="EA50" s="1" t="s">
        <v>254</v>
      </c>
      <c r="EB50" s="1" t="s">
        <v>254</v>
      </c>
      <c r="EC50" s="1" t="s">
        <v>254</v>
      </c>
      <c r="ED50" s="1">
        <v>0.0</v>
      </c>
      <c r="EE50" s="1" t="s">
        <v>254</v>
      </c>
      <c r="EF50" s="60"/>
      <c r="EG50" s="34"/>
      <c r="EH50" s="34"/>
      <c r="EI50" s="1" t="s">
        <v>293</v>
      </c>
      <c r="EJ50" s="1" t="s">
        <v>293</v>
      </c>
      <c r="EK50" s="1" t="s">
        <v>293</v>
      </c>
      <c r="EL50" s="1" t="s">
        <v>293</v>
      </c>
      <c r="EM50" s="1" t="s">
        <v>293</v>
      </c>
      <c r="EN50" s="1" t="s">
        <v>293</v>
      </c>
      <c r="EO50" s="1" t="s">
        <v>293</v>
      </c>
      <c r="EP50" s="1" t="s">
        <v>293</v>
      </c>
      <c r="EQ50" s="1" t="s">
        <v>293</v>
      </c>
      <c r="ER50" s="1" t="s">
        <v>293</v>
      </c>
      <c r="ES50" s="1" t="s">
        <v>293</v>
      </c>
      <c r="ET50" s="1" t="s">
        <v>293</v>
      </c>
      <c r="EU50" s="1" t="s">
        <v>422</v>
      </c>
      <c r="EV50" s="1" t="s">
        <v>423</v>
      </c>
      <c r="EW50" s="1" t="s">
        <v>255</v>
      </c>
      <c r="EX50" s="1" t="s">
        <v>254</v>
      </c>
      <c r="EY50" s="1" t="s">
        <v>425</v>
      </c>
      <c r="EZ50" s="1" t="s">
        <v>427</v>
      </c>
      <c r="FA50" s="1" t="s">
        <v>428</v>
      </c>
      <c r="FB50" s="1" t="s">
        <v>255</v>
      </c>
      <c r="FC50" s="1" t="s">
        <v>425</v>
      </c>
      <c r="FD50" s="1" t="s">
        <v>429</v>
      </c>
      <c r="FE50" s="1" t="s">
        <v>428</v>
      </c>
      <c r="FF50" s="1" t="s">
        <v>430</v>
      </c>
      <c r="FG50" s="1" t="s">
        <v>425</v>
      </c>
      <c r="FH50" s="1" t="s">
        <v>427</v>
      </c>
      <c r="FI50" s="1">
        <v>0.0</v>
      </c>
      <c r="FJ50" s="1" t="s">
        <v>430</v>
      </c>
      <c r="FK50" s="1" t="s">
        <v>425</v>
      </c>
      <c r="FL50" s="1" t="s">
        <v>427</v>
      </c>
      <c r="FM50" s="34"/>
      <c r="FN50" s="1" t="s">
        <v>293</v>
      </c>
      <c r="FO50" s="1">
        <v>0.0</v>
      </c>
      <c r="FP50" s="34"/>
      <c r="FQ50" s="1">
        <v>0.0</v>
      </c>
      <c r="FR50" s="28" t="s">
        <v>357</v>
      </c>
      <c r="FS50" s="28" t="s">
        <v>298</v>
      </c>
      <c r="FT50" s="28" t="s">
        <v>298</v>
      </c>
      <c r="FU50" s="28" t="s">
        <v>298</v>
      </c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  <c r="HB50" s="34"/>
      <c r="HC50" s="34"/>
      <c r="HD50" s="34"/>
      <c r="HE50" s="34"/>
      <c r="HF50" s="34"/>
      <c r="HG50" s="34"/>
      <c r="HH50" s="34"/>
      <c r="HI50" s="34"/>
      <c r="HJ50" s="34"/>
      <c r="HK50" s="34"/>
    </row>
    <row r="51">
      <c r="A51" s="44" t="s">
        <v>866</v>
      </c>
      <c r="B51" s="3">
        <v>48.0</v>
      </c>
      <c r="C51" s="3" t="s">
        <v>759</v>
      </c>
      <c r="D51" s="30">
        <v>25685.0</v>
      </c>
      <c r="E51" s="1">
        <v>56.0</v>
      </c>
      <c r="F51" s="3" t="s">
        <v>253</v>
      </c>
      <c r="G51" s="3" t="s">
        <v>252</v>
      </c>
      <c r="H51" s="3" t="s">
        <v>253</v>
      </c>
      <c r="I51" s="3" t="s">
        <v>252</v>
      </c>
      <c r="J51" s="3" t="s">
        <v>252</v>
      </c>
      <c r="K51" s="3" t="s">
        <v>252</v>
      </c>
      <c r="L51" s="3" t="s">
        <v>254</v>
      </c>
      <c r="M51" s="3" t="s">
        <v>254</v>
      </c>
      <c r="N51" s="3" t="s">
        <v>254</v>
      </c>
      <c r="O51" s="3" t="s">
        <v>254</v>
      </c>
      <c r="P51" s="3" t="s">
        <v>255</v>
      </c>
      <c r="Q51" s="3" t="s">
        <v>548</v>
      </c>
      <c r="R51" s="7" t="s">
        <v>298</v>
      </c>
      <c r="S51" s="7" t="s">
        <v>359</v>
      </c>
      <c r="T51" s="1" t="s">
        <v>259</v>
      </c>
      <c r="U51" s="1" t="s">
        <v>306</v>
      </c>
      <c r="V51" s="1" t="s">
        <v>435</v>
      </c>
      <c r="W51" s="1" t="s">
        <v>436</v>
      </c>
      <c r="X51" s="1" t="s">
        <v>254</v>
      </c>
      <c r="Y51" s="34"/>
      <c r="Z51" s="1">
        <v>0.0</v>
      </c>
      <c r="AA51" s="1">
        <v>0.0</v>
      </c>
      <c r="AB51" s="1" t="s">
        <v>437</v>
      </c>
      <c r="AC51" s="1">
        <v>0.0</v>
      </c>
      <c r="AD51" s="1" t="s">
        <v>438</v>
      </c>
      <c r="AE51" s="1" t="s">
        <v>265</v>
      </c>
      <c r="AF51" s="1" t="s">
        <v>255</v>
      </c>
      <c r="AG51" s="1" t="s">
        <v>439</v>
      </c>
      <c r="AH51" s="1" t="s">
        <v>440</v>
      </c>
      <c r="AI51" s="1" t="s">
        <v>441</v>
      </c>
      <c r="AJ51" s="30">
        <v>45474.0</v>
      </c>
      <c r="AK51" s="1" t="s">
        <v>267</v>
      </c>
      <c r="AL51" s="1" t="s">
        <v>442</v>
      </c>
      <c r="AN51" s="18" t="s">
        <v>269</v>
      </c>
      <c r="AO51" s="1" t="s">
        <v>270</v>
      </c>
      <c r="AP51" s="1" t="s">
        <v>342</v>
      </c>
      <c r="AQ51" s="1" t="s">
        <v>443</v>
      </c>
      <c r="AR51" s="1">
        <v>2.0</v>
      </c>
      <c r="AS51" s="1" t="s">
        <v>273</v>
      </c>
      <c r="AT51" s="1" t="s">
        <v>274</v>
      </c>
      <c r="AU51" s="1" t="s">
        <v>316</v>
      </c>
      <c r="AV51" s="1" t="s">
        <v>379</v>
      </c>
      <c r="AW51" s="1" t="s">
        <v>402</v>
      </c>
      <c r="AX51" s="1" t="s">
        <v>254</v>
      </c>
      <c r="AY51" s="1">
        <v>0.0</v>
      </c>
      <c r="AZ51" s="1" t="s">
        <v>255</v>
      </c>
      <c r="BA51" s="1" t="s">
        <v>446</v>
      </c>
      <c r="BB51" s="1" t="s">
        <v>255</v>
      </c>
      <c r="BC51" s="1" t="s">
        <v>279</v>
      </c>
      <c r="BD51" s="1">
        <v>1.0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 t="s">
        <v>382</v>
      </c>
      <c r="BM51" s="1" t="s">
        <v>442</v>
      </c>
      <c r="BO51" s="1" t="s">
        <v>269</v>
      </c>
      <c r="BQ51" s="1" t="s">
        <v>342</v>
      </c>
      <c r="BR51" s="1" t="s">
        <v>255</v>
      </c>
      <c r="BS51" s="1" t="s">
        <v>447</v>
      </c>
      <c r="BT51" s="1" t="s">
        <v>414</v>
      </c>
      <c r="BU51" s="1" t="s">
        <v>254</v>
      </c>
      <c r="BV51" s="1" t="s">
        <v>254</v>
      </c>
      <c r="BW51" s="1" t="s">
        <v>254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 t="s">
        <v>254</v>
      </c>
      <c r="CN51" s="1">
        <v>0.0</v>
      </c>
      <c r="CO51" s="1" t="s">
        <v>254</v>
      </c>
      <c r="CP51" s="1">
        <v>0.0</v>
      </c>
      <c r="CQ51" s="1">
        <v>0.0</v>
      </c>
      <c r="CR51" s="1">
        <v>0.0</v>
      </c>
      <c r="CS51" s="1">
        <v>1.0</v>
      </c>
      <c r="CT51" s="1">
        <v>0.0</v>
      </c>
      <c r="CU51" s="1">
        <v>0.0</v>
      </c>
      <c r="CV51" s="1" t="s">
        <v>255</v>
      </c>
      <c r="CW51" s="1" t="s">
        <v>254</v>
      </c>
      <c r="CX51" s="1" t="s">
        <v>254</v>
      </c>
      <c r="CY51" s="1" t="s">
        <v>254</v>
      </c>
      <c r="CZ51" s="1" t="s">
        <v>254</v>
      </c>
      <c r="DA51" s="1" t="s">
        <v>255</v>
      </c>
      <c r="DB51" s="1" t="s">
        <v>254</v>
      </c>
      <c r="DC51" s="1" t="s">
        <v>255</v>
      </c>
      <c r="DD51" s="1" t="s">
        <v>255</v>
      </c>
      <c r="DE51" s="1" t="s">
        <v>388</v>
      </c>
      <c r="DF51" s="1" t="s">
        <v>293</v>
      </c>
      <c r="DG51" s="1" t="s">
        <v>450</v>
      </c>
      <c r="DH51" s="1" t="s">
        <v>293</v>
      </c>
      <c r="DI51" s="1" t="s">
        <v>293</v>
      </c>
      <c r="DJ51" s="1" t="s">
        <v>293</v>
      </c>
      <c r="DK51" s="1" t="s">
        <v>293</v>
      </c>
      <c r="DL51" s="1" t="s">
        <v>353</v>
      </c>
      <c r="DM51" s="1" t="s">
        <v>293</v>
      </c>
      <c r="DN51" s="1" t="s">
        <v>293</v>
      </c>
      <c r="DO51" s="1" t="s">
        <v>293</v>
      </c>
      <c r="DP51" s="1" t="s">
        <v>451</v>
      </c>
      <c r="DQ51" s="1" t="s">
        <v>293</v>
      </c>
      <c r="DR51" s="1" t="s">
        <v>293</v>
      </c>
      <c r="DS51" s="1" t="s">
        <v>293</v>
      </c>
      <c r="DT51" s="1" t="s">
        <v>293</v>
      </c>
      <c r="DU51" s="1" t="s">
        <v>293</v>
      </c>
      <c r="DV51" s="1" t="s">
        <v>293</v>
      </c>
      <c r="DW51" s="1" t="s">
        <v>293</v>
      </c>
      <c r="DX51" s="1" t="s">
        <v>293</v>
      </c>
      <c r="DY51" s="1" t="s">
        <v>293</v>
      </c>
      <c r="DZ51" s="1" t="s">
        <v>293</v>
      </c>
      <c r="EA51" s="1" t="s">
        <v>254</v>
      </c>
      <c r="EB51" s="1" t="s">
        <v>254</v>
      </c>
      <c r="EC51" s="1" t="s">
        <v>254</v>
      </c>
      <c r="ED51" s="1">
        <v>0.0</v>
      </c>
      <c r="EE51" s="1" t="s">
        <v>255</v>
      </c>
      <c r="EF51" s="1" t="s">
        <v>452</v>
      </c>
      <c r="EG51" s="1" t="s">
        <v>389</v>
      </c>
      <c r="EI51" s="1" t="s">
        <v>390</v>
      </c>
      <c r="EJ51" s="1" t="s">
        <v>293</v>
      </c>
      <c r="EK51" s="1" t="s">
        <v>293</v>
      </c>
      <c r="EL51" s="1" t="s">
        <v>293</v>
      </c>
      <c r="EM51" s="1" t="s">
        <v>293</v>
      </c>
      <c r="EN51" s="1" t="s">
        <v>353</v>
      </c>
      <c r="EO51" s="1" t="s">
        <v>293</v>
      </c>
      <c r="EP51" s="1" t="s">
        <v>293</v>
      </c>
      <c r="EQ51" s="1" t="s">
        <v>293</v>
      </c>
      <c r="ER51" s="1" t="s">
        <v>293</v>
      </c>
      <c r="ES51" s="1" t="s">
        <v>293</v>
      </c>
      <c r="ET51" s="1" t="s">
        <v>293</v>
      </c>
      <c r="EU51" s="1" t="s">
        <v>293</v>
      </c>
      <c r="EV51" s="1" t="s">
        <v>387</v>
      </c>
      <c r="EW51" s="1" t="s">
        <v>254</v>
      </c>
      <c r="EX51" s="1" t="s">
        <v>254</v>
      </c>
      <c r="EY51" s="1">
        <v>0.0</v>
      </c>
      <c r="EZ51" s="1" t="s">
        <v>427</v>
      </c>
      <c r="FA51" s="1" t="s">
        <v>453</v>
      </c>
      <c r="FB51" s="1" t="s">
        <v>454</v>
      </c>
      <c r="FC51" s="1">
        <v>0.0</v>
      </c>
      <c r="FD51" s="1">
        <v>0.0</v>
      </c>
      <c r="FE51" s="1">
        <v>0.0</v>
      </c>
      <c r="FF51" s="1" t="s">
        <v>454</v>
      </c>
      <c r="FG51" s="1">
        <v>0.0</v>
      </c>
      <c r="FH51" s="1">
        <v>0.0</v>
      </c>
      <c r="FI51" s="1">
        <v>0.0</v>
      </c>
      <c r="FJ51" s="1" t="s">
        <v>454</v>
      </c>
      <c r="FK51" s="1">
        <v>0.0</v>
      </c>
      <c r="FL51" s="1">
        <v>0.0</v>
      </c>
      <c r="FM51" s="1">
        <v>0.0</v>
      </c>
      <c r="FN51" s="1" t="s">
        <v>454</v>
      </c>
      <c r="FO51" s="1">
        <v>0.0</v>
      </c>
      <c r="FP51" s="1">
        <v>0.0</v>
      </c>
      <c r="FQ51" s="1">
        <v>0.0</v>
      </c>
      <c r="FR51" s="28" t="s">
        <v>357</v>
      </c>
      <c r="FS51" s="28" t="s">
        <v>298</v>
      </c>
      <c r="FT51" s="28" t="s">
        <v>298</v>
      </c>
      <c r="FU51" s="28" t="s">
        <v>298</v>
      </c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  <c r="HB51" s="34"/>
      <c r="HC51" s="34"/>
      <c r="HD51" s="34"/>
      <c r="HE51" s="34"/>
      <c r="HF51" s="34"/>
      <c r="HG51" s="34"/>
      <c r="HH51" s="34"/>
      <c r="HI51" s="34"/>
      <c r="HJ51" s="34"/>
      <c r="HK51" s="34"/>
    </row>
    <row r="52">
      <c r="A52" s="44" t="s">
        <v>869</v>
      </c>
      <c r="B52" s="3">
        <v>49.0</v>
      </c>
      <c r="C52" s="3" t="s">
        <v>763</v>
      </c>
      <c r="D52" s="30">
        <v>27878.0</v>
      </c>
      <c r="E52" s="1">
        <v>50.0</v>
      </c>
      <c r="F52" s="3" t="s">
        <v>252</v>
      </c>
      <c r="G52" s="3" t="s">
        <v>253</v>
      </c>
      <c r="H52" s="3" t="s">
        <v>253</v>
      </c>
      <c r="I52" s="3" t="s">
        <v>252</v>
      </c>
      <c r="J52" s="3" t="s">
        <v>253</v>
      </c>
      <c r="K52" s="3" t="s">
        <v>253</v>
      </c>
      <c r="L52" s="3" t="s">
        <v>254</v>
      </c>
      <c r="M52" s="3" t="s">
        <v>255</v>
      </c>
      <c r="N52" s="3" t="s">
        <v>254</v>
      </c>
      <c r="O52" s="3" t="s">
        <v>255</v>
      </c>
      <c r="P52" s="3" t="s">
        <v>254</v>
      </c>
      <c r="Q52" s="3" t="s">
        <v>548</v>
      </c>
      <c r="R52" s="7" t="s">
        <v>298</v>
      </c>
      <c r="S52" s="7" t="s">
        <v>359</v>
      </c>
      <c r="T52" s="1" t="s">
        <v>259</v>
      </c>
      <c r="U52" s="1" t="s">
        <v>539</v>
      </c>
      <c r="W52" s="1" t="s">
        <v>254</v>
      </c>
      <c r="X52" s="1" t="s">
        <v>254</v>
      </c>
      <c r="Y52" s="1">
        <v>0.0</v>
      </c>
      <c r="Z52" s="1">
        <v>0.0</v>
      </c>
      <c r="AA52" s="1">
        <v>0.0</v>
      </c>
      <c r="AB52" s="1" t="s">
        <v>540</v>
      </c>
      <c r="AC52" s="1">
        <v>0.0</v>
      </c>
      <c r="AD52" s="1">
        <v>0.0</v>
      </c>
      <c r="AE52" s="1" t="s">
        <v>265</v>
      </c>
      <c r="AF52" s="1" t="s">
        <v>255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 t="s">
        <v>541</v>
      </c>
      <c r="AM52" s="1" t="s">
        <v>269</v>
      </c>
      <c r="AN52" s="1" t="s">
        <v>542</v>
      </c>
      <c r="AO52" s="1" t="s">
        <v>270</v>
      </c>
      <c r="AP52" s="1" t="s">
        <v>271</v>
      </c>
      <c r="AQ52" s="1" t="s">
        <v>476</v>
      </c>
      <c r="AR52" s="1">
        <v>5.0</v>
      </c>
      <c r="AS52" s="1" t="s">
        <v>273</v>
      </c>
      <c r="AT52" s="1" t="s">
        <v>274</v>
      </c>
      <c r="AU52" s="1" t="s">
        <v>275</v>
      </c>
      <c r="AV52" s="1" t="s">
        <v>276</v>
      </c>
      <c r="AW52" s="1" t="s">
        <v>544</v>
      </c>
      <c r="AX52" s="1" t="s">
        <v>254</v>
      </c>
      <c r="AY52" s="1">
        <v>0.0</v>
      </c>
      <c r="AZ52" s="1" t="s">
        <v>255</v>
      </c>
      <c r="BA52" s="1" t="s">
        <v>278</v>
      </c>
      <c r="BB52" s="1" t="s">
        <v>255</v>
      </c>
      <c r="BC52" s="1" t="s">
        <v>279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 t="s">
        <v>320</v>
      </c>
      <c r="BM52" s="1" t="s">
        <v>541</v>
      </c>
      <c r="BN52" s="1" t="s">
        <v>269</v>
      </c>
      <c r="BO52" s="1" t="s">
        <v>542</v>
      </c>
      <c r="BP52" s="1" t="s">
        <v>270</v>
      </c>
      <c r="BQ52" s="1" t="s">
        <v>271</v>
      </c>
      <c r="BR52" s="1" t="s">
        <v>255</v>
      </c>
      <c r="BS52" s="1" t="s">
        <v>545</v>
      </c>
      <c r="BT52" s="1" t="s">
        <v>414</v>
      </c>
      <c r="BU52" s="1" t="s">
        <v>254</v>
      </c>
      <c r="BV52" s="1" t="s">
        <v>254</v>
      </c>
      <c r="BW52" s="1" t="s">
        <v>255</v>
      </c>
      <c r="BX52" s="1">
        <v>20.0</v>
      </c>
      <c r="BY52" s="1">
        <v>2.0</v>
      </c>
      <c r="BZ52" s="1">
        <v>0.0</v>
      </c>
      <c r="CA52" s="1">
        <v>15.0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 t="s">
        <v>547</v>
      </c>
      <c r="CK52" s="1" t="s">
        <v>384</v>
      </c>
      <c r="CL52" s="1" t="s">
        <v>317</v>
      </c>
      <c r="CM52" s="1" t="s">
        <v>255</v>
      </c>
      <c r="CN52" s="1" t="s">
        <v>162</v>
      </c>
      <c r="CO52" s="1" t="s">
        <v>549</v>
      </c>
      <c r="CP52" s="1" t="s">
        <v>549</v>
      </c>
      <c r="CQ52" s="1" t="s">
        <v>551</v>
      </c>
      <c r="CU52" s="34"/>
      <c r="CV52" s="1" t="s">
        <v>255</v>
      </c>
      <c r="CW52" s="1" t="s">
        <v>480</v>
      </c>
      <c r="CX52" s="1" t="s">
        <v>480</v>
      </c>
      <c r="CY52" s="1" t="s">
        <v>480</v>
      </c>
      <c r="CZ52" s="1" t="s">
        <v>254</v>
      </c>
      <c r="DA52" s="1" t="s">
        <v>255</v>
      </c>
      <c r="DB52" s="1" t="s">
        <v>255</v>
      </c>
      <c r="DC52" s="1" t="s">
        <v>254</v>
      </c>
      <c r="DD52" s="1" t="s">
        <v>255</v>
      </c>
      <c r="DE52" s="1" t="s">
        <v>388</v>
      </c>
      <c r="DF52" s="1" t="s">
        <v>293</v>
      </c>
      <c r="DG52" s="1" t="s">
        <v>450</v>
      </c>
      <c r="DH52" s="1" t="s">
        <v>450</v>
      </c>
      <c r="DI52" s="1" t="s">
        <v>450</v>
      </c>
      <c r="DJ52" s="1" t="s">
        <v>293</v>
      </c>
      <c r="DK52" s="1" t="s">
        <v>388</v>
      </c>
      <c r="DL52" s="1" t="s">
        <v>424</v>
      </c>
      <c r="DM52" s="1" t="s">
        <v>388</v>
      </c>
      <c r="DN52" s="1" t="s">
        <v>293</v>
      </c>
      <c r="DO52" s="1" t="s">
        <v>293</v>
      </c>
      <c r="DP52" s="1" t="s">
        <v>293</v>
      </c>
      <c r="DQ52" s="1" t="s">
        <v>293</v>
      </c>
      <c r="DR52" s="1" t="s">
        <v>293</v>
      </c>
      <c r="DS52" s="1" t="s">
        <v>293</v>
      </c>
      <c r="DT52" s="1" t="s">
        <v>293</v>
      </c>
      <c r="DU52" s="1" t="s">
        <v>293</v>
      </c>
      <c r="DV52" s="1" t="s">
        <v>293</v>
      </c>
      <c r="DW52" s="1" t="s">
        <v>293</v>
      </c>
      <c r="DX52" s="1" t="s">
        <v>293</v>
      </c>
      <c r="DY52" s="1" t="s">
        <v>293</v>
      </c>
      <c r="DZ52" s="1" t="s">
        <v>293</v>
      </c>
      <c r="EA52" s="1" t="s">
        <v>255</v>
      </c>
      <c r="EB52" s="1" t="s">
        <v>555</v>
      </c>
      <c r="EC52" s="1" t="s">
        <v>254</v>
      </c>
      <c r="ED52" s="1">
        <v>0.0</v>
      </c>
      <c r="EE52" s="1" t="s">
        <v>255</v>
      </c>
      <c r="EF52" s="1" t="s">
        <v>531</v>
      </c>
      <c r="EG52" s="1" t="s">
        <v>389</v>
      </c>
      <c r="EI52" s="1" t="s">
        <v>293</v>
      </c>
      <c r="EJ52" s="1" t="s">
        <v>293</v>
      </c>
      <c r="EK52" s="1" t="s">
        <v>293</v>
      </c>
      <c r="EL52" s="1" t="s">
        <v>293</v>
      </c>
      <c r="EM52" s="1" t="s">
        <v>293</v>
      </c>
      <c r="EN52" s="1" t="s">
        <v>353</v>
      </c>
      <c r="EO52" s="1" t="s">
        <v>293</v>
      </c>
      <c r="EP52" s="1" t="s">
        <v>293</v>
      </c>
      <c r="EQ52" s="1" t="s">
        <v>293</v>
      </c>
      <c r="ER52" s="1" t="s">
        <v>293</v>
      </c>
      <c r="ES52" s="1" t="s">
        <v>293</v>
      </c>
      <c r="ET52" s="1" t="s">
        <v>293</v>
      </c>
      <c r="EU52" s="1" t="s">
        <v>293</v>
      </c>
      <c r="EV52" s="1" t="s">
        <v>423</v>
      </c>
      <c r="EW52" s="1" t="s">
        <v>255</v>
      </c>
      <c r="EX52" s="1" t="s">
        <v>254</v>
      </c>
      <c r="EY52" s="1" t="s">
        <v>484</v>
      </c>
      <c r="EZ52" s="1" t="s">
        <v>556</v>
      </c>
      <c r="FA52" s="1" t="s">
        <v>453</v>
      </c>
      <c r="FB52" s="1" t="s">
        <v>254</v>
      </c>
      <c r="FC52" s="1">
        <v>0.0</v>
      </c>
      <c r="FD52" s="1">
        <v>0.0</v>
      </c>
      <c r="FE52" s="1">
        <v>0.0</v>
      </c>
      <c r="FF52" s="1">
        <v>0.0</v>
      </c>
      <c r="FG52" s="1">
        <v>0.0</v>
      </c>
      <c r="FH52" s="1">
        <v>0.0</v>
      </c>
      <c r="FI52" s="1">
        <v>0.0</v>
      </c>
      <c r="FJ52" s="1">
        <v>0.0</v>
      </c>
      <c r="FK52" s="1">
        <v>0.0</v>
      </c>
      <c r="FL52" s="1">
        <v>0.0</v>
      </c>
      <c r="FM52" s="1">
        <v>0.0</v>
      </c>
      <c r="FN52" s="1">
        <v>0.0</v>
      </c>
      <c r="FO52" s="1">
        <v>0.0</v>
      </c>
      <c r="FP52" s="1">
        <v>0.0</v>
      </c>
      <c r="FQ52" s="1">
        <v>0.0</v>
      </c>
      <c r="FR52" s="28" t="s">
        <v>357</v>
      </c>
      <c r="FS52" s="28" t="s">
        <v>298</v>
      </c>
      <c r="FT52" s="28" t="s">
        <v>298</v>
      </c>
      <c r="FU52" s="28" t="s">
        <v>298</v>
      </c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  <c r="HI52" s="34"/>
      <c r="HJ52" s="34"/>
      <c r="HK52" s="34"/>
    </row>
    <row r="53">
      <c r="A53" s="44" t="s">
        <v>872</v>
      </c>
      <c r="B53" s="3">
        <v>50.0</v>
      </c>
      <c r="C53" s="3" t="s">
        <v>766</v>
      </c>
      <c r="D53" s="30">
        <v>35632.0</v>
      </c>
      <c r="E53" s="1">
        <v>28.0</v>
      </c>
      <c r="F53" s="3" t="s">
        <v>252</v>
      </c>
      <c r="G53" s="3" t="s">
        <v>253</v>
      </c>
      <c r="H53" s="3" t="s">
        <v>253</v>
      </c>
      <c r="I53" s="3" t="s">
        <v>252</v>
      </c>
      <c r="J53" s="3" t="s">
        <v>253</v>
      </c>
      <c r="K53" s="3" t="s">
        <v>253</v>
      </c>
      <c r="L53" s="3" t="s">
        <v>254</v>
      </c>
      <c r="M53" s="3" t="s">
        <v>255</v>
      </c>
      <c r="N53" s="3" t="s">
        <v>254</v>
      </c>
      <c r="O53" s="3" t="s">
        <v>255</v>
      </c>
      <c r="P53" s="3" t="s">
        <v>254</v>
      </c>
      <c r="Q53" s="3" t="s">
        <v>548</v>
      </c>
      <c r="R53" s="7" t="s">
        <v>298</v>
      </c>
      <c r="S53" s="7" t="s">
        <v>359</v>
      </c>
      <c r="T53" s="1" t="s">
        <v>305</v>
      </c>
      <c r="U53" s="1" t="s">
        <v>550</v>
      </c>
      <c r="V53" s="1" t="s">
        <v>261</v>
      </c>
      <c r="W53" s="1" t="s">
        <v>254</v>
      </c>
      <c r="X53" s="1" t="s">
        <v>254</v>
      </c>
      <c r="Y53" s="1" t="s">
        <v>262</v>
      </c>
      <c r="Z53" s="1">
        <v>0.0</v>
      </c>
      <c r="AA53" s="34"/>
      <c r="AB53" s="34"/>
      <c r="AC53" s="1">
        <v>0.0</v>
      </c>
      <c r="AD53" s="1">
        <v>0.0</v>
      </c>
      <c r="AE53" s="1">
        <v>0.0</v>
      </c>
      <c r="AF53" s="1" t="s">
        <v>255</v>
      </c>
      <c r="AG53" s="1" t="s">
        <v>397</v>
      </c>
      <c r="AH53" s="1" t="s">
        <v>398</v>
      </c>
      <c r="AI53" s="46">
        <v>45329.0</v>
      </c>
      <c r="AJ53" s="1" t="s">
        <v>366</v>
      </c>
      <c r="AK53" s="1" t="s">
        <v>267</v>
      </c>
      <c r="AL53" s="1" t="s">
        <v>400</v>
      </c>
      <c r="AM53" s="1" t="s">
        <v>269</v>
      </c>
      <c r="AN53" s="1" t="s">
        <v>269</v>
      </c>
      <c r="AO53" s="1" t="s">
        <v>270</v>
      </c>
      <c r="AP53" s="1" t="s">
        <v>284</v>
      </c>
      <c r="AQ53" s="1" t="s">
        <v>401</v>
      </c>
      <c r="AR53" s="1">
        <v>5.0</v>
      </c>
      <c r="AS53" s="1" t="s">
        <v>273</v>
      </c>
      <c r="AT53" s="1" t="s">
        <v>274</v>
      </c>
      <c r="AU53" s="1" t="s">
        <v>275</v>
      </c>
      <c r="AV53" s="1" t="s">
        <v>317</v>
      </c>
      <c r="AW53" s="1" t="s">
        <v>402</v>
      </c>
      <c r="AX53" s="1" t="s">
        <v>254</v>
      </c>
      <c r="AY53" s="1">
        <v>0.0</v>
      </c>
      <c r="AZ53" s="1" t="s">
        <v>255</v>
      </c>
      <c r="BA53" s="1" t="s">
        <v>319</v>
      </c>
      <c r="BB53" s="1" t="s">
        <v>255</v>
      </c>
      <c r="BC53" s="31" t="s">
        <v>279</v>
      </c>
      <c r="BD53" s="1">
        <v>1.0</v>
      </c>
      <c r="BE53" s="1">
        <v>0.0</v>
      </c>
      <c r="BF53" s="1">
        <v>0.0</v>
      </c>
      <c r="BG53" s="1">
        <v>0.0</v>
      </c>
      <c r="BH53" s="1">
        <v>1.0</v>
      </c>
      <c r="BI53" s="1" t="s">
        <v>405</v>
      </c>
      <c r="BJ53" s="1" t="s">
        <v>263</v>
      </c>
      <c r="BK53" s="1" t="s">
        <v>407</v>
      </c>
      <c r="BL53" s="1" t="s">
        <v>382</v>
      </c>
      <c r="BM53" s="1" t="s">
        <v>408</v>
      </c>
      <c r="BN53" s="1" t="s">
        <v>408</v>
      </c>
      <c r="BO53" s="1" t="s">
        <v>409</v>
      </c>
      <c r="BP53" s="1" t="s">
        <v>409</v>
      </c>
      <c r="BQ53" s="1" t="s">
        <v>411</v>
      </c>
      <c r="BR53" s="1" t="s">
        <v>255</v>
      </c>
      <c r="BS53" s="1" t="s">
        <v>413</v>
      </c>
      <c r="BT53" s="1" t="s">
        <v>414</v>
      </c>
      <c r="BU53" s="1" t="s">
        <v>254</v>
      </c>
      <c r="BV53" s="1" t="s">
        <v>254</v>
      </c>
      <c r="BW53" s="1" t="s">
        <v>255</v>
      </c>
      <c r="BX53" s="1">
        <v>10.0</v>
      </c>
      <c r="BY53" s="1">
        <v>1.0</v>
      </c>
      <c r="BZ53" s="1">
        <v>1.0</v>
      </c>
      <c r="CA53" s="1">
        <v>10.0</v>
      </c>
      <c r="CB53" s="1">
        <v>0.0</v>
      </c>
      <c r="CC53" s="1">
        <v>0.0</v>
      </c>
      <c r="CD53" s="1">
        <v>0.0</v>
      </c>
      <c r="CE53" s="1">
        <v>0.0</v>
      </c>
      <c r="CF53" s="1">
        <v>1.0</v>
      </c>
      <c r="CG53" s="1">
        <v>1.0</v>
      </c>
      <c r="CH53" s="1">
        <v>0.0</v>
      </c>
      <c r="CI53" s="1">
        <v>0.0</v>
      </c>
      <c r="CJ53" s="1" t="s">
        <v>416</v>
      </c>
      <c r="CK53" s="1" t="s">
        <v>384</v>
      </c>
      <c r="CL53" s="1" t="s">
        <v>317</v>
      </c>
      <c r="CM53" s="1" t="s">
        <v>254</v>
      </c>
      <c r="CN53" s="1">
        <v>0.0</v>
      </c>
      <c r="CO53" s="1" t="s">
        <v>254</v>
      </c>
      <c r="CP53" s="1">
        <v>0.0</v>
      </c>
      <c r="CQ53" s="1">
        <v>5.0</v>
      </c>
      <c r="CR53" s="1">
        <v>2.0</v>
      </c>
      <c r="CS53" s="1">
        <v>1.0</v>
      </c>
      <c r="CT53" s="1">
        <v>0.0</v>
      </c>
      <c r="CU53" s="1">
        <v>0.0</v>
      </c>
      <c r="CV53" s="1" t="s">
        <v>254</v>
      </c>
      <c r="CW53" s="1" t="s">
        <v>254</v>
      </c>
      <c r="CX53" s="1" t="s">
        <v>254</v>
      </c>
      <c r="CY53" s="1" t="s">
        <v>254</v>
      </c>
      <c r="CZ53" s="1" t="s">
        <v>254</v>
      </c>
      <c r="DA53" s="1" t="s">
        <v>254</v>
      </c>
      <c r="DB53" s="1" t="s">
        <v>255</v>
      </c>
      <c r="DC53" s="1" t="s">
        <v>254</v>
      </c>
      <c r="DD53" s="1" t="s">
        <v>255</v>
      </c>
      <c r="DE53" s="1" t="s">
        <v>323</v>
      </c>
      <c r="DF53" s="1" t="s">
        <v>293</v>
      </c>
      <c r="DG53" s="1" t="s">
        <v>323</v>
      </c>
      <c r="DH53" s="1" t="s">
        <v>323</v>
      </c>
      <c r="DI53" s="1" t="s">
        <v>291</v>
      </c>
      <c r="DJ53" s="1" t="s">
        <v>293</v>
      </c>
      <c r="DK53" s="1" t="s">
        <v>293</v>
      </c>
      <c r="DL53" s="1" t="s">
        <v>290</v>
      </c>
      <c r="DM53" s="1" t="s">
        <v>323</v>
      </c>
      <c r="DN53" s="1" t="s">
        <v>293</v>
      </c>
      <c r="DO53" s="1" t="s">
        <v>293</v>
      </c>
      <c r="DP53" s="1" t="s">
        <v>293</v>
      </c>
      <c r="DQ53" s="1" t="s">
        <v>293</v>
      </c>
      <c r="DR53" s="1" t="s">
        <v>293</v>
      </c>
      <c r="DS53" s="1" t="s">
        <v>293</v>
      </c>
      <c r="DT53" s="1" t="s">
        <v>293</v>
      </c>
      <c r="DU53" s="1" t="s">
        <v>293</v>
      </c>
      <c r="DV53" s="1" t="s">
        <v>293</v>
      </c>
      <c r="DW53" s="1" t="s">
        <v>293</v>
      </c>
      <c r="DX53" s="1" t="s">
        <v>293</v>
      </c>
      <c r="DY53" s="1" t="s">
        <v>293</v>
      </c>
      <c r="DZ53" s="1" t="s">
        <v>293</v>
      </c>
      <c r="EA53" s="1" t="s">
        <v>254</v>
      </c>
      <c r="EB53" s="1" t="s">
        <v>254</v>
      </c>
      <c r="EC53" s="1" t="s">
        <v>254</v>
      </c>
      <c r="ED53" s="1">
        <v>0.0</v>
      </c>
      <c r="EE53" s="1" t="s">
        <v>254</v>
      </c>
      <c r="EF53" s="60"/>
      <c r="EG53" s="34"/>
      <c r="EH53" s="34"/>
      <c r="EI53" s="1" t="s">
        <v>293</v>
      </c>
      <c r="EJ53" s="1" t="s">
        <v>293</v>
      </c>
      <c r="EK53" s="1" t="s">
        <v>293</v>
      </c>
      <c r="EL53" s="1" t="s">
        <v>293</v>
      </c>
      <c r="EM53" s="1" t="s">
        <v>293</v>
      </c>
      <c r="EN53" s="1" t="s">
        <v>293</v>
      </c>
      <c r="EO53" s="1" t="s">
        <v>293</v>
      </c>
      <c r="EP53" s="1" t="s">
        <v>293</v>
      </c>
      <c r="EQ53" s="1" t="s">
        <v>293</v>
      </c>
      <c r="ER53" s="1" t="s">
        <v>293</v>
      </c>
      <c r="ES53" s="1" t="s">
        <v>293</v>
      </c>
      <c r="ET53" s="1" t="s">
        <v>293</v>
      </c>
      <c r="EU53" s="1" t="s">
        <v>422</v>
      </c>
      <c r="EV53" s="1" t="s">
        <v>423</v>
      </c>
      <c r="EW53" s="1" t="s">
        <v>255</v>
      </c>
      <c r="EX53" s="1" t="s">
        <v>254</v>
      </c>
      <c r="EY53" s="1" t="s">
        <v>425</v>
      </c>
      <c r="EZ53" s="1" t="s">
        <v>427</v>
      </c>
      <c r="FA53" s="1" t="s">
        <v>428</v>
      </c>
      <c r="FB53" s="1" t="s">
        <v>255</v>
      </c>
      <c r="FC53" s="1" t="s">
        <v>425</v>
      </c>
      <c r="FD53" s="1" t="s">
        <v>429</v>
      </c>
      <c r="FE53" s="1" t="s">
        <v>428</v>
      </c>
      <c r="FF53" s="1" t="s">
        <v>430</v>
      </c>
      <c r="FG53" s="1" t="s">
        <v>425</v>
      </c>
      <c r="FH53" s="1" t="s">
        <v>427</v>
      </c>
      <c r="FI53" s="1">
        <v>0.0</v>
      </c>
      <c r="FJ53" s="1" t="s">
        <v>430</v>
      </c>
      <c r="FK53" s="1" t="s">
        <v>425</v>
      </c>
      <c r="FL53" s="1" t="s">
        <v>427</v>
      </c>
      <c r="FM53" s="34"/>
      <c r="FN53" s="1" t="s">
        <v>293</v>
      </c>
      <c r="FO53" s="1">
        <v>0.0</v>
      </c>
      <c r="FP53" s="34"/>
      <c r="FQ53" s="1">
        <v>0.0</v>
      </c>
      <c r="FR53" s="28" t="s">
        <v>357</v>
      </c>
      <c r="FS53" s="28" t="s">
        <v>298</v>
      </c>
      <c r="FT53" s="28" t="s">
        <v>298</v>
      </c>
      <c r="FU53" s="28" t="s">
        <v>298</v>
      </c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  <c r="GX53" s="34"/>
      <c r="GY53" s="34"/>
      <c r="GZ53" s="34"/>
      <c r="HA53" s="34"/>
      <c r="HB53" s="34"/>
      <c r="HC53" s="34"/>
      <c r="HD53" s="34"/>
      <c r="HE53" s="34"/>
      <c r="HF53" s="34"/>
      <c r="HG53" s="34"/>
      <c r="HH53" s="34"/>
      <c r="HI53" s="34"/>
      <c r="HJ53" s="34"/>
      <c r="HK53" s="34"/>
    </row>
    <row r="54">
      <c r="A54" s="44" t="s">
        <v>567</v>
      </c>
      <c r="B54" s="3">
        <v>51.0</v>
      </c>
      <c r="C54" s="3" t="s">
        <v>568</v>
      </c>
      <c r="D54" s="30">
        <v>28975.0</v>
      </c>
      <c r="E54" s="1">
        <v>47.0</v>
      </c>
      <c r="F54" s="3" t="s">
        <v>252</v>
      </c>
      <c r="G54" s="3" t="s">
        <v>253</v>
      </c>
      <c r="H54" s="3" t="s">
        <v>253</v>
      </c>
      <c r="I54" s="3" t="s">
        <v>252</v>
      </c>
      <c r="J54" s="3" t="s">
        <v>253</v>
      </c>
      <c r="K54" s="3" t="s">
        <v>253</v>
      </c>
      <c r="L54" s="3" t="s">
        <v>254</v>
      </c>
      <c r="M54" s="3" t="s">
        <v>255</v>
      </c>
      <c r="N54" s="3" t="s">
        <v>254</v>
      </c>
      <c r="O54" s="3" t="s">
        <v>255</v>
      </c>
      <c r="P54" s="3" t="s">
        <v>254</v>
      </c>
      <c r="Q54" s="3" t="s">
        <v>548</v>
      </c>
      <c r="R54" s="7" t="s">
        <v>257</v>
      </c>
      <c r="S54" s="7" t="s">
        <v>258</v>
      </c>
      <c r="T54" s="1" t="s">
        <v>259</v>
      </c>
      <c r="U54" s="1" t="s">
        <v>306</v>
      </c>
      <c r="V54" s="1" t="s">
        <v>435</v>
      </c>
      <c r="W54" s="1" t="s">
        <v>436</v>
      </c>
      <c r="X54" s="1" t="s">
        <v>254</v>
      </c>
      <c r="Y54" s="34"/>
      <c r="Z54" s="1">
        <v>0.0</v>
      </c>
      <c r="AA54" s="1">
        <v>0.0</v>
      </c>
      <c r="AB54" s="1" t="s">
        <v>437</v>
      </c>
      <c r="AC54" s="1">
        <v>0.0</v>
      </c>
      <c r="AD54" s="1" t="s">
        <v>438</v>
      </c>
      <c r="AE54" s="1" t="s">
        <v>265</v>
      </c>
      <c r="AF54" s="1" t="s">
        <v>255</v>
      </c>
      <c r="AG54" s="1" t="s">
        <v>439</v>
      </c>
      <c r="AH54" s="1" t="s">
        <v>440</v>
      </c>
      <c r="AI54" s="46">
        <v>45358.0</v>
      </c>
      <c r="AJ54" s="30">
        <v>45474.0</v>
      </c>
      <c r="AK54" s="1" t="s">
        <v>267</v>
      </c>
      <c r="AL54" s="1" t="s">
        <v>442</v>
      </c>
      <c r="AN54" s="1" t="s">
        <v>269</v>
      </c>
      <c r="AP54" s="1" t="s">
        <v>342</v>
      </c>
      <c r="AQ54" s="1" t="s">
        <v>443</v>
      </c>
      <c r="AR54" s="1">
        <v>2.0</v>
      </c>
      <c r="AS54" s="1" t="s">
        <v>273</v>
      </c>
      <c r="AT54" s="1" t="s">
        <v>274</v>
      </c>
      <c r="AU54" s="1" t="s">
        <v>316</v>
      </c>
      <c r="AV54" s="1" t="s">
        <v>379</v>
      </c>
      <c r="AW54" s="1" t="s">
        <v>402</v>
      </c>
      <c r="AX54" s="1" t="s">
        <v>254</v>
      </c>
      <c r="AY54" s="1">
        <v>0.0</v>
      </c>
      <c r="AZ54" s="1" t="s">
        <v>255</v>
      </c>
      <c r="BA54" s="1" t="s">
        <v>446</v>
      </c>
      <c r="BB54" s="1" t="s">
        <v>255</v>
      </c>
      <c r="BC54" s="1" t="s">
        <v>279</v>
      </c>
      <c r="BD54" s="1">
        <v>1.0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 t="s">
        <v>382</v>
      </c>
      <c r="BM54" s="1" t="s">
        <v>442</v>
      </c>
      <c r="BO54" s="1" t="s">
        <v>269</v>
      </c>
      <c r="BQ54" s="1" t="s">
        <v>342</v>
      </c>
      <c r="BR54" s="1" t="s">
        <v>255</v>
      </c>
      <c r="BS54" s="1" t="s">
        <v>447</v>
      </c>
      <c r="BT54" s="1" t="s">
        <v>414</v>
      </c>
      <c r="BU54" s="1" t="s">
        <v>254</v>
      </c>
      <c r="BV54" s="1" t="s">
        <v>254</v>
      </c>
      <c r="BW54" s="1" t="s">
        <v>254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 t="s">
        <v>254</v>
      </c>
      <c r="CN54" s="1">
        <v>0.0</v>
      </c>
      <c r="CO54" s="1" t="s">
        <v>254</v>
      </c>
      <c r="CP54" s="1">
        <v>0.0</v>
      </c>
      <c r="CQ54" s="1">
        <v>0.0</v>
      </c>
      <c r="CR54" s="1">
        <v>4.0</v>
      </c>
      <c r="CS54" s="1">
        <v>1.0</v>
      </c>
      <c r="CT54" s="1">
        <v>3.0</v>
      </c>
      <c r="CU54" s="1">
        <v>0.0</v>
      </c>
      <c r="CV54" s="1" t="s">
        <v>254</v>
      </c>
      <c r="CW54" s="1" t="s">
        <v>254</v>
      </c>
      <c r="CX54" s="1" t="s">
        <v>254</v>
      </c>
      <c r="CY54" s="1" t="s">
        <v>254</v>
      </c>
      <c r="CZ54" s="1" t="s">
        <v>254</v>
      </c>
      <c r="DA54" s="1" t="s">
        <v>255</v>
      </c>
      <c r="DB54" s="1" t="s">
        <v>254</v>
      </c>
      <c r="DC54" s="1" t="s">
        <v>255</v>
      </c>
      <c r="DD54" s="1" t="s">
        <v>255</v>
      </c>
      <c r="DE54" s="1" t="s">
        <v>388</v>
      </c>
      <c r="DF54" s="1" t="s">
        <v>293</v>
      </c>
      <c r="DG54" s="1" t="s">
        <v>450</v>
      </c>
      <c r="DH54" s="1" t="s">
        <v>293</v>
      </c>
      <c r="DI54" s="1" t="s">
        <v>293</v>
      </c>
      <c r="DJ54" s="1" t="s">
        <v>293</v>
      </c>
      <c r="DK54" s="1" t="s">
        <v>293</v>
      </c>
      <c r="DL54" s="1" t="s">
        <v>353</v>
      </c>
      <c r="DM54" s="1" t="s">
        <v>293</v>
      </c>
      <c r="DN54" s="1" t="s">
        <v>293</v>
      </c>
      <c r="DO54" s="1" t="s">
        <v>293</v>
      </c>
      <c r="DP54" s="1" t="s">
        <v>451</v>
      </c>
      <c r="DQ54" s="1" t="s">
        <v>293</v>
      </c>
      <c r="DR54" s="1" t="s">
        <v>293</v>
      </c>
      <c r="DS54" s="1" t="s">
        <v>293</v>
      </c>
      <c r="DT54" s="1" t="s">
        <v>293</v>
      </c>
      <c r="DU54" s="1" t="s">
        <v>293</v>
      </c>
      <c r="DV54" s="1" t="s">
        <v>293</v>
      </c>
      <c r="DW54" s="1" t="s">
        <v>293</v>
      </c>
      <c r="DX54" s="1" t="s">
        <v>293</v>
      </c>
      <c r="DY54" s="1" t="s">
        <v>293</v>
      </c>
      <c r="DZ54" s="1" t="s">
        <v>293</v>
      </c>
      <c r="EA54" s="1" t="s">
        <v>254</v>
      </c>
      <c r="EB54" s="1" t="s">
        <v>254</v>
      </c>
      <c r="EC54" s="1" t="s">
        <v>254</v>
      </c>
      <c r="ED54" s="1">
        <v>0.0</v>
      </c>
      <c r="EE54" s="1" t="s">
        <v>255</v>
      </c>
      <c r="EF54" s="1" t="s">
        <v>452</v>
      </c>
      <c r="EG54" s="1" t="s">
        <v>389</v>
      </c>
      <c r="EI54" s="1" t="s">
        <v>390</v>
      </c>
      <c r="EJ54" s="1" t="s">
        <v>293</v>
      </c>
      <c r="EK54" s="1" t="s">
        <v>293</v>
      </c>
      <c r="EL54" s="1" t="s">
        <v>293</v>
      </c>
      <c r="EM54" s="1" t="s">
        <v>293</v>
      </c>
      <c r="EN54" s="1" t="s">
        <v>353</v>
      </c>
      <c r="EO54" s="1" t="s">
        <v>293</v>
      </c>
      <c r="EP54" s="1" t="s">
        <v>293</v>
      </c>
      <c r="EQ54" s="1" t="s">
        <v>293</v>
      </c>
      <c r="ER54" s="1" t="s">
        <v>293</v>
      </c>
      <c r="ES54" s="1" t="s">
        <v>293</v>
      </c>
      <c r="ET54" s="1" t="s">
        <v>293</v>
      </c>
      <c r="EU54" s="1" t="s">
        <v>293</v>
      </c>
      <c r="EV54" s="1" t="s">
        <v>387</v>
      </c>
      <c r="EW54" s="1" t="s">
        <v>254</v>
      </c>
      <c r="EX54" s="1" t="s">
        <v>254</v>
      </c>
      <c r="EY54" s="1">
        <v>0.0</v>
      </c>
      <c r="EZ54" s="1" t="s">
        <v>427</v>
      </c>
      <c r="FA54" s="1" t="s">
        <v>453</v>
      </c>
      <c r="FB54" s="1" t="s">
        <v>454</v>
      </c>
      <c r="FC54" s="1">
        <v>0.0</v>
      </c>
      <c r="FD54" s="1">
        <v>0.0</v>
      </c>
      <c r="FE54" s="1">
        <v>0.0</v>
      </c>
      <c r="FF54" s="1" t="s">
        <v>454</v>
      </c>
      <c r="FG54" s="1">
        <v>0.0</v>
      </c>
      <c r="FH54" s="1">
        <v>0.0</v>
      </c>
      <c r="FI54" s="1">
        <v>0.0</v>
      </c>
      <c r="FJ54" s="1" t="s">
        <v>454</v>
      </c>
      <c r="FK54" s="1">
        <v>0.0</v>
      </c>
      <c r="FL54" s="1">
        <v>0.0</v>
      </c>
      <c r="FM54" s="1">
        <v>0.0</v>
      </c>
      <c r="FN54" s="1" t="s">
        <v>454</v>
      </c>
      <c r="FO54" s="1">
        <v>0.0</v>
      </c>
      <c r="FP54" s="1">
        <v>0.0</v>
      </c>
      <c r="FQ54" s="1">
        <v>0.0</v>
      </c>
      <c r="FR54" s="45" t="s">
        <v>198</v>
      </c>
      <c r="FS54" s="28" t="s">
        <v>205</v>
      </c>
      <c r="FT54" s="28" t="s">
        <v>205</v>
      </c>
      <c r="FU54" s="28" t="s">
        <v>298</v>
      </c>
      <c r="FV54" s="1">
        <v>6.0</v>
      </c>
      <c r="FW54" s="1" t="s">
        <v>299</v>
      </c>
      <c r="FX54" s="1">
        <v>15.0</v>
      </c>
      <c r="FY54" s="1" t="s">
        <v>299</v>
      </c>
      <c r="FZ54" s="1">
        <v>15.0</v>
      </c>
      <c r="GA54" s="1" t="s">
        <v>299</v>
      </c>
      <c r="GB54" s="1">
        <v>6.0</v>
      </c>
      <c r="GC54" s="1" t="s">
        <v>299</v>
      </c>
      <c r="GD54" s="1">
        <v>6.0</v>
      </c>
      <c r="GE54" s="1" t="s">
        <v>299</v>
      </c>
      <c r="GF54" s="1">
        <v>22.0</v>
      </c>
      <c r="GG54" s="1" t="s">
        <v>300</v>
      </c>
      <c r="GH54" s="1">
        <v>15.0</v>
      </c>
      <c r="GI54" s="1" t="s">
        <v>299</v>
      </c>
      <c r="GJ54" s="1">
        <v>6.0</v>
      </c>
      <c r="GK54" s="1" t="s">
        <v>299</v>
      </c>
      <c r="GL54" s="1">
        <v>21.0</v>
      </c>
      <c r="GM54" s="1" t="s">
        <v>300</v>
      </c>
      <c r="GN54" s="1">
        <v>34.0</v>
      </c>
      <c r="GO54" s="1" t="s">
        <v>300</v>
      </c>
      <c r="GP54" s="1">
        <v>6.0</v>
      </c>
      <c r="GQ54" s="1" t="s">
        <v>299</v>
      </c>
      <c r="GR54" s="1">
        <v>30.0</v>
      </c>
      <c r="GS54" s="1" t="s">
        <v>300</v>
      </c>
      <c r="GT54" s="1">
        <v>6.0</v>
      </c>
      <c r="GU54" s="1" t="s">
        <v>299</v>
      </c>
      <c r="GV54" s="1">
        <v>6.0</v>
      </c>
      <c r="GW54" s="1" t="s">
        <v>299</v>
      </c>
      <c r="GX54" s="1">
        <v>17.0</v>
      </c>
      <c r="GY54" s="1" t="s">
        <v>300</v>
      </c>
      <c r="GZ54" s="1">
        <v>19.0</v>
      </c>
      <c r="HA54" s="1" t="s">
        <v>299</v>
      </c>
      <c r="HB54" s="1">
        <v>6.0</v>
      </c>
      <c r="HC54" s="1" t="s">
        <v>299</v>
      </c>
      <c r="HD54" s="1">
        <v>13.0</v>
      </c>
      <c r="HE54" s="1" t="s">
        <v>299</v>
      </c>
      <c r="HF54" s="1">
        <v>15.0</v>
      </c>
      <c r="HG54" s="1" t="s">
        <v>299</v>
      </c>
      <c r="HH54" s="1">
        <v>22.0</v>
      </c>
      <c r="HI54" s="1" t="s">
        <v>299</v>
      </c>
      <c r="HJ54" s="1">
        <v>13.0</v>
      </c>
      <c r="HK54" s="1" t="s">
        <v>299</v>
      </c>
    </row>
    <row r="55">
      <c r="A55" s="44" t="s">
        <v>879</v>
      </c>
      <c r="B55" s="3">
        <v>52.0</v>
      </c>
      <c r="C55" s="3" t="s">
        <v>783</v>
      </c>
      <c r="D55" s="30">
        <v>16549.0</v>
      </c>
      <c r="E55" s="1">
        <v>81.0</v>
      </c>
      <c r="F55" s="3" t="s">
        <v>252</v>
      </c>
      <c r="G55" s="3" t="s">
        <v>253</v>
      </c>
      <c r="H55" s="3" t="s">
        <v>253</v>
      </c>
      <c r="I55" s="3" t="s">
        <v>252</v>
      </c>
      <c r="J55" s="3" t="s">
        <v>253</v>
      </c>
      <c r="K55" s="3" t="s">
        <v>253</v>
      </c>
      <c r="L55" s="3" t="s">
        <v>254</v>
      </c>
      <c r="M55" s="3" t="s">
        <v>255</v>
      </c>
      <c r="N55" s="3" t="s">
        <v>254</v>
      </c>
      <c r="O55" s="3" t="s">
        <v>255</v>
      </c>
      <c r="P55" s="3" t="s">
        <v>254</v>
      </c>
      <c r="Q55" s="3" t="s">
        <v>548</v>
      </c>
      <c r="R55" s="7" t="s">
        <v>298</v>
      </c>
      <c r="S55" s="7" t="s">
        <v>359</v>
      </c>
      <c r="T55" s="1" t="s">
        <v>305</v>
      </c>
      <c r="U55" s="1" t="s">
        <v>306</v>
      </c>
      <c r="V55" s="1" t="s">
        <v>435</v>
      </c>
      <c r="W55" s="1" t="s">
        <v>436</v>
      </c>
      <c r="X55" s="1" t="s">
        <v>254</v>
      </c>
      <c r="Y55" s="34"/>
      <c r="Z55" s="1">
        <v>0.0</v>
      </c>
      <c r="AA55" s="1">
        <v>0.0</v>
      </c>
      <c r="AB55" s="1" t="s">
        <v>437</v>
      </c>
      <c r="AC55" s="1">
        <v>1.0</v>
      </c>
      <c r="AD55" s="1" t="s">
        <v>635</v>
      </c>
      <c r="AE55" s="1" t="s">
        <v>265</v>
      </c>
      <c r="AF55" s="1" t="s">
        <v>255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 t="s">
        <v>442</v>
      </c>
      <c r="AN55" s="1" t="s">
        <v>269</v>
      </c>
      <c r="AP55" s="1" t="s">
        <v>342</v>
      </c>
      <c r="AQ55" s="1" t="s">
        <v>443</v>
      </c>
      <c r="AR55" s="1">
        <v>3.0</v>
      </c>
      <c r="AS55" s="1" t="s">
        <v>273</v>
      </c>
      <c r="AT55" s="1" t="s">
        <v>274</v>
      </c>
      <c r="AU55" s="1" t="s">
        <v>316</v>
      </c>
      <c r="AV55" s="1" t="s">
        <v>379</v>
      </c>
      <c r="AW55" s="1" t="s">
        <v>402</v>
      </c>
      <c r="AX55" s="1" t="s">
        <v>254</v>
      </c>
      <c r="AY55" s="1">
        <v>0.0</v>
      </c>
      <c r="AZ55" s="1" t="s">
        <v>255</v>
      </c>
      <c r="BA55" s="1" t="s">
        <v>446</v>
      </c>
      <c r="BB55" s="1" t="s">
        <v>254</v>
      </c>
      <c r="BC55" s="1" t="s">
        <v>279</v>
      </c>
      <c r="BD55" s="1">
        <v>1.0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 t="s">
        <v>382</v>
      </c>
      <c r="BM55" s="1" t="s">
        <v>442</v>
      </c>
      <c r="BO55" s="1" t="s">
        <v>269</v>
      </c>
      <c r="BQ55" s="1" t="s">
        <v>342</v>
      </c>
      <c r="BR55" s="1" t="s">
        <v>255</v>
      </c>
      <c r="BS55" s="1" t="s">
        <v>706</v>
      </c>
      <c r="BT55" s="1" t="s">
        <v>414</v>
      </c>
      <c r="BU55" s="1" t="s">
        <v>254</v>
      </c>
      <c r="BV55" s="1" t="s">
        <v>254</v>
      </c>
      <c r="BW55" s="1" t="s">
        <v>254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0.0</v>
      </c>
      <c r="CL55" s="1">
        <v>0.0</v>
      </c>
      <c r="CM55" s="1" t="s">
        <v>254</v>
      </c>
      <c r="CN55" s="1">
        <v>0.0</v>
      </c>
      <c r="CO55" s="1" t="s">
        <v>254</v>
      </c>
      <c r="CP55" s="1">
        <v>0.0</v>
      </c>
      <c r="CQ55" s="1">
        <v>0.0</v>
      </c>
      <c r="CR55" s="1">
        <v>0.0</v>
      </c>
      <c r="CS55" s="1">
        <v>4.0</v>
      </c>
      <c r="CT55" s="1">
        <v>2.0</v>
      </c>
      <c r="CU55" s="1">
        <v>2.0</v>
      </c>
      <c r="CV55" s="1" t="s">
        <v>255</v>
      </c>
      <c r="CW55" s="1" t="s">
        <v>254</v>
      </c>
      <c r="CX55" s="1" t="s">
        <v>254</v>
      </c>
      <c r="CY55" s="1" t="s">
        <v>254</v>
      </c>
      <c r="CZ55" s="1" t="s">
        <v>254</v>
      </c>
      <c r="DA55" s="1" t="s">
        <v>255</v>
      </c>
      <c r="DB55" s="1" t="s">
        <v>254</v>
      </c>
      <c r="DC55" s="1" t="s">
        <v>255</v>
      </c>
      <c r="DD55" s="1" t="s">
        <v>255</v>
      </c>
      <c r="DE55" s="1" t="s">
        <v>388</v>
      </c>
      <c r="DF55" s="1" t="s">
        <v>293</v>
      </c>
      <c r="DG55" s="1" t="s">
        <v>450</v>
      </c>
      <c r="DH55" s="1" t="s">
        <v>293</v>
      </c>
      <c r="DI55" s="1" t="s">
        <v>293</v>
      </c>
      <c r="DJ55" s="1" t="s">
        <v>293</v>
      </c>
      <c r="DK55" s="1" t="s">
        <v>293</v>
      </c>
      <c r="DL55" s="1" t="s">
        <v>353</v>
      </c>
      <c r="DM55" s="1" t="s">
        <v>293</v>
      </c>
      <c r="DN55" s="1" t="s">
        <v>293</v>
      </c>
      <c r="DO55" s="1" t="s">
        <v>293</v>
      </c>
      <c r="DP55" s="1" t="s">
        <v>451</v>
      </c>
      <c r="DQ55" s="1" t="s">
        <v>293</v>
      </c>
      <c r="DR55" s="1" t="s">
        <v>293</v>
      </c>
      <c r="DS55" s="1" t="s">
        <v>293</v>
      </c>
      <c r="DT55" s="1" t="s">
        <v>293</v>
      </c>
      <c r="DU55" s="1" t="s">
        <v>293</v>
      </c>
      <c r="DV55" s="1" t="s">
        <v>293</v>
      </c>
      <c r="DW55" s="1" t="s">
        <v>293</v>
      </c>
      <c r="DX55" s="1" t="s">
        <v>293</v>
      </c>
      <c r="DY55" s="1" t="s">
        <v>293</v>
      </c>
      <c r="DZ55" s="1" t="s">
        <v>293</v>
      </c>
      <c r="EA55" s="1" t="s">
        <v>254</v>
      </c>
      <c r="EB55" s="1" t="s">
        <v>254</v>
      </c>
      <c r="EC55" s="1" t="s">
        <v>254</v>
      </c>
      <c r="ED55" s="1">
        <v>0.0</v>
      </c>
      <c r="EE55" s="1" t="s">
        <v>255</v>
      </c>
      <c r="EF55" s="1" t="s">
        <v>452</v>
      </c>
      <c r="EG55" s="1" t="s">
        <v>389</v>
      </c>
      <c r="EI55" s="1" t="s">
        <v>390</v>
      </c>
      <c r="EJ55" s="1" t="s">
        <v>293</v>
      </c>
      <c r="EK55" s="1" t="s">
        <v>293</v>
      </c>
      <c r="EL55" s="1" t="s">
        <v>293</v>
      </c>
      <c r="EM55" s="1" t="s">
        <v>293</v>
      </c>
      <c r="EN55" s="1" t="s">
        <v>353</v>
      </c>
      <c r="EO55" s="1" t="s">
        <v>293</v>
      </c>
      <c r="EP55" s="1" t="s">
        <v>293</v>
      </c>
      <c r="EQ55" s="1" t="s">
        <v>293</v>
      </c>
      <c r="ER55" s="1" t="s">
        <v>293</v>
      </c>
      <c r="ES55" s="1" t="s">
        <v>293</v>
      </c>
      <c r="ET55" s="1" t="s">
        <v>293</v>
      </c>
      <c r="EU55" s="1" t="s">
        <v>293</v>
      </c>
      <c r="EV55" s="1" t="s">
        <v>387</v>
      </c>
      <c r="EW55" s="1" t="s">
        <v>254</v>
      </c>
      <c r="EX55" s="1" t="s">
        <v>254</v>
      </c>
      <c r="EY55" s="1">
        <v>0.0</v>
      </c>
      <c r="EZ55" s="1" t="s">
        <v>427</v>
      </c>
      <c r="FA55" s="1" t="s">
        <v>453</v>
      </c>
      <c r="FB55" s="1" t="s">
        <v>454</v>
      </c>
      <c r="FC55" s="1">
        <v>0.0</v>
      </c>
      <c r="FD55" s="1">
        <v>0.0</v>
      </c>
      <c r="FE55" s="1">
        <v>0.0</v>
      </c>
      <c r="FF55" s="1" t="s">
        <v>454</v>
      </c>
      <c r="FG55" s="1">
        <v>0.0</v>
      </c>
      <c r="FH55" s="1">
        <v>0.0</v>
      </c>
      <c r="FI55" s="1">
        <v>0.0</v>
      </c>
      <c r="FJ55" s="1" t="s">
        <v>454</v>
      </c>
      <c r="FK55" s="1">
        <v>0.0</v>
      </c>
      <c r="FL55" s="1">
        <v>0.0</v>
      </c>
      <c r="FM55" s="1">
        <v>0.0</v>
      </c>
      <c r="FN55" s="1" t="s">
        <v>454</v>
      </c>
      <c r="FO55" s="1">
        <v>0.0</v>
      </c>
      <c r="FP55" s="1">
        <v>0.0</v>
      </c>
      <c r="FQ55" s="1">
        <v>0.0</v>
      </c>
      <c r="FR55" s="28" t="s">
        <v>357</v>
      </c>
      <c r="FS55" s="28" t="s">
        <v>298</v>
      </c>
      <c r="FT55" s="28" t="s">
        <v>298</v>
      </c>
      <c r="FU55" s="28" t="s">
        <v>298</v>
      </c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  <c r="GX55" s="34"/>
      <c r="GY55" s="34"/>
      <c r="GZ55" s="34"/>
      <c r="HA55" s="34"/>
      <c r="HB55" s="34"/>
      <c r="HC55" s="34"/>
      <c r="HD55" s="34"/>
      <c r="HE55" s="34"/>
      <c r="HF55" s="34"/>
      <c r="HG55" s="34"/>
      <c r="HH55" s="34"/>
      <c r="HI55" s="34"/>
      <c r="HJ55" s="34"/>
      <c r="HK55" s="34"/>
    </row>
    <row r="56">
      <c r="A56" s="44" t="s">
        <v>883</v>
      </c>
      <c r="B56" s="3">
        <v>53.0</v>
      </c>
      <c r="C56" s="3" t="s">
        <v>789</v>
      </c>
      <c r="D56" s="30">
        <v>38130.0</v>
      </c>
      <c r="E56" s="1">
        <v>22.0</v>
      </c>
      <c r="F56" s="3" t="s">
        <v>252</v>
      </c>
      <c r="G56" s="3" t="s">
        <v>253</v>
      </c>
      <c r="H56" s="3" t="s">
        <v>253</v>
      </c>
      <c r="I56" s="3" t="s">
        <v>252</v>
      </c>
      <c r="J56" s="3" t="s">
        <v>253</v>
      </c>
      <c r="K56" s="3" t="s">
        <v>253</v>
      </c>
      <c r="L56" s="3" t="s">
        <v>254</v>
      </c>
      <c r="M56" s="3" t="s">
        <v>255</v>
      </c>
      <c r="N56" s="3" t="s">
        <v>254</v>
      </c>
      <c r="O56" s="3" t="s">
        <v>255</v>
      </c>
      <c r="P56" s="3" t="s">
        <v>254</v>
      </c>
      <c r="Q56" s="3" t="s">
        <v>548</v>
      </c>
      <c r="R56" s="7" t="s">
        <v>298</v>
      </c>
      <c r="S56" s="7" t="s">
        <v>359</v>
      </c>
      <c r="T56" s="1" t="s">
        <v>305</v>
      </c>
      <c r="U56" s="1" t="s">
        <v>306</v>
      </c>
      <c r="V56" s="1" t="s">
        <v>435</v>
      </c>
      <c r="W56" s="1" t="s">
        <v>436</v>
      </c>
      <c r="X56" s="1" t="s">
        <v>254</v>
      </c>
      <c r="Y56" s="34"/>
      <c r="Z56" s="1">
        <v>0.0</v>
      </c>
      <c r="AA56" s="1">
        <v>0.0</v>
      </c>
      <c r="AB56" s="1" t="s">
        <v>437</v>
      </c>
      <c r="AC56" s="1">
        <v>2.0</v>
      </c>
      <c r="AD56" s="1" t="s">
        <v>641</v>
      </c>
      <c r="AE56" s="1" t="s">
        <v>265</v>
      </c>
      <c r="AF56" s="1" t="s">
        <v>255</v>
      </c>
      <c r="AG56" s="1" t="s">
        <v>439</v>
      </c>
      <c r="AH56" s="1" t="s">
        <v>440</v>
      </c>
      <c r="AI56" s="46">
        <v>45419.0</v>
      </c>
      <c r="AJ56" s="30">
        <v>45474.0</v>
      </c>
      <c r="AK56" s="1" t="s">
        <v>267</v>
      </c>
      <c r="AL56" s="1" t="s">
        <v>442</v>
      </c>
      <c r="AN56" s="1" t="s">
        <v>269</v>
      </c>
      <c r="AP56" s="1" t="s">
        <v>342</v>
      </c>
      <c r="AQ56" s="1" t="s">
        <v>443</v>
      </c>
      <c r="AR56" s="1">
        <v>4.0</v>
      </c>
      <c r="AS56" s="1" t="s">
        <v>273</v>
      </c>
      <c r="AT56" s="1" t="s">
        <v>274</v>
      </c>
      <c r="AU56" s="1" t="s">
        <v>316</v>
      </c>
      <c r="AV56" s="1" t="s">
        <v>379</v>
      </c>
      <c r="AW56" s="1" t="s">
        <v>402</v>
      </c>
      <c r="AX56" s="1" t="s">
        <v>254</v>
      </c>
      <c r="AY56" s="1">
        <v>0.0</v>
      </c>
      <c r="AZ56" s="1" t="s">
        <v>255</v>
      </c>
      <c r="BA56" s="1" t="s">
        <v>446</v>
      </c>
      <c r="BB56" s="1" t="s">
        <v>255</v>
      </c>
      <c r="BC56" s="1" t="s">
        <v>279</v>
      </c>
      <c r="BD56" s="1">
        <v>1.0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 t="s">
        <v>382</v>
      </c>
      <c r="BM56" s="1" t="s">
        <v>442</v>
      </c>
      <c r="BO56" s="1" t="s">
        <v>269</v>
      </c>
      <c r="BQ56" s="1" t="s">
        <v>342</v>
      </c>
      <c r="BR56" s="1" t="s">
        <v>254</v>
      </c>
      <c r="BS56" s="1" t="s">
        <v>254</v>
      </c>
      <c r="BT56" s="1" t="s">
        <v>254</v>
      </c>
      <c r="BU56" s="1" t="s">
        <v>254</v>
      </c>
      <c r="BV56" s="1" t="s">
        <v>254</v>
      </c>
      <c r="BW56" s="1" t="s">
        <v>254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  <c r="CJ56" s="1">
        <v>0.0</v>
      </c>
      <c r="CK56" s="1">
        <v>0.0</v>
      </c>
      <c r="CL56" s="1">
        <v>0.0</v>
      </c>
      <c r="CM56" s="1" t="s">
        <v>254</v>
      </c>
      <c r="CN56" s="1">
        <v>0.0</v>
      </c>
      <c r="CO56" s="1" t="s">
        <v>254</v>
      </c>
      <c r="CP56" s="1">
        <v>0.0</v>
      </c>
      <c r="CQ56" s="1">
        <v>0.0</v>
      </c>
      <c r="CR56" s="1">
        <v>0.0</v>
      </c>
      <c r="CS56" s="1">
        <v>2.0</v>
      </c>
      <c r="CT56" s="1">
        <v>1.0</v>
      </c>
      <c r="CU56" s="1">
        <v>1.0</v>
      </c>
      <c r="CV56" s="1" t="s">
        <v>255</v>
      </c>
      <c r="CW56" s="1" t="s">
        <v>254</v>
      </c>
      <c r="CX56" s="1" t="s">
        <v>254</v>
      </c>
      <c r="CY56" s="1" t="s">
        <v>254</v>
      </c>
      <c r="CZ56" s="1" t="s">
        <v>254</v>
      </c>
      <c r="DA56" s="1" t="s">
        <v>255</v>
      </c>
      <c r="DB56" s="1" t="s">
        <v>254</v>
      </c>
      <c r="DC56" s="1" t="s">
        <v>255</v>
      </c>
      <c r="DD56" s="1" t="s">
        <v>255</v>
      </c>
      <c r="DE56" s="1" t="s">
        <v>388</v>
      </c>
      <c r="DF56" s="1" t="s">
        <v>293</v>
      </c>
      <c r="DG56" s="1" t="s">
        <v>450</v>
      </c>
      <c r="DH56" s="1" t="s">
        <v>293</v>
      </c>
      <c r="DI56" s="1" t="s">
        <v>293</v>
      </c>
      <c r="DJ56" s="1" t="s">
        <v>293</v>
      </c>
      <c r="DK56" s="1" t="s">
        <v>293</v>
      </c>
      <c r="DL56" s="1" t="s">
        <v>353</v>
      </c>
      <c r="DM56" s="1" t="s">
        <v>293</v>
      </c>
      <c r="DN56" s="1" t="s">
        <v>293</v>
      </c>
      <c r="DO56" s="1" t="s">
        <v>293</v>
      </c>
      <c r="DP56" s="1" t="s">
        <v>451</v>
      </c>
      <c r="DQ56" s="1" t="s">
        <v>293</v>
      </c>
      <c r="DR56" s="1" t="s">
        <v>293</v>
      </c>
      <c r="DS56" s="1" t="s">
        <v>293</v>
      </c>
      <c r="DT56" s="1" t="s">
        <v>293</v>
      </c>
      <c r="DU56" s="1" t="s">
        <v>293</v>
      </c>
      <c r="DV56" s="1" t="s">
        <v>293</v>
      </c>
      <c r="DW56" s="1" t="s">
        <v>293</v>
      </c>
      <c r="DX56" s="1" t="s">
        <v>293</v>
      </c>
      <c r="DY56" s="1" t="s">
        <v>293</v>
      </c>
      <c r="DZ56" s="1" t="s">
        <v>293</v>
      </c>
      <c r="EA56" s="1" t="s">
        <v>254</v>
      </c>
      <c r="EB56" s="1" t="s">
        <v>254</v>
      </c>
      <c r="EC56" s="1" t="s">
        <v>254</v>
      </c>
      <c r="ED56" s="1">
        <v>0.0</v>
      </c>
      <c r="EE56" s="1" t="s">
        <v>255</v>
      </c>
      <c r="EF56" s="1" t="s">
        <v>452</v>
      </c>
      <c r="EG56" s="1" t="s">
        <v>389</v>
      </c>
      <c r="EI56" s="1" t="s">
        <v>390</v>
      </c>
      <c r="EJ56" s="1" t="s">
        <v>293</v>
      </c>
      <c r="EK56" s="1" t="s">
        <v>293</v>
      </c>
      <c r="EL56" s="1" t="s">
        <v>293</v>
      </c>
      <c r="EM56" s="1" t="s">
        <v>293</v>
      </c>
      <c r="EN56" s="1" t="s">
        <v>353</v>
      </c>
      <c r="EO56" s="1" t="s">
        <v>293</v>
      </c>
      <c r="EP56" s="1" t="s">
        <v>293</v>
      </c>
      <c r="EQ56" s="1" t="s">
        <v>293</v>
      </c>
      <c r="ER56" s="1" t="s">
        <v>293</v>
      </c>
      <c r="ES56" s="1" t="s">
        <v>293</v>
      </c>
      <c r="ET56" s="1" t="s">
        <v>293</v>
      </c>
      <c r="EU56" s="1" t="s">
        <v>293</v>
      </c>
      <c r="EV56" s="1" t="s">
        <v>387</v>
      </c>
      <c r="EW56" s="1" t="s">
        <v>254</v>
      </c>
      <c r="EX56" s="1" t="s">
        <v>254</v>
      </c>
      <c r="EY56" s="1">
        <v>0.0</v>
      </c>
      <c r="EZ56" s="1" t="s">
        <v>427</v>
      </c>
      <c r="FA56" s="1" t="s">
        <v>453</v>
      </c>
      <c r="FB56" s="1" t="s">
        <v>454</v>
      </c>
      <c r="FC56" s="1">
        <v>0.0</v>
      </c>
      <c r="FD56" s="1">
        <v>0.0</v>
      </c>
      <c r="FE56" s="1">
        <v>0.0</v>
      </c>
      <c r="FF56" s="1" t="s">
        <v>454</v>
      </c>
      <c r="FG56" s="1">
        <v>0.0</v>
      </c>
      <c r="FH56" s="1">
        <v>0.0</v>
      </c>
      <c r="FI56" s="1">
        <v>0.0</v>
      </c>
      <c r="FJ56" s="1" t="s">
        <v>454</v>
      </c>
      <c r="FK56" s="1">
        <v>0.0</v>
      </c>
      <c r="FL56" s="1">
        <v>0.0</v>
      </c>
      <c r="FM56" s="1">
        <v>0.0</v>
      </c>
      <c r="FN56" s="1" t="s">
        <v>454</v>
      </c>
      <c r="FO56" s="1">
        <v>0.0</v>
      </c>
      <c r="FP56" s="1">
        <v>0.0</v>
      </c>
      <c r="FQ56" s="1">
        <v>0.0</v>
      </c>
      <c r="FR56" s="28" t="s">
        <v>357</v>
      </c>
      <c r="FS56" s="28" t="s">
        <v>298</v>
      </c>
      <c r="FT56" s="28" t="s">
        <v>298</v>
      </c>
      <c r="FU56" s="28" t="s">
        <v>298</v>
      </c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  <c r="HB56" s="34"/>
      <c r="HC56" s="34"/>
      <c r="HD56" s="34"/>
      <c r="HE56" s="34"/>
      <c r="HF56" s="34"/>
      <c r="HG56" s="34"/>
      <c r="HH56" s="34"/>
      <c r="HI56" s="34"/>
      <c r="HJ56" s="34"/>
      <c r="HK56" s="34"/>
    </row>
    <row r="57">
      <c r="A57" s="44" t="s">
        <v>884</v>
      </c>
      <c r="B57" s="3">
        <v>54.0</v>
      </c>
      <c r="C57" s="3" t="s">
        <v>792</v>
      </c>
      <c r="D57" s="30">
        <v>28433.0</v>
      </c>
      <c r="E57" s="1">
        <v>48.0</v>
      </c>
      <c r="F57" s="3" t="s">
        <v>252</v>
      </c>
      <c r="G57" s="3" t="s">
        <v>253</v>
      </c>
      <c r="H57" s="3" t="s">
        <v>253</v>
      </c>
      <c r="I57" s="3" t="s">
        <v>252</v>
      </c>
      <c r="J57" s="3" t="s">
        <v>253</v>
      </c>
      <c r="K57" s="3" t="s">
        <v>253</v>
      </c>
      <c r="L57" s="3" t="s">
        <v>254</v>
      </c>
      <c r="M57" s="3" t="s">
        <v>255</v>
      </c>
      <c r="N57" s="3" t="s">
        <v>254</v>
      </c>
      <c r="O57" s="3" t="s">
        <v>255</v>
      </c>
      <c r="P57" s="3" t="s">
        <v>254</v>
      </c>
      <c r="Q57" s="3" t="s">
        <v>548</v>
      </c>
      <c r="R57" s="7" t="s">
        <v>888</v>
      </c>
      <c r="S57" s="7" t="s">
        <v>889</v>
      </c>
      <c r="T57" s="1" t="s">
        <v>259</v>
      </c>
      <c r="U57" s="1" t="s">
        <v>306</v>
      </c>
      <c r="V57" s="1" t="s">
        <v>435</v>
      </c>
      <c r="W57" s="1" t="s">
        <v>436</v>
      </c>
      <c r="X57" s="1" t="s">
        <v>254</v>
      </c>
      <c r="Y57" s="34"/>
      <c r="Z57" s="1">
        <v>0.0</v>
      </c>
      <c r="AA57" s="1">
        <v>0.0</v>
      </c>
      <c r="AB57" s="1" t="s">
        <v>437</v>
      </c>
      <c r="AC57" s="1">
        <v>3.0</v>
      </c>
      <c r="AD57" s="1" t="s">
        <v>649</v>
      </c>
      <c r="AE57" s="1" t="s">
        <v>265</v>
      </c>
      <c r="AF57" s="1" t="s">
        <v>255</v>
      </c>
      <c r="AG57" s="1" t="s">
        <v>439</v>
      </c>
      <c r="AH57" s="1" t="s">
        <v>440</v>
      </c>
      <c r="AI57" s="46">
        <v>45450.0</v>
      </c>
      <c r="AJ57" s="30">
        <v>45474.0</v>
      </c>
      <c r="AK57" s="1" t="s">
        <v>267</v>
      </c>
      <c r="AL57" s="1" t="s">
        <v>442</v>
      </c>
      <c r="AN57" s="1" t="s">
        <v>269</v>
      </c>
      <c r="AP57" s="1" t="s">
        <v>342</v>
      </c>
      <c r="AQ57" s="1" t="s">
        <v>443</v>
      </c>
      <c r="AR57" s="1">
        <v>5.0</v>
      </c>
      <c r="AS57" s="1" t="s">
        <v>273</v>
      </c>
      <c r="AT57" s="1" t="s">
        <v>274</v>
      </c>
      <c r="AU57" s="1" t="s">
        <v>316</v>
      </c>
      <c r="AV57" s="1" t="s">
        <v>379</v>
      </c>
      <c r="AW57" s="1" t="s">
        <v>402</v>
      </c>
      <c r="AX57" s="1" t="s">
        <v>254</v>
      </c>
      <c r="AY57" s="1">
        <v>0.0</v>
      </c>
      <c r="AZ57" s="1" t="s">
        <v>254</v>
      </c>
      <c r="BA57" s="1" t="s">
        <v>446</v>
      </c>
      <c r="BB57" s="1" t="s">
        <v>255</v>
      </c>
      <c r="BC57" s="1" t="s">
        <v>279</v>
      </c>
      <c r="BD57" s="1">
        <v>1.0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 t="s">
        <v>382</v>
      </c>
      <c r="BM57" s="1" t="s">
        <v>442</v>
      </c>
      <c r="BO57" s="1" t="s">
        <v>269</v>
      </c>
      <c r="BQ57" s="1" t="s">
        <v>342</v>
      </c>
      <c r="BR57" s="1" t="s">
        <v>254</v>
      </c>
      <c r="BS57" s="1" t="s">
        <v>254</v>
      </c>
      <c r="BT57" s="1" t="s">
        <v>254</v>
      </c>
      <c r="BU57" s="1" t="s">
        <v>254</v>
      </c>
      <c r="BV57" s="1" t="s">
        <v>254</v>
      </c>
      <c r="BW57" s="1" t="s">
        <v>254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0.0</v>
      </c>
      <c r="CM57" s="1" t="s">
        <v>254</v>
      </c>
      <c r="CN57" s="1">
        <v>0.0</v>
      </c>
      <c r="CO57" s="1" t="s">
        <v>254</v>
      </c>
      <c r="CP57" s="1">
        <v>0.0</v>
      </c>
      <c r="CQ57" s="1">
        <v>0.0</v>
      </c>
      <c r="CR57" s="1">
        <v>0.0</v>
      </c>
      <c r="CS57" s="1">
        <v>4.0</v>
      </c>
      <c r="CT57" s="1">
        <v>3.0</v>
      </c>
      <c r="CU57" s="1">
        <v>1.0</v>
      </c>
      <c r="CV57" s="1" t="s">
        <v>255</v>
      </c>
      <c r="CW57" s="1" t="s">
        <v>254</v>
      </c>
      <c r="CX57" s="1" t="s">
        <v>254</v>
      </c>
      <c r="CY57" s="1" t="s">
        <v>254</v>
      </c>
      <c r="CZ57" s="1" t="s">
        <v>254</v>
      </c>
      <c r="DA57" s="1" t="s">
        <v>255</v>
      </c>
      <c r="DB57" s="1" t="s">
        <v>254</v>
      </c>
      <c r="DC57" s="1" t="s">
        <v>255</v>
      </c>
      <c r="DD57" s="1" t="s">
        <v>255</v>
      </c>
      <c r="DE57" s="1" t="s">
        <v>388</v>
      </c>
      <c r="DF57" s="1" t="s">
        <v>293</v>
      </c>
      <c r="DG57" s="1" t="s">
        <v>450</v>
      </c>
      <c r="DH57" s="1" t="s">
        <v>293</v>
      </c>
      <c r="DI57" s="1" t="s">
        <v>293</v>
      </c>
      <c r="DJ57" s="1" t="s">
        <v>293</v>
      </c>
      <c r="DK57" s="1" t="s">
        <v>293</v>
      </c>
      <c r="DL57" s="1" t="s">
        <v>353</v>
      </c>
      <c r="DM57" s="1" t="s">
        <v>293</v>
      </c>
      <c r="DN57" s="1" t="s">
        <v>293</v>
      </c>
      <c r="DO57" s="1" t="s">
        <v>293</v>
      </c>
      <c r="DP57" s="1" t="s">
        <v>451</v>
      </c>
      <c r="DQ57" s="1" t="s">
        <v>293</v>
      </c>
      <c r="DR57" s="1" t="s">
        <v>293</v>
      </c>
      <c r="DS57" s="1" t="s">
        <v>293</v>
      </c>
      <c r="DT57" s="1" t="s">
        <v>293</v>
      </c>
      <c r="DU57" s="1" t="s">
        <v>293</v>
      </c>
      <c r="DV57" s="1" t="s">
        <v>293</v>
      </c>
      <c r="DW57" s="1" t="s">
        <v>293</v>
      </c>
      <c r="DX57" s="1" t="s">
        <v>293</v>
      </c>
      <c r="DY57" s="1" t="s">
        <v>293</v>
      </c>
      <c r="DZ57" s="1" t="s">
        <v>293</v>
      </c>
      <c r="EA57" s="1" t="s">
        <v>254</v>
      </c>
      <c r="EB57" s="1" t="s">
        <v>254</v>
      </c>
      <c r="EC57" s="1" t="s">
        <v>254</v>
      </c>
      <c r="ED57" s="1">
        <v>0.0</v>
      </c>
      <c r="EE57" s="1" t="s">
        <v>255</v>
      </c>
      <c r="EF57" s="1" t="s">
        <v>452</v>
      </c>
      <c r="EG57" s="1" t="s">
        <v>389</v>
      </c>
      <c r="EI57" s="1" t="s">
        <v>390</v>
      </c>
      <c r="EJ57" s="1" t="s">
        <v>293</v>
      </c>
      <c r="EK57" s="1" t="s">
        <v>293</v>
      </c>
      <c r="EL57" s="1" t="s">
        <v>293</v>
      </c>
      <c r="EM57" s="1" t="s">
        <v>293</v>
      </c>
      <c r="EN57" s="1" t="s">
        <v>353</v>
      </c>
      <c r="EO57" s="1" t="s">
        <v>293</v>
      </c>
      <c r="EP57" s="1" t="s">
        <v>293</v>
      </c>
      <c r="EQ57" s="1" t="s">
        <v>293</v>
      </c>
      <c r="ER57" s="1" t="s">
        <v>293</v>
      </c>
      <c r="ES57" s="1" t="s">
        <v>293</v>
      </c>
      <c r="ET57" s="1" t="s">
        <v>293</v>
      </c>
      <c r="EU57" s="1" t="s">
        <v>293</v>
      </c>
      <c r="EV57" s="1" t="s">
        <v>387</v>
      </c>
      <c r="EW57" s="1" t="s">
        <v>254</v>
      </c>
      <c r="EX57" s="1" t="s">
        <v>254</v>
      </c>
      <c r="EY57" s="1">
        <v>0.0</v>
      </c>
      <c r="EZ57" s="1" t="s">
        <v>427</v>
      </c>
      <c r="FA57" s="1" t="s">
        <v>453</v>
      </c>
      <c r="FB57" s="1" t="s">
        <v>454</v>
      </c>
      <c r="FC57" s="1">
        <v>0.0</v>
      </c>
      <c r="FD57" s="1">
        <v>0.0</v>
      </c>
      <c r="FE57" s="1">
        <v>0.0</v>
      </c>
      <c r="FF57" s="1" t="s">
        <v>454</v>
      </c>
      <c r="FG57" s="1">
        <v>0.0</v>
      </c>
      <c r="FH57" s="1">
        <v>0.0</v>
      </c>
      <c r="FI57" s="1">
        <v>0.0</v>
      </c>
      <c r="FJ57" s="1" t="s">
        <v>454</v>
      </c>
      <c r="FK57" s="1">
        <v>0.0</v>
      </c>
      <c r="FL57" s="1">
        <v>0.0</v>
      </c>
      <c r="FM57" s="1">
        <v>0.0</v>
      </c>
      <c r="FN57" s="1" t="s">
        <v>454</v>
      </c>
      <c r="FO57" s="1">
        <v>0.0</v>
      </c>
      <c r="FP57" s="1">
        <v>0.0</v>
      </c>
      <c r="FQ57" s="1">
        <v>0.0</v>
      </c>
      <c r="FR57" s="28" t="s">
        <v>514</v>
      </c>
      <c r="FS57" s="28" t="s">
        <v>298</v>
      </c>
      <c r="FT57" s="28" t="s">
        <v>298</v>
      </c>
      <c r="FU57" s="28" t="s">
        <v>298</v>
      </c>
      <c r="FV57" s="1">
        <v>22.0</v>
      </c>
      <c r="FW57" s="1" t="s">
        <v>300</v>
      </c>
      <c r="FX57" s="1">
        <v>22.0</v>
      </c>
      <c r="FY57" s="1" t="s">
        <v>300</v>
      </c>
      <c r="FZ57" s="1">
        <v>11.0</v>
      </c>
      <c r="GA57" s="1" t="s">
        <v>299</v>
      </c>
      <c r="GB57" s="1">
        <v>6.0</v>
      </c>
      <c r="GC57" s="1" t="s">
        <v>299</v>
      </c>
      <c r="GD57" s="1">
        <v>20.0</v>
      </c>
      <c r="GE57" s="1" t="s">
        <v>300</v>
      </c>
      <c r="GF57" s="1">
        <v>6.0</v>
      </c>
      <c r="GG57" s="1" t="s">
        <v>300</v>
      </c>
      <c r="GH57" s="1">
        <v>20.0</v>
      </c>
      <c r="GI57" s="1" t="s">
        <v>331</v>
      </c>
      <c r="GJ57" s="1">
        <v>22.0</v>
      </c>
      <c r="GK57" s="1" t="s">
        <v>300</v>
      </c>
      <c r="GL57" s="1">
        <v>28.0</v>
      </c>
      <c r="GM57" s="1" t="s">
        <v>300</v>
      </c>
      <c r="GN57" s="1">
        <v>28.0</v>
      </c>
      <c r="GO57" s="1" t="s">
        <v>300</v>
      </c>
      <c r="GP57" s="1">
        <v>18.0</v>
      </c>
      <c r="GQ57" s="1" t="s">
        <v>300</v>
      </c>
      <c r="GR57" s="1">
        <v>20.0</v>
      </c>
      <c r="GS57" s="1" t="s">
        <v>331</v>
      </c>
      <c r="GT57" s="1">
        <v>22.0</v>
      </c>
      <c r="GU57" s="1" t="s">
        <v>331</v>
      </c>
      <c r="GV57" s="1">
        <v>18.0</v>
      </c>
      <c r="GW57" s="1" t="s">
        <v>300</v>
      </c>
      <c r="GX57" s="1">
        <v>12.0</v>
      </c>
      <c r="GY57" s="1" t="s">
        <v>300</v>
      </c>
      <c r="GZ57" s="1">
        <v>20.0</v>
      </c>
      <c r="HA57" s="1" t="s">
        <v>299</v>
      </c>
      <c r="HB57" s="1">
        <v>6.0</v>
      </c>
      <c r="HC57" s="1" t="s">
        <v>299</v>
      </c>
      <c r="HD57" s="1">
        <v>25.0</v>
      </c>
      <c r="HE57" s="1" t="s">
        <v>300</v>
      </c>
      <c r="HF57" s="1">
        <v>25.0</v>
      </c>
      <c r="HG57" s="1" t="s">
        <v>331</v>
      </c>
      <c r="HH57" s="1">
        <v>6.0</v>
      </c>
      <c r="HI57" s="1" t="s">
        <v>299</v>
      </c>
      <c r="HJ57" s="1">
        <v>19.0</v>
      </c>
      <c r="HK57" s="1" t="s">
        <v>299</v>
      </c>
    </row>
    <row r="58">
      <c r="A58" s="44" t="s">
        <v>890</v>
      </c>
      <c r="B58" s="3">
        <v>55.0</v>
      </c>
      <c r="C58" s="3" t="s">
        <v>803</v>
      </c>
      <c r="D58" s="1">
        <v>2004.0</v>
      </c>
      <c r="E58" s="1">
        <v>22.0</v>
      </c>
      <c r="F58" s="3" t="s">
        <v>252</v>
      </c>
      <c r="G58" s="3" t="s">
        <v>253</v>
      </c>
      <c r="H58" s="3" t="s">
        <v>253</v>
      </c>
      <c r="I58" s="3" t="s">
        <v>252</v>
      </c>
      <c r="J58" s="3" t="s">
        <v>253</v>
      </c>
      <c r="K58" s="3" t="s">
        <v>253</v>
      </c>
      <c r="L58" s="3" t="s">
        <v>254</v>
      </c>
      <c r="M58" s="3" t="s">
        <v>255</v>
      </c>
      <c r="N58" s="3" t="s">
        <v>254</v>
      </c>
      <c r="O58" s="3" t="s">
        <v>255</v>
      </c>
      <c r="P58" s="3" t="s">
        <v>254</v>
      </c>
      <c r="Q58" s="3" t="s">
        <v>548</v>
      </c>
      <c r="R58" s="7" t="s">
        <v>888</v>
      </c>
      <c r="S58" s="7" t="s">
        <v>889</v>
      </c>
      <c r="T58" s="1" t="s">
        <v>259</v>
      </c>
      <c r="U58" s="1" t="s">
        <v>360</v>
      </c>
      <c r="V58" s="1" t="s">
        <v>457</v>
      </c>
      <c r="W58" s="1" t="s">
        <v>254</v>
      </c>
      <c r="X58" s="1" t="s">
        <v>254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 t="s">
        <v>255</v>
      </c>
      <c r="AG58" s="31" t="s">
        <v>458</v>
      </c>
      <c r="AH58" s="1" t="s">
        <v>459</v>
      </c>
      <c r="AI58" s="46">
        <v>45480.0</v>
      </c>
      <c r="AJ58" s="1" t="s">
        <v>461</v>
      </c>
      <c r="AK58" s="1" t="s">
        <v>462</v>
      </c>
      <c r="AL58" s="1" t="s">
        <v>463</v>
      </c>
      <c r="AM58" s="1" t="s">
        <v>269</v>
      </c>
      <c r="AN58" s="1" t="s">
        <v>269</v>
      </c>
      <c r="AO58" s="1" t="s">
        <v>270</v>
      </c>
      <c r="AP58" s="1" t="s">
        <v>284</v>
      </c>
      <c r="AQ58" s="1" t="s">
        <v>464</v>
      </c>
      <c r="AR58" s="1">
        <v>2.0</v>
      </c>
      <c r="AS58" s="1" t="s">
        <v>273</v>
      </c>
      <c r="AT58" s="1" t="s">
        <v>274</v>
      </c>
      <c r="AU58" s="1" t="s">
        <v>465</v>
      </c>
      <c r="AV58" s="1" t="s">
        <v>317</v>
      </c>
      <c r="AW58" s="1" t="s">
        <v>402</v>
      </c>
      <c r="AX58" s="1" t="s">
        <v>254</v>
      </c>
      <c r="AY58" s="1">
        <v>0.0</v>
      </c>
      <c r="AZ58" s="1" t="s">
        <v>255</v>
      </c>
      <c r="BA58" s="1" t="s">
        <v>319</v>
      </c>
      <c r="BB58" s="1" t="s">
        <v>254</v>
      </c>
      <c r="BC58" s="1" t="s">
        <v>279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 t="s">
        <v>466</v>
      </c>
      <c r="BM58" s="1" t="s">
        <v>463</v>
      </c>
      <c r="BN58" s="1" t="s">
        <v>269</v>
      </c>
      <c r="BO58" s="1" t="s">
        <v>269</v>
      </c>
      <c r="BP58" s="1" t="s">
        <v>270</v>
      </c>
      <c r="BQ58" s="1" t="s">
        <v>284</v>
      </c>
      <c r="BR58" s="1" t="s">
        <v>254</v>
      </c>
      <c r="BS58" s="1" t="s">
        <v>254</v>
      </c>
      <c r="BT58" s="1" t="s">
        <v>254</v>
      </c>
      <c r="BU58" s="1" t="s">
        <v>254</v>
      </c>
      <c r="BV58" s="1" t="s">
        <v>254</v>
      </c>
      <c r="BW58" s="1" t="s">
        <v>254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 t="s">
        <v>254</v>
      </c>
      <c r="CN58" s="1">
        <v>0.0</v>
      </c>
      <c r="CO58" s="1" t="s">
        <v>254</v>
      </c>
      <c r="CP58" s="1">
        <v>0.0</v>
      </c>
      <c r="CQ58" s="1">
        <v>0.0</v>
      </c>
      <c r="CR58" s="1">
        <v>0.0</v>
      </c>
      <c r="CS58" s="1">
        <v>3.0</v>
      </c>
      <c r="CT58" s="1" t="s">
        <v>473</v>
      </c>
      <c r="CU58" s="1" t="s">
        <v>474</v>
      </c>
      <c r="CV58" s="1" t="s">
        <v>254</v>
      </c>
      <c r="CW58" s="1" t="s">
        <v>254</v>
      </c>
      <c r="CX58" s="1" t="s">
        <v>254</v>
      </c>
      <c r="CY58" s="1" t="s">
        <v>254</v>
      </c>
      <c r="CZ58" s="1" t="s">
        <v>254</v>
      </c>
      <c r="DA58" s="1" t="s">
        <v>255</v>
      </c>
      <c r="DB58" s="1" t="s">
        <v>255</v>
      </c>
      <c r="DC58" s="1" t="s">
        <v>255</v>
      </c>
      <c r="DD58" s="1" t="s">
        <v>255</v>
      </c>
      <c r="DE58" s="1" t="s">
        <v>477</v>
      </c>
      <c r="DF58" s="1" t="s">
        <v>293</v>
      </c>
      <c r="DG58" s="1" t="s">
        <v>353</v>
      </c>
      <c r="DH58" s="31" t="s">
        <v>383</v>
      </c>
      <c r="DI58" s="1" t="s">
        <v>450</v>
      </c>
      <c r="DJ58" s="1" t="s">
        <v>293</v>
      </c>
      <c r="DK58" s="1" t="s">
        <v>293</v>
      </c>
      <c r="DL58" s="1" t="s">
        <v>388</v>
      </c>
      <c r="DM58" s="1" t="s">
        <v>293</v>
      </c>
      <c r="DN58" s="1" t="s">
        <v>450</v>
      </c>
      <c r="DO58" s="1" t="s">
        <v>293</v>
      </c>
      <c r="DP58" s="34"/>
      <c r="DQ58" s="1" t="s">
        <v>293</v>
      </c>
      <c r="DR58" s="1" t="s">
        <v>293</v>
      </c>
      <c r="DS58" s="1" t="s">
        <v>293</v>
      </c>
      <c r="DT58" s="1" t="s">
        <v>293</v>
      </c>
      <c r="DU58" s="1" t="s">
        <v>293</v>
      </c>
      <c r="DV58" s="1" t="s">
        <v>293</v>
      </c>
      <c r="DW58" s="1" t="s">
        <v>293</v>
      </c>
      <c r="DX58" s="1" t="s">
        <v>293</v>
      </c>
      <c r="DY58" s="1" t="s">
        <v>293</v>
      </c>
      <c r="DZ58" s="1" t="s">
        <v>293</v>
      </c>
      <c r="EA58" s="1" t="s">
        <v>254</v>
      </c>
      <c r="EB58" s="1" t="s">
        <v>254</v>
      </c>
      <c r="EC58" s="1" t="s">
        <v>254</v>
      </c>
      <c r="ED58" s="1">
        <v>0.0</v>
      </c>
      <c r="EE58" s="1" t="s">
        <v>255</v>
      </c>
      <c r="EF58" s="1" t="s">
        <v>325</v>
      </c>
      <c r="EG58" s="1" t="s">
        <v>389</v>
      </c>
      <c r="EI58" s="1" t="s">
        <v>293</v>
      </c>
      <c r="EJ58" s="1" t="s">
        <v>293</v>
      </c>
      <c r="EK58" s="1" t="s">
        <v>293</v>
      </c>
      <c r="EL58" s="1" t="s">
        <v>293</v>
      </c>
      <c r="EM58" s="1" t="s">
        <v>293</v>
      </c>
      <c r="EN58" s="1" t="s">
        <v>293</v>
      </c>
      <c r="EO58" s="1" t="s">
        <v>293</v>
      </c>
      <c r="EP58" s="1" t="s">
        <v>293</v>
      </c>
      <c r="EQ58" s="1" t="s">
        <v>293</v>
      </c>
      <c r="ER58" s="1" t="s">
        <v>293</v>
      </c>
      <c r="ES58" s="1" t="s">
        <v>293</v>
      </c>
      <c r="ET58" s="1" t="s">
        <v>293</v>
      </c>
      <c r="EU58" s="1" t="s">
        <v>293</v>
      </c>
      <c r="EV58" s="1" t="s">
        <v>387</v>
      </c>
      <c r="EW58" s="1" t="s">
        <v>255</v>
      </c>
      <c r="EX58" s="1" t="s">
        <v>254</v>
      </c>
      <c r="EY58" s="1" t="s">
        <v>484</v>
      </c>
      <c r="EZ58" s="1">
        <v>0.0</v>
      </c>
      <c r="FA58" s="1">
        <v>0.0</v>
      </c>
      <c r="FB58" s="1" t="s">
        <v>255</v>
      </c>
      <c r="FC58" s="1" t="s">
        <v>454</v>
      </c>
      <c r="FD58" s="1" t="s">
        <v>486</v>
      </c>
      <c r="FE58" s="1" t="s">
        <v>488</v>
      </c>
      <c r="FF58" s="1" t="s">
        <v>454</v>
      </c>
      <c r="FG58" s="1">
        <v>0.0</v>
      </c>
      <c r="FH58" s="1">
        <v>0.0</v>
      </c>
      <c r="FI58" s="1" t="s">
        <v>453</v>
      </c>
      <c r="FJ58" s="1" t="s">
        <v>454</v>
      </c>
      <c r="FK58" s="1">
        <v>0.0</v>
      </c>
      <c r="FL58" s="1">
        <v>0.0</v>
      </c>
      <c r="FM58" s="1">
        <v>0.0</v>
      </c>
      <c r="FN58" s="1" t="s">
        <v>293</v>
      </c>
      <c r="FO58" s="1">
        <v>0.0</v>
      </c>
      <c r="FP58" s="1">
        <v>0.0</v>
      </c>
      <c r="FQ58" s="1">
        <v>0.0</v>
      </c>
      <c r="FR58" s="26" t="s">
        <v>198</v>
      </c>
      <c r="FS58" s="28" t="s">
        <v>298</v>
      </c>
      <c r="FT58" s="28" t="s">
        <v>298</v>
      </c>
      <c r="FU58" s="28" t="s">
        <v>298</v>
      </c>
      <c r="FV58" s="1">
        <v>22.0</v>
      </c>
      <c r="FW58" s="1" t="s">
        <v>300</v>
      </c>
      <c r="FX58" s="1">
        <v>19.0</v>
      </c>
      <c r="FY58" s="1" t="s">
        <v>300</v>
      </c>
      <c r="FZ58" s="1">
        <v>22.0</v>
      </c>
      <c r="GA58" s="1" t="s">
        <v>300</v>
      </c>
      <c r="GB58" s="1">
        <v>23.0</v>
      </c>
      <c r="GC58" s="1" t="s">
        <v>300</v>
      </c>
      <c r="GD58" s="1">
        <v>18.0</v>
      </c>
      <c r="GE58" s="1" t="s">
        <v>331</v>
      </c>
      <c r="GF58" s="1">
        <v>28.0</v>
      </c>
      <c r="GG58" s="1" t="s">
        <v>300</v>
      </c>
      <c r="GH58" s="1">
        <v>20.0</v>
      </c>
      <c r="GI58" s="1" t="s">
        <v>331</v>
      </c>
      <c r="GJ58" s="1">
        <v>26.0</v>
      </c>
      <c r="GK58" s="1" t="s">
        <v>300</v>
      </c>
      <c r="GL58" s="1">
        <v>6.0</v>
      </c>
      <c r="GM58" s="1" t="s">
        <v>299</v>
      </c>
      <c r="GN58" s="1">
        <v>28.0</v>
      </c>
      <c r="GO58" s="1" t="s">
        <v>300</v>
      </c>
      <c r="GP58" s="1">
        <v>6.0</v>
      </c>
      <c r="GQ58" s="1" t="s">
        <v>299</v>
      </c>
      <c r="GR58" s="1">
        <v>40.0</v>
      </c>
      <c r="GS58" s="1" t="s">
        <v>300</v>
      </c>
      <c r="GT58" s="1">
        <v>26.0</v>
      </c>
      <c r="GU58" s="1" t="s">
        <v>300</v>
      </c>
      <c r="GV58" s="1">
        <v>11.0</v>
      </c>
      <c r="GW58" s="1" t="s">
        <v>299</v>
      </c>
      <c r="GX58" s="1">
        <v>16.0</v>
      </c>
      <c r="GY58" s="1" t="s">
        <v>300</v>
      </c>
      <c r="GZ58" s="1">
        <v>28.0</v>
      </c>
      <c r="HA58" s="1" t="s">
        <v>300</v>
      </c>
      <c r="HB58" s="1">
        <v>12.0</v>
      </c>
      <c r="HC58" s="1" t="s">
        <v>300</v>
      </c>
      <c r="HD58" s="1">
        <v>24.0</v>
      </c>
      <c r="HE58" s="1" t="s">
        <v>300</v>
      </c>
      <c r="HF58" s="1">
        <v>25.0</v>
      </c>
      <c r="HG58" s="1" t="s">
        <v>331</v>
      </c>
      <c r="HH58" s="1">
        <v>22.0</v>
      </c>
      <c r="HI58" s="1" t="s">
        <v>299</v>
      </c>
      <c r="HJ58" s="1">
        <v>12.0</v>
      </c>
      <c r="HK58" s="1" t="s">
        <v>299</v>
      </c>
    </row>
    <row r="59">
      <c r="A59" s="44" t="s">
        <v>894</v>
      </c>
      <c r="B59" s="3">
        <v>56.0</v>
      </c>
      <c r="C59" s="3" t="s">
        <v>807</v>
      </c>
      <c r="D59" s="30">
        <v>38870.0</v>
      </c>
      <c r="E59" s="1">
        <v>20.0</v>
      </c>
      <c r="F59" s="3" t="s">
        <v>252</v>
      </c>
      <c r="G59" s="3" t="s">
        <v>253</v>
      </c>
      <c r="H59" s="3" t="s">
        <v>253</v>
      </c>
      <c r="I59" s="3" t="s">
        <v>252</v>
      </c>
      <c r="J59" s="3" t="s">
        <v>253</v>
      </c>
      <c r="K59" s="3" t="s">
        <v>253</v>
      </c>
      <c r="L59" s="3" t="s">
        <v>254</v>
      </c>
      <c r="M59" s="3" t="s">
        <v>255</v>
      </c>
      <c r="N59" s="3" t="s">
        <v>254</v>
      </c>
      <c r="O59" s="3" t="s">
        <v>255</v>
      </c>
      <c r="P59" s="3" t="s">
        <v>254</v>
      </c>
      <c r="Q59" s="3" t="s">
        <v>548</v>
      </c>
      <c r="R59" s="7" t="s">
        <v>897</v>
      </c>
      <c r="S59" s="7" t="s">
        <v>898</v>
      </c>
      <c r="T59" s="1" t="s">
        <v>259</v>
      </c>
      <c r="U59" s="1" t="s">
        <v>306</v>
      </c>
      <c r="V59" s="1" t="s">
        <v>435</v>
      </c>
      <c r="W59" s="1" t="s">
        <v>254</v>
      </c>
      <c r="X59" s="1" t="s">
        <v>254</v>
      </c>
      <c r="Y59" s="1">
        <v>0.0</v>
      </c>
      <c r="Z59" s="1">
        <v>0.0</v>
      </c>
      <c r="AA59" s="1">
        <v>0.0</v>
      </c>
      <c r="AB59" s="1" t="s">
        <v>665</v>
      </c>
      <c r="AC59" s="1">
        <v>0.0</v>
      </c>
      <c r="AD59" s="1">
        <v>0.0</v>
      </c>
      <c r="AE59" s="1">
        <v>0.0</v>
      </c>
      <c r="AF59" s="1" t="s">
        <v>254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 t="s">
        <v>901</v>
      </c>
      <c r="AM59" s="1" t="s">
        <v>269</v>
      </c>
      <c r="AN59" s="1" t="s">
        <v>269</v>
      </c>
      <c r="AO59" s="1" t="s">
        <v>270</v>
      </c>
      <c r="AP59" s="1" t="s">
        <v>284</v>
      </c>
      <c r="AQ59" s="1" t="s">
        <v>443</v>
      </c>
      <c r="AR59" s="1">
        <v>1.0</v>
      </c>
      <c r="AS59" s="1" t="s">
        <v>273</v>
      </c>
      <c r="AT59" s="1" t="s">
        <v>274</v>
      </c>
      <c r="AU59" s="1" t="s">
        <v>275</v>
      </c>
      <c r="AV59" s="1" t="s">
        <v>317</v>
      </c>
      <c r="AW59" s="1" t="s">
        <v>544</v>
      </c>
      <c r="AX59" s="1" t="s">
        <v>254</v>
      </c>
      <c r="AY59" s="1">
        <v>0.0</v>
      </c>
      <c r="AZ59" s="1" t="s">
        <v>254</v>
      </c>
      <c r="BA59" s="1" t="s">
        <v>319</v>
      </c>
      <c r="BB59" s="1" t="s">
        <v>255</v>
      </c>
      <c r="BC59" s="1" t="s">
        <v>279</v>
      </c>
      <c r="BD59" s="1">
        <v>1.0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 t="s">
        <v>382</v>
      </c>
      <c r="BM59" s="1" t="s">
        <v>902</v>
      </c>
      <c r="BN59" s="1" t="s">
        <v>269</v>
      </c>
      <c r="BO59" s="1" t="s">
        <v>269</v>
      </c>
      <c r="BP59" s="1" t="s">
        <v>270</v>
      </c>
      <c r="BQ59" s="1" t="s">
        <v>284</v>
      </c>
      <c r="BR59" s="1" t="s">
        <v>254</v>
      </c>
      <c r="BS59" s="1" t="s">
        <v>254</v>
      </c>
      <c r="BT59" s="1" t="s">
        <v>254</v>
      </c>
      <c r="BU59" s="1" t="s">
        <v>254</v>
      </c>
      <c r="BV59" s="1" t="s">
        <v>254</v>
      </c>
      <c r="BW59" s="1" t="s">
        <v>254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0.0</v>
      </c>
      <c r="CM59" s="1" t="s">
        <v>254</v>
      </c>
      <c r="CN59" s="1">
        <v>0.0</v>
      </c>
      <c r="CO59" s="1" t="s">
        <v>254</v>
      </c>
      <c r="CP59" s="1">
        <v>0.0</v>
      </c>
      <c r="CQ59" s="1">
        <v>0.0</v>
      </c>
      <c r="CR59" s="1">
        <v>0.0</v>
      </c>
      <c r="CS59" s="1">
        <v>3.0</v>
      </c>
      <c r="CT59" s="1" t="s">
        <v>652</v>
      </c>
      <c r="CU59" s="34"/>
      <c r="CV59" s="1" t="s">
        <v>254</v>
      </c>
      <c r="CW59" s="1" t="s">
        <v>254</v>
      </c>
      <c r="CX59" s="1" t="s">
        <v>254</v>
      </c>
      <c r="CY59" s="1" t="s">
        <v>254</v>
      </c>
      <c r="CZ59" s="1" t="s">
        <v>254</v>
      </c>
      <c r="DA59" s="1" t="s">
        <v>254</v>
      </c>
      <c r="DB59" s="1" t="s">
        <v>255</v>
      </c>
      <c r="DC59" s="1" t="s">
        <v>254</v>
      </c>
      <c r="DD59" s="1" t="s">
        <v>255</v>
      </c>
      <c r="DE59" s="1" t="s">
        <v>323</v>
      </c>
      <c r="DF59" s="1" t="s">
        <v>293</v>
      </c>
      <c r="DG59" s="1" t="s">
        <v>323</v>
      </c>
      <c r="DH59" s="1" t="s">
        <v>323</v>
      </c>
      <c r="DI59" s="1" t="s">
        <v>291</v>
      </c>
      <c r="DJ59" s="1" t="s">
        <v>293</v>
      </c>
      <c r="DK59" s="1" t="s">
        <v>293</v>
      </c>
      <c r="DL59" s="1" t="s">
        <v>290</v>
      </c>
      <c r="DM59" s="1" t="s">
        <v>323</v>
      </c>
      <c r="DN59" s="1" t="s">
        <v>293</v>
      </c>
      <c r="DO59" s="1" t="s">
        <v>293</v>
      </c>
      <c r="DP59" s="1" t="s">
        <v>293</v>
      </c>
      <c r="DQ59" s="1" t="s">
        <v>293</v>
      </c>
      <c r="DR59" s="1" t="s">
        <v>293</v>
      </c>
      <c r="DS59" s="1" t="s">
        <v>293</v>
      </c>
      <c r="DT59" s="1" t="s">
        <v>293</v>
      </c>
      <c r="DU59" s="1" t="s">
        <v>293</v>
      </c>
      <c r="DV59" s="1" t="s">
        <v>293</v>
      </c>
      <c r="DW59" s="1" t="s">
        <v>293</v>
      </c>
      <c r="DX59" s="1" t="s">
        <v>293</v>
      </c>
      <c r="DY59" s="1" t="s">
        <v>293</v>
      </c>
      <c r="DZ59" s="1" t="s">
        <v>293</v>
      </c>
      <c r="EA59" s="1" t="s">
        <v>254</v>
      </c>
      <c r="EB59" s="1" t="s">
        <v>254</v>
      </c>
      <c r="EC59" s="1" t="s">
        <v>254</v>
      </c>
      <c r="ED59" s="1">
        <v>0.0</v>
      </c>
      <c r="EE59" s="1" t="s">
        <v>254</v>
      </c>
      <c r="EF59" s="31">
        <v>0.0</v>
      </c>
      <c r="EG59" s="1">
        <v>0.0</v>
      </c>
      <c r="EH59" s="1">
        <v>0.0</v>
      </c>
      <c r="EI59" s="1" t="s">
        <v>293</v>
      </c>
      <c r="EJ59" s="1" t="s">
        <v>293</v>
      </c>
      <c r="EK59" s="1" t="s">
        <v>293</v>
      </c>
      <c r="EL59" s="1" t="s">
        <v>293</v>
      </c>
      <c r="EM59" s="1" t="s">
        <v>293</v>
      </c>
      <c r="EN59" s="1" t="s">
        <v>293</v>
      </c>
      <c r="EO59" s="1" t="s">
        <v>293</v>
      </c>
      <c r="EP59" s="1" t="s">
        <v>293</v>
      </c>
      <c r="EQ59" s="1" t="s">
        <v>293</v>
      </c>
      <c r="ER59" s="1" t="s">
        <v>293</v>
      </c>
      <c r="ES59" s="1" t="s">
        <v>293</v>
      </c>
      <c r="ET59" s="1" t="s">
        <v>293</v>
      </c>
      <c r="EU59" s="1" t="s">
        <v>422</v>
      </c>
      <c r="EV59" s="1" t="s">
        <v>423</v>
      </c>
      <c r="EW59" s="1" t="s">
        <v>255</v>
      </c>
      <c r="EX59" s="1" t="s">
        <v>254</v>
      </c>
      <c r="EY59" s="1" t="s">
        <v>425</v>
      </c>
      <c r="EZ59" s="1" t="s">
        <v>427</v>
      </c>
      <c r="FA59" s="1" t="s">
        <v>428</v>
      </c>
      <c r="FB59" s="1" t="s">
        <v>255</v>
      </c>
      <c r="FC59" s="1" t="s">
        <v>425</v>
      </c>
      <c r="FD59" s="1" t="s">
        <v>429</v>
      </c>
      <c r="FE59" s="1" t="s">
        <v>428</v>
      </c>
      <c r="FF59" s="1" t="s">
        <v>430</v>
      </c>
      <c r="FG59" s="1" t="s">
        <v>425</v>
      </c>
      <c r="FH59" s="1" t="s">
        <v>427</v>
      </c>
      <c r="FI59" s="1">
        <v>0.0</v>
      </c>
      <c r="FJ59" s="1" t="s">
        <v>430</v>
      </c>
      <c r="FK59" s="1" t="s">
        <v>425</v>
      </c>
      <c r="FL59" s="1" t="s">
        <v>427</v>
      </c>
      <c r="FM59" s="34"/>
      <c r="FN59" s="1" t="s">
        <v>293</v>
      </c>
      <c r="FO59" s="1">
        <v>0.0</v>
      </c>
      <c r="FP59" s="34"/>
      <c r="FQ59" s="1">
        <v>0.0</v>
      </c>
      <c r="FR59" s="28" t="s">
        <v>905</v>
      </c>
      <c r="FS59" s="28" t="s">
        <v>298</v>
      </c>
      <c r="FT59" s="28" t="s">
        <v>298</v>
      </c>
      <c r="FU59" s="28" t="s">
        <v>298</v>
      </c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  <c r="HI59" s="34"/>
      <c r="HJ59" s="34"/>
      <c r="HK59" s="34"/>
    </row>
    <row r="60">
      <c r="A60" s="44" t="s">
        <v>906</v>
      </c>
      <c r="B60" s="3">
        <v>57.0</v>
      </c>
      <c r="C60" s="3" t="s">
        <v>814</v>
      </c>
      <c r="D60" s="30">
        <v>38712.0</v>
      </c>
      <c r="E60" s="1">
        <v>20.0</v>
      </c>
      <c r="F60" s="3" t="s">
        <v>252</v>
      </c>
      <c r="G60" s="3" t="s">
        <v>253</v>
      </c>
      <c r="H60" s="3" t="s">
        <v>253</v>
      </c>
      <c r="I60" s="3" t="s">
        <v>252</v>
      </c>
      <c r="J60" s="3" t="s">
        <v>253</v>
      </c>
      <c r="K60" s="3" t="s">
        <v>253</v>
      </c>
      <c r="L60" s="3" t="s">
        <v>254</v>
      </c>
      <c r="M60" s="3" t="s">
        <v>255</v>
      </c>
      <c r="N60" s="3" t="s">
        <v>254</v>
      </c>
      <c r="O60" s="3" t="s">
        <v>255</v>
      </c>
      <c r="P60" s="3" t="s">
        <v>254</v>
      </c>
      <c r="Q60" s="3" t="s">
        <v>548</v>
      </c>
      <c r="R60" s="7" t="s">
        <v>888</v>
      </c>
      <c r="S60" s="7" t="s">
        <v>889</v>
      </c>
      <c r="T60" s="1" t="s">
        <v>259</v>
      </c>
      <c r="U60" s="1" t="s">
        <v>550</v>
      </c>
      <c r="V60" s="1" t="s">
        <v>373</v>
      </c>
      <c r="W60" s="1" t="s">
        <v>907</v>
      </c>
      <c r="X60" s="1" t="s">
        <v>254</v>
      </c>
      <c r="Y60" s="1" t="s">
        <v>262</v>
      </c>
      <c r="Z60" s="1">
        <v>1.0</v>
      </c>
      <c r="AA60" s="1" t="s">
        <v>908</v>
      </c>
      <c r="AB60" s="1">
        <v>0.0</v>
      </c>
      <c r="AC60" s="1">
        <v>0.0</v>
      </c>
      <c r="AD60" s="1">
        <v>0.0</v>
      </c>
      <c r="AE60" s="1">
        <v>0.0</v>
      </c>
      <c r="AF60" s="1" t="s">
        <v>254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 t="s">
        <v>601</v>
      </c>
      <c r="AM60" s="1" t="s">
        <v>269</v>
      </c>
      <c r="AN60" s="1" t="s">
        <v>269</v>
      </c>
      <c r="AO60" s="1" t="s">
        <v>270</v>
      </c>
      <c r="AP60" s="1" t="s">
        <v>284</v>
      </c>
      <c r="AQ60" s="1" t="s">
        <v>595</v>
      </c>
      <c r="AR60" s="1">
        <v>5.0</v>
      </c>
      <c r="AS60" s="1" t="s">
        <v>273</v>
      </c>
      <c r="AT60" s="1" t="s">
        <v>274</v>
      </c>
      <c r="AU60" s="1" t="s">
        <v>275</v>
      </c>
      <c r="AV60" s="1" t="s">
        <v>276</v>
      </c>
      <c r="AW60" s="1" t="s">
        <v>402</v>
      </c>
      <c r="AX60" s="1" t="s">
        <v>254</v>
      </c>
      <c r="AY60" s="1">
        <v>0.0</v>
      </c>
      <c r="AZ60" s="1" t="s">
        <v>255</v>
      </c>
      <c r="BA60" s="1" t="s">
        <v>278</v>
      </c>
      <c r="BB60" s="1" t="s">
        <v>255</v>
      </c>
      <c r="BC60" s="1" t="s">
        <v>279</v>
      </c>
      <c r="BD60" s="1">
        <v>0.0</v>
      </c>
      <c r="BE60" s="1">
        <v>0.0</v>
      </c>
      <c r="BF60" s="1">
        <v>0.0</v>
      </c>
      <c r="BG60" s="1">
        <v>0.0</v>
      </c>
      <c r="BH60" s="1">
        <v>1.0</v>
      </c>
      <c r="BI60" s="1" t="s">
        <v>405</v>
      </c>
      <c r="BJ60" s="1" t="s">
        <v>909</v>
      </c>
      <c r="BK60" s="1" t="s">
        <v>910</v>
      </c>
      <c r="BL60" s="1" t="s">
        <v>382</v>
      </c>
      <c r="BM60" s="1" t="s">
        <v>911</v>
      </c>
      <c r="BN60" s="1" t="s">
        <v>269</v>
      </c>
      <c r="BO60" s="1" t="s">
        <v>269</v>
      </c>
      <c r="BP60" s="1" t="s">
        <v>270</v>
      </c>
      <c r="BQ60" s="1" t="s">
        <v>284</v>
      </c>
      <c r="BR60" s="1" t="s">
        <v>254</v>
      </c>
      <c r="BS60" s="1" t="s">
        <v>254</v>
      </c>
      <c r="BT60" s="1" t="s">
        <v>254</v>
      </c>
      <c r="BU60" s="1" t="s">
        <v>254</v>
      </c>
      <c r="BV60" s="1" t="s">
        <v>254</v>
      </c>
      <c r="BW60" s="1" t="s">
        <v>254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0.0</v>
      </c>
      <c r="CL60" s="1">
        <v>0.0</v>
      </c>
      <c r="CM60" s="1" t="s">
        <v>254</v>
      </c>
      <c r="CN60" s="1">
        <v>0.0</v>
      </c>
      <c r="CO60" s="1" t="s">
        <v>254</v>
      </c>
      <c r="CP60" s="1">
        <v>0.0</v>
      </c>
      <c r="CQ60" s="1">
        <v>5.0</v>
      </c>
      <c r="CR60" s="1">
        <v>3.0</v>
      </c>
      <c r="CS60" s="1">
        <v>2.0</v>
      </c>
      <c r="CT60" s="1" t="s">
        <v>913</v>
      </c>
      <c r="CU60" s="1" t="s">
        <v>474</v>
      </c>
      <c r="CV60" s="1" t="s">
        <v>254</v>
      </c>
      <c r="CW60" s="1" t="s">
        <v>254</v>
      </c>
      <c r="CX60" s="1" t="s">
        <v>254</v>
      </c>
      <c r="CY60" s="1" t="s">
        <v>254</v>
      </c>
      <c r="CZ60" s="1" t="s">
        <v>254</v>
      </c>
      <c r="DA60" s="1" t="s">
        <v>255</v>
      </c>
      <c r="DB60" s="1" t="s">
        <v>254</v>
      </c>
      <c r="DC60" s="1" t="s">
        <v>255</v>
      </c>
      <c r="DD60" s="1" t="s">
        <v>255</v>
      </c>
      <c r="DE60" s="1" t="s">
        <v>388</v>
      </c>
      <c r="DF60" s="1" t="s">
        <v>293</v>
      </c>
      <c r="DG60" s="1" t="s">
        <v>450</v>
      </c>
      <c r="DH60" s="1" t="s">
        <v>293</v>
      </c>
      <c r="DI60" s="1" t="s">
        <v>293</v>
      </c>
      <c r="DJ60" s="1" t="s">
        <v>293</v>
      </c>
      <c r="DK60" s="1" t="s">
        <v>293</v>
      </c>
      <c r="DL60" s="1" t="s">
        <v>353</v>
      </c>
      <c r="DM60" s="1" t="s">
        <v>293</v>
      </c>
      <c r="DN60" s="1" t="s">
        <v>293</v>
      </c>
      <c r="DO60" s="1" t="s">
        <v>293</v>
      </c>
      <c r="DP60" s="1" t="s">
        <v>451</v>
      </c>
      <c r="DQ60" s="1" t="s">
        <v>293</v>
      </c>
      <c r="DR60" s="1" t="s">
        <v>293</v>
      </c>
      <c r="DS60" s="1" t="s">
        <v>293</v>
      </c>
      <c r="DT60" s="1" t="s">
        <v>293</v>
      </c>
      <c r="DU60" s="1" t="s">
        <v>293</v>
      </c>
      <c r="DV60" s="1" t="s">
        <v>293</v>
      </c>
      <c r="DW60" s="1" t="s">
        <v>293</v>
      </c>
      <c r="DX60" s="1" t="s">
        <v>293</v>
      </c>
      <c r="DY60" s="1" t="s">
        <v>293</v>
      </c>
      <c r="DZ60" s="1" t="s">
        <v>293</v>
      </c>
      <c r="EA60" s="1" t="s">
        <v>254</v>
      </c>
      <c r="EB60" s="1" t="s">
        <v>254</v>
      </c>
      <c r="EC60" s="1" t="s">
        <v>254</v>
      </c>
      <c r="ED60" s="1">
        <v>0.0</v>
      </c>
      <c r="EE60" s="1" t="s">
        <v>255</v>
      </c>
      <c r="EF60" s="1" t="s">
        <v>452</v>
      </c>
      <c r="EG60" s="1" t="s">
        <v>389</v>
      </c>
      <c r="EI60" s="1" t="s">
        <v>390</v>
      </c>
      <c r="EJ60" s="1" t="s">
        <v>293</v>
      </c>
      <c r="EK60" s="1" t="s">
        <v>293</v>
      </c>
      <c r="EL60" s="1" t="s">
        <v>293</v>
      </c>
      <c r="EM60" s="1" t="s">
        <v>293</v>
      </c>
      <c r="EN60" s="1" t="s">
        <v>353</v>
      </c>
      <c r="EO60" s="1" t="s">
        <v>293</v>
      </c>
      <c r="EP60" s="1" t="s">
        <v>293</v>
      </c>
      <c r="EQ60" s="1" t="s">
        <v>293</v>
      </c>
      <c r="ER60" s="1" t="s">
        <v>293</v>
      </c>
      <c r="ES60" s="1" t="s">
        <v>293</v>
      </c>
      <c r="ET60" s="1" t="s">
        <v>293</v>
      </c>
      <c r="EU60" s="1" t="s">
        <v>293</v>
      </c>
      <c r="EV60" s="1" t="s">
        <v>387</v>
      </c>
      <c r="EW60" s="1" t="s">
        <v>254</v>
      </c>
      <c r="EX60" s="1" t="s">
        <v>254</v>
      </c>
      <c r="EY60" s="1">
        <v>0.0</v>
      </c>
      <c r="EZ60" s="1" t="s">
        <v>427</v>
      </c>
      <c r="FA60" s="1" t="s">
        <v>453</v>
      </c>
      <c r="FB60" s="1" t="s">
        <v>454</v>
      </c>
      <c r="FC60" s="1">
        <v>0.0</v>
      </c>
      <c r="FD60" s="1">
        <v>0.0</v>
      </c>
      <c r="FE60" s="1">
        <v>0.0</v>
      </c>
      <c r="FF60" s="1" t="s">
        <v>454</v>
      </c>
      <c r="FG60" s="1">
        <v>0.0</v>
      </c>
      <c r="FH60" s="1">
        <v>0.0</v>
      </c>
      <c r="FI60" s="1">
        <v>0.0</v>
      </c>
      <c r="FJ60" s="1" t="s">
        <v>454</v>
      </c>
      <c r="FK60" s="1">
        <v>0.0</v>
      </c>
      <c r="FL60" s="1">
        <v>0.0</v>
      </c>
      <c r="FM60" s="1">
        <v>0.0</v>
      </c>
      <c r="FN60" s="1" t="s">
        <v>454</v>
      </c>
      <c r="FO60" s="1">
        <v>0.0</v>
      </c>
      <c r="FP60" s="1">
        <v>0.0</v>
      </c>
      <c r="FQ60" s="1">
        <v>0.0</v>
      </c>
      <c r="FR60" s="28" t="s">
        <v>514</v>
      </c>
      <c r="FS60" s="28" t="s">
        <v>298</v>
      </c>
      <c r="FT60" s="28" t="s">
        <v>298</v>
      </c>
      <c r="FU60" s="28" t="s">
        <v>298</v>
      </c>
      <c r="FV60" s="1">
        <v>18.0</v>
      </c>
      <c r="FW60" s="1" t="s">
        <v>300</v>
      </c>
      <c r="FX60" s="1">
        <v>20.0</v>
      </c>
      <c r="FY60" s="1" t="s">
        <v>300</v>
      </c>
      <c r="FZ60" s="1">
        <v>18.0</v>
      </c>
      <c r="GA60" s="1" t="s">
        <v>300</v>
      </c>
      <c r="GB60" s="1">
        <v>20.0</v>
      </c>
      <c r="GC60" s="1" t="s">
        <v>300</v>
      </c>
      <c r="GD60" s="1">
        <v>20.0</v>
      </c>
      <c r="GE60" s="1" t="s">
        <v>300</v>
      </c>
      <c r="GF60" s="1">
        <v>20.0</v>
      </c>
      <c r="GG60" s="1" t="s">
        <v>300</v>
      </c>
      <c r="GH60" s="1">
        <v>22.0</v>
      </c>
      <c r="GI60" s="1" t="s">
        <v>300</v>
      </c>
      <c r="GJ60" s="1">
        <v>32.0</v>
      </c>
      <c r="GK60" s="1" t="s">
        <v>300</v>
      </c>
      <c r="GL60" s="1">
        <v>6.0</v>
      </c>
      <c r="GM60" s="1" t="s">
        <v>299</v>
      </c>
      <c r="GN60" s="1">
        <v>32.0</v>
      </c>
      <c r="GO60" s="1" t="s">
        <v>300</v>
      </c>
      <c r="GP60" s="1">
        <v>18.0</v>
      </c>
      <c r="GQ60" s="1" t="s">
        <v>300</v>
      </c>
      <c r="GR60" s="1">
        <v>28.0</v>
      </c>
      <c r="GS60" s="1" t="s">
        <v>300</v>
      </c>
      <c r="GT60" s="1">
        <v>36.0</v>
      </c>
      <c r="GU60" s="1" t="s">
        <v>300</v>
      </c>
      <c r="GV60" s="1">
        <v>16.0</v>
      </c>
      <c r="GW60" s="1" t="s">
        <v>300</v>
      </c>
      <c r="GX60" s="1">
        <v>20.0</v>
      </c>
      <c r="GY60" s="1" t="s">
        <v>300</v>
      </c>
      <c r="GZ60" s="1">
        <v>20.0</v>
      </c>
      <c r="HA60" s="1" t="s">
        <v>299</v>
      </c>
      <c r="HB60" s="1">
        <v>11.0</v>
      </c>
      <c r="HC60" s="1" t="s">
        <v>299</v>
      </c>
      <c r="HD60" s="1">
        <v>24.0</v>
      </c>
      <c r="HE60" s="1" t="s">
        <v>300</v>
      </c>
      <c r="HF60" s="1">
        <v>22.0</v>
      </c>
      <c r="HG60" s="1" t="s">
        <v>299</v>
      </c>
      <c r="HH60" s="1">
        <v>26.0</v>
      </c>
      <c r="HI60" s="1" t="s">
        <v>300</v>
      </c>
      <c r="HJ60" s="1">
        <v>22.0</v>
      </c>
      <c r="HK60" s="1" t="s">
        <v>300</v>
      </c>
    </row>
    <row r="61">
      <c r="A61" s="44" t="s">
        <v>915</v>
      </c>
      <c r="B61" s="3">
        <v>58.0</v>
      </c>
      <c r="C61" s="3" t="s">
        <v>916</v>
      </c>
      <c r="D61" s="30">
        <v>39114.0</v>
      </c>
      <c r="E61" s="1">
        <v>19.0</v>
      </c>
      <c r="F61" s="3" t="s">
        <v>252</v>
      </c>
      <c r="G61" s="3" t="s">
        <v>253</v>
      </c>
      <c r="H61" s="3" t="s">
        <v>253</v>
      </c>
      <c r="I61" s="3" t="s">
        <v>252</v>
      </c>
      <c r="J61" s="3" t="s">
        <v>253</v>
      </c>
      <c r="K61" s="3" t="s">
        <v>253</v>
      </c>
      <c r="L61" s="3" t="s">
        <v>254</v>
      </c>
      <c r="M61" s="3" t="s">
        <v>255</v>
      </c>
      <c r="N61" s="3" t="s">
        <v>254</v>
      </c>
      <c r="O61" s="3" t="s">
        <v>255</v>
      </c>
      <c r="P61" s="3" t="s">
        <v>254</v>
      </c>
      <c r="Q61" s="3" t="s">
        <v>548</v>
      </c>
      <c r="R61" s="7" t="s">
        <v>298</v>
      </c>
      <c r="S61" s="7" t="s">
        <v>359</v>
      </c>
      <c r="T61" s="1" t="s">
        <v>259</v>
      </c>
      <c r="U61" s="1" t="s">
        <v>306</v>
      </c>
      <c r="V61" s="1">
        <v>0.0</v>
      </c>
      <c r="W61" s="1" t="s">
        <v>254</v>
      </c>
      <c r="X61" s="1" t="s">
        <v>254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 t="s">
        <v>255</v>
      </c>
      <c r="AG61" s="1" t="s">
        <v>917</v>
      </c>
      <c r="AH61" s="1" t="s">
        <v>917</v>
      </c>
      <c r="AI61" s="30">
        <v>45844.0</v>
      </c>
      <c r="AJ61" s="1" t="s">
        <v>366</v>
      </c>
      <c r="AK61" s="1" t="s">
        <v>313</v>
      </c>
      <c r="AL61" s="1" t="s">
        <v>594</v>
      </c>
      <c r="AM61" s="1" t="s">
        <v>269</v>
      </c>
      <c r="AN61" s="1" t="s">
        <v>269</v>
      </c>
      <c r="AO61" s="1" t="s">
        <v>270</v>
      </c>
      <c r="AP61" s="1" t="s">
        <v>284</v>
      </c>
      <c r="AQ61" s="1" t="s">
        <v>595</v>
      </c>
      <c r="AR61" s="1">
        <v>4.0</v>
      </c>
      <c r="AS61" s="1" t="s">
        <v>273</v>
      </c>
      <c r="AT61" s="1" t="s">
        <v>274</v>
      </c>
      <c r="AU61" s="1" t="s">
        <v>344</v>
      </c>
      <c r="AV61" s="1" t="s">
        <v>345</v>
      </c>
      <c r="AW61" s="1" t="s">
        <v>544</v>
      </c>
      <c r="AX61" s="1" t="s">
        <v>254</v>
      </c>
      <c r="AY61" s="1">
        <v>0.0</v>
      </c>
      <c r="AZ61" s="1" t="s">
        <v>255</v>
      </c>
      <c r="BA61" s="1" t="s">
        <v>319</v>
      </c>
      <c r="BB61" s="1" t="s">
        <v>255</v>
      </c>
      <c r="BC61" s="1" t="s">
        <v>279</v>
      </c>
      <c r="BD61" s="1">
        <v>1.0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 t="s">
        <v>382</v>
      </c>
      <c r="BM61" s="1" t="s">
        <v>700</v>
      </c>
      <c r="BN61" s="1" t="s">
        <v>269</v>
      </c>
      <c r="BO61" s="1" t="s">
        <v>269</v>
      </c>
      <c r="BP61" s="1" t="s">
        <v>270</v>
      </c>
      <c r="BQ61" s="1" t="s">
        <v>342</v>
      </c>
      <c r="BR61" s="1" t="s">
        <v>255</v>
      </c>
      <c r="BS61" s="1" t="s">
        <v>525</v>
      </c>
      <c r="BT61" s="1" t="s">
        <v>254</v>
      </c>
      <c r="BU61" s="1" t="s">
        <v>254</v>
      </c>
      <c r="BV61" s="1" t="s">
        <v>254</v>
      </c>
      <c r="BW61" s="1" t="s">
        <v>255</v>
      </c>
      <c r="BX61" s="1">
        <v>0.0</v>
      </c>
      <c r="BY61" s="1">
        <v>0.0</v>
      </c>
      <c r="BZ61" s="1">
        <v>2.0</v>
      </c>
      <c r="CA61" s="1">
        <v>0.0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  <c r="CJ61" s="1">
        <v>0.0</v>
      </c>
      <c r="CK61" s="1" t="s">
        <v>384</v>
      </c>
      <c r="CL61" s="1" t="s">
        <v>317</v>
      </c>
      <c r="CM61" s="1" t="s">
        <v>254</v>
      </c>
      <c r="CN61" s="1">
        <v>0.0</v>
      </c>
      <c r="CO61" s="1" t="s">
        <v>254</v>
      </c>
      <c r="CP61" s="1">
        <v>0.0</v>
      </c>
      <c r="CQ61" s="1">
        <v>4.0</v>
      </c>
      <c r="CR61" s="1">
        <v>2.0</v>
      </c>
      <c r="CS61" s="1">
        <v>2.0</v>
      </c>
      <c r="CT61" s="1" t="s">
        <v>666</v>
      </c>
      <c r="CU61" s="1" t="s">
        <v>667</v>
      </c>
      <c r="CV61" s="1" t="s">
        <v>254</v>
      </c>
      <c r="CW61" s="1" t="s">
        <v>254</v>
      </c>
      <c r="CX61" s="1" t="s">
        <v>254</v>
      </c>
      <c r="CY61" s="1" t="s">
        <v>254</v>
      </c>
      <c r="CZ61" s="1" t="s">
        <v>254</v>
      </c>
      <c r="DA61" s="1" t="s">
        <v>255</v>
      </c>
      <c r="DB61" s="1" t="s">
        <v>255</v>
      </c>
      <c r="DC61" s="1" t="s">
        <v>254</v>
      </c>
      <c r="DD61" s="1" t="s">
        <v>255</v>
      </c>
      <c r="DE61" s="1" t="s">
        <v>290</v>
      </c>
      <c r="DF61" s="1" t="s">
        <v>291</v>
      </c>
      <c r="DG61" s="1" t="s">
        <v>292</v>
      </c>
      <c r="DH61" s="1" t="s">
        <v>292</v>
      </c>
      <c r="DI61" s="1" t="s">
        <v>290</v>
      </c>
      <c r="DJ61" s="1" t="s">
        <v>293</v>
      </c>
      <c r="DK61" s="1" t="s">
        <v>293</v>
      </c>
      <c r="DL61" s="1" t="s">
        <v>290</v>
      </c>
      <c r="DM61" s="1" t="s">
        <v>291</v>
      </c>
      <c r="DN61" s="1" t="s">
        <v>293</v>
      </c>
      <c r="DO61" s="1" t="s">
        <v>293</v>
      </c>
      <c r="DP61" s="1" t="s">
        <v>293</v>
      </c>
      <c r="DQ61" s="1" t="s">
        <v>293</v>
      </c>
      <c r="DR61" s="1" t="s">
        <v>293</v>
      </c>
      <c r="DS61" s="1" t="s">
        <v>293</v>
      </c>
      <c r="DT61" s="1" t="s">
        <v>293</v>
      </c>
      <c r="DU61" s="1" t="s">
        <v>293</v>
      </c>
      <c r="DV61" s="1" t="s">
        <v>293</v>
      </c>
      <c r="DW61" s="1" t="s">
        <v>293</v>
      </c>
      <c r="DX61" s="1" t="s">
        <v>293</v>
      </c>
      <c r="DY61" s="1" t="s">
        <v>293</v>
      </c>
      <c r="DZ61" s="1" t="s">
        <v>293</v>
      </c>
      <c r="EA61" s="1" t="s">
        <v>254</v>
      </c>
      <c r="EB61" s="1" t="s">
        <v>254</v>
      </c>
      <c r="EC61" s="1" t="s">
        <v>254</v>
      </c>
      <c r="ED61" s="1">
        <v>0.0</v>
      </c>
      <c r="EE61" s="1" t="s">
        <v>255</v>
      </c>
      <c r="EF61" s="1" t="s">
        <v>294</v>
      </c>
      <c r="EG61" s="1" t="s">
        <v>295</v>
      </c>
      <c r="EI61" s="1" t="s">
        <v>293</v>
      </c>
      <c r="EJ61" s="1" t="s">
        <v>293</v>
      </c>
      <c r="EK61" s="1" t="s">
        <v>293</v>
      </c>
      <c r="EL61" s="1" t="s">
        <v>293</v>
      </c>
      <c r="EM61" s="1" t="s">
        <v>293</v>
      </c>
      <c r="EN61" s="1" t="s">
        <v>296</v>
      </c>
      <c r="EO61" s="1" t="s">
        <v>293</v>
      </c>
      <c r="EP61" s="1" t="s">
        <v>293</v>
      </c>
      <c r="EQ61" s="1" t="s">
        <v>293</v>
      </c>
      <c r="ER61" s="1" t="s">
        <v>293</v>
      </c>
      <c r="ES61" s="1" t="s">
        <v>293</v>
      </c>
      <c r="ET61" s="1" t="s">
        <v>293</v>
      </c>
      <c r="EU61" s="1" t="s">
        <v>293</v>
      </c>
      <c r="EV61" s="1" t="s">
        <v>297</v>
      </c>
      <c r="EW61" s="1" t="s">
        <v>254</v>
      </c>
      <c r="EX61" s="1" t="s">
        <v>254</v>
      </c>
      <c r="EY61" s="1">
        <v>0.0</v>
      </c>
      <c r="EZ61" s="1">
        <v>0.0</v>
      </c>
      <c r="FA61" s="1">
        <v>0.0</v>
      </c>
      <c r="FB61" s="1" t="s">
        <v>254</v>
      </c>
      <c r="FC61" s="1">
        <v>0.0</v>
      </c>
      <c r="FD61" s="1">
        <v>0.0</v>
      </c>
      <c r="FE61" s="1">
        <v>0.0</v>
      </c>
      <c r="FF61" s="1" t="s">
        <v>293</v>
      </c>
      <c r="FG61" s="1">
        <v>0.0</v>
      </c>
      <c r="FH61" s="1">
        <v>0.0</v>
      </c>
      <c r="FI61" s="1">
        <v>0.0</v>
      </c>
      <c r="FJ61" s="1" t="s">
        <v>293</v>
      </c>
      <c r="FK61" s="1">
        <v>0.0</v>
      </c>
      <c r="FL61" s="1">
        <v>0.0</v>
      </c>
      <c r="FM61" s="1">
        <v>0.0</v>
      </c>
      <c r="FN61" s="1" t="s">
        <v>293</v>
      </c>
      <c r="FO61" s="1">
        <v>0.0</v>
      </c>
      <c r="FP61" s="1">
        <v>0.0</v>
      </c>
      <c r="FQ61" s="1">
        <v>0.0</v>
      </c>
      <c r="FR61" s="28" t="s">
        <v>357</v>
      </c>
      <c r="FS61" s="28" t="s">
        <v>298</v>
      </c>
      <c r="FT61" s="28" t="s">
        <v>298</v>
      </c>
      <c r="FU61" s="28" t="s">
        <v>298</v>
      </c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  <c r="GX61" s="34"/>
      <c r="GY61" s="34"/>
      <c r="GZ61" s="34"/>
      <c r="HA61" s="34"/>
      <c r="HB61" s="34"/>
      <c r="HC61" s="34"/>
      <c r="HD61" s="34"/>
      <c r="HE61" s="34"/>
      <c r="HF61" s="34"/>
      <c r="HG61" s="34"/>
      <c r="HH61" s="34"/>
      <c r="HI61" s="34"/>
      <c r="HJ61" s="34"/>
      <c r="HK61" s="34"/>
    </row>
    <row r="62">
      <c r="A62" s="44" t="s">
        <v>922</v>
      </c>
      <c r="B62" s="3">
        <v>59.0</v>
      </c>
      <c r="C62" s="3" t="s">
        <v>923</v>
      </c>
      <c r="D62" s="30">
        <v>36787.0</v>
      </c>
      <c r="E62" s="1">
        <v>25.0</v>
      </c>
      <c r="F62" s="3" t="s">
        <v>252</v>
      </c>
      <c r="G62" s="3" t="s">
        <v>253</v>
      </c>
      <c r="H62" s="3" t="s">
        <v>253</v>
      </c>
      <c r="I62" s="3" t="s">
        <v>252</v>
      </c>
      <c r="J62" s="3" t="s">
        <v>253</v>
      </c>
      <c r="K62" s="3" t="s">
        <v>253</v>
      </c>
      <c r="L62" s="3" t="s">
        <v>254</v>
      </c>
      <c r="M62" s="3" t="s">
        <v>255</v>
      </c>
      <c r="N62" s="3" t="s">
        <v>254</v>
      </c>
      <c r="O62" s="3" t="s">
        <v>255</v>
      </c>
      <c r="P62" s="3" t="s">
        <v>254</v>
      </c>
      <c r="Q62" s="3" t="s">
        <v>548</v>
      </c>
      <c r="R62" s="7" t="s">
        <v>298</v>
      </c>
      <c r="S62" s="7" t="s">
        <v>359</v>
      </c>
      <c r="T62" s="1" t="s">
        <v>259</v>
      </c>
      <c r="U62" s="1" t="s">
        <v>360</v>
      </c>
      <c r="V62" s="1" t="s">
        <v>606</v>
      </c>
      <c r="W62" s="1" t="s">
        <v>254</v>
      </c>
      <c r="X62" s="1" t="s">
        <v>254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 t="s">
        <v>254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 t="s">
        <v>609</v>
      </c>
      <c r="AM62" s="1" t="s">
        <v>269</v>
      </c>
      <c r="AN62" s="1" t="s">
        <v>269</v>
      </c>
      <c r="AO62" s="1" t="s">
        <v>270</v>
      </c>
      <c r="AP62" s="1" t="s">
        <v>284</v>
      </c>
      <c r="AQ62" s="1" t="s">
        <v>443</v>
      </c>
      <c r="AR62" s="1">
        <v>3.0</v>
      </c>
      <c r="AS62" s="1" t="s">
        <v>273</v>
      </c>
      <c r="AT62" s="1" t="s">
        <v>274</v>
      </c>
      <c r="AU62" s="1" t="s">
        <v>275</v>
      </c>
      <c r="AV62" s="1" t="s">
        <v>317</v>
      </c>
      <c r="AW62" s="1" t="s">
        <v>544</v>
      </c>
      <c r="AX62" s="1" t="s">
        <v>254</v>
      </c>
      <c r="AY62" s="1">
        <v>0.0</v>
      </c>
      <c r="AZ62" s="1" t="s">
        <v>254</v>
      </c>
      <c r="BA62" s="1" t="s">
        <v>319</v>
      </c>
      <c r="BB62" s="1" t="s">
        <v>255</v>
      </c>
      <c r="BC62" s="1" t="s">
        <v>279</v>
      </c>
      <c r="BD62" s="1">
        <v>1.0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 t="s">
        <v>466</v>
      </c>
      <c r="BM62" s="1" t="s">
        <v>609</v>
      </c>
      <c r="BN62" s="1" t="s">
        <v>610</v>
      </c>
      <c r="BO62" s="1" t="s">
        <v>269</v>
      </c>
      <c r="BP62" s="1" t="s">
        <v>270</v>
      </c>
      <c r="BQ62" s="1" t="s">
        <v>284</v>
      </c>
      <c r="BR62" s="1" t="s">
        <v>254</v>
      </c>
      <c r="BS62" s="1" t="s">
        <v>254</v>
      </c>
      <c r="BT62" s="1" t="s">
        <v>254</v>
      </c>
      <c r="BU62" s="1" t="s">
        <v>254</v>
      </c>
      <c r="BV62" s="1" t="s">
        <v>254</v>
      </c>
      <c r="BW62" s="1" t="s">
        <v>254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 t="s">
        <v>254</v>
      </c>
      <c r="CN62" s="1">
        <v>0.0</v>
      </c>
      <c r="CO62" s="1" t="s">
        <v>254</v>
      </c>
      <c r="CP62" s="1">
        <v>0.0</v>
      </c>
      <c r="CQ62" s="1">
        <v>3.0</v>
      </c>
      <c r="CR62" s="1">
        <v>1.0</v>
      </c>
      <c r="CS62" s="1">
        <v>2.0</v>
      </c>
      <c r="CT62" s="1" t="s">
        <v>596</v>
      </c>
      <c r="CU62" s="1" t="s">
        <v>474</v>
      </c>
      <c r="CV62" s="1" t="s">
        <v>254</v>
      </c>
      <c r="CW62" s="1" t="s">
        <v>254</v>
      </c>
      <c r="CX62" s="1" t="s">
        <v>254</v>
      </c>
      <c r="CY62" s="1" t="s">
        <v>254</v>
      </c>
      <c r="CZ62" s="1" t="s">
        <v>254</v>
      </c>
      <c r="DA62" s="1" t="s">
        <v>254</v>
      </c>
      <c r="DB62" s="1" t="s">
        <v>254</v>
      </c>
      <c r="DC62" s="1" t="s">
        <v>255</v>
      </c>
      <c r="DD62" s="1" t="s">
        <v>255</v>
      </c>
      <c r="DE62" s="1" t="s">
        <v>388</v>
      </c>
      <c r="DF62" s="1" t="s">
        <v>293</v>
      </c>
      <c r="DG62" s="1" t="s">
        <v>450</v>
      </c>
      <c r="DH62" s="1" t="s">
        <v>293</v>
      </c>
      <c r="DI62" s="1" t="s">
        <v>293</v>
      </c>
      <c r="DJ62" s="1" t="s">
        <v>293</v>
      </c>
      <c r="DK62" s="1" t="s">
        <v>293</v>
      </c>
      <c r="DL62" s="1" t="s">
        <v>353</v>
      </c>
      <c r="DM62" s="1" t="s">
        <v>293</v>
      </c>
      <c r="DN62" s="1" t="s">
        <v>293</v>
      </c>
      <c r="DO62" s="1" t="s">
        <v>293</v>
      </c>
      <c r="DP62" s="1" t="s">
        <v>293</v>
      </c>
      <c r="DQ62" s="1" t="s">
        <v>293</v>
      </c>
      <c r="DR62" s="1" t="s">
        <v>293</v>
      </c>
      <c r="DS62" s="1" t="s">
        <v>293</v>
      </c>
      <c r="DT62" s="1" t="s">
        <v>293</v>
      </c>
      <c r="DU62" s="1" t="s">
        <v>293</v>
      </c>
      <c r="DV62" s="1" t="s">
        <v>293</v>
      </c>
      <c r="DW62" s="1" t="s">
        <v>293</v>
      </c>
      <c r="DX62" s="1" t="s">
        <v>293</v>
      </c>
      <c r="DY62" s="1" t="s">
        <v>293</v>
      </c>
      <c r="DZ62" s="1" t="s">
        <v>293</v>
      </c>
      <c r="EA62" s="1" t="s">
        <v>254</v>
      </c>
      <c r="EB62" s="1" t="s">
        <v>254</v>
      </c>
      <c r="EC62" s="1" t="s">
        <v>254</v>
      </c>
      <c r="ED62" s="1">
        <v>0.0</v>
      </c>
      <c r="EE62" s="1" t="s">
        <v>255</v>
      </c>
      <c r="EF62" s="1" t="s">
        <v>294</v>
      </c>
      <c r="EG62" s="1" t="s">
        <v>295</v>
      </c>
      <c r="EI62" s="31" t="s">
        <v>383</v>
      </c>
      <c r="EJ62" s="1" t="s">
        <v>293</v>
      </c>
      <c r="EK62" s="1" t="s">
        <v>293</v>
      </c>
      <c r="EL62" s="1" t="s">
        <v>293</v>
      </c>
      <c r="EM62" s="1" t="s">
        <v>293</v>
      </c>
      <c r="EN62" s="1" t="s">
        <v>293</v>
      </c>
      <c r="EO62" s="1" t="s">
        <v>293</v>
      </c>
      <c r="EP62" s="1" t="s">
        <v>293</v>
      </c>
      <c r="EQ62" s="1" t="s">
        <v>293</v>
      </c>
      <c r="ER62" s="1" t="s">
        <v>293</v>
      </c>
      <c r="ES62" s="1" t="s">
        <v>293</v>
      </c>
      <c r="ET62" s="1" t="s">
        <v>293</v>
      </c>
      <c r="EU62" s="1" t="s">
        <v>293</v>
      </c>
      <c r="EV62" s="1" t="s">
        <v>387</v>
      </c>
      <c r="EW62" s="1" t="s">
        <v>254</v>
      </c>
      <c r="EX62" s="1" t="s">
        <v>254</v>
      </c>
      <c r="EY62" s="1">
        <v>0.0</v>
      </c>
      <c r="EZ62" s="1">
        <v>0.0</v>
      </c>
      <c r="FA62" s="1">
        <v>0.0</v>
      </c>
      <c r="FB62" s="1" t="s">
        <v>254</v>
      </c>
      <c r="FC62" s="1">
        <v>0.0</v>
      </c>
      <c r="FD62" s="1">
        <v>0.0</v>
      </c>
      <c r="FE62" s="1">
        <v>0.0</v>
      </c>
      <c r="FF62" s="1" t="s">
        <v>293</v>
      </c>
      <c r="FG62" s="1">
        <v>0.0</v>
      </c>
      <c r="FH62" s="1">
        <v>0.0</v>
      </c>
      <c r="FI62" s="1">
        <v>0.0</v>
      </c>
      <c r="FJ62" s="1" t="s">
        <v>293</v>
      </c>
      <c r="FK62" s="1">
        <v>0.0</v>
      </c>
      <c r="FL62" s="1">
        <v>0.0</v>
      </c>
      <c r="FM62" s="1">
        <v>0.0</v>
      </c>
      <c r="FN62" s="1" t="s">
        <v>293</v>
      </c>
      <c r="FO62" s="1">
        <v>0.0</v>
      </c>
      <c r="FP62" s="1">
        <v>0.0</v>
      </c>
      <c r="FQ62" s="1">
        <v>0.0</v>
      </c>
      <c r="FR62" s="28" t="s">
        <v>357</v>
      </c>
      <c r="FS62" s="28" t="s">
        <v>298</v>
      </c>
      <c r="FT62" s="28" t="s">
        <v>298</v>
      </c>
      <c r="FU62" s="28" t="s">
        <v>298</v>
      </c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  <c r="HB62" s="34"/>
      <c r="HC62" s="34"/>
      <c r="HD62" s="34"/>
      <c r="HE62" s="34"/>
      <c r="HF62" s="34"/>
      <c r="HG62" s="34"/>
      <c r="HH62" s="34"/>
      <c r="HI62" s="34"/>
      <c r="HJ62" s="34"/>
      <c r="HK62" s="34"/>
    </row>
    <row r="63">
      <c r="A63" s="44" t="s">
        <v>924</v>
      </c>
      <c r="B63" s="3">
        <v>60.0</v>
      </c>
      <c r="C63" s="3" t="s">
        <v>925</v>
      </c>
      <c r="D63" s="30">
        <v>25934.0</v>
      </c>
      <c r="E63" s="1">
        <v>55.0</v>
      </c>
      <c r="F63" s="3" t="s">
        <v>252</v>
      </c>
      <c r="G63" s="3" t="s">
        <v>253</v>
      </c>
      <c r="H63" s="3" t="s">
        <v>253</v>
      </c>
      <c r="I63" s="3" t="s">
        <v>252</v>
      </c>
      <c r="J63" s="3" t="s">
        <v>253</v>
      </c>
      <c r="K63" s="3" t="s">
        <v>253</v>
      </c>
      <c r="L63" s="3" t="s">
        <v>254</v>
      </c>
      <c r="M63" s="3" t="s">
        <v>255</v>
      </c>
      <c r="N63" s="3" t="s">
        <v>254</v>
      </c>
      <c r="O63" s="3" t="s">
        <v>255</v>
      </c>
      <c r="P63" s="3" t="s">
        <v>254</v>
      </c>
      <c r="Q63" s="3" t="s">
        <v>548</v>
      </c>
      <c r="R63" s="7" t="s">
        <v>298</v>
      </c>
      <c r="S63" s="7" t="s">
        <v>359</v>
      </c>
      <c r="T63" s="1" t="s">
        <v>259</v>
      </c>
      <c r="U63" s="1" t="s">
        <v>360</v>
      </c>
      <c r="V63" s="1" t="s">
        <v>435</v>
      </c>
      <c r="X63" s="1" t="s">
        <v>254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 t="s">
        <v>254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 t="s">
        <v>621</v>
      </c>
      <c r="AM63" s="1" t="s">
        <v>269</v>
      </c>
      <c r="AN63" s="1" t="s">
        <v>269</v>
      </c>
      <c r="AO63" s="1" t="s">
        <v>270</v>
      </c>
      <c r="AP63" s="1" t="s">
        <v>284</v>
      </c>
      <c r="AQ63" s="1" t="s">
        <v>443</v>
      </c>
      <c r="AR63" s="1">
        <v>5.0</v>
      </c>
      <c r="AS63" s="1" t="s">
        <v>273</v>
      </c>
      <c r="AT63" s="1" t="s">
        <v>274</v>
      </c>
      <c r="AU63" s="1" t="s">
        <v>275</v>
      </c>
      <c r="AV63" s="1" t="s">
        <v>276</v>
      </c>
      <c r="AW63" s="1" t="s">
        <v>402</v>
      </c>
      <c r="AX63" s="1" t="s">
        <v>254</v>
      </c>
      <c r="AY63" s="1">
        <v>0.0</v>
      </c>
      <c r="AZ63" s="1" t="s">
        <v>255</v>
      </c>
      <c r="BA63" s="1" t="s">
        <v>278</v>
      </c>
      <c r="BB63" s="1" t="s">
        <v>255</v>
      </c>
      <c r="BC63" s="1" t="s">
        <v>279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 t="s">
        <v>466</v>
      </c>
      <c r="BM63" s="1" t="s">
        <v>622</v>
      </c>
      <c r="BN63" s="1" t="s">
        <v>610</v>
      </c>
      <c r="BO63" s="1" t="s">
        <v>269</v>
      </c>
      <c r="BP63" s="1" t="s">
        <v>270</v>
      </c>
      <c r="BQ63" s="1" t="s">
        <v>284</v>
      </c>
      <c r="BR63" s="1" t="s">
        <v>254</v>
      </c>
      <c r="BS63" s="1" t="s">
        <v>254</v>
      </c>
      <c r="BT63" s="1" t="s">
        <v>254</v>
      </c>
      <c r="BU63" s="1" t="s">
        <v>254</v>
      </c>
      <c r="BV63" s="1" t="s">
        <v>254</v>
      </c>
      <c r="BW63" s="1" t="s">
        <v>254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0.0</v>
      </c>
      <c r="CL63" s="1">
        <v>0.0</v>
      </c>
      <c r="CM63" s="1" t="s">
        <v>254</v>
      </c>
      <c r="CN63" s="1">
        <v>0.0</v>
      </c>
      <c r="CO63" s="1" t="s">
        <v>254</v>
      </c>
      <c r="CP63" s="1">
        <v>0.0</v>
      </c>
      <c r="CQ63" s="1">
        <v>6.0</v>
      </c>
      <c r="CR63" s="1">
        <v>2.0</v>
      </c>
      <c r="CS63" s="1">
        <v>4.0</v>
      </c>
      <c r="CT63" s="1" t="s">
        <v>623</v>
      </c>
      <c r="CU63" s="1" t="s">
        <v>597</v>
      </c>
      <c r="CV63" s="1" t="s">
        <v>254</v>
      </c>
      <c r="CW63" s="1" t="s">
        <v>254</v>
      </c>
      <c r="CX63" s="1" t="s">
        <v>254</v>
      </c>
      <c r="CY63" s="1" t="s">
        <v>254</v>
      </c>
      <c r="CZ63" s="1" t="s">
        <v>254</v>
      </c>
      <c r="DA63" s="1" t="s">
        <v>255</v>
      </c>
      <c r="DB63" s="1" t="s">
        <v>255</v>
      </c>
      <c r="DC63" s="1" t="s">
        <v>254</v>
      </c>
      <c r="DD63" s="1" t="s">
        <v>255</v>
      </c>
      <c r="DE63" s="1" t="s">
        <v>293</v>
      </c>
      <c r="DF63" s="1" t="s">
        <v>293</v>
      </c>
      <c r="DG63" s="1" t="s">
        <v>323</v>
      </c>
      <c r="DH63" s="1" t="s">
        <v>291</v>
      </c>
      <c r="DI63" s="1" t="s">
        <v>324</v>
      </c>
      <c r="DJ63" s="1" t="s">
        <v>293</v>
      </c>
      <c r="DK63" s="1" t="s">
        <v>293</v>
      </c>
      <c r="DL63" s="1" t="s">
        <v>323</v>
      </c>
      <c r="DM63" s="1" t="s">
        <v>293</v>
      </c>
      <c r="DN63" s="1" t="s">
        <v>291</v>
      </c>
      <c r="DO63" s="1" t="s">
        <v>293</v>
      </c>
      <c r="DP63" s="1" t="s">
        <v>293</v>
      </c>
      <c r="DQ63" s="1" t="s">
        <v>293</v>
      </c>
      <c r="DR63" s="1" t="s">
        <v>293</v>
      </c>
      <c r="DS63" s="1" t="s">
        <v>293</v>
      </c>
      <c r="DT63" s="1" t="s">
        <v>293</v>
      </c>
      <c r="DU63" s="1" t="s">
        <v>293</v>
      </c>
      <c r="DV63" s="1" t="s">
        <v>293</v>
      </c>
      <c r="DW63" s="1" t="s">
        <v>293</v>
      </c>
      <c r="DX63" s="1" t="s">
        <v>293</v>
      </c>
      <c r="DY63" s="1" t="s">
        <v>293</v>
      </c>
      <c r="DZ63" s="1" t="s">
        <v>293</v>
      </c>
      <c r="EA63" s="1" t="s">
        <v>254</v>
      </c>
      <c r="EB63" s="1" t="s">
        <v>254</v>
      </c>
      <c r="EC63" s="1" t="s">
        <v>254</v>
      </c>
      <c r="ED63" s="1">
        <v>0.0</v>
      </c>
      <c r="EE63" s="1" t="s">
        <v>255</v>
      </c>
      <c r="EF63" s="1" t="s">
        <v>354</v>
      </c>
      <c r="EG63" s="1" t="s">
        <v>295</v>
      </c>
      <c r="EI63" s="1" t="s">
        <v>293</v>
      </c>
      <c r="EJ63" s="1" t="s">
        <v>293</v>
      </c>
      <c r="EK63" s="1" t="s">
        <v>293</v>
      </c>
      <c r="EL63" s="1" t="s">
        <v>293</v>
      </c>
      <c r="EM63" s="1" t="s">
        <v>293</v>
      </c>
      <c r="EN63" s="1" t="s">
        <v>296</v>
      </c>
      <c r="EO63" s="1" t="s">
        <v>293</v>
      </c>
      <c r="EP63" s="1" t="s">
        <v>293</v>
      </c>
      <c r="EQ63" s="1" t="s">
        <v>293</v>
      </c>
      <c r="ER63" s="1" t="s">
        <v>293</v>
      </c>
      <c r="ES63" s="1" t="s">
        <v>293</v>
      </c>
      <c r="ET63" s="1" t="s">
        <v>293</v>
      </c>
      <c r="EU63" s="1" t="s">
        <v>293</v>
      </c>
      <c r="EV63" s="1" t="s">
        <v>297</v>
      </c>
      <c r="EW63" s="1" t="s">
        <v>254</v>
      </c>
      <c r="EX63" s="1" t="s">
        <v>254</v>
      </c>
      <c r="EY63" s="1">
        <v>0.0</v>
      </c>
      <c r="EZ63" s="1">
        <v>0.0</v>
      </c>
      <c r="FA63" s="1">
        <v>0.0</v>
      </c>
      <c r="FB63" s="1" t="s">
        <v>254</v>
      </c>
      <c r="FC63" s="1">
        <v>0.0</v>
      </c>
      <c r="FD63" s="1">
        <v>0.0</v>
      </c>
      <c r="FE63" s="1">
        <v>0.0</v>
      </c>
      <c r="FF63" s="1" t="s">
        <v>293</v>
      </c>
      <c r="FG63" s="1">
        <v>0.0</v>
      </c>
      <c r="FH63" s="1">
        <v>0.0</v>
      </c>
      <c r="FI63" s="1">
        <v>0.0</v>
      </c>
      <c r="FJ63" s="1" t="s">
        <v>293</v>
      </c>
      <c r="FK63" s="1">
        <v>0.0</v>
      </c>
      <c r="FL63" s="1">
        <v>0.0</v>
      </c>
      <c r="FM63" s="1">
        <v>0.0</v>
      </c>
      <c r="FN63" s="1" t="s">
        <v>293</v>
      </c>
      <c r="FO63" s="1">
        <v>0.0</v>
      </c>
      <c r="FP63" s="1">
        <v>0.0</v>
      </c>
      <c r="FQ63" s="1">
        <v>0.0</v>
      </c>
      <c r="FR63" s="28" t="s">
        <v>357</v>
      </c>
      <c r="FS63" s="28" t="s">
        <v>298</v>
      </c>
      <c r="FT63" s="28" t="s">
        <v>298</v>
      </c>
      <c r="FU63" s="28" t="s">
        <v>298</v>
      </c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  <c r="HB63" s="34"/>
      <c r="HC63" s="34"/>
      <c r="HD63" s="34"/>
      <c r="HE63" s="34"/>
      <c r="HF63" s="34"/>
      <c r="HG63" s="34"/>
      <c r="HH63" s="34"/>
      <c r="HI63" s="34"/>
      <c r="HJ63" s="34"/>
      <c r="HK63" s="34"/>
    </row>
    <row r="64">
      <c r="A64" s="44" t="s">
        <v>926</v>
      </c>
      <c r="B64" s="3">
        <v>61.0</v>
      </c>
      <c r="C64" s="3" t="s">
        <v>927</v>
      </c>
      <c r="D64" s="1">
        <v>1964.0</v>
      </c>
      <c r="E64" s="1">
        <v>62.0</v>
      </c>
      <c r="F64" s="3" t="s">
        <v>252</v>
      </c>
      <c r="G64" s="3" t="s">
        <v>253</v>
      </c>
      <c r="H64" s="3" t="s">
        <v>253</v>
      </c>
      <c r="I64" s="3" t="s">
        <v>252</v>
      </c>
      <c r="J64" s="3" t="s">
        <v>253</v>
      </c>
      <c r="K64" s="3" t="s">
        <v>253</v>
      </c>
      <c r="L64" s="3" t="s">
        <v>254</v>
      </c>
      <c r="M64" s="3" t="s">
        <v>255</v>
      </c>
      <c r="N64" s="3" t="s">
        <v>254</v>
      </c>
      <c r="O64" s="3" t="s">
        <v>255</v>
      </c>
      <c r="P64" s="3" t="s">
        <v>254</v>
      </c>
      <c r="Q64" s="3" t="s">
        <v>548</v>
      </c>
      <c r="R64" s="7" t="s">
        <v>888</v>
      </c>
      <c r="S64" s="7" t="s">
        <v>889</v>
      </c>
      <c r="T64" s="1" t="s">
        <v>259</v>
      </c>
      <c r="U64" s="1" t="s">
        <v>306</v>
      </c>
      <c r="V64" s="1" t="s">
        <v>435</v>
      </c>
      <c r="X64" s="1" t="s">
        <v>254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 t="s">
        <v>255</v>
      </c>
      <c r="AG64" s="1" t="s">
        <v>672</v>
      </c>
      <c r="AH64" s="1" t="s">
        <v>673</v>
      </c>
      <c r="AI64" s="30">
        <v>45872.0</v>
      </c>
      <c r="AJ64" s="1" t="s">
        <v>366</v>
      </c>
      <c r="AK64" s="1">
        <v>0.0</v>
      </c>
      <c r="AL64" s="1" t="s">
        <v>578</v>
      </c>
      <c r="AM64" s="1" t="s">
        <v>269</v>
      </c>
      <c r="AN64" s="1" t="s">
        <v>269</v>
      </c>
      <c r="AO64" s="1" t="s">
        <v>270</v>
      </c>
      <c r="AP64" s="1" t="s">
        <v>284</v>
      </c>
      <c r="AQ64" s="1" t="s">
        <v>595</v>
      </c>
      <c r="AR64" s="1">
        <v>2.0</v>
      </c>
      <c r="AS64" s="1" t="s">
        <v>273</v>
      </c>
      <c r="AT64" s="1" t="s">
        <v>274</v>
      </c>
      <c r="AU64" s="1" t="s">
        <v>465</v>
      </c>
      <c r="AV64" s="1" t="s">
        <v>317</v>
      </c>
      <c r="AW64" s="1" t="s">
        <v>402</v>
      </c>
      <c r="AX64" s="1" t="s">
        <v>254</v>
      </c>
      <c r="AY64" s="1">
        <v>0.0</v>
      </c>
      <c r="AZ64" s="1" t="s">
        <v>255</v>
      </c>
      <c r="BA64" s="1" t="s">
        <v>319</v>
      </c>
      <c r="BB64" s="1" t="s">
        <v>254</v>
      </c>
      <c r="BC64" s="1" t="s">
        <v>279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 t="s">
        <v>382</v>
      </c>
      <c r="BM64" s="1" t="s">
        <v>578</v>
      </c>
      <c r="BN64" s="1" t="s">
        <v>269</v>
      </c>
      <c r="BO64" s="1" t="s">
        <v>269</v>
      </c>
      <c r="BP64" s="1" t="s">
        <v>270</v>
      </c>
      <c r="BQ64" s="1" t="s">
        <v>284</v>
      </c>
      <c r="BR64" s="1" t="s">
        <v>254</v>
      </c>
      <c r="BS64" s="1" t="s">
        <v>254</v>
      </c>
      <c r="BT64" s="1" t="s">
        <v>254</v>
      </c>
      <c r="BU64" s="1" t="s">
        <v>254</v>
      </c>
      <c r="BV64" s="1" t="s">
        <v>254</v>
      </c>
      <c r="BW64" s="1" t="s">
        <v>254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 t="s">
        <v>254</v>
      </c>
      <c r="CN64" s="1">
        <v>0.0</v>
      </c>
      <c r="CO64" s="1" t="s">
        <v>254</v>
      </c>
      <c r="CP64" s="1">
        <v>0.0</v>
      </c>
      <c r="CQ64" s="1">
        <v>5.0</v>
      </c>
      <c r="CR64" s="1">
        <v>2.0</v>
      </c>
      <c r="CS64" s="1">
        <v>3.0</v>
      </c>
      <c r="CT64" s="1" t="s">
        <v>928</v>
      </c>
      <c r="CU64" s="1" t="s">
        <v>929</v>
      </c>
      <c r="CV64" s="1" t="s">
        <v>254</v>
      </c>
      <c r="CW64" s="1" t="s">
        <v>254</v>
      </c>
      <c r="CX64" s="1" t="s">
        <v>254</v>
      </c>
      <c r="CY64" s="1" t="s">
        <v>254</v>
      </c>
      <c r="CZ64" s="1" t="s">
        <v>254</v>
      </c>
      <c r="DA64" s="1" t="s">
        <v>255</v>
      </c>
      <c r="DB64" s="1" t="s">
        <v>255</v>
      </c>
      <c r="DC64" s="1" t="s">
        <v>254</v>
      </c>
      <c r="DD64" s="1" t="s">
        <v>255</v>
      </c>
      <c r="DE64" s="1" t="s">
        <v>477</v>
      </c>
      <c r="DF64" s="1" t="s">
        <v>293</v>
      </c>
      <c r="DG64" s="1" t="s">
        <v>353</v>
      </c>
      <c r="DH64" s="31" t="s">
        <v>383</v>
      </c>
      <c r="DI64" s="1" t="s">
        <v>450</v>
      </c>
      <c r="DJ64" s="1" t="s">
        <v>293</v>
      </c>
      <c r="DK64" s="1" t="s">
        <v>293</v>
      </c>
      <c r="DL64" s="1" t="s">
        <v>388</v>
      </c>
      <c r="DM64" s="1" t="s">
        <v>293</v>
      </c>
      <c r="DN64" s="1" t="s">
        <v>450</v>
      </c>
      <c r="DO64" s="1" t="s">
        <v>293</v>
      </c>
      <c r="DP64" s="34"/>
      <c r="DQ64" s="1" t="s">
        <v>293</v>
      </c>
      <c r="DR64" s="1" t="s">
        <v>293</v>
      </c>
      <c r="DS64" s="1" t="s">
        <v>293</v>
      </c>
      <c r="DT64" s="1" t="s">
        <v>293</v>
      </c>
      <c r="DU64" s="1" t="s">
        <v>293</v>
      </c>
      <c r="DV64" s="1" t="s">
        <v>293</v>
      </c>
      <c r="DW64" s="1" t="s">
        <v>293</v>
      </c>
      <c r="DX64" s="1" t="s">
        <v>293</v>
      </c>
      <c r="DY64" s="1" t="s">
        <v>293</v>
      </c>
      <c r="DZ64" s="1" t="s">
        <v>293</v>
      </c>
      <c r="EA64" s="1" t="s">
        <v>254</v>
      </c>
      <c r="EB64" s="1" t="s">
        <v>254</v>
      </c>
      <c r="EC64" s="1" t="s">
        <v>254</v>
      </c>
      <c r="ED64" s="1">
        <v>0.0</v>
      </c>
      <c r="EE64" s="1" t="s">
        <v>255</v>
      </c>
      <c r="EF64" s="1" t="s">
        <v>325</v>
      </c>
      <c r="EG64" s="1" t="s">
        <v>389</v>
      </c>
      <c r="EI64" s="1" t="s">
        <v>293</v>
      </c>
      <c r="EJ64" s="1" t="s">
        <v>293</v>
      </c>
      <c r="EK64" s="1" t="s">
        <v>293</v>
      </c>
      <c r="EL64" s="1" t="s">
        <v>293</v>
      </c>
      <c r="EM64" s="1" t="s">
        <v>293</v>
      </c>
      <c r="EN64" s="1" t="s">
        <v>293</v>
      </c>
      <c r="EO64" s="1" t="s">
        <v>293</v>
      </c>
      <c r="EP64" s="1" t="s">
        <v>293</v>
      </c>
      <c r="EQ64" s="1" t="s">
        <v>293</v>
      </c>
      <c r="ER64" s="1" t="s">
        <v>293</v>
      </c>
      <c r="ES64" s="1" t="s">
        <v>293</v>
      </c>
      <c r="ET64" s="1" t="s">
        <v>293</v>
      </c>
      <c r="EU64" s="1" t="s">
        <v>293</v>
      </c>
      <c r="EV64" s="1" t="s">
        <v>387</v>
      </c>
      <c r="EW64" s="1" t="s">
        <v>255</v>
      </c>
      <c r="EX64" s="1" t="s">
        <v>254</v>
      </c>
      <c r="EY64" s="1" t="s">
        <v>484</v>
      </c>
      <c r="EZ64" s="1">
        <v>0.0</v>
      </c>
      <c r="FA64" s="1">
        <v>0.0</v>
      </c>
      <c r="FB64" s="1" t="s">
        <v>255</v>
      </c>
      <c r="FC64" s="1" t="s">
        <v>454</v>
      </c>
      <c r="FD64" s="1" t="s">
        <v>486</v>
      </c>
      <c r="FE64" s="1" t="s">
        <v>488</v>
      </c>
      <c r="FF64" s="1" t="s">
        <v>454</v>
      </c>
      <c r="FG64" s="1">
        <v>0.0</v>
      </c>
      <c r="FH64" s="1">
        <v>0.0</v>
      </c>
      <c r="FI64" s="1" t="s">
        <v>453</v>
      </c>
      <c r="FJ64" s="1" t="s">
        <v>454</v>
      </c>
      <c r="FK64" s="1">
        <v>0.0</v>
      </c>
      <c r="FL64" s="1">
        <v>0.0</v>
      </c>
      <c r="FM64" s="1">
        <v>0.0</v>
      </c>
      <c r="FN64" s="1" t="s">
        <v>293</v>
      </c>
      <c r="FO64" s="1">
        <v>0.0</v>
      </c>
      <c r="FP64" s="1">
        <v>0.0</v>
      </c>
      <c r="FQ64" s="1">
        <v>0.0</v>
      </c>
      <c r="FR64" s="26" t="s">
        <v>198</v>
      </c>
      <c r="FS64" s="28" t="s">
        <v>298</v>
      </c>
      <c r="FT64" s="28" t="s">
        <v>298</v>
      </c>
      <c r="FU64" s="28" t="s">
        <v>298</v>
      </c>
      <c r="FV64" s="1">
        <v>22.0</v>
      </c>
      <c r="FW64" s="1" t="s">
        <v>300</v>
      </c>
      <c r="FX64" s="1">
        <v>24.0</v>
      </c>
      <c r="FY64" s="1" t="s">
        <v>300</v>
      </c>
      <c r="FZ64" s="1">
        <v>23.0</v>
      </c>
      <c r="GA64" s="1" t="s">
        <v>300</v>
      </c>
      <c r="GB64" s="1">
        <v>24.0</v>
      </c>
      <c r="GC64" s="1" t="s">
        <v>300</v>
      </c>
      <c r="GD64" s="1">
        <v>20.0</v>
      </c>
      <c r="GE64" s="1" t="s">
        <v>300</v>
      </c>
      <c r="GF64" s="1">
        <v>27.0</v>
      </c>
      <c r="GG64" s="1" t="s">
        <v>300</v>
      </c>
      <c r="GH64" s="1">
        <v>21.0</v>
      </c>
      <c r="GI64" s="1" t="s">
        <v>331</v>
      </c>
      <c r="GJ64" s="1">
        <v>30.0</v>
      </c>
      <c r="GK64" s="1" t="s">
        <v>300</v>
      </c>
      <c r="GL64" s="1">
        <v>20.0</v>
      </c>
      <c r="GM64" s="1" t="s">
        <v>300</v>
      </c>
      <c r="GN64" s="1">
        <v>30.0</v>
      </c>
      <c r="GO64" s="1" t="s">
        <v>300</v>
      </c>
      <c r="GP64" s="1">
        <v>10.0</v>
      </c>
      <c r="GQ64" s="1" t="s">
        <v>299</v>
      </c>
      <c r="GR64" s="1">
        <v>25.0</v>
      </c>
      <c r="GS64" s="1" t="s">
        <v>300</v>
      </c>
      <c r="GT64" s="1">
        <v>20.0</v>
      </c>
      <c r="GU64" s="1" t="s">
        <v>331</v>
      </c>
      <c r="GV64" s="1">
        <v>12.0</v>
      </c>
      <c r="GW64" s="1" t="s">
        <v>299</v>
      </c>
      <c r="GX64" s="1">
        <v>14.0</v>
      </c>
      <c r="GY64" s="1" t="s">
        <v>300</v>
      </c>
      <c r="GZ64" s="1">
        <v>16.0</v>
      </c>
      <c r="HA64" s="1" t="s">
        <v>299</v>
      </c>
      <c r="HB64" s="1">
        <v>13.0</v>
      </c>
      <c r="HC64" s="1" t="s">
        <v>300</v>
      </c>
      <c r="HD64" s="1">
        <v>25.0</v>
      </c>
      <c r="HE64" s="1" t="s">
        <v>300</v>
      </c>
      <c r="HF64" s="1">
        <v>30.0</v>
      </c>
      <c r="HG64" s="1" t="s">
        <v>300</v>
      </c>
      <c r="HH64" s="1">
        <v>16.0</v>
      </c>
      <c r="HI64" s="1" t="s">
        <v>299</v>
      </c>
      <c r="HJ64" s="1">
        <v>20.0</v>
      </c>
      <c r="HK64" s="1" t="s">
        <v>300</v>
      </c>
    </row>
    <row r="65">
      <c r="A65" s="44" t="s">
        <v>576</v>
      </c>
      <c r="B65" s="3">
        <v>62.0</v>
      </c>
      <c r="C65" s="3" t="s">
        <v>577</v>
      </c>
      <c r="D65" s="30">
        <v>32692.0</v>
      </c>
      <c r="E65" s="1">
        <v>37.0</v>
      </c>
      <c r="F65" s="3" t="s">
        <v>252</v>
      </c>
      <c r="G65" s="3" t="s">
        <v>253</v>
      </c>
      <c r="H65" s="3" t="s">
        <v>253</v>
      </c>
      <c r="I65" s="3" t="s">
        <v>252</v>
      </c>
      <c r="J65" s="3" t="s">
        <v>253</v>
      </c>
      <c r="K65" s="3" t="s">
        <v>253</v>
      </c>
      <c r="L65" s="3" t="s">
        <v>254</v>
      </c>
      <c r="M65" s="3" t="s">
        <v>255</v>
      </c>
      <c r="N65" s="3" t="s">
        <v>254</v>
      </c>
      <c r="O65" s="3" t="s">
        <v>255</v>
      </c>
      <c r="P65" s="3" t="s">
        <v>254</v>
      </c>
      <c r="Q65" s="3" t="s">
        <v>548</v>
      </c>
      <c r="R65" s="7" t="s">
        <v>334</v>
      </c>
      <c r="S65" s="7" t="s">
        <v>258</v>
      </c>
      <c r="T65" s="1" t="s">
        <v>259</v>
      </c>
      <c r="U65" s="1" t="s">
        <v>306</v>
      </c>
      <c r="V65" s="1" t="s">
        <v>435</v>
      </c>
      <c r="W65" s="1" t="s">
        <v>254</v>
      </c>
      <c r="X65" s="1" t="s">
        <v>254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 t="s">
        <v>254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 t="s">
        <v>578</v>
      </c>
      <c r="AM65" s="1" t="s">
        <v>269</v>
      </c>
      <c r="AN65" s="1" t="s">
        <v>269</v>
      </c>
      <c r="AO65" s="1" t="s">
        <v>270</v>
      </c>
      <c r="AP65" s="1" t="s">
        <v>284</v>
      </c>
      <c r="AQ65" s="1" t="s">
        <v>579</v>
      </c>
      <c r="AR65" s="1">
        <v>2.0</v>
      </c>
      <c r="AS65" s="1" t="s">
        <v>273</v>
      </c>
      <c r="AT65" s="1" t="s">
        <v>274</v>
      </c>
      <c r="AU65" s="1" t="s">
        <v>275</v>
      </c>
      <c r="AV65" s="1" t="s">
        <v>379</v>
      </c>
      <c r="AW65" s="1" t="s">
        <v>402</v>
      </c>
      <c r="AX65" s="1" t="s">
        <v>254</v>
      </c>
      <c r="AY65" s="1">
        <v>0.0</v>
      </c>
      <c r="AZ65" s="1" t="s">
        <v>255</v>
      </c>
      <c r="BA65" s="1" t="s">
        <v>446</v>
      </c>
      <c r="BB65" s="1" t="s">
        <v>255</v>
      </c>
      <c r="BC65" s="1" t="s">
        <v>279</v>
      </c>
      <c r="BD65" s="1">
        <v>1.0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 t="s">
        <v>382</v>
      </c>
      <c r="BM65" s="1" t="s">
        <v>578</v>
      </c>
      <c r="BN65" s="1" t="s">
        <v>269</v>
      </c>
      <c r="BO65" s="1" t="s">
        <v>269</v>
      </c>
      <c r="BP65" s="1" t="s">
        <v>270</v>
      </c>
      <c r="BQ65" s="1" t="s">
        <v>284</v>
      </c>
      <c r="BR65" s="1" t="s">
        <v>255</v>
      </c>
      <c r="BS65" s="1" t="s">
        <v>447</v>
      </c>
      <c r="BT65" s="1" t="s">
        <v>414</v>
      </c>
      <c r="BU65" s="1" t="s">
        <v>254</v>
      </c>
      <c r="BV65" s="1" t="s">
        <v>254</v>
      </c>
      <c r="BW65" s="1" t="s">
        <v>254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  <c r="CJ65" s="1">
        <v>0.0</v>
      </c>
      <c r="CK65" s="1">
        <v>0.0</v>
      </c>
      <c r="CL65" s="1">
        <v>0.0</v>
      </c>
      <c r="CM65" s="1" t="s">
        <v>254</v>
      </c>
      <c r="CN65" s="1">
        <v>0.0</v>
      </c>
      <c r="CO65" s="1" t="s">
        <v>254</v>
      </c>
      <c r="CP65" s="1">
        <v>0.0</v>
      </c>
      <c r="CQ65" s="1">
        <v>0.0</v>
      </c>
      <c r="CR65" s="1">
        <v>4.0</v>
      </c>
      <c r="CS65" s="1">
        <v>1.0</v>
      </c>
      <c r="CT65" s="1">
        <v>3.0</v>
      </c>
      <c r="CU65" s="1">
        <v>0.0</v>
      </c>
      <c r="CV65" s="1" t="s">
        <v>255</v>
      </c>
      <c r="CW65" s="1" t="s">
        <v>254</v>
      </c>
      <c r="CX65" s="1" t="s">
        <v>254</v>
      </c>
      <c r="CY65" s="1" t="s">
        <v>254</v>
      </c>
      <c r="CZ65" s="1" t="s">
        <v>254</v>
      </c>
      <c r="DA65" s="1" t="s">
        <v>255</v>
      </c>
      <c r="DB65" s="1" t="s">
        <v>254</v>
      </c>
      <c r="DC65" s="1" t="s">
        <v>255</v>
      </c>
      <c r="DD65" s="1" t="s">
        <v>255</v>
      </c>
      <c r="DE65" s="1" t="s">
        <v>388</v>
      </c>
      <c r="DF65" s="1" t="s">
        <v>293</v>
      </c>
      <c r="DG65" s="1" t="s">
        <v>450</v>
      </c>
      <c r="DH65" s="1" t="s">
        <v>293</v>
      </c>
      <c r="DI65" s="1" t="s">
        <v>293</v>
      </c>
      <c r="DJ65" s="1" t="s">
        <v>293</v>
      </c>
      <c r="DK65" s="1" t="s">
        <v>293</v>
      </c>
      <c r="DL65" s="1" t="s">
        <v>353</v>
      </c>
      <c r="DM65" s="1" t="s">
        <v>293</v>
      </c>
      <c r="DN65" s="1" t="s">
        <v>293</v>
      </c>
      <c r="DO65" s="1" t="s">
        <v>293</v>
      </c>
      <c r="DP65" s="1" t="s">
        <v>451</v>
      </c>
      <c r="DQ65" s="1" t="s">
        <v>293</v>
      </c>
      <c r="DR65" s="1" t="s">
        <v>293</v>
      </c>
      <c r="DS65" s="1" t="s">
        <v>293</v>
      </c>
      <c r="DT65" s="1" t="s">
        <v>293</v>
      </c>
      <c r="DU65" s="1" t="s">
        <v>293</v>
      </c>
      <c r="DV65" s="1" t="s">
        <v>293</v>
      </c>
      <c r="DW65" s="1" t="s">
        <v>293</v>
      </c>
      <c r="DX65" s="1" t="s">
        <v>293</v>
      </c>
      <c r="DY65" s="1" t="s">
        <v>293</v>
      </c>
      <c r="DZ65" s="1" t="s">
        <v>293</v>
      </c>
      <c r="EA65" s="1" t="s">
        <v>254</v>
      </c>
      <c r="EB65" s="1" t="s">
        <v>254</v>
      </c>
      <c r="EC65" s="1" t="s">
        <v>254</v>
      </c>
      <c r="ED65" s="1">
        <v>0.0</v>
      </c>
      <c r="EE65" s="1" t="s">
        <v>255</v>
      </c>
      <c r="EF65" s="1" t="s">
        <v>452</v>
      </c>
      <c r="EG65" s="1" t="s">
        <v>389</v>
      </c>
      <c r="EI65" s="1" t="s">
        <v>390</v>
      </c>
      <c r="EJ65" s="1" t="s">
        <v>293</v>
      </c>
      <c r="EK65" s="1" t="s">
        <v>293</v>
      </c>
      <c r="EL65" s="1" t="s">
        <v>293</v>
      </c>
      <c r="EM65" s="1" t="s">
        <v>293</v>
      </c>
      <c r="EN65" s="1" t="s">
        <v>353</v>
      </c>
      <c r="EO65" s="1" t="s">
        <v>293</v>
      </c>
      <c r="EP65" s="1" t="s">
        <v>293</v>
      </c>
      <c r="EQ65" s="1" t="s">
        <v>293</v>
      </c>
      <c r="ER65" s="1" t="s">
        <v>293</v>
      </c>
      <c r="ES65" s="1" t="s">
        <v>293</v>
      </c>
      <c r="ET65" s="1" t="s">
        <v>293</v>
      </c>
      <c r="EU65" s="1" t="s">
        <v>293</v>
      </c>
      <c r="EV65" s="1" t="s">
        <v>387</v>
      </c>
      <c r="EW65" s="1" t="s">
        <v>254</v>
      </c>
      <c r="EX65" s="1" t="s">
        <v>254</v>
      </c>
      <c r="EY65" s="1">
        <v>0.0</v>
      </c>
      <c r="EZ65" s="1" t="s">
        <v>427</v>
      </c>
      <c r="FA65" s="1" t="s">
        <v>453</v>
      </c>
      <c r="FB65" s="1" t="s">
        <v>454</v>
      </c>
      <c r="FC65" s="1">
        <v>0.0</v>
      </c>
      <c r="FD65" s="1">
        <v>0.0</v>
      </c>
      <c r="FE65" s="1">
        <v>0.0</v>
      </c>
      <c r="FF65" s="1" t="s">
        <v>454</v>
      </c>
      <c r="FG65" s="1">
        <v>0.0</v>
      </c>
      <c r="FH65" s="1">
        <v>0.0</v>
      </c>
      <c r="FI65" s="1">
        <v>0.0</v>
      </c>
      <c r="FJ65" s="1" t="s">
        <v>454</v>
      </c>
      <c r="FK65" s="1">
        <v>0.0</v>
      </c>
      <c r="FL65" s="1">
        <v>0.0</v>
      </c>
      <c r="FM65" s="1">
        <v>0.0</v>
      </c>
      <c r="FN65" s="1" t="s">
        <v>454</v>
      </c>
      <c r="FO65" s="1">
        <v>0.0</v>
      </c>
      <c r="FP65" s="1">
        <v>0.0</v>
      </c>
      <c r="FQ65" s="1">
        <v>0.0</v>
      </c>
      <c r="FR65" s="45" t="s">
        <v>198</v>
      </c>
      <c r="FS65" s="28" t="s">
        <v>205</v>
      </c>
      <c r="FT65" s="28" t="s">
        <v>205</v>
      </c>
      <c r="FU65" s="28" t="s">
        <v>205</v>
      </c>
      <c r="FV65" s="1">
        <v>6.0</v>
      </c>
      <c r="FW65" s="1" t="s">
        <v>299</v>
      </c>
      <c r="FX65" s="1">
        <v>18.0</v>
      </c>
      <c r="FY65" s="1" t="s">
        <v>300</v>
      </c>
      <c r="FZ65" s="1">
        <v>18.0</v>
      </c>
      <c r="GA65" s="1" t="s">
        <v>300</v>
      </c>
      <c r="GB65" s="1">
        <v>6.0</v>
      </c>
      <c r="GC65" s="1" t="s">
        <v>299</v>
      </c>
      <c r="GD65" s="1">
        <v>6.0</v>
      </c>
      <c r="GE65" s="1" t="s">
        <v>299</v>
      </c>
      <c r="GF65" s="1">
        <v>25.0</v>
      </c>
      <c r="GG65" s="1" t="s">
        <v>300</v>
      </c>
      <c r="GH65" s="1">
        <v>6.0</v>
      </c>
      <c r="GI65" s="1" t="s">
        <v>299</v>
      </c>
      <c r="GJ65" s="1">
        <v>6.0</v>
      </c>
      <c r="GK65" s="1" t="s">
        <v>299</v>
      </c>
      <c r="GL65" s="1">
        <v>20.0</v>
      </c>
      <c r="GM65" s="1" t="s">
        <v>300</v>
      </c>
      <c r="GN65" s="1">
        <v>18.0</v>
      </c>
      <c r="GO65" s="1" t="s">
        <v>299</v>
      </c>
      <c r="GP65" s="1">
        <v>6.0</v>
      </c>
      <c r="GQ65" s="1" t="s">
        <v>299</v>
      </c>
      <c r="GR65" s="1">
        <v>20.0</v>
      </c>
      <c r="GS65" s="1" t="s">
        <v>331</v>
      </c>
      <c r="GT65" s="1">
        <v>10.0</v>
      </c>
      <c r="GU65" s="1" t="s">
        <v>299</v>
      </c>
      <c r="GV65" s="1">
        <v>6.0</v>
      </c>
      <c r="GW65" s="1" t="s">
        <v>299</v>
      </c>
      <c r="GX65" s="1">
        <v>18.0</v>
      </c>
      <c r="GY65" s="1" t="s">
        <v>300</v>
      </c>
      <c r="GZ65" s="1">
        <v>20.0</v>
      </c>
      <c r="HA65" s="1" t="s">
        <v>299</v>
      </c>
      <c r="HB65" s="1">
        <v>6.0</v>
      </c>
      <c r="HC65" s="1" t="s">
        <v>299</v>
      </c>
      <c r="HD65" s="1">
        <v>6.0</v>
      </c>
      <c r="HE65" s="1" t="s">
        <v>299</v>
      </c>
      <c r="HF65" s="1">
        <v>12.0</v>
      </c>
      <c r="HG65" s="1" t="s">
        <v>299</v>
      </c>
      <c r="HH65" s="1">
        <v>18.0</v>
      </c>
      <c r="HI65" s="1" t="s">
        <v>299</v>
      </c>
      <c r="HJ65" s="1">
        <v>17.0</v>
      </c>
      <c r="HK65" s="1" t="s">
        <v>299</v>
      </c>
    </row>
    <row r="66">
      <c r="A66" s="44" t="s">
        <v>930</v>
      </c>
      <c r="B66" s="3">
        <v>63.0</v>
      </c>
      <c r="C66" s="3" t="s">
        <v>931</v>
      </c>
      <c r="D66" s="30">
        <v>18025.0</v>
      </c>
      <c r="E66" s="1">
        <v>77.0</v>
      </c>
      <c r="F66" s="3" t="s">
        <v>252</v>
      </c>
      <c r="G66" s="3" t="s">
        <v>253</v>
      </c>
      <c r="H66" s="3" t="s">
        <v>253</v>
      </c>
      <c r="I66" s="3" t="s">
        <v>252</v>
      </c>
      <c r="J66" s="3" t="s">
        <v>253</v>
      </c>
      <c r="K66" s="3" t="s">
        <v>253</v>
      </c>
      <c r="L66" s="3" t="s">
        <v>254</v>
      </c>
      <c r="M66" s="3" t="s">
        <v>255</v>
      </c>
      <c r="N66" s="3" t="s">
        <v>254</v>
      </c>
      <c r="O66" s="3" t="s">
        <v>255</v>
      </c>
      <c r="P66" s="3" t="s">
        <v>254</v>
      </c>
      <c r="Q66" s="3" t="s">
        <v>548</v>
      </c>
      <c r="R66" s="7" t="s">
        <v>888</v>
      </c>
      <c r="S66" s="7" t="s">
        <v>889</v>
      </c>
      <c r="T66" s="1" t="s">
        <v>259</v>
      </c>
      <c r="U66" s="1" t="s">
        <v>360</v>
      </c>
      <c r="V66" s="1" t="s">
        <v>932</v>
      </c>
      <c r="W66" s="1" t="s">
        <v>254</v>
      </c>
      <c r="X66" s="1" t="s">
        <v>254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 t="s">
        <v>254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 t="s">
        <v>578</v>
      </c>
      <c r="AM66" s="1" t="s">
        <v>269</v>
      </c>
      <c r="AN66" s="1" t="s">
        <v>269</v>
      </c>
      <c r="AO66" s="1" t="s">
        <v>270</v>
      </c>
      <c r="AP66" s="1" t="s">
        <v>284</v>
      </c>
      <c r="AQ66" s="1" t="s">
        <v>464</v>
      </c>
      <c r="AR66" s="1">
        <v>3.0</v>
      </c>
      <c r="AS66" s="1" t="s">
        <v>273</v>
      </c>
      <c r="AT66" s="1" t="s">
        <v>274</v>
      </c>
      <c r="AU66" s="1" t="s">
        <v>275</v>
      </c>
      <c r="AV66" s="1" t="s">
        <v>276</v>
      </c>
      <c r="AW66" s="1" t="s">
        <v>544</v>
      </c>
      <c r="AX66" s="1" t="s">
        <v>254</v>
      </c>
      <c r="AY66" s="1">
        <v>0.0</v>
      </c>
      <c r="AZ66" s="1" t="s">
        <v>255</v>
      </c>
      <c r="BA66" s="1" t="s">
        <v>278</v>
      </c>
      <c r="BB66" s="1" t="s">
        <v>255</v>
      </c>
      <c r="BC66" s="1" t="s">
        <v>279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 t="s">
        <v>320</v>
      </c>
      <c r="BM66" s="1" t="s">
        <v>578</v>
      </c>
      <c r="BN66" s="1" t="s">
        <v>269</v>
      </c>
      <c r="BO66" s="1" t="s">
        <v>269</v>
      </c>
      <c r="BP66" s="1" t="s">
        <v>270</v>
      </c>
      <c r="BQ66" s="1" t="s">
        <v>284</v>
      </c>
      <c r="BR66" s="1" t="s">
        <v>254</v>
      </c>
      <c r="BS66" s="1" t="s">
        <v>254</v>
      </c>
      <c r="BT66" s="1" t="s">
        <v>254</v>
      </c>
      <c r="BU66" s="1" t="s">
        <v>254</v>
      </c>
      <c r="BV66" s="1" t="s">
        <v>254</v>
      </c>
      <c r="BW66" s="1" t="s">
        <v>254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 t="s">
        <v>254</v>
      </c>
      <c r="CN66" s="1">
        <v>0.0</v>
      </c>
      <c r="CO66" s="1" t="s">
        <v>254</v>
      </c>
      <c r="CP66" s="1">
        <v>0.0</v>
      </c>
      <c r="CQ66" s="1">
        <v>2.0</v>
      </c>
      <c r="CR66" s="1">
        <v>0.0</v>
      </c>
      <c r="CS66" s="1">
        <v>2.0</v>
      </c>
      <c r="CT66" s="1" t="s">
        <v>675</v>
      </c>
      <c r="CU66" s="1" t="s">
        <v>676</v>
      </c>
      <c r="CV66" s="1" t="s">
        <v>255</v>
      </c>
      <c r="CW66" s="1" t="s">
        <v>254</v>
      </c>
      <c r="CX66" s="1" t="s">
        <v>254</v>
      </c>
      <c r="CY66" s="1" t="s">
        <v>254</v>
      </c>
      <c r="CZ66" s="1" t="s">
        <v>254</v>
      </c>
      <c r="DA66" s="1" t="s">
        <v>255</v>
      </c>
      <c r="DB66" s="1" t="s">
        <v>254</v>
      </c>
      <c r="DC66" s="1" t="s">
        <v>255</v>
      </c>
      <c r="DD66" s="1" t="s">
        <v>255</v>
      </c>
      <c r="DE66" s="1" t="s">
        <v>388</v>
      </c>
      <c r="DF66" s="1" t="s">
        <v>293</v>
      </c>
      <c r="DG66" s="1" t="s">
        <v>450</v>
      </c>
      <c r="DH66" s="1" t="s">
        <v>293</v>
      </c>
      <c r="DI66" s="1" t="s">
        <v>293</v>
      </c>
      <c r="DJ66" s="1" t="s">
        <v>293</v>
      </c>
      <c r="DK66" s="1" t="s">
        <v>293</v>
      </c>
      <c r="DL66" s="1" t="s">
        <v>353</v>
      </c>
      <c r="DM66" s="1" t="s">
        <v>293</v>
      </c>
      <c r="DN66" s="1" t="s">
        <v>293</v>
      </c>
      <c r="DO66" s="1" t="s">
        <v>293</v>
      </c>
      <c r="DP66" s="1" t="s">
        <v>451</v>
      </c>
      <c r="DQ66" s="1" t="s">
        <v>293</v>
      </c>
      <c r="DR66" s="1" t="s">
        <v>293</v>
      </c>
      <c r="DS66" s="1" t="s">
        <v>293</v>
      </c>
      <c r="DT66" s="1" t="s">
        <v>293</v>
      </c>
      <c r="DU66" s="1" t="s">
        <v>293</v>
      </c>
      <c r="DV66" s="1" t="s">
        <v>293</v>
      </c>
      <c r="DW66" s="1" t="s">
        <v>293</v>
      </c>
      <c r="DX66" s="1" t="s">
        <v>293</v>
      </c>
      <c r="DY66" s="1" t="s">
        <v>293</v>
      </c>
      <c r="DZ66" s="1" t="s">
        <v>293</v>
      </c>
      <c r="EA66" s="1" t="s">
        <v>254</v>
      </c>
      <c r="EB66" s="1" t="s">
        <v>254</v>
      </c>
      <c r="EC66" s="1" t="s">
        <v>254</v>
      </c>
      <c r="ED66" s="1">
        <v>0.0</v>
      </c>
      <c r="EE66" s="1" t="s">
        <v>255</v>
      </c>
      <c r="EF66" s="1" t="s">
        <v>452</v>
      </c>
      <c r="EG66" s="1" t="s">
        <v>389</v>
      </c>
      <c r="EI66" s="1" t="s">
        <v>390</v>
      </c>
      <c r="EJ66" s="1" t="s">
        <v>293</v>
      </c>
      <c r="EK66" s="1" t="s">
        <v>293</v>
      </c>
      <c r="EL66" s="1" t="s">
        <v>293</v>
      </c>
      <c r="EM66" s="1" t="s">
        <v>293</v>
      </c>
      <c r="EN66" s="1" t="s">
        <v>353</v>
      </c>
      <c r="EO66" s="1" t="s">
        <v>293</v>
      </c>
      <c r="EP66" s="1" t="s">
        <v>293</v>
      </c>
      <c r="EQ66" s="1" t="s">
        <v>293</v>
      </c>
      <c r="ER66" s="1" t="s">
        <v>293</v>
      </c>
      <c r="ES66" s="1" t="s">
        <v>293</v>
      </c>
      <c r="ET66" s="1" t="s">
        <v>293</v>
      </c>
      <c r="EU66" s="1" t="s">
        <v>293</v>
      </c>
      <c r="EV66" s="1" t="s">
        <v>387</v>
      </c>
      <c r="EW66" s="1" t="s">
        <v>254</v>
      </c>
      <c r="EX66" s="1" t="s">
        <v>254</v>
      </c>
      <c r="EY66" s="1">
        <v>0.0</v>
      </c>
      <c r="EZ66" s="1" t="s">
        <v>427</v>
      </c>
      <c r="FA66" s="1" t="s">
        <v>453</v>
      </c>
      <c r="FB66" s="1" t="s">
        <v>454</v>
      </c>
      <c r="FC66" s="1">
        <v>0.0</v>
      </c>
      <c r="FD66" s="1">
        <v>0.0</v>
      </c>
      <c r="FE66" s="1">
        <v>0.0</v>
      </c>
      <c r="FF66" s="1" t="s">
        <v>454</v>
      </c>
      <c r="FG66" s="1">
        <v>0.0</v>
      </c>
      <c r="FH66" s="1">
        <v>0.0</v>
      </c>
      <c r="FI66" s="1">
        <v>0.0</v>
      </c>
      <c r="FJ66" s="1" t="s">
        <v>454</v>
      </c>
      <c r="FK66" s="1">
        <v>0.0</v>
      </c>
      <c r="FL66" s="1">
        <v>0.0</v>
      </c>
      <c r="FM66" s="1">
        <v>0.0</v>
      </c>
      <c r="FN66" s="1" t="s">
        <v>454</v>
      </c>
      <c r="FO66" s="1">
        <v>0.0</v>
      </c>
      <c r="FP66" s="1">
        <v>0.0</v>
      </c>
      <c r="FQ66" s="1">
        <v>0.0</v>
      </c>
      <c r="FR66" s="28" t="s">
        <v>514</v>
      </c>
      <c r="FS66" s="28" t="s">
        <v>298</v>
      </c>
      <c r="FT66" s="28" t="s">
        <v>298</v>
      </c>
      <c r="FU66" s="28" t="s">
        <v>298</v>
      </c>
      <c r="FV66" s="1">
        <v>2.0</v>
      </c>
      <c r="FW66" s="1" t="s">
        <v>299</v>
      </c>
      <c r="FX66" s="1">
        <v>20.0</v>
      </c>
      <c r="FY66" s="1" t="s">
        <v>300</v>
      </c>
      <c r="FZ66" s="1">
        <v>26.0</v>
      </c>
      <c r="GA66" s="1" t="s">
        <v>300</v>
      </c>
      <c r="GB66" s="1">
        <v>28.0</v>
      </c>
      <c r="GC66" s="1" t="s">
        <v>300</v>
      </c>
      <c r="GD66" s="1">
        <v>20.0</v>
      </c>
      <c r="GE66" s="1" t="s">
        <v>300</v>
      </c>
      <c r="GF66" s="1">
        <v>30.0</v>
      </c>
      <c r="GG66" s="1" t="s">
        <v>300</v>
      </c>
      <c r="GH66" s="1">
        <v>20.0</v>
      </c>
      <c r="GI66" s="1" t="s">
        <v>331</v>
      </c>
      <c r="GJ66" s="1">
        <v>30.0</v>
      </c>
      <c r="GK66" s="1" t="s">
        <v>300</v>
      </c>
      <c r="GL66" s="1">
        <v>20.0</v>
      </c>
      <c r="GM66" s="1" t="s">
        <v>300</v>
      </c>
      <c r="GN66" s="1">
        <v>30.0</v>
      </c>
      <c r="GO66" s="1" t="s">
        <v>300</v>
      </c>
      <c r="GP66" s="1">
        <v>11.0</v>
      </c>
      <c r="GQ66" s="1" t="s">
        <v>299</v>
      </c>
      <c r="GR66" s="1">
        <v>28.0</v>
      </c>
      <c r="GS66" s="1" t="s">
        <v>300</v>
      </c>
      <c r="GT66" s="1">
        <v>26.0</v>
      </c>
      <c r="GU66" s="1" t="s">
        <v>300</v>
      </c>
      <c r="GV66" s="1">
        <v>13.0</v>
      </c>
      <c r="GW66" s="1" t="s">
        <v>299</v>
      </c>
      <c r="GX66" s="1">
        <v>17.0</v>
      </c>
      <c r="GY66" s="1" t="s">
        <v>300</v>
      </c>
      <c r="GZ66" s="1">
        <v>22.0</v>
      </c>
      <c r="HA66" s="1" t="s">
        <v>299</v>
      </c>
      <c r="HB66" s="1">
        <v>13.0</v>
      </c>
      <c r="HC66" s="1" t="s">
        <v>300</v>
      </c>
      <c r="HD66" s="1">
        <v>38.0</v>
      </c>
      <c r="HE66" s="1" t="s">
        <v>300</v>
      </c>
      <c r="HF66" s="1">
        <v>25.0</v>
      </c>
      <c r="HG66" s="1" t="s">
        <v>331</v>
      </c>
      <c r="HH66" s="1">
        <v>17.0</v>
      </c>
      <c r="HI66" s="1" t="s">
        <v>299</v>
      </c>
      <c r="HJ66" s="1">
        <v>20.0</v>
      </c>
      <c r="HK66" s="1" t="s">
        <v>300</v>
      </c>
    </row>
    <row r="67">
      <c r="A67" s="44" t="s">
        <v>935</v>
      </c>
      <c r="B67" s="3">
        <v>64.0</v>
      </c>
      <c r="C67" s="3" t="s">
        <v>936</v>
      </c>
      <c r="D67" s="30">
        <v>21562.0</v>
      </c>
      <c r="E67" s="1">
        <v>67.0</v>
      </c>
      <c r="F67" s="3" t="s">
        <v>252</v>
      </c>
      <c r="G67" s="3" t="s">
        <v>253</v>
      </c>
      <c r="H67" s="3" t="s">
        <v>253</v>
      </c>
      <c r="I67" s="3" t="s">
        <v>252</v>
      </c>
      <c r="J67" s="3" t="s">
        <v>253</v>
      </c>
      <c r="K67" s="3" t="s">
        <v>253</v>
      </c>
      <c r="L67" s="3" t="s">
        <v>254</v>
      </c>
      <c r="M67" s="3" t="s">
        <v>255</v>
      </c>
      <c r="N67" s="3" t="s">
        <v>254</v>
      </c>
      <c r="O67" s="3" t="s">
        <v>255</v>
      </c>
      <c r="P67" s="3" t="s">
        <v>254</v>
      </c>
      <c r="Q67" s="3" t="s">
        <v>548</v>
      </c>
      <c r="R67" s="7" t="s">
        <v>888</v>
      </c>
      <c r="S67" s="7" t="s">
        <v>889</v>
      </c>
      <c r="T67" s="1" t="s">
        <v>259</v>
      </c>
      <c r="U67" s="1" t="s">
        <v>360</v>
      </c>
      <c r="V67" s="1" t="s">
        <v>937</v>
      </c>
      <c r="W67" s="1" t="s">
        <v>254</v>
      </c>
      <c r="X67" s="1" t="s">
        <v>254</v>
      </c>
      <c r="Y67" s="1">
        <v>0.0</v>
      </c>
      <c r="Z67" s="1">
        <v>0.0</v>
      </c>
      <c r="AA67" s="1">
        <v>0.0</v>
      </c>
      <c r="AB67" s="1" t="s">
        <v>665</v>
      </c>
      <c r="AC67" s="1">
        <v>0.0</v>
      </c>
      <c r="AD67" s="1">
        <v>0.0</v>
      </c>
      <c r="AE67" s="1">
        <v>0.0</v>
      </c>
      <c r="AF67" s="1" t="s">
        <v>254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 t="s">
        <v>821</v>
      </c>
      <c r="AM67" s="1" t="s">
        <v>269</v>
      </c>
      <c r="AN67" s="1" t="s">
        <v>269</v>
      </c>
      <c r="AO67" s="1" t="s">
        <v>270</v>
      </c>
      <c r="AP67" s="1" t="s">
        <v>284</v>
      </c>
      <c r="AQ67" s="1" t="s">
        <v>443</v>
      </c>
      <c r="AR67" s="1">
        <v>2.0</v>
      </c>
      <c r="AS67" s="1" t="s">
        <v>273</v>
      </c>
      <c r="AT67" s="1" t="s">
        <v>274</v>
      </c>
      <c r="AU67" s="1" t="s">
        <v>316</v>
      </c>
      <c r="AV67" s="1" t="s">
        <v>317</v>
      </c>
      <c r="AW67" s="1" t="s">
        <v>402</v>
      </c>
      <c r="AX67" s="1" t="s">
        <v>254</v>
      </c>
      <c r="AY67" s="1">
        <v>0.0</v>
      </c>
      <c r="AZ67" s="1" t="s">
        <v>255</v>
      </c>
      <c r="BA67" s="1" t="s">
        <v>319</v>
      </c>
      <c r="BB67" s="1" t="s">
        <v>255</v>
      </c>
      <c r="BC67" s="31" t="s">
        <v>279</v>
      </c>
      <c r="BD67" s="1">
        <v>1.0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 t="s">
        <v>382</v>
      </c>
      <c r="BM67" s="1" t="s">
        <v>821</v>
      </c>
      <c r="BN67" s="1" t="s">
        <v>269</v>
      </c>
      <c r="BO67" s="1" t="s">
        <v>269</v>
      </c>
      <c r="BP67" s="1" t="s">
        <v>270</v>
      </c>
      <c r="BQ67" s="1" t="s">
        <v>284</v>
      </c>
      <c r="BR67" s="1" t="s">
        <v>254</v>
      </c>
      <c r="BS67" s="1" t="s">
        <v>254</v>
      </c>
      <c r="BT67" s="1" t="s">
        <v>254</v>
      </c>
      <c r="BU67" s="1" t="s">
        <v>254</v>
      </c>
      <c r="BV67" s="1" t="s">
        <v>254</v>
      </c>
      <c r="BW67" s="1" t="s">
        <v>254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 t="s">
        <v>254</v>
      </c>
      <c r="CN67" s="1">
        <v>0.0</v>
      </c>
      <c r="CO67" s="1" t="s">
        <v>254</v>
      </c>
      <c r="CP67" s="1">
        <v>0.0</v>
      </c>
      <c r="CQ67" s="1">
        <v>0.0</v>
      </c>
      <c r="CR67" s="1">
        <v>0.0</v>
      </c>
      <c r="CS67" s="1">
        <v>3.0</v>
      </c>
      <c r="CT67" s="1" t="s">
        <v>652</v>
      </c>
      <c r="CU67" s="34"/>
      <c r="CV67" s="1" t="s">
        <v>254</v>
      </c>
      <c r="CW67" s="1" t="s">
        <v>254</v>
      </c>
      <c r="CX67" s="1" t="s">
        <v>254</v>
      </c>
      <c r="CY67" s="1" t="s">
        <v>254</v>
      </c>
      <c r="CZ67" s="1" t="s">
        <v>254</v>
      </c>
      <c r="DA67" s="1" t="s">
        <v>254</v>
      </c>
      <c r="DB67" s="1" t="s">
        <v>255</v>
      </c>
      <c r="DC67" s="1" t="s">
        <v>254</v>
      </c>
      <c r="DD67" s="1" t="s">
        <v>255</v>
      </c>
      <c r="DE67" s="1" t="s">
        <v>323</v>
      </c>
      <c r="DF67" s="1" t="s">
        <v>293</v>
      </c>
      <c r="DG67" s="1" t="s">
        <v>323</v>
      </c>
      <c r="DH67" s="1" t="s">
        <v>323</v>
      </c>
      <c r="DI67" s="1" t="s">
        <v>291</v>
      </c>
      <c r="DJ67" s="1" t="s">
        <v>293</v>
      </c>
      <c r="DK67" s="1" t="s">
        <v>293</v>
      </c>
      <c r="DL67" s="1" t="s">
        <v>290</v>
      </c>
      <c r="DM67" s="1" t="s">
        <v>323</v>
      </c>
      <c r="DN67" s="1" t="s">
        <v>293</v>
      </c>
      <c r="DO67" s="1" t="s">
        <v>293</v>
      </c>
      <c r="DP67" s="1" t="s">
        <v>293</v>
      </c>
      <c r="DQ67" s="1" t="s">
        <v>293</v>
      </c>
      <c r="DR67" s="1" t="s">
        <v>293</v>
      </c>
      <c r="DS67" s="1" t="s">
        <v>293</v>
      </c>
      <c r="DT67" s="1" t="s">
        <v>293</v>
      </c>
      <c r="DU67" s="1" t="s">
        <v>293</v>
      </c>
      <c r="DV67" s="1" t="s">
        <v>293</v>
      </c>
      <c r="DW67" s="1" t="s">
        <v>293</v>
      </c>
      <c r="DX67" s="1" t="s">
        <v>293</v>
      </c>
      <c r="DY67" s="1" t="s">
        <v>293</v>
      </c>
      <c r="DZ67" s="1" t="s">
        <v>293</v>
      </c>
      <c r="EA67" s="1" t="s">
        <v>254</v>
      </c>
      <c r="EB67" s="1" t="s">
        <v>254</v>
      </c>
      <c r="EC67" s="1" t="s">
        <v>254</v>
      </c>
      <c r="ED67" s="1">
        <v>0.0</v>
      </c>
      <c r="EE67" s="1" t="s">
        <v>254</v>
      </c>
      <c r="EF67" s="31">
        <v>0.0</v>
      </c>
      <c r="EG67" s="1">
        <v>0.0</v>
      </c>
      <c r="EH67" s="34"/>
      <c r="EI67" s="1" t="s">
        <v>293</v>
      </c>
      <c r="EJ67" s="1" t="s">
        <v>293</v>
      </c>
      <c r="EK67" s="1" t="s">
        <v>293</v>
      </c>
      <c r="EL67" s="1" t="s">
        <v>293</v>
      </c>
      <c r="EM67" s="1" t="s">
        <v>293</v>
      </c>
      <c r="EN67" s="1" t="s">
        <v>293</v>
      </c>
      <c r="EO67" s="1" t="s">
        <v>293</v>
      </c>
      <c r="EP67" s="1" t="s">
        <v>293</v>
      </c>
      <c r="EQ67" s="1" t="s">
        <v>293</v>
      </c>
      <c r="ER67" s="1" t="s">
        <v>293</v>
      </c>
      <c r="ES67" s="1" t="s">
        <v>293</v>
      </c>
      <c r="ET67" s="1" t="s">
        <v>293</v>
      </c>
      <c r="EU67" s="1" t="s">
        <v>422</v>
      </c>
      <c r="EV67" s="1" t="s">
        <v>423</v>
      </c>
      <c r="EW67" s="1" t="s">
        <v>255</v>
      </c>
      <c r="EX67" s="1" t="s">
        <v>254</v>
      </c>
      <c r="EY67" s="1" t="s">
        <v>425</v>
      </c>
      <c r="EZ67" s="1" t="s">
        <v>427</v>
      </c>
      <c r="FA67" s="1" t="s">
        <v>428</v>
      </c>
      <c r="FB67" s="1" t="s">
        <v>255</v>
      </c>
      <c r="FC67" s="1" t="s">
        <v>425</v>
      </c>
      <c r="FD67" s="1" t="s">
        <v>429</v>
      </c>
      <c r="FE67" s="1" t="s">
        <v>428</v>
      </c>
      <c r="FF67" s="1" t="s">
        <v>430</v>
      </c>
      <c r="FG67" s="1" t="s">
        <v>425</v>
      </c>
      <c r="FH67" s="1" t="s">
        <v>427</v>
      </c>
      <c r="FI67" s="1">
        <v>0.0</v>
      </c>
      <c r="FJ67" s="1" t="s">
        <v>430</v>
      </c>
      <c r="FK67" s="1" t="s">
        <v>425</v>
      </c>
      <c r="FL67" s="1" t="s">
        <v>427</v>
      </c>
      <c r="FM67" s="34"/>
      <c r="FN67" s="1" t="s">
        <v>293</v>
      </c>
      <c r="FO67" s="1">
        <v>0.0</v>
      </c>
      <c r="FP67" s="34"/>
      <c r="FQ67" s="1">
        <v>0.0</v>
      </c>
      <c r="FR67" s="28" t="s">
        <v>514</v>
      </c>
      <c r="FS67" s="28" t="s">
        <v>298</v>
      </c>
      <c r="FT67" s="28" t="s">
        <v>298</v>
      </c>
      <c r="FU67" s="28" t="s">
        <v>298</v>
      </c>
      <c r="FV67" s="1">
        <v>19.0</v>
      </c>
      <c r="FW67" s="1" t="s">
        <v>300</v>
      </c>
      <c r="FX67" s="1">
        <v>14.0</v>
      </c>
      <c r="FY67" s="1" t="s">
        <v>299</v>
      </c>
      <c r="FZ67" s="1">
        <v>10.0</v>
      </c>
      <c r="GA67" s="1" t="s">
        <v>299</v>
      </c>
      <c r="GB67" s="1">
        <v>6.0</v>
      </c>
      <c r="GC67" s="1" t="s">
        <v>299</v>
      </c>
      <c r="GD67" s="1">
        <v>21.0</v>
      </c>
      <c r="GE67" s="1" t="s">
        <v>300</v>
      </c>
      <c r="GF67" s="1">
        <v>22.0</v>
      </c>
      <c r="GG67" s="1" t="s">
        <v>300</v>
      </c>
      <c r="GH67" s="1">
        <v>21.0</v>
      </c>
      <c r="GI67" s="1" t="s">
        <v>331</v>
      </c>
      <c r="GJ67" s="1">
        <v>21.0</v>
      </c>
      <c r="GK67" s="1" t="s">
        <v>299</v>
      </c>
      <c r="GL67" s="1">
        <v>6.0</v>
      </c>
      <c r="GM67" s="1" t="s">
        <v>299</v>
      </c>
      <c r="GN67" s="1">
        <v>23.0</v>
      </c>
      <c r="GO67" s="1" t="s">
        <v>299</v>
      </c>
      <c r="GP67" s="1">
        <v>14.0</v>
      </c>
      <c r="GQ67" s="1" t="s">
        <v>299</v>
      </c>
      <c r="GR67" s="1">
        <v>23.0</v>
      </c>
      <c r="GS67" s="1" t="s">
        <v>300</v>
      </c>
      <c r="GT67" s="1">
        <v>16.0</v>
      </c>
      <c r="GU67" s="1" t="s">
        <v>299</v>
      </c>
      <c r="GV67" s="1">
        <v>13.0</v>
      </c>
      <c r="GW67" s="1" t="s">
        <v>299</v>
      </c>
      <c r="GX67" s="1">
        <v>16.0</v>
      </c>
      <c r="GY67" s="1" t="s">
        <v>300</v>
      </c>
      <c r="GZ67" s="1">
        <v>20.0</v>
      </c>
      <c r="HA67" s="1" t="s">
        <v>299</v>
      </c>
      <c r="HB67" s="1">
        <v>6.0</v>
      </c>
      <c r="HC67" s="1" t="s">
        <v>299</v>
      </c>
      <c r="HD67" s="1">
        <v>30.0</v>
      </c>
      <c r="HE67" s="1" t="s">
        <v>300</v>
      </c>
      <c r="HF67" s="1">
        <v>25.0</v>
      </c>
      <c r="HG67" s="1" t="s">
        <v>331</v>
      </c>
      <c r="HH67" s="1">
        <v>20.0</v>
      </c>
      <c r="HI67" s="1" t="s">
        <v>299</v>
      </c>
      <c r="HJ67" s="1">
        <v>12.0</v>
      </c>
      <c r="HK67" s="1" t="s">
        <v>299</v>
      </c>
    </row>
    <row r="68">
      <c r="A68" s="44" t="s">
        <v>941</v>
      </c>
      <c r="B68" s="3">
        <v>65.0</v>
      </c>
      <c r="C68" s="3" t="s">
        <v>942</v>
      </c>
      <c r="D68" s="30">
        <v>29294.0</v>
      </c>
      <c r="E68" s="1">
        <v>46.0</v>
      </c>
      <c r="F68" s="3" t="s">
        <v>252</v>
      </c>
      <c r="G68" s="3" t="s">
        <v>253</v>
      </c>
      <c r="H68" s="3" t="s">
        <v>253</v>
      </c>
      <c r="I68" s="3" t="s">
        <v>252</v>
      </c>
      <c r="J68" s="3" t="s">
        <v>253</v>
      </c>
      <c r="K68" s="3" t="s">
        <v>253</v>
      </c>
      <c r="L68" s="3" t="s">
        <v>254</v>
      </c>
      <c r="M68" s="3" t="s">
        <v>255</v>
      </c>
      <c r="N68" s="3" t="s">
        <v>254</v>
      </c>
      <c r="O68" s="3" t="s">
        <v>255</v>
      </c>
      <c r="P68" s="3" t="s">
        <v>254</v>
      </c>
      <c r="Q68" s="3" t="s">
        <v>548</v>
      </c>
      <c r="R68" s="7" t="s">
        <v>298</v>
      </c>
      <c r="S68" s="7" t="s">
        <v>359</v>
      </c>
      <c r="T68" s="1" t="s">
        <v>259</v>
      </c>
      <c r="U68" s="1" t="s">
        <v>360</v>
      </c>
      <c r="V68" s="1" t="s">
        <v>457</v>
      </c>
      <c r="W68" s="1" t="s">
        <v>254</v>
      </c>
      <c r="X68" s="1" t="s">
        <v>254</v>
      </c>
      <c r="Y68" s="1">
        <v>0.0</v>
      </c>
      <c r="Z68" s="1">
        <v>0.0</v>
      </c>
      <c r="AA68" s="1">
        <v>0.0</v>
      </c>
      <c r="AB68" s="1" t="s">
        <v>437</v>
      </c>
      <c r="AC68" s="1">
        <v>0.0</v>
      </c>
      <c r="AD68" s="1" t="s">
        <v>945</v>
      </c>
      <c r="AE68" s="1" t="s">
        <v>265</v>
      </c>
      <c r="AF68" s="1" t="s">
        <v>254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 t="s">
        <v>626</v>
      </c>
      <c r="AM68" s="1" t="s">
        <v>269</v>
      </c>
      <c r="AN68" s="1" t="s">
        <v>269</v>
      </c>
      <c r="AO68" s="1" t="s">
        <v>270</v>
      </c>
      <c r="AP68" s="1" t="s">
        <v>342</v>
      </c>
      <c r="AQ68" s="1" t="s">
        <v>595</v>
      </c>
      <c r="AR68" s="1">
        <v>1.0</v>
      </c>
      <c r="AS68" s="1" t="s">
        <v>273</v>
      </c>
      <c r="AT68" s="1" t="s">
        <v>274</v>
      </c>
      <c r="AU68" s="1" t="s">
        <v>316</v>
      </c>
      <c r="AV68" s="1" t="s">
        <v>317</v>
      </c>
      <c r="AW68" s="1" t="s">
        <v>402</v>
      </c>
      <c r="AX68" s="1" t="s">
        <v>254</v>
      </c>
      <c r="AY68" s="1">
        <v>0.0</v>
      </c>
      <c r="AZ68" s="1" t="s">
        <v>255</v>
      </c>
      <c r="BA68" s="1" t="s">
        <v>319</v>
      </c>
      <c r="BC68" s="1" t="s">
        <v>946</v>
      </c>
      <c r="BD68" s="1">
        <v>1.0</v>
      </c>
      <c r="BE68" s="1">
        <v>0.0</v>
      </c>
      <c r="BF68" s="1">
        <v>0.0</v>
      </c>
      <c r="BG68" s="1">
        <v>0.0</v>
      </c>
      <c r="BH68" s="1">
        <v>1.0</v>
      </c>
      <c r="BI68" s="1" t="s">
        <v>405</v>
      </c>
      <c r="BJ68" s="1" t="s">
        <v>263</v>
      </c>
      <c r="BK68" s="1" t="s">
        <v>407</v>
      </c>
      <c r="BM68" s="1" t="s">
        <v>626</v>
      </c>
      <c r="BN68" s="1" t="s">
        <v>269</v>
      </c>
      <c r="BO68" s="1" t="s">
        <v>269</v>
      </c>
      <c r="BP68" s="1" t="s">
        <v>270</v>
      </c>
      <c r="BQ68" s="1" t="s">
        <v>349</v>
      </c>
      <c r="BR68" s="1" t="s">
        <v>254</v>
      </c>
      <c r="BS68" s="1" t="s">
        <v>254</v>
      </c>
      <c r="BT68" s="1" t="s">
        <v>254</v>
      </c>
      <c r="BU68" s="1" t="s">
        <v>254</v>
      </c>
      <c r="BV68" s="1" t="s">
        <v>254</v>
      </c>
      <c r="BW68" s="1" t="s">
        <v>254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0.0</v>
      </c>
      <c r="CL68" s="1">
        <v>0.0</v>
      </c>
      <c r="CM68" s="1" t="s">
        <v>254</v>
      </c>
      <c r="CN68" s="1">
        <v>0.0</v>
      </c>
      <c r="CO68" s="1" t="s">
        <v>254</v>
      </c>
      <c r="CP68" s="1">
        <v>0.0</v>
      </c>
      <c r="CQ68" s="1">
        <v>5.0</v>
      </c>
      <c r="CR68" s="1">
        <v>2.0</v>
      </c>
      <c r="CS68" s="1">
        <v>3.0</v>
      </c>
      <c r="CT68" s="1" t="s">
        <v>928</v>
      </c>
      <c r="CU68" s="1" t="s">
        <v>929</v>
      </c>
      <c r="CV68" s="1" t="s">
        <v>255</v>
      </c>
      <c r="CW68" s="1" t="s">
        <v>254</v>
      </c>
      <c r="CX68" s="1" t="s">
        <v>254</v>
      </c>
      <c r="CY68" s="1" t="s">
        <v>254</v>
      </c>
      <c r="CZ68" s="1" t="s">
        <v>254</v>
      </c>
      <c r="DA68" s="1" t="s">
        <v>255</v>
      </c>
      <c r="DB68" s="1" t="s">
        <v>254</v>
      </c>
      <c r="DC68" s="1" t="s">
        <v>255</v>
      </c>
      <c r="DD68" s="1" t="s">
        <v>255</v>
      </c>
      <c r="DE68" s="1" t="s">
        <v>388</v>
      </c>
      <c r="DF68" s="1" t="s">
        <v>293</v>
      </c>
      <c r="DG68" s="1" t="s">
        <v>450</v>
      </c>
      <c r="DH68" s="1" t="s">
        <v>293</v>
      </c>
      <c r="DI68" s="1" t="s">
        <v>293</v>
      </c>
      <c r="DJ68" s="1" t="s">
        <v>293</v>
      </c>
      <c r="DK68" s="1" t="s">
        <v>293</v>
      </c>
      <c r="DL68" s="1" t="s">
        <v>353</v>
      </c>
      <c r="DM68" s="1" t="s">
        <v>293</v>
      </c>
      <c r="DN68" s="1" t="s">
        <v>293</v>
      </c>
      <c r="DO68" s="1" t="s">
        <v>293</v>
      </c>
      <c r="DP68" s="1" t="s">
        <v>451</v>
      </c>
      <c r="DQ68" s="1" t="s">
        <v>293</v>
      </c>
      <c r="DR68" s="1" t="s">
        <v>293</v>
      </c>
      <c r="DS68" s="1" t="s">
        <v>293</v>
      </c>
      <c r="DT68" s="1" t="s">
        <v>293</v>
      </c>
      <c r="DU68" s="1" t="s">
        <v>293</v>
      </c>
      <c r="DV68" s="1" t="s">
        <v>293</v>
      </c>
      <c r="DW68" s="1" t="s">
        <v>293</v>
      </c>
      <c r="DX68" s="1" t="s">
        <v>293</v>
      </c>
      <c r="DY68" s="1" t="s">
        <v>293</v>
      </c>
      <c r="DZ68" s="1" t="s">
        <v>293</v>
      </c>
      <c r="EA68" s="1" t="s">
        <v>254</v>
      </c>
      <c r="EB68" s="1" t="s">
        <v>254</v>
      </c>
      <c r="EC68" s="1" t="s">
        <v>254</v>
      </c>
      <c r="ED68" s="1">
        <v>0.0</v>
      </c>
      <c r="EE68" s="1" t="s">
        <v>255</v>
      </c>
      <c r="EF68" s="1" t="s">
        <v>452</v>
      </c>
      <c r="EG68" s="1" t="s">
        <v>389</v>
      </c>
      <c r="EI68" s="1" t="s">
        <v>390</v>
      </c>
      <c r="EJ68" s="1" t="s">
        <v>293</v>
      </c>
      <c r="EK68" s="1" t="s">
        <v>293</v>
      </c>
      <c r="EL68" s="1" t="s">
        <v>293</v>
      </c>
      <c r="EM68" s="1" t="s">
        <v>293</v>
      </c>
      <c r="EN68" s="1" t="s">
        <v>353</v>
      </c>
      <c r="EO68" s="1" t="s">
        <v>293</v>
      </c>
      <c r="EP68" s="1" t="s">
        <v>293</v>
      </c>
      <c r="EQ68" s="1" t="s">
        <v>293</v>
      </c>
      <c r="ER68" s="1" t="s">
        <v>293</v>
      </c>
      <c r="ES68" s="1" t="s">
        <v>293</v>
      </c>
      <c r="ET68" s="1" t="s">
        <v>293</v>
      </c>
      <c r="EU68" s="1" t="s">
        <v>293</v>
      </c>
      <c r="EV68" s="1" t="s">
        <v>387</v>
      </c>
      <c r="EW68" s="1" t="s">
        <v>254</v>
      </c>
      <c r="EX68" s="1" t="s">
        <v>254</v>
      </c>
      <c r="EY68" s="1">
        <v>0.0</v>
      </c>
      <c r="EZ68" s="1" t="s">
        <v>427</v>
      </c>
      <c r="FA68" s="1" t="s">
        <v>453</v>
      </c>
      <c r="FB68" s="1" t="s">
        <v>454</v>
      </c>
      <c r="FC68" s="1">
        <v>0.0</v>
      </c>
      <c r="FD68" s="1">
        <v>0.0</v>
      </c>
      <c r="FE68" s="1">
        <v>0.0</v>
      </c>
      <c r="FF68" s="1" t="s">
        <v>454</v>
      </c>
      <c r="FG68" s="1">
        <v>0.0</v>
      </c>
      <c r="FH68" s="1">
        <v>0.0</v>
      </c>
      <c r="FI68" s="1">
        <v>0.0</v>
      </c>
      <c r="FJ68" s="1" t="s">
        <v>454</v>
      </c>
      <c r="FK68" s="1">
        <v>0.0</v>
      </c>
      <c r="FL68" s="1">
        <v>0.0</v>
      </c>
      <c r="FM68" s="1">
        <v>0.0</v>
      </c>
      <c r="FN68" s="1" t="s">
        <v>454</v>
      </c>
      <c r="FO68" s="1">
        <v>0.0</v>
      </c>
      <c r="FP68" s="1">
        <v>0.0</v>
      </c>
      <c r="FQ68" s="1">
        <v>0.0</v>
      </c>
      <c r="FR68" s="28" t="s">
        <v>357</v>
      </c>
      <c r="FS68" s="28" t="s">
        <v>298</v>
      </c>
      <c r="FT68" s="28" t="s">
        <v>298</v>
      </c>
      <c r="FU68" s="28" t="s">
        <v>298</v>
      </c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  <c r="HB68" s="34"/>
      <c r="HC68" s="34"/>
      <c r="HD68" s="34"/>
      <c r="HE68" s="34"/>
      <c r="HF68" s="34"/>
      <c r="HG68" s="34"/>
      <c r="HH68" s="34"/>
      <c r="HI68" s="34"/>
      <c r="HJ68" s="34"/>
      <c r="HK68" s="34"/>
    </row>
    <row r="69">
      <c r="A69" s="44" t="s">
        <v>588</v>
      </c>
      <c r="B69" s="3">
        <v>66.0</v>
      </c>
      <c r="C69" s="3" t="s">
        <v>589</v>
      </c>
      <c r="D69" s="30">
        <v>31433.0</v>
      </c>
      <c r="E69" s="1">
        <v>40.0</v>
      </c>
      <c r="F69" s="3" t="s">
        <v>252</v>
      </c>
      <c r="G69" s="3" t="s">
        <v>253</v>
      </c>
      <c r="H69" s="3" t="s">
        <v>253</v>
      </c>
      <c r="I69" s="3" t="s">
        <v>252</v>
      </c>
      <c r="J69" s="3" t="s">
        <v>253</v>
      </c>
      <c r="K69" s="3" t="s">
        <v>253</v>
      </c>
      <c r="L69" s="3" t="s">
        <v>254</v>
      </c>
      <c r="M69" s="3" t="s">
        <v>255</v>
      </c>
      <c r="N69" s="3" t="s">
        <v>254</v>
      </c>
      <c r="O69" s="3" t="s">
        <v>255</v>
      </c>
      <c r="P69" s="3" t="s">
        <v>254</v>
      </c>
      <c r="Q69" s="3" t="s">
        <v>548</v>
      </c>
      <c r="R69" s="7" t="s">
        <v>334</v>
      </c>
      <c r="S69" s="7" t="s">
        <v>258</v>
      </c>
      <c r="T69" s="1" t="s">
        <v>259</v>
      </c>
      <c r="U69" s="1" t="s">
        <v>590</v>
      </c>
      <c r="W69" s="1" t="s">
        <v>254</v>
      </c>
      <c r="X69" s="1" t="s">
        <v>254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 t="s">
        <v>254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 t="s">
        <v>594</v>
      </c>
      <c r="AM69" s="1" t="s">
        <v>269</v>
      </c>
      <c r="AN69" s="1" t="s">
        <v>269</v>
      </c>
      <c r="AO69" s="1" t="s">
        <v>270</v>
      </c>
      <c r="AP69" s="1" t="s">
        <v>284</v>
      </c>
      <c r="AQ69" s="1" t="s">
        <v>595</v>
      </c>
      <c r="AR69" s="1">
        <v>2.0</v>
      </c>
      <c r="AS69" s="1" t="s">
        <v>273</v>
      </c>
      <c r="AT69" s="1" t="s">
        <v>274</v>
      </c>
      <c r="AU69" s="1" t="s">
        <v>465</v>
      </c>
      <c r="AV69" s="1" t="s">
        <v>317</v>
      </c>
      <c r="AW69" s="1" t="s">
        <v>402</v>
      </c>
      <c r="AX69" s="1" t="s">
        <v>254</v>
      </c>
      <c r="AY69" s="1">
        <v>0.0</v>
      </c>
      <c r="AZ69" s="1" t="s">
        <v>255</v>
      </c>
      <c r="BA69" s="1" t="s">
        <v>319</v>
      </c>
      <c r="BB69" s="1" t="s">
        <v>254</v>
      </c>
      <c r="BC69" s="1" t="s">
        <v>279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 t="s">
        <v>382</v>
      </c>
      <c r="BM69" s="1" t="s">
        <v>594</v>
      </c>
      <c r="BN69" s="1" t="s">
        <v>269</v>
      </c>
      <c r="BO69" s="1" t="s">
        <v>269</v>
      </c>
      <c r="BP69" s="1" t="s">
        <v>270</v>
      </c>
      <c r="BQ69" s="1" t="s">
        <v>284</v>
      </c>
      <c r="BR69" s="1" t="s">
        <v>254</v>
      </c>
      <c r="BS69" s="1" t="s">
        <v>254</v>
      </c>
      <c r="BT69" s="1" t="s">
        <v>254</v>
      </c>
      <c r="BU69" s="1" t="s">
        <v>254</v>
      </c>
      <c r="BV69" s="1" t="s">
        <v>254</v>
      </c>
      <c r="BW69" s="1" t="s">
        <v>254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0.0</v>
      </c>
      <c r="CL69" s="1">
        <v>0.0</v>
      </c>
      <c r="CM69" s="1" t="s">
        <v>254</v>
      </c>
      <c r="CN69" s="1">
        <v>0.0</v>
      </c>
      <c r="CO69" s="1" t="s">
        <v>254</v>
      </c>
      <c r="CP69" s="1">
        <v>0.0</v>
      </c>
      <c r="CQ69" s="1">
        <v>3.0</v>
      </c>
      <c r="CR69" s="1">
        <v>1.0</v>
      </c>
      <c r="CS69" s="1">
        <v>2.0</v>
      </c>
      <c r="CT69" s="1" t="s">
        <v>596</v>
      </c>
      <c r="CU69" s="1" t="s">
        <v>597</v>
      </c>
      <c r="CV69" s="1" t="s">
        <v>255</v>
      </c>
      <c r="CW69" s="1" t="s">
        <v>254</v>
      </c>
      <c r="CX69" s="1" t="s">
        <v>254</v>
      </c>
      <c r="CY69" s="1" t="s">
        <v>254</v>
      </c>
      <c r="CZ69" s="1" t="s">
        <v>254</v>
      </c>
      <c r="DA69" s="1" t="s">
        <v>255</v>
      </c>
      <c r="DB69" s="1" t="s">
        <v>255</v>
      </c>
      <c r="DC69" s="1" t="s">
        <v>254</v>
      </c>
      <c r="DD69" s="1" t="s">
        <v>255</v>
      </c>
      <c r="DE69" s="1" t="s">
        <v>477</v>
      </c>
      <c r="DF69" s="1" t="s">
        <v>293</v>
      </c>
      <c r="DG69" s="1" t="s">
        <v>353</v>
      </c>
      <c r="DH69" s="31" t="s">
        <v>383</v>
      </c>
      <c r="DI69" s="1" t="s">
        <v>450</v>
      </c>
      <c r="DJ69" s="1" t="s">
        <v>293</v>
      </c>
      <c r="DK69" s="1" t="s">
        <v>293</v>
      </c>
      <c r="DL69" s="1" t="s">
        <v>388</v>
      </c>
      <c r="DM69" s="1" t="s">
        <v>293</v>
      </c>
      <c r="DN69" s="1" t="s">
        <v>450</v>
      </c>
      <c r="DO69" s="1" t="s">
        <v>293</v>
      </c>
      <c r="DP69" s="34"/>
      <c r="DQ69" s="1" t="s">
        <v>293</v>
      </c>
      <c r="DR69" s="1" t="s">
        <v>293</v>
      </c>
      <c r="DS69" s="1" t="s">
        <v>293</v>
      </c>
      <c r="DT69" s="1" t="s">
        <v>293</v>
      </c>
      <c r="DU69" s="1" t="s">
        <v>293</v>
      </c>
      <c r="DV69" s="1" t="s">
        <v>293</v>
      </c>
      <c r="DW69" s="1" t="s">
        <v>293</v>
      </c>
      <c r="DX69" s="1" t="s">
        <v>293</v>
      </c>
      <c r="DY69" s="1" t="s">
        <v>293</v>
      </c>
      <c r="DZ69" s="1" t="s">
        <v>293</v>
      </c>
      <c r="EA69" s="1" t="s">
        <v>254</v>
      </c>
      <c r="EB69" s="1" t="s">
        <v>254</v>
      </c>
      <c r="EC69" s="1" t="s">
        <v>254</v>
      </c>
      <c r="ED69" s="1">
        <v>0.0</v>
      </c>
      <c r="EE69" s="1" t="s">
        <v>255</v>
      </c>
      <c r="EF69" s="1" t="s">
        <v>325</v>
      </c>
      <c r="EG69" s="1" t="s">
        <v>389</v>
      </c>
      <c r="EI69" s="1" t="s">
        <v>293</v>
      </c>
      <c r="EJ69" s="1" t="s">
        <v>293</v>
      </c>
      <c r="EK69" s="1" t="s">
        <v>293</v>
      </c>
      <c r="EL69" s="1" t="s">
        <v>293</v>
      </c>
      <c r="EM69" s="1" t="s">
        <v>293</v>
      </c>
      <c r="EN69" s="1" t="s">
        <v>293</v>
      </c>
      <c r="EO69" s="1" t="s">
        <v>293</v>
      </c>
      <c r="EP69" s="1" t="s">
        <v>293</v>
      </c>
      <c r="EQ69" s="1" t="s">
        <v>293</v>
      </c>
      <c r="ER69" s="1" t="s">
        <v>293</v>
      </c>
      <c r="ES69" s="1" t="s">
        <v>293</v>
      </c>
      <c r="ET69" s="1" t="s">
        <v>293</v>
      </c>
      <c r="EU69" s="1" t="s">
        <v>293</v>
      </c>
      <c r="EV69" s="1" t="s">
        <v>387</v>
      </c>
      <c r="EW69" s="1" t="s">
        <v>255</v>
      </c>
      <c r="EX69" s="1" t="s">
        <v>254</v>
      </c>
      <c r="EY69" s="1" t="s">
        <v>484</v>
      </c>
      <c r="EZ69" s="1">
        <v>0.0</v>
      </c>
      <c r="FA69" s="1">
        <v>0.0</v>
      </c>
      <c r="FB69" s="1" t="s">
        <v>255</v>
      </c>
      <c r="FC69" s="1" t="s">
        <v>454</v>
      </c>
      <c r="FD69" s="1" t="s">
        <v>486</v>
      </c>
      <c r="FE69" s="1" t="s">
        <v>488</v>
      </c>
      <c r="FF69" s="1" t="s">
        <v>454</v>
      </c>
      <c r="FG69" s="1">
        <v>0.0</v>
      </c>
      <c r="FH69" s="1">
        <v>0.0</v>
      </c>
      <c r="FI69" s="1" t="s">
        <v>453</v>
      </c>
      <c r="FJ69" s="1" t="s">
        <v>454</v>
      </c>
      <c r="FK69" s="1">
        <v>0.0</v>
      </c>
      <c r="FL69" s="1">
        <v>0.0</v>
      </c>
      <c r="FM69" s="1">
        <v>0.0</v>
      </c>
      <c r="FN69" s="1" t="s">
        <v>293</v>
      </c>
      <c r="FO69" s="1">
        <v>0.0</v>
      </c>
      <c r="FP69" s="1">
        <v>0.0</v>
      </c>
      <c r="FQ69" s="1">
        <v>0.0</v>
      </c>
      <c r="FR69" s="45" t="s">
        <v>198</v>
      </c>
      <c r="FS69" s="28" t="s">
        <v>205</v>
      </c>
      <c r="FT69" s="28" t="s">
        <v>205</v>
      </c>
      <c r="FU69" s="28" t="s">
        <v>205</v>
      </c>
      <c r="FV69" s="1">
        <v>6.0</v>
      </c>
      <c r="FW69" s="1" t="s">
        <v>299</v>
      </c>
      <c r="FX69" s="1">
        <v>20.0</v>
      </c>
      <c r="FY69" s="1" t="s">
        <v>300</v>
      </c>
      <c r="FZ69" s="1">
        <v>6.0</v>
      </c>
      <c r="GA69" s="1" t="s">
        <v>299</v>
      </c>
      <c r="GB69" s="1">
        <v>6.0</v>
      </c>
      <c r="GC69" s="1" t="s">
        <v>299</v>
      </c>
      <c r="GD69" s="1">
        <v>6.0</v>
      </c>
      <c r="GE69" s="1" t="s">
        <v>299</v>
      </c>
      <c r="GF69" s="1">
        <v>7.0</v>
      </c>
      <c r="GG69" s="1" t="s">
        <v>299</v>
      </c>
      <c r="GH69" s="1">
        <v>13.0</v>
      </c>
      <c r="GI69" s="1" t="s">
        <v>299</v>
      </c>
      <c r="GJ69" s="1">
        <v>6.0</v>
      </c>
      <c r="GK69" s="1" t="s">
        <v>299</v>
      </c>
      <c r="GL69" s="1">
        <v>6.0</v>
      </c>
      <c r="GM69" s="1" t="s">
        <v>299</v>
      </c>
      <c r="GN69" s="1">
        <v>22.0</v>
      </c>
      <c r="GO69" s="1" t="s">
        <v>299</v>
      </c>
      <c r="GP69" s="1">
        <v>18.0</v>
      </c>
      <c r="GQ69" s="1" t="s">
        <v>300</v>
      </c>
      <c r="GR69" s="1">
        <v>18.0</v>
      </c>
      <c r="GS69" s="1" t="s">
        <v>299</v>
      </c>
      <c r="GT69" s="1">
        <v>6.0</v>
      </c>
      <c r="GU69" s="1" t="s">
        <v>299</v>
      </c>
      <c r="GV69" s="1">
        <v>16.0</v>
      </c>
      <c r="GW69" s="1" t="s">
        <v>300</v>
      </c>
      <c r="GX69" s="1">
        <v>12.0</v>
      </c>
      <c r="GY69" s="1" t="s">
        <v>300</v>
      </c>
      <c r="GZ69" s="1">
        <v>19.0</v>
      </c>
      <c r="HA69" s="1" t="s">
        <v>299</v>
      </c>
      <c r="HB69" s="1">
        <v>6.0</v>
      </c>
      <c r="HC69" s="1" t="s">
        <v>299</v>
      </c>
      <c r="HD69" s="1">
        <v>13.0</v>
      </c>
      <c r="HE69" s="1" t="s">
        <v>299</v>
      </c>
      <c r="HF69" s="1">
        <v>15.0</v>
      </c>
      <c r="HG69" s="1" t="s">
        <v>299</v>
      </c>
      <c r="HH69" s="1">
        <v>20.0</v>
      </c>
      <c r="HI69" s="1" t="s">
        <v>299</v>
      </c>
      <c r="HJ69" s="1">
        <v>16.0</v>
      </c>
      <c r="HK69" s="1" t="s">
        <v>299</v>
      </c>
    </row>
    <row r="70">
      <c r="A70" s="44" t="s">
        <v>953</v>
      </c>
      <c r="B70" s="3">
        <v>67.0</v>
      </c>
      <c r="C70" s="3" t="s">
        <v>954</v>
      </c>
      <c r="D70" s="30">
        <v>37720.0</v>
      </c>
      <c r="E70" s="1">
        <v>23.0</v>
      </c>
      <c r="F70" s="3" t="s">
        <v>252</v>
      </c>
      <c r="G70" s="3" t="s">
        <v>253</v>
      </c>
      <c r="H70" s="3" t="s">
        <v>253</v>
      </c>
      <c r="I70" s="3" t="s">
        <v>252</v>
      </c>
      <c r="J70" s="3" t="s">
        <v>253</v>
      </c>
      <c r="K70" s="3" t="s">
        <v>253</v>
      </c>
      <c r="L70" s="3" t="s">
        <v>254</v>
      </c>
      <c r="M70" s="3" t="s">
        <v>255</v>
      </c>
      <c r="N70" s="3" t="s">
        <v>254</v>
      </c>
      <c r="O70" s="3" t="s">
        <v>255</v>
      </c>
      <c r="P70" s="3" t="s">
        <v>254</v>
      </c>
      <c r="Q70" s="3" t="s">
        <v>548</v>
      </c>
      <c r="R70" s="7" t="s">
        <v>298</v>
      </c>
      <c r="S70" s="7" t="s">
        <v>359</v>
      </c>
      <c r="T70" s="1" t="s">
        <v>259</v>
      </c>
      <c r="U70" s="1" t="s">
        <v>306</v>
      </c>
      <c r="V70" s="1" t="s">
        <v>435</v>
      </c>
      <c r="W70" s="1" t="s">
        <v>254</v>
      </c>
      <c r="X70" s="1" t="s">
        <v>254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 t="s">
        <v>254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 t="s">
        <v>821</v>
      </c>
      <c r="AM70" s="1" t="s">
        <v>269</v>
      </c>
      <c r="AN70" s="1" t="s">
        <v>269</v>
      </c>
      <c r="AO70" s="1" t="s">
        <v>270</v>
      </c>
      <c r="AP70" s="1" t="s">
        <v>284</v>
      </c>
      <c r="AQ70" s="1" t="s">
        <v>443</v>
      </c>
      <c r="AR70" s="1">
        <v>1.0</v>
      </c>
      <c r="AS70" s="1" t="s">
        <v>273</v>
      </c>
      <c r="AT70" s="1" t="s">
        <v>274</v>
      </c>
      <c r="AU70" s="1" t="s">
        <v>465</v>
      </c>
      <c r="AV70" s="1" t="s">
        <v>317</v>
      </c>
      <c r="AW70" s="1" t="s">
        <v>402</v>
      </c>
      <c r="AX70" s="1" t="s">
        <v>254</v>
      </c>
      <c r="AY70" s="1">
        <v>0.0</v>
      </c>
      <c r="AZ70" s="1" t="s">
        <v>255</v>
      </c>
      <c r="BA70" s="1" t="s">
        <v>278</v>
      </c>
      <c r="BB70" s="1" t="s">
        <v>255</v>
      </c>
      <c r="BC70" s="1" t="s">
        <v>279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 t="s">
        <v>382</v>
      </c>
      <c r="BM70" s="1" t="s">
        <v>821</v>
      </c>
      <c r="BN70" s="1" t="s">
        <v>269</v>
      </c>
      <c r="BO70" s="1" t="s">
        <v>269</v>
      </c>
      <c r="BP70" s="1" t="s">
        <v>270</v>
      </c>
      <c r="BQ70" s="1" t="s">
        <v>284</v>
      </c>
      <c r="BR70" s="1" t="s">
        <v>254</v>
      </c>
      <c r="BS70" s="1" t="s">
        <v>254</v>
      </c>
      <c r="BT70" s="1" t="s">
        <v>254</v>
      </c>
      <c r="BU70" s="1" t="s">
        <v>254</v>
      </c>
      <c r="BV70" s="1" t="s">
        <v>254</v>
      </c>
      <c r="BW70" s="1" t="s">
        <v>254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0.0</v>
      </c>
      <c r="CK70" s="1">
        <v>0.0</v>
      </c>
      <c r="CL70" s="1">
        <v>0.0</v>
      </c>
      <c r="CM70" s="1" t="s">
        <v>254</v>
      </c>
      <c r="CN70" s="1">
        <v>0.0</v>
      </c>
      <c r="CO70" s="1" t="s">
        <v>254</v>
      </c>
      <c r="CP70" s="1">
        <v>0.0</v>
      </c>
      <c r="CQ70" s="1">
        <v>2.0</v>
      </c>
      <c r="CR70" s="1">
        <v>2.0</v>
      </c>
      <c r="CS70" s="1">
        <v>0.0</v>
      </c>
      <c r="CT70" s="1" t="s">
        <v>959</v>
      </c>
      <c r="CU70" s="1" t="s">
        <v>929</v>
      </c>
      <c r="CV70" s="1" t="s">
        <v>254</v>
      </c>
      <c r="CW70" s="1" t="s">
        <v>254</v>
      </c>
      <c r="CX70" s="1" t="s">
        <v>254</v>
      </c>
      <c r="CY70" s="1" t="s">
        <v>254</v>
      </c>
      <c r="CZ70" s="1" t="s">
        <v>254</v>
      </c>
      <c r="DA70" s="1" t="s">
        <v>255</v>
      </c>
      <c r="DB70" s="1" t="s">
        <v>254</v>
      </c>
      <c r="DC70" s="1" t="s">
        <v>255</v>
      </c>
      <c r="DD70" s="1" t="s">
        <v>255</v>
      </c>
      <c r="DE70" s="1" t="s">
        <v>388</v>
      </c>
      <c r="DF70" s="1" t="s">
        <v>293</v>
      </c>
      <c r="DG70" s="1" t="s">
        <v>450</v>
      </c>
      <c r="DH70" s="1" t="s">
        <v>293</v>
      </c>
      <c r="DI70" s="1" t="s">
        <v>293</v>
      </c>
      <c r="DJ70" s="1" t="s">
        <v>293</v>
      </c>
      <c r="DK70" s="1" t="s">
        <v>293</v>
      </c>
      <c r="DL70" s="1" t="s">
        <v>353</v>
      </c>
      <c r="DM70" s="1" t="s">
        <v>293</v>
      </c>
      <c r="DN70" s="1" t="s">
        <v>293</v>
      </c>
      <c r="DO70" s="1" t="s">
        <v>293</v>
      </c>
      <c r="DP70" s="1" t="s">
        <v>451</v>
      </c>
      <c r="DQ70" s="1" t="s">
        <v>293</v>
      </c>
      <c r="DR70" s="1" t="s">
        <v>293</v>
      </c>
      <c r="DS70" s="1" t="s">
        <v>293</v>
      </c>
      <c r="DT70" s="1" t="s">
        <v>293</v>
      </c>
      <c r="DU70" s="1" t="s">
        <v>293</v>
      </c>
      <c r="DV70" s="1" t="s">
        <v>293</v>
      </c>
      <c r="DW70" s="1" t="s">
        <v>293</v>
      </c>
      <c r="DX70" s="1" t="s">
        <v>293</v>
      </c>
      <c r="DY70" s="1" t="s">
        <v>293</v>
      </c>
      <c r="DZ70" s="1" t="s">
        <v>293</v>
      </c>
      <c r="EA70" s="1" t="s">
        <v>254</v>
      </c>
      <c r="EB70" s="1" t="s">
        <v>254</v>
      </c>
      <c r="EC70" s="1" t="s">
        <v>254</v>
      </c>
      <c r="ED70" s="1">
        <v>0.0</v>
      </c>
      <c r="EE70" s="1" t="s">
        <v>255</v>
      </c>
      <c r="EF70" s="1" t="s">
        <v>452</v>
      </c>
      <c r="EG70" s="1" t="s">
        <v>389</v>
      </c>
      <c r="EI70" s="1" t="s">
        <v>390</v>
      </c>
      <c r="EJ70" s="1" t="s">
        <v>293</v>
      </c>
      <c r="EK70" s="1" t="s">
        <v>293</v>
      </c>
      <c r="EL70" s="1" t="s">
        <v>293</v>
      </c>
      <c r="EM70" s="1" t="s">
        <v>293</v>
      </c>
      <c r="EN70" s="1" t="s">
        <v>353</v>
      </c>
      <c r="EO70" s="1" t="s">
        <v>293</v>
      </c>
      <c r="EP70" s="1" t="s">
        <v>293</v>
      </c>
      <c r="EQ70" s="1" t="s">
        <v>293</v>
      </c>
      <c r="ER70" s="1" t="s">
        <v>293</v>
      </c>
      <c r="ES70" s="1" t="s">
        <v>293</v>
      </c>
      <c r="ET70" s="1" t="s">
        <v>293</v>
      </c>
      <c r="EU70" s="1" t="s">
        <v>293</v>
      </c>
      <c r="EV70" s="1" t="s">
        <v>387</v>
      </c>
      <c r="EW70" s="1" t="s">
        <v>254</v>
      </c>
      <c r="EX70" s="1" t="s">
        <v>254</v>
      </c>
      <c r="EY70" s="1">
        <v>0.0</v>
      </c>
      <c r="EZ70" s="1" t="s">
        <v>427</v>
      </c>
      <c r="FA70" s="1" t="s">
        <v>453</v>
      </c>
      <c r="FB70" s="1" t="s">
        <v>454</v>
      </c>
      <c r="FC70" s="1">
        <v>0.0</v>
      </c>
      <c r="FD70" s="1">
        <v>0.0</v>
      </c>
      <c r="FE70" s="1">
        <v>0.0</v>
      </c>
      <c r="FF70" s="1" t="s">
        <v>454</v>
      </c>
      <c r="FG70" s="1">
        <v>0.0</v>
      </c>
      <c r="FH70" s="1">
        <v>0.0</v>
      </c>
      <c r="FI70" s="1">
        <v>0.0</v>
      </c>
      <c r="FJ70" s="1" t="s">
        <v>454</v>
      </c>
      <c r="FK70" s="1">
        <v>0.0</v>
      </c>
      <c r="FL70" s="1">
        <v>0.0</v>
      </c>
      <c r="FM70" s="1">
        <v>0.0</v>
      </c>
      <c r="FN70" s="1" t="s">
        <v>454</v>
      </c>
      <c r="FO70" s="1">
        <v>0.0</v>
      </c>
      <c r="FP70" s="1">
        <v>0.0</v>
      </c>
      <c r="FQ70" s="1">
        <v>0.0</v>
      </c>
      <c r="FR70" s="28" t="s">
        <v>357</v>
      </c>
      <c r="FS70" s="28" t="s">
        <v>298</v>
      </c>
      <c r="FT70" s="28" t="s">
        <v>298</v>
      </c>
      <c r="FU70" s="28" t="s">
        <v>298</v>
      </c>
      <c r="FV70" s="34"/>
      <c r="FW70" s="34"/>
      <c r="FX70" s="34"/>
      <c r="FY70" s="34"/>
      <c r="FZ70" s="34"/>
      <c r="GA70" s="34"/>
      <c r="GB70" s="34"/>
      <c r="GC70" s="34"/>
      <c r="GD70" s="34"/>
      <c r="GE70" s="34"/>
      <c r="GF70" s="34"/>
      <c r="GG70" s="34"/>
      <c r="GH70" s="34"/>
      <c r="GI70" s="34"/>
      <c r="GJ70" s="34"/>
      <c r="GK70" s="34"/>
      <c r="GL70" s="34"/>
      <c r="GM70" s="34"/>
      <c r="GN70" s="34"/>
      <c r="GO70" s="34"/>
      <c r="GP70" s="34"/>
      <c r="GQ70" s="34"/>
      <c r="GR70" s="34"/>
      <c r="GS70" s="34"/>
      <c r="GT70" s="34"/>
      <c r="GU70" s="34"/>
      <c r="GV70" s="34"/>
      <c r="GW70" s="34"/>
      <c r="GX70" s="34"/>
      <c r="GY70" s="34"/>
      <c r="GZ70" s="34"/>
      <c r="HA70" s="34"/>
      <c r="HB70" s="34"/>
      <c r="HC70" s="34"/>
      <c r="HD70" s="34"/>
      <c r="HE70" s="34"/>
      <c r="HF70" s="34"/>
      <c r="HG70" s="34"/>
      <c r="HH70" s="34"/>
      <c r="HI70" s="34"/>
      <c r="HJ70" s="34"/>
      <c r="HK70" s="34"/>
    </row>
    <row r="71">
      <c r="A71" s="44" t="s">
        <v>962</v>
      </c>
      <c r="B71" s="3">
        <v>68.0</v>
      </c>
      <c r="C71" s="3" t="s">
        <v>963</v>
      </c>
      <c r="D71" s="30">
        <v>38140.0</v>
      </c>
      <c r="E71" s="1">
        <v>22.0</v>
      </c>
      <c r="F71" s="3" t="s">
        <v>252</v>
      </c>
      <c r="G71" s="3" t="s">
        <v>253</v>
      </c>
      <c r="H71" s="3" t="s">
        <v>253</v>
      </c>
      <c r="I71" s="3" t="s">
        <v>252</v>
      </c>
      <c r="J71" s="3" t="s">
        <v>253</v>
      </c>
      <c r="K71" s="3" t="s">
        <v>253</v>
      </c>
      <c r="L71" s="3" t="s">
        <v>254</v>
      </c>
      <c r="M71" s="3" t="s">
        <v>255</v>
      </c>
      <c r="N71" s="3" t="s">
        <v>254</v>
      </c>
      <c r="O71" s="3" t="s">
        <v>255</v>
      </c>
      <c r="P71" s="3" t="s">
        <v>254</v>
      </c>
      <c r="Q71" s="3" t="s">
        <v>548</v>
      </c>
      <c r="R71" s="7" t="s">
        <v>298</v>
      </c>
      <c r="S71" s="7" t="s">
        <v>359</v>
      </c>
      <c r="T71" s="1" t="s">
        <v>259</v>
      </c>
      <c r="U71" s="1" t="s">
        <v>306</v>
      </c>
      <c r="V71" s="1" t="s">
        <v>435</v>
      </c>
      <c r="W71" s="1" t="s">
        <v>254</v>
      </c>
      <c r="X71" s="1" t="s">
        <v>254</v>
      </c>
      <c r="Y71" s="1">
        <v>0.0</v>
      </c>
      <c r="Z71" s="1">
        <v>0.0</v>
      </c>
      <c r="AA71" s="1">
        <v>0.0</v>
      </c>
      <c r="AB71" s="1" t="s">
        <v>665</v>
      </c>
      <c r="AC71" s="1">
        <v>0.0</v>
      </c>
      <c r="AD71" s="1">
        <v>0.0</v>
      </c>
      <c r="AE71" s="1">
        <v>0.0</v>
      </c>
      <c r="AF71" s="1" t="s">
        <v>254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 t="s">
        <v>901</v>
      </c>
      <c r="AM71" s="1" t="s">
        <v>269</v>
      </c>
      <c r="AN71" s="1" t="s">
        <v>269</v>
      </c>
      <c r="AO71" s="1" t="s">
        <v>270</v>
      </c>
      <c r="AP71" s="1" t="s">
        <v>284</v>
      </c>
      <c r="AQ71" s="1" t="s">
        <v>443</v>
      </c>
      <c r="AR71" s="1">
        <v>1.0</v>
      </c>
      <c r="AS71" s="1" t="s">
        <v>273</v>
      </c>
      <c r="AT71" s="1" t="s">
        <v>274</v>
      </c>
      <c r="AU71" s="1" t="s">
        <v>275</v>
      </c>
      <c r="AV71" s="1" t="s">
        <v>317</v>
      </c>
      <c r="AW71" s="1" t="s">
        <v>544</v>
      </c>
      <c r="AX71" s="1" t="s">
        <v>254</v>
      </c>
      <c r="AY71" s="1">
        <v>0.0</v>
      </c>
      <c r="AZ71" s="1" t="s">
        <v>254</v>
      </c>
      <c r="BA71" s="1" t="s">
        <v>319</v>
      </c>
      <c r="BB71" s="1" t="s">
        <v>255</v>
      </c>
      <c r="BC71" s="1" t="s">
        <v>279</v>
      </c>
      <c r="BD71" s="1">
        <v>1.0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 t="s">
        <v>382</v>
      </c>
      <c r="BM71" s="1" t="s">
        <v>902</v>
      </c>
      <c r="BN71" s="1" t="s">
        <v>269</v>
      </c>
      <c r="BO71" s="1" t="s">
        <v>269</v>
      </c>
      <c r="BP71" s="1" t="s">
        <v>270</v>
      </c>
      <c r="BQ71" s="1" t="s">
        <v>284</v>
      </c>
      <c r="BR71" s="1" t="s">
        <v>254</v>
      </c>
      <c r="BS71" s="1" t="s">
        <v>254</v>
      </c>
      <c r="BT71" s="1" t="s">
        <v>254</v>
      </c>
      <c r="BU71" s="1" t="s">
        <v>254</v>
      </c>
      <c r="BV71" s="1" t="s">
        <v>254</v>
      </c>
      <c r="BW71" s="1" t="s">
        <v>254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 t="s">
        <v>254</v>
      </c>
      <c r="CN71" s="1">
        <v>0.0</v>
      </c>
      <c r="CO71" s="1" t="s">
        <v>254</v>
      </c>
      <c r="CP71" s="1">
        <v>0.0</v>
      </c>
      <c r="CQ71" s="1">
        <v>0.0</v>
      </c>
      <c r="CR71" s="1">
        <v>0.0</v>
      </c>
      <c r="CS71" s="1">
        <v>3.0</v>
      </c>
      <c r="CT71" s="1" t="s">
        <v>652</v>
      </c>
      <c r="CU71" s="34"/>
      <c r="CV71" s="1" t="s">
        <v>254</v>
      </c>
      <c r="CW71" s="1" t="s">
        <v>254</v>
      </c>
      <c r="CX71" s="1" t="s">
        <v>254</v>
      </c>
      <c r="CY71" s="1" t="s">
        <v>254</v>
      </c>
      <c r="CZ71" s="1" t="s">
        <v>254</v>
      </c>
      <c r="DA71" s="1" t="s">
        <v>254</v>
      </c>
      <c r="DB71" s="1" t="s">
        <v>255</v>
      </c>
      <c r="DC71" s="1" t="s">
        <v>254</v>
      </c>
      <c r="DD71" s="1" t="s">
        <v>255</v>
      </c>
      <c r="DE71" s="1" t="s">
        <v>323</v>
      </c>
      <c r="DF71" s="1" t="s">
        <v>293</v>
      </c>
      <c r="DG71" s="1" t="s">
        <v>323</v>
      </c>
      <c r="DH71" s="1" t="s">
        <v>323</v>
      </c>
      <c r="DI71" s="1" t="s">
        <v>291</v>
      </c>
      <c r="DJ71" s="1" t="s">
        <v>293</v>
      </c>
      <c r="DK71" s="1" t="s">
        <v>293</v>
      </c>
      <c r="DL71" s="1" t="s">
        <v>290</v>
      </c>
      <c r="DM71" s="1" t="s">
        <v>323</v>
      </c>
      <c r="DN71" s="1" t="s">
        <v>293</v>
      </c>
      <c r="DO71" s="1" t="s">
        <v>293</v>
      </c>
      <c r="DP71" s="1" t="s">
        <v>293</v>
      </c>
      <c r="DQ71" s="1" t="s">
        <v>293</v>
      </c>
      <c r="DR71" s="1" t="s">
        <v>293</v>
      </c>
      <c r="DS71" s="1" t="s">
        <v>293</v>
      </c>
      <c r="DT71" s="1" t="s">
        <v>293</v>
      </c>
      <c r="DU71" s="1" t="s">
        <v>293</v>
      </c>
      <c r="DV71" s="1" t="s">
        <v>293</v>
      </c>
      <c r="DW71" s="1" t="s">
        <v>293</v>
      </c>
      <c r="DX71" s="1" t="s">
        <v>293</v>
      </c>
      <c r="DY71" s="1" t="s">
        <v>293</v>
      </c>
      <c r="DZ71" s="1" t="s">
        <v>293</v>
      </c>
      <c r="EA71" s="1" t="s">
        <v>254</v>
      </c>
      <c r="EB71" s="1" t="s">
        <v>254</v>
      </c>
      <c r="EC71" s="1" t="s">
        <v>254</v>
      </c>
      <c r="ED71" s="1">
        <v>0.0</v>
      </c>
      <c r="EE71" s="1" t="s">
        <v>254</v>
      </c>
      <c r="EF71" s="31">
        <v>0.0</v>
      </c>
      <c r="EG71" s="1">
        <v>0.0</v>
      </c>
      <c r="EH71" s="1">
        <v>0.0</v>
      </c>
      <c r="EI71" s="1" t="s">
        <v>293</v>
      </c>
      <c r="EJ71" s="1" t="s">
        <v>293</v>
      </c>
      <c r="EK71" s="1" t="s">
        <v>293</v>
      </c>
      <c r="EL71" s="1" t="s">
        <v>293</v>
      </c>
      <c r="EM71" s="1" t="s">
        <v>293</v>
      </c>
      <c r="EN71" s="1" t="s">
        <v>293</v>
      </c>
      <c r="EO71" s="1" t="s">
        <v>293</v>
      </c>
      <c r="EP71" s="1" t="s">
        <v>293</v>
      </c>
      <c r="EQ71" s="1" t="s">
        <v>293</v>
      </c>
      <c r="ER71" s="1" t="s">
        <v>293</v>
      </c>
      <c r="ES71" s="1" t="s">
        <v>293</v>
      </c>
      <c r="ET71" s="1" t="s">
        <v>293</v>
      </c>
      <c r="EU71" s="1" t="s">
        <v>422</v>
      </c>
      <c r="EV71" s="1" t="s">
        <v>423</v>
      </c>
      <c r="EW71" s="1" t="s">
        <v>255</v>
      </c>
      <c r="EX71" s="1" t="s">
        <v>254</v>
      </c>
      <c r="EY71" s="1" t="s">
        <v>425</v>
      </c>
      <c r="EZ71" s="1" t="s">
        <v>427</v>
      </c>
      <c r="FA71" s="1" t="s">
        <v>428</v>
      </c>
      <c r="FB71" s="1" t="s">
        <v>255</v>
      </c>
      <c r="FC71" s="1" t="s">
        <v>425</v>
      </c>
      <c r="FD71" s="1" t="s">
        <v>429</v>
      </c>
      <c r="FE71" s="1" t="s">
        <v>428</v>
      </c>
      <c r="FF71" s="1" t="s">
        <v>430</v>
      </c>
      <c r="FG71" s="1" t="s">
        <v>425</v>
      </c>
      <c r="FH71" s="1" t="s">
        <v>427</v>
      </c>
      <c r="FI71" s="1">
        <v>0.0</v>
      </c>
      <c r="FJ71" s="1" t="s">
        <v>430</v>
      </c>
      <c r="FK71" s="1" t="s">
        <v>425</v>
      </c>
      <c r="FL71" s="1" t="s">
        <v>427</v>
      </c>
      <c r="FM71" s="34"/>
      <c r="FN71" s="1" t="s">
        <v>293</v>
      </c>
      <c r="FO71" s="1">
        <v>0.0</v>
      </c>
      <c r="FP71" s="34"/>
      <c r="FQ71" s="1">
        <v>0.0</v>
      </c>
      <c r="FR71" s="28" t="s">
        <v>357</v>
      </c>
      <c r="FS71" s="28" t="s">
        <v>298</v>
      </c>
      <c r="FT71" s="28" t="s">
        <v>298</v>
      </c>
      <c r="FU71" s="28" t="s">
        <v>298</v>
      </c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  <c r="GX71" s="34"/>
      <c r="GY71" s="34"/>
      <c r="GZ71" s="34"/>
      <c r="HA71" s="34"/>
      <c r="HB71" s="34"/>
      <c r="HC71" s="34"/>
      <c r="HD71" s="34"/>
      <c r="HE71" s="34"/>
      <c r="HF71" s="34"/>
      <c r="HG71" s="34"/>
      <c r="HH71" s="34"/>
      <c r="HI71" s="34"/>
      <c r="HJ71" s="34"/>
      <c r="HK71" s="34"/>
    </row>
    <row r="72">
      <c r="A72" s="44" t="s">
        <v>966</v>
      </c>
      <c r="B72" s="3">
        <v>69.0</v>
      </c>
      <c r="C72" s="3" t="s">
        <v>967</v>
      </c>
      <c r="D72" s="30">
        <v>39808.0</v>
      </c>
      <c r="E72" s="1">
        <v>17.0</v>
      </c>
      <c r="F72" s="3" t="s">
        <v>252</v>
      </c>
      <c r="G72" s="3" t="s">
        <v>253</v>
      </c>
      <c r="H72" s="3" t="s">
        <v>253</v>
      </c>
      <c r="I72" s="3" t="s">
        <v>252</v>
      </c>
      <c r="J72" s="3" t="s">
        <v>253</v>
      </c>
      <c r="K72" s="3" t="s">
        <v>253</v>
      </c>
      <c r="L72" s="3" t="s">
        <v>254</v>
      </c>
      <c r="M72" s="3" t="s">
        <v>255</v>
      </c>
      <c r="N72" s="3" t="s">
        <v>254</v>
      </c>
      <c r="O72" s="3" t="s">
        <v>255</v>
      </c>
      <c r="P72" s="3" t="s">
        <v>254</v>
      </c>
      <c r="Q72" s="3" t="s">
        <v>548</v>
      </c>
      <c r="R72" s="7" t="s">
        <v>298</v>
      </c>
      <c r="S72" s="7" t="s">
        <v>359</v>
      </c>
      <c r="T72" s="1" t="s">
        <v>259</v>
      </c>
      <c r="U72" s="1" t="s">
        <v>550</v>
      </c>
      <c r="V72" s="1" t="s">
        <v>373</v>
      </c>
      <c r="W72" s="1" t="s">
        <v>907</v>
      </c>
      <c r="X72" s="1" t="s">
        <v>254</v>
      </c>
      <c r="Y72" s="1" t="s">
        <v>262</v>
      </c>
      <c r="Z72" s="1">
        <v>1.0</v>
      </c>
      <c r="AA72" s="1" t="s">
        <v>908</v>
      </c>
      <c r="AB72" s="1">
        <v>0.0</v>
      </c>
      <c r="AC72" s="1">
        <v>0.0</v>
      </c>
      <c r="AD72" s="1">
        <v>0.0</v>
      </c>
      <c r="AE72" s="1">
        <v>0.0</v>
      </c>
      <c r="AF72" s="1" t="s">
        <v>254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 t="s">
        <v>601</v>
      </c>
      <c r="AM72" s="1" t="s">
        <v>269</v>
      </c>
      <c r="AN72" s="1" t="s">
        <v>269</v>
      </c>
      <c r="AO72" s="1" t="s">
        <v>270</v>
      </c>
      <c r="AP72" s="1" t="s">
        <v>284</v>
      </c>
      <c r="AQ72" s="1" t="s">
        <v>595</v>
      </c>
      <c r="AR72" s="1">
        <v>5.0</v>
      </c>
      <c r="AS72" s="1" t="s">
        <v>273</v>
      </c>
      <c r="AT72" s="1" t="s">
        <v>274</v>
      </c>
      <c r="AU72" s="1" t="s">
        <v>275</v>
      </c>
      <c r="AV72" s="1" t="s">
        <v>276</v>
      </c>
      <c r="AW72" s="1" t="s">
        <v>402</v>
      </c>
      <c r="AX72" s="1" t="s">
        <v>254</v>
      </c>
      <c r="AY72" s="1">
        <v>0.0</v>
      </c>
      <c r="AZ72" s="1" t="s">
        <v>255</v>
      </c>
      <c r="BA72" s="1" t="s">
        <v>278</v>
      </c>
      <c r="BB72" s="1" t="s">
        <v>255</v>
      </c>
      <c r="BC72" s="1" t="s">
        <v>279</v>
      </c>
      <c r="BD72" s="1">
        <v>0.0</v>
      </c>
      <c r="BE72" s="1">
        <v>0.0</v>
      </c>
      <c r="BF72" s="1">
        <v>0.0</v>
      </c>
      <c r="BG72" s="1">
        <v>0.0</v>
      </c>
      <c r="BH72" s="1">
        <v>1.0</v>
      </c>
      <c r="BI72" s="1" t="s">
        <v>405</v>
      </c>
      <c r="BJ72" s="1" t="s">
        <v>909</v>
      </c>
      <c r="BK72" s="1" t="s">
        <v>910</v>
      </c>
      <c r="BL72" s="1" t="s">
        <v>382</v>
      </c>
      <c r="BM72" s="1" t="s">
        <v>911</v>
      </c>
      <c r="BN72" s="1" t="s">
        <v>269</v>
      </c>
      <c r="BO72" s="1" t="s">
        <v>269</v>
      </c>
      <c r="BP72" s="1" t="s">
        <v>270</v>
      </c>
      <c r="BQ72" s="1" t="s">
        <v>284</v>
      </c>
      <c r="BR72" s="1" t="s">
        <v>254</v>
      </c>
      <c r="BS72" s="1" t="s">
        <v>254</v>
      </c>
      <c r="BT72" s="1" t="s">
        <v>254</v>
      </c>
      <c r="BU72" s="1" t="s">
        <v>254</v>
      </c>
      <c r="BV72" s="1" t="s">
        <v>254</v>
      </c>
      <c r="BW72" s="1" t="s">
        <v>254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1">
        <v>0.0</v>
      </c>
      <c r="CM72" s="1" t="s">
        <v>254</v>
      </c>
      <c r="CN72" s="1">
        <v>0.0</v>
      </c>
      <c r="CO72" s="1" t="s">
        <v>254</v>
      </c>
      <c r="CP72" s="1">
        <v>0.0</v>
      </c>
      <c r="CQ72" s="1">
        <v>5.0</v>
      </c>
      <c r="CR72" s="1">
        <v>3.0</v>
      </c>
      <c r="CS72" s="1">
        <v>2.0</v>
      </c>
      <c r="CT72" s="1" t="s">
        <v>913</v>
      </c>
      <c r="CU72" s="1" t="s">
        <v>474</v>
      </c>
      <c r="CV72" s="1" t="s">
        <v>254</v>
      </c>
      <c r="CW72" s="1" t="s">
        <v>254</v>
      </c>
      <c r="CX72" s="1" t="s">
        <v>254</v>
      </c>
      <c r="CY72" s="1" t="s">
        <v>254</v>
      </c>
      <c r="CZ72" s="1" t="s">
        <v>254</v>
      </c>
      <c r="DA72" s="1" t="s">
        <v>255</v>
      </c>
      <c r="DB72" s="1" t="s">
        <v>254</v>
      </c>
      <c r="DC72" s="1" t="s">
        <v>255</v>
      </c>
      <c r="DD72" s="1" t="s">
        <v>255</v>
      </c>
      <c r="DE72" s="1" t="s">
        <v>388</v>
      </c>
      <c r="DF72" s="1" t="s">
        <v>293</v>
      </c>
      <c r="DG72" s="1" t="s">
        <v>450</v>
      </c>
      <c r="DH72" s="1" t="s">
        <v>293</v>
      </c>
      <c r="DI72" s="1" t="s">
        <v>293</v>
      </c>
      <c r="DJ72" s="1" t="s">
        <v>293</v>
      </c>
      <c r="DK72" s="1" t="s">
        <v>293</v>
      </c>
      <c r="DL72" s="1" t="s">
        <v>353</v>
      </c>
      <c r="DM72" s="1" t="s">
        <v>293</v>
      </c>
      <c r="DN72" s="1" t="s">
        <v>293</v>
      </c>
      <c r="DO72" s="1" t="s">
        <v>293</v>
      </c>
      <c r="DP72" s="1" t="s">
        <v>451</v>
      </c>
      <c r="DQ72" s="1" t="s">
        <v>293</v>
      </c>
      <c r="DR72" s="1" t="s">
        <v>293</v>
      </c>
      <c r="DS72" s="1" t="s">
        <v>293</v>
      </c>
      <c r="DT72" s="1" t="s">
        <v>293</v>
      </c>
      <c r="DU72" s="1" t="s">
        <v>293</v>
      </c>
      <c r="DV72" s="1" t="s">
        <v>293</v>
      </c>
      <c r="DW72" s="1" t="s">
        <v>293</v>
      </c>
      <c r="DX72" s="1" t="s">
        <v>293</v>
      </c>
      <c r="DY72" s="1" t="s">
        <v>293</v>
      </c>
      <c r="DZ72" s="1" t="s">
        <v>293</v>
      </c>
      <c r="EA72" s="1" t="s">
        <v>254</v>
      </c>
      <c r="EB72" s="1" t="s">
        <v>254</v>
      </c>
      <c r="EC72" s="1" t="s">
        <v>254</v>
      </c>
      <c r="ED72" s="1">
        <v>0.0</v>
      </c>
      <c r="EE72" s="1" t="s">
        <v>255</v>
      </c>
      <c r="EF72" s="1" t="s">
        <v>452</v>
      </c>
      <c r="EG72" s="1" t="s">
        <v>389</v>
      </c>
      <c r="EI72" s="1" t="s">
        <v>390</v>
      </c>
      <c r="EJ72" s="1" t="s">
        <v>293</v>
      </c>
      <c r="EK72" s="1" t="s">
        <v>293</v>
      </c>
      <c r="EL72" s="1" t="s">
        <v>293</v>
      </c>
      <c r="EM72" s="1" t="s">
        <v>293</v>
      </c>
      <c r="EN72" s="1" t="s">
        <v>353</v>
      </c>
      <c r="EO72" s="1" t="s">
        <v>293</v>
      </c>
      <c r="EP72" s="1" t="s">
        <v>293</v>
      </c>
      <c r="EQ72" s="1" t="s">
        <v>293</v>
      </c>
      <c r="ER72" s="1" t="s">
        <v>293</v>
      </c>
      <c r="ES72" s="1" t="s">
        <v>293</v>
      </c>
      <c r="ET72" s="1" t="s">
        <v>293</v>
      </c>
      <c r="EU72" s="1" t="s">
        <v>293</v>
      </c>
      <c r="EV72" s="1" t="s">
        <v>387</v>
      </c>
      <c r="EW72" s="1" t="s">
        <v>254</v>
      </c>
      <c r="EX72" s="1" t="s">
        <v>254</v>
      </c>
      <c r="EY72" s="1">
        <v>0.0</v>
      </c>
      <c r="EZ72" s="1" t="s">
        <v>427</v>
      </c>
      <c r="FA72" s="1" t="s">
        <v>453</v>
      </c>
      <c r="FB72" s="1" t="s">
        <v>454</v>
      </c>
      <c r="FC72" s="1">
        <v>0.0</v>
      </c>
      <c r="FD72" s="1">
        <v>0.0</v>
      </c>
      <c r="FE72" s="1">
        <v>0.0</v>
      </c>
      <c r="FF72" s="1" t="s">
        <v>454</v>
      </c>
      <c r="FG72" s="1">
        <v>0.0</v>
      </c>
      <c r="FH72" s="1">
        <v>0.0</v>
      </c>
      <c r="FI72" s="1">
        <v>0.0</v>
      </c>
      <c r="FJ72" s="1" t="s">
        <v>454</v>
      </c>
      <c r="FK72" s="1">
        <v>0.0</v>
      </c>
      <c r="FL72" s="1">
        <v>0.0</v>
      </c>
      <c r="FM72" s="1">
        <v>0.0</v>
      </c>
      <c r="FN72" s="1" t="s">
        <v>454</v>
      </c>
      <c r="FO72" s="1">
        <v>0.0</v>
      </c>
      <c r="FP72" s="1">
        <v>0.0</v>
      </c>
      <c r="FQ72" s="1">
        <v>0.0</v>
      </c>
      <c r="FR72" s="28" t="s">
        <v>357</v>
      </c>
      <c r="FS72" s="28" t="s">
        <v>298</v>
      </c>
      <c r="FT72" s="28" t="s">
        <v>298</v>
      </c>
      <c r="FU72" s="28" t="s">
        <v>298</v>
      </c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  <c r="HB72" s="34"/>
      <c r="HC72" s="34"/>
      <c r="HD72" s="34"/>
      <c r="HE72" s="34"/>
      <c r="HF72" s="34"/>
      <c r="HG72" s="34"/>
      <c r="HH72" s="34"/>
      <c r="HI72" s="34"/>
      <c r="HJ72" s="34"/>
      <c r="HK72" s="34"/>
    </row>
    <row r="73">
      <c r="A73" s="44" t="s">
        <v>970</v>
      </c>
      <c r="B73" s="3">
        <v>70.0</v>
      </c>
      <c r="C73" s="3" t="s">
        <v>971</v>
      </c>
      <c r="D73" s="30">
        <v>36923.0</v>
      </c>
      <c r="E73" s="1">
        <v>25.0</v>
      </c>
      <c r="F73" s="3" t="s">
        <v>252</v>
      </c>
      <c r="G73" s="3" t="s">
        <v>253</v>
      </c>
      <c r="H73" s="3" t="s">
        <v>253</v>
      </c>
      <c r="I73" s="3" t="s">
        <v>252</v>
      </c>
      <c r="J73" s="3" t="s">
        <v>253</v>
      </c>
      <c r="K73" s="3" t="s">
        <v>253</v>
      </c>
      <c r="L73" s="3" t="s">
        <v>254</v>
      </c>
      <c r="M73" s="3" t="s">
        <v>255</v>
      </c>
      <c r="N73" s="3" t="s">
        <v>254</v>
      </c>
      <c r="O73" s="3" t="s">
        <v>255</v>
      </c>
      <c r="P73" s="3" t="s">
        <v>254</v>
      </c>
      <c r="Q73" s="3" t="s">
        <v>548</v>
      </c>
      <c r="R73" s="7" t="s">
        <v>298</v>
      </c>
      <c r="S73" s="7" t="s">
        <v>359</v>
      </c>
      <c r="T73" s="1" t="s">
        <v>259</v>
      </c>
      <c r="U73" s="1" t="s">
        <v>306</v>
      </c>
      <c r="V73" s="1">
        <v>0.0</v>
      </c>
      <c r="W73" s="1" t="s">
        <v>254</v>
      </c>
      <c r="X73" s="1" t="s">
        <v>254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 t="s">
        <v>255</v>
      </c>
      <c r="AG73" s="1" t="s">
        <v>917</v>
      </c>
      <c r="AH73" s="1" t="s">
        <v>917</v>
      </c>
      <c r="AI73" s="30">
        <v>45844.0</v>
      </c>
      <c r="AJ73" s="1" t="s">
        <v>366</v>
      </c>
      <c r="AK73" s="1" t="s">
        <v>313</v>
      </c>
      <c r="AL73" s="1" t="s">
        <v>594</v>
      </c>
      <c r="AM73" s="1" t="s">
        <v>269</v>
      </c>
      <c r="AN73" s="1" t="s">
        <v>269</v>
      </c>
      <c r="AO73" s="1" t="s">
        <v>270</v>
      </c>
      <c r="AP73" s="1" t="s">
        <v>284</v>
      </c>
      <c r="AQ73" s="1" t="s">
        <v>595</v>
      </c>
      <c r="AR73" s="1">
        <v>4.0</v>
      </c>
      <c r="AS73" s="1" t="s">
        <v>273</v>
      </c>
      <c r="AT73" s="1" t="s">
        <v>274</v>
      </c>
      <c r="AU73" s="1" t="s">
        <v>344</v>
      </c>
      <c r="AV73" s="1" t="s">
        <v>345</v>
      </c>
      <c r="AW73" s="1" t="s">
        <v>544</v>
      </c>
      <c r="AX73" s="1" t="s">
        <v>254</v>
      </c>
      <c r="AY73" s="1">
        <v>0.0</v>
      </c>
      <c r="AZ73" s="1" t="s">
        <v>255</v>
      </c>
      <c r="BA73" s="1" t="s">
        <v>319</v>
      </c>
      <c r="BB73" s="1" t="s">
        <v>255</v>
      </c>
      <c r="BC73" s="1" t="s">
        <v>279</v>
      </c>
      <c r="BD73" s="1">
        <v>1.0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 t="s">
        <v>382</v>
      </c>
      <c r="BM73" s="1" t="s">
        <v>700</v>
      </c>
      <c r="BN73" s="1" t="s">
        <v>269</v>
      </c>
      <c r="BO73" s="1" t="s">
        <v>269</v>
      </c>
      <c r="BP73" s="1" t="s">
        <v>270</v>
      </c>
      <c r="BQ73" s="1" t="s">
        <v>342</v>
      </c>
      <c r="BR73" s="1" t="s">
        <v>255</v>
      </c>
      <c r="BS73" s="1" t="s">
        <v>525</v>
      </c>
      <c r="BT73" s="1" t="s">
        <v>254</v>
      </c>
      <c r="BU73" s="1" t="s">
        <v>254</v>
      </c>
      <c r="BV73" s="1" t="s">
        <v>254</v>
      </c>
      <c r="BW73" s="1" t="s">
        <v>255</v>
      </c>
      <c r="BX73" s="1">
        <v>0.0</v>
      </c>
      <c r="BY73" s="1">
        <v>0.0</v>
      </c>
      <c r="BZ73" s="1">
        <v>2.0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 t="s">
        <v>384</v>
      </c>
      <c r="CL73" s="1" t="s">
        <v>317</v>
      </c>
      <c r="CM73" s="1" t="s">
        <v>254</v>
      </c>
      <c r="CN73" s="1">
        <v>0.0</v>
      </c>
      <c r="CO73" s="1" t="s">
        <v>254</v>
      </c>
      <c r="CP73" s="1">
        <v>0.0</v>
      </c>
      <c r="CQ73" s="1">
        <v>4.0</v>
      </c>
      <c r="CR73" s="1">
        <v>2.0</v>
      </c>
      <c r="CS73" s="1">
        <v>2.0</v>
      </c>
      <c r="CT73" s="1" t="s">
        <v>666</v>
      </c>
      <c r="CU73" s="1" t="s">
        <v>667</v>
      </c>
      <c r="CV73" s="1" t="s">
        <v>254</v>
      </c>
      <c r="CW73" s="1" t="s">
        <v>254</v>
      </c>
      <c r="CX73" s="1" t="s">
        <v>254</v>
      </c>
      <c r="CY73" s="1" t="s">
        <v>254</v>
      </c>
      <c r="CZ73" s="1" t="s">
        <v>254</v>
      </c>
      <c r="DA73" s="1" t="s">
        <v>255</v>
      </c>
      <c r="DB73" s="1" t="s">
        <v>255</v>
      </c>
      <c r="DC73" s="1" t="s">
        <v>254</v>
      </c>
      <c r="DD73" s="1" t="s">
        <v>255</v>
      </c>
      <c r="DE73" s="1" t="s">
        <v>290</v>
      </c>
      <c r="DF73" s="1" t="s">
        <v>291</v>
      </c>
      <c r="DG73" s="1" t="s">
        <v>292</v>
      </c>
      <c r="DH73" s="1" t="s">
        <v>292</v>
      </c>
      <c r="DI73" s="1" t="s">
        <v>290</v>
      </c>
      <c r="DJ73" s="1" t="s">
        <v>293</v>
      </c>
      <c r="DK73" s="1" t="s">
        <v>293</v>
      </c>
      <c r="DL73" s="1" t="s">
        <v>290</v>
      </c>
      <c r="DM73" s="1" t="s">
        <v>291</v>
      </c>
      <c r="DN73" s="1" t="s">
        <v>293</v>
      </c>
      <c r="DO73" s="1" t="s">
        <v>293</v>
      </c>
      <c r="DP73" s="1" t="s">
        <v>293</v>
      </c>
      <c r="DQ73" s="1" t="s">
        <v>293</v>
      </c>
      <c r="DR73" s="1" t="s">
        <v>293</v>
      </c>
      <c r="DS73" s="1" t="s">
        <v>293</v>
      </c>
      <c r="DT73" s="1" t="s">
        <v>293</v>
      </c>
      <c r="DU73" s="1" t="s">
        <v>293</v>
      </c>
      <c r="DV73" s="1" t="s">
        <v>293</v>
      </c>
      <c r="DW73" s="1" t="s">
        <v>293</v>
      </c>
      <c r="DX73" s="1" t="s">
        <v>293</v>
      </c>
      <c r="DY73" s="1" t="s">
        <v>293</v>
      </c>
      <c r="DZ73" s="1" t="s">
        <v>293</v>
      </c>
      <c r="EA73" s="1" t="s">
        <v>254</v>
      </c>
      <c r="EB73" s="1" t="s">
        <v>254</v>
      </c>
      <c r="EC73" s="1" t="s">
        <v>254</v>
      </c>
      <c r="ED73" s="1">
        <v>0.0</v>
      </c>
      <c r="EE73" s="1" t="s">
        <v>255</v>
      </c>
      <c r="EF73" s="1" t="s">
        <v>294</v>
      </c>
      <c r="EG73" s="1" t="s">
        <v>295</v>
      </c>
      <c r="EI73" s="1" t="s">
        <v>293</v>
      </c>
      <c r="EJ73" s="1" t="s">
        <v>293</v>
      </c>
      <c r="EK73" s="1" t="s">
        <v>293</v>
      </c>
      <c r="EL73" s="1" t="s">
        <v>293</v>
      </c>
      <c r="EM73" s="1" t="s">
        <v>293</v>
      </c>
      <c r="EN73" s="1" t="s">
        <v>296</v>
      </c>
      <c r="EO73" s="1" t="s">
        <v>293</v>
      </c>
      <c r="EP73" s="1" t="s">
        <v>293</v>
      </c>
      <c r="EQ73" s="1" t="s">
        <v>293</v>
      </c>
      <c r="ER73" s="1" t="s">
        <v>293</v>
      </c>
      <c r="ES73" s="1" t="s">
        <v>293</v>
      </c>
      <c r="ET73" s="1" t="s">
        <v>293</v>
      </c>
      <c r="EU73" s="1" t="s">
        <v>293</v>
      </c>
      <c r="EV73" s="1" t="s">
        <v>297</v>
      </c>
      <c r="EW73" s="1" t="s">
        <v>254</v>
      </c>
      <c r="EX73" s="1" t="s">
        <v>254</v>
      </c>
      <c r="EY73" s="1">
        <v>0.0</v>
      </c>
      <c r="EZ73" s="1">
        <v>0.0</v>
      </c>
      <c r="FA73" s="1">
        <v>0.0</v>
      </c>
      <c r="FB73" s="1" t="s">
        <v>254</v>
      </c>
      <c r="FC73" s="1">
        <v>0.0</v>
      </c>
      <c r="FD73" s="1">
        <v>0.0</v>
      </c>
      <c r="FE73" s="1">
        <v>0.0</v>
      </c>
      <c r="FF73" s="1" t="s">
        <v>293</v>
      </c>
      <c r="FG73" s="1">
        <v>0.0</v>
      </c>
      <c r="FH73" s="1">
        <v>0.0</v>
      </c>
      <c r="FI73" s="1">
        <v>0.0</v>
      </c>
      <c r="FJ73" s="1" t="s">
        <v>293</v>
      </c>
      <c r="FK73" s="1">
        <v>0.0</v>
      </c>
      <c r="FL73" s="1">
        <v>0.0</v>
      </c>
      <c r="FM73" s="1">
        <v>0.0</v>
      </c>
      <c r="FN73" s="1" t="s">
        <v>293</v>
      </c>
      <c r="FO73" s="1">
        <v>0.0</v>
      </c>
      <c r="FP73" s="1">
        <v>0.0</v>
      </c>
      <c r="FQ73" s="1">
        <v>0.0</v>
      </c>
      <c r="FR73" s="28" t="s">
        <v>357</v>
      </c>
      <c r="FS73" s="28" t="s">
        <v>298</v>
      </c>
      <c r="FT73" s="28" t="s">
        <v>298</v>
      </c>
      <c r="FU73" s="28" t="s">
        <v>298</v>
      </c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  <c r="HB73" s="34"/>
      <c r="HC73" s="34"/>
      <c r="HD73" s="34"/>
      <c r="HE73" s="34"/>
      <c r="HF73" s="34"/>
      <c r="HG73" s="34"/>
      <c r="HH73" s="34"/>
      <c r="HI73" s="34"/>
      <c r="HJ73" s="34"/>
      <c r="HK73" s="34"/>
    </row>
    <row r="74">
      <c r="A74" s="44" t="s">
        <v>603</v>
      </c>
      <c r="B74" s="3">
        <v>71.0</v>
      </c>
      <c r="C74" s="3" t="s">
        <v>605</v>
      </c>
      <c r="D74" s="30">
        <v>39343.0</v>
      </c>
      <c r="E74" s="1">
        <v>18.0</v>
      </c>
      <c r="F74" s="3" t="s">
        <v>252</v>
      </c>
      <c r="G74" s="3" t="s">
        <v>253</v>
      </c>
      <c r="H74" s="3" t="s">
        <v>253</v>
      </c>
      <c r="I74" s="3" t="s">
        <v>252</v>
      </c>
      <c r="J74" s="3" t="s">
        <v>253</v>
      </c>
      <c r="K74" s="3" t="s">
        <v>253</v>
      </c>
      <c r="L74" s="3" t="s">
        <v>254</v>
      </c>
      <c r="M74" s="3" t="s">
        <v>255</v>
      </c>
      <c r="N74" s="3" t="s">
        <v>254</v>
      </c>
      <c r="O74" s="3" t="s">
        <v>255</v>
      </c>
      <c r="P74" s="3" t="s">
        <v>254</v>
      </c>
      <c r="Q74" s="3" t="s">
        <v>548</v>
      </c>
      <c r="R74" s="7" t="s">
        <v>257</v>
      </c>
      <c r="S74" s="7" t="s">
        <v>304</v>
      </c>
      <c r="T74" s="1" t="s">
        <v>259</v>
      </c>
      <c r="U74" s="1" t="s">
        <v>360</v>
      </c>
      <c r="V74" s="1" t="s">
        <v>606</v>
      </c>
      <c r="W74" s="1" t="s">
        <v>254</v>
      </c>
      <c r="X74" s="1" t="s">
        <v>254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 t="s">
        <v>254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 t="s">
        <v>609</v>
      </c>
      <c r="AM74" s="1" t="s">
        <v>269</v>
      </c>
      <c r="AN74" s="1" t="s">
        <v>269</v>
      </c>
      <c r="AO74" s="1" t="s">
        <v>270</v>
      </c>
      <c r="AP74" s="1" t="s">
        <v>284</v>
      </c>
      <c r="AQ74" s="1" t="s">
        <v>443</v>
      </c>
      <c r="AR74" s="1">
        <v>3.0</v>
      </c>
      <c r="AS74" s="1" t="s">
        <v>273</v>
      </c>
      <c r="AT74" s="1" t="s">
        <v>274</v>
      </c>
      <c r="AU74" s="1" t="s">
        <v>275</v>
      </c>
      <c r="AV74" s="1" t="s">
        <v>317</v>
      </c>
      <c r="AW74" s="1" t="s">
        <v>544</v>
      </c>
      <c r="AX74" s="1" t="s">
        <v>254</v>
      </c>
      <c r="AY74" s="1">
        <v>0.0</v>
      </c>
      <c r="AZ74" s="1" t="s">
        <v>254</v>
      </c>
      <c r="BA74" s="1" t="s">
        <v>319</v>
      </c>
      <c r="BB74" s="1" t="s">
        <v>255</v>
      </c>
      <c r="BC74" s="1" t="s">
        <v>279</v>
      </c>
      <c r="BD74" s="1">
        <v>1.0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 t="s">
        <v>466</v>
      </c>
      <c r="BM74" s="1" t="s">
        <v>609</v>
      </c>
      <c r="BN74" s="1" t="s">
        <v>610</v>
      </c>
      <c r="BO74" s="1" t="s">
        <v>269</v>
      </c>
      <c r="BP74" s="1" t="s">
        <v>270</v>
      </c>
      <c r="BQ74" s="1" t="s">
        <v>284</v>
      </c>
      <c r="BR74" s="1" t="s">
        <v>254</v>
      </c>
      <c r="BS74" s="1" t="s">
        <v>254</v>
      </c>
      <c r="BT74" s="1" t="s">
        <v>254</v>
      </c>
      <c r="BU74" s="1" t="s">
        <v>254</v>
      </c>
      <c r="BV74" s="1" t="s">
        <v>254</v>
      </c>
      <c r="BW74" s="1" t="s">
        <v>254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 t="s">
        <v>254</v>
      </c>
      <c r="CN74" s="1">
        <v>0.0</v>
      </c>
      <c r="CO74" s="1" t="s">
        <v>254</v>
      </c>
      <c r="CP74" s="1">
        <v>0.0</v>
      </c>
      <c r="CQ74" s="1">
        <v>3.0</v>
      </c>
      <c r="CR74" s="1">
        <v>1.0</v>
      </c>
      <c r="CS74" s="1">
        <v>2.0</v>
      </c>
      <c r="CT74" s="1" t="s">
        <v>596</v>
      </c>
      <c r="CU74" s="1" t="s">
        <v>474</v>
      </c>
      <c r="CV74" s="1" t="s">
        <v>254</v>
      </c>
      <c r="CW74" s="1" t="s">
        <v>254</v>
      </c>
      <c r="CX74" s="1" t="s">
        <v>254</v>
      </c>
      <c r="CY74" s="1" t="s">
        <v>254</v>
      </c>
      <c r="CZ74" s="1" t="s">
        <v>254</v>
      </c>
      <c r="DA74" s="1" t="s">
        <v>254</v>
      </c>
      <c r="DB74" s="1" t="s">
        <v>254</v>
      </c>
      <c r="DC74" s="1" t="s">
        <v>255</v>
      </c>
      <c r="DD74" s="1" t="s">
        <v>255</v>
      </c>
      <c r="DE74" s="1" t="s">
        <v>388</v>
      </c>
      <c r="DF74" s="1" t="s">
        <v>293</v>
      </c>
      <c r="DG74" s="1" t="s">
        <v>450</v>
      </c>
      <c r="DH74" s="1" t="s">
        <v>293</v>
      </c>
      <c r="DI74" s="1" t="s">
        <v>293</v>
      </c>
      <c r="DJ74" s="1" t="s">
        <v>293</v>
      </c>
      <c r="DK74" s="1" t="s">
        <v>293</v>
      </c>
      <c r="DL74" s="1" t="s">
        <v>353</v>
      </c>
      <c r="DM74" s="1" t="s">
        <v>293</v>
      </c>
      <c r="DN74" s="1" t="s">
        <v>293</v>
      </c>
      <c r="DO74" s="1" t="s">
        <v>293</v>
      </c>
      <c r="DP74" s="1" t="s">
        <v>293</v>
      </c>
      <c r="DQ74" s="1" t="s">
        <v>293</v>
      </c>
      <c r="DR74" s="1" t="s">
        <v>293</v>
      </c>
      <c r="DS74" s="1" t="s">
        <v>293</v>
      </c>
      <c r="DT74" s="1" t="s">
        <v>293</v>
      </c>
      <c r="DU74" s="1" t="s">
        <v>293</v>
      </c>
      <c r="DV74" s="1" t="s">
        <v>293</v>
      </c>
      <c r="DW74" s="1" t="s">
        <v>293</v>
      </c>
      <c r="DX74" s="1" t="s">
        <v>293</v>
      </c>
      <c r="DY74" s="1" t="s">
        <v>293</v>
      </c>
      <c r="DZ74" s="1" t="s">
        <v>293</v>
      </c>
      <c r="EA74" s="1" t="s">
        <v>254</v>
      </c>
      <c r="EB74" s="1" t="s">
        <v>254</v>
      </c>
      <c r="EC74" s="1" t="s">
        <v>254</v>
      </c>
      <c r="ED74" s="1">
        <v>0.0</v>
      </c>
      <c r="EE74" s="1" t="s">
        <v>255</v>
      </c>
      <c r="EF74" s="1" t="s">
        <v>294</v>
      </c>
      <c r="EG74" s="1" t="s">
        <v>295</v>
      </c>
      <c r="EI74" s="31" t="s">
        <v>383</v>
      </c>
      <c r="EJ74" s="1" t="s">
        <v>293</v>
      </c>
      <c r="EK74" s="1" t="s">
        <v>293</v>
      </c>
      <c r="EL74" s="1" t="s">
        <v>293</v>
      </c>
      <c r="EM74" s="1" t="s">
        <v>293</v>
      </c>
      <c r="EN74" s="1" t="s">
        <v>293</v>
      </c>
      <c r="EO74" s="1" t="s">
        <v>293</v>
      </c>
      <c r="EP74" s="1" t="s">
        <v>293</v>
      </c>
      <c r="EQ74" s="1" t="s">
        <v>293</v>
      </c>
      <c r="ER74" s="1" t="s">
        <v>293</v>
      </c>
      <c r="ES74" s="1" t="s">
        <v>293</v>
      </c>
      <c r="ET74" s="1" t="s">
        <v>293</v>
      </c>
      <c r="EU74" s="1" t="s">
        <v>293</v>
      </c>
      <c r="EV74" s="1" t="s">
        <v>387</v>
      </c>
      <c r="EW74" s="1" t="s">
        <v>254</v>
      </c>
      <c r="EX74" s="1" t="s">
        <v>254</v>
      </c>
      <c r="EY74" s="1">
        <v>0.0</v>
      </c>
      <c r="EZ74" s="1">
        <v>0.0</v>
      </c>
      <c r="FA74" s="1">
        <v>0.0</v>
      </c>
      <c r="FB74" s="1" t="s">
        <v>254</v>
      </c>
      <c r="FC74" s="1">
        <v>0.0</v>
      </c>
      <c r="FD74" s="1">
        <v>0.0</v>
      </c>
      <c r="FE74" s="1">
        <v>0.0</v>
      </c>
      <c r="FF74" s="1" t="s">
        <v>293</v>
      </c>
      <c r="FG74" s="1">
        <v>0.0</v>
      </c>
      <c r="FH74" s="1">
        <v>0.0</v>
      </c>
      <c r="FI74" s="1">
        <v>0.0</v>
      </c>
      <c r="FJ74" s="1" t="s">
        <v>293</v>
      </c>
      <c r="FK74" s="1">
        <v>0.0</v>
      </c>
      <c r="FL74" s="1">
        <v>0.0</v>
      </c>
      <c r="FM74" s="1">
        <v>0.0</v>
      </c>
      <c r="FN74" s="1" t="s">
        <v>293</v>
      </c>
      <c r="FO74" s="1">
        <v>0.0</v>
      </c>
      <c r="FP74" s="1">
        <v>0.0</v>
      </c>
      <c r="FQ74" s="1">
        <v>0.0</v>
      </c>
      <c r="FR74" s="27" t="s">
        <v>514</v>
      </c>
      <c r="FS74" s="28" t="s">
        <v>205</v>
      </c>
      <c r="FT74" s="28" t="s">
        <v>205</v>
      </c>
      <c r="FU74" s="28" t="s">
        <v>298</v>
      </c>
      <c r="FV74" s="1">
        <v>6.0</v>
      </c>
      <c r="FW74" s="1" t="s">
        <v>299</v>
      </c>
      <c r="FX74" s="1">
        <v>19.0</v>
      </c>
      <c r="FY74" s="1" t="s">
        <v>300</v>
      </c>
      <c r="FZ74" s="1">
        <v>18.0</v>
      </c>
      <c r="GA74" s="1" t="s">
        <v>300</v>
      </c>
      <c r="GB74" s="1">
        <v>6.0</v>
      </c>
      <c r="GC74" s="1" t="s">
        <v>299</v>
      </c>
      <c r="GD74" s="1">
        <v>6.0</v>
      </c>
      <c r="GE74" s="1" t="s">
        <v>299</v>
      </c>
      <c r="GF74" s="1">
        <v>24.0</v>
      </c>
      <c r="GG74" s="1" t="s">
        <v>300</v>
      </c>
      <c r="GH74" s="1">
        <v>16.0</v>
      </c>
      <c r="GI74" s="1" t="s">
        <v>299</v>
      </c>
      <c r="GJ74" s="1">
        <v>6.0</v>
      </c>
      <c r="GK74" s="1" t="s">
        <v>299</v>
      </c>
      <c r="GL74" s="1">
        <v>6.0</v>
      </c>
      <c r="GM74" s="1" t="s">
        <v>299</v>
      </c>
      <c r="GN74" s="1">
        <v>26.0</v>
      </c>
      <c r="GO74" s="1" t="s">
        <v>300</v>
      </c>
      <c r="GP74" s="1">
        <v>6.0</v>
      </c>
      <c r="GQ74" s="1" t="s">
        <v>299</v>
      </c>
      <c r="GR74" s="1">
        <v>26.0</v>
      </c>
      <c r="GS74" s="1" t="s">
        <v>300</v>
      </c>
      <c r="GT74" s="1">
        <v>6.0</v>
      </c>
      <c r="GU74" s="1" t="s">
        <v>299</v>
      </c>
      <c r="GV74" s="1">
        <v>11.0</v>
      </c>
      <c r="GW74" s="1" t="s">
        <v>299</v>
      </c>
      <c r="GX74" s="1">
        <v>18.0</v>
      </c>
      <c r="GY74" s="1" t="s">
        <v>300</v>
      </c>
      <c r="GZ74" s="1">
        <v>28.0</v>
      </c>
      <c r="HA74" s="1" t="s">
        <v>300</v>
      </c>
      <c r="HB74" s="1">
        <v>6.0</v>
      </c>
      <c r="HC74" s="1" t="s">
        <v>299</v>
      </c>
      <c r="HD74" s="1">
        <v>13.0</v>
      </c>
      <c r="HE74" s="1" t="s">
        <v>299</v>
      </c>
      <c r="HF74" s="1">
        <v>19.0</v>
      </c>
      <c r="HG74" s="1" t="s">
        <v>299</v>
      </c>
      <c r="HH74" s="1">
        <v>22.0</v>
      </c>
      <c r="HI74" s="1" t="s">
        <v>299</v>
      </c>
      <c r="HJ74" s="1">
        <v>19.0</v>
      </c>
      <c r="HK74" s="1" t="s">
        <v>299</v>
      </c>
    </row>
    <row r="75">
      <c r="A75" s="44" t="s">
        <v>618</v>
      </c>
      <c r="B75" s="3">
        <v>72.0</v>
      </c>
      <c r="C75" s="3" t="s">
        <v>619</v>
      </c>
      <c r="D75" s="30">
        <v>18629.0</v>
      </c>
      <c r="E75" s="1">
        <v>75.0</v>
      </c>
      <c r="F75" s="3" t="s">
        <v>252</v>
      </c>
      <c r="G75" s="3" t="s">
        <v>253</v>
      </c>
      <c r="H75" s="3" t="s">
        <v>253</v>
      </c>
      <c r="I75" s="3" t="s">
        <v>252</v>
      </c>
      <c r="J75" s="3" t="s">
        <v>253</v>
      </c>
      <c r="K75" s="3" t="s">
        <v>253</v>
      </c>
      <c r="L75" s="3" t="s">
        <v>254</v>
      </c>
      <c r="M75" s="3" t="s">
        <v>255</v>
      </c>
      <c r="N75" s="3" t="s">
        <v>254</v>
      </c>
      <c r="O75" s="3" t="s">
        <v>255</v>
      </c>
      <c r="P75" s="3" t="s">
        <v>254</v>
      </c>
      <c r="Q75" s="3" t="s">
        <v>548</v>
      </c>
      <c r="R75" s="7" t="s">
        <v>257</v>
      </c>
      <c r="S75" s="7" t="s">
        <v>258</v>
      </c>
      <c r="T75" s="1" t="s">
        <v>305</v>
      </c>
      <c r="U75" s="1" t="s">
        <v>360</v>
      </c>
      <c r="V75" s="1" t="s">
        <v>620</v>
      </c>
      <c r="W75" s="34"/>
      <c r="X75" s="1" t="s">
        <v>254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 t="s">
        <v>254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 t="s">
        <v>621</v>
      </c>
      <c r="AM75" s="1" t="s">
        <v>269</v>
      </c>
      <c r="AN75" s="1" t="s">
        <v>269</v>
      </c>
      <c r="AO75" s="1" t="s">
        <v>270</v>
      </c>
      <c r="AP75" s="1" t="s">
        <v>284</v>
      </c>
      <c r="AQ75" s="1" t="s">
        <v>443</v>
      </c>
      <c r="AR75" s="1">
        <v>5.0</v>
      </c>
      <c r="AS75" s="1" t="s">
        <v>273</v>
      </c>
      <c r="AT75" s="1" t="s">
        <v>274</v>
      </c>
      <c r="AU75" s="1" t="s">
        <v>275</v>
      </c>
      <c r="AV75" s="1" t="s">
        <v>276</v>
      </c>
      <c r="AW75" s="1" t="s">
        <v>402</v>
      </c>
      <c r="AX75" s="1" t="s">
        <v>254</v>
      </c>
      <c r="AY75" s="1">
        <v>0.0</v>
      </c>
      <c r="AZ75" s="1" t="s">
        <v>255</v>
      </c>
      <c r="BA75" s="1" t="s">
        <v>278</v>
      </c>
      <c r="BB75" s="1" t="s">
        <v>255</v>
      </c>
      <c r="BC75" s="1" t="s">
        <v>279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 t="s">
        <v>466</v>
      </c>
      <c r="BM75" s="1" t="s">
        <v>622</v>
      </c>
      <c r="BN75" s="1" t="s">
        <v>610</v>
      </c>
      <c r="BO75" s="1" t="s">
        <v>269</v>
      </c>
      <c r="BP75" s="1" t="s">
        <v>270</v>
      </c>
      <c r="BQ75" s="1" t="s">
        <v>284</v>
      </c>
      <c r="BR75" s="1" t="s">
        <v>254</v>
      </c>
      <c r="BS75" s="1" t="s">
        <v>254</v>
      </c>
      <c r="BT75" s="1" t="s">
        <v>254</v>
      </c>
      <c r="BU75" s="1" t="s">
        <v>254</v>
      </c>
      <c r="BV75" s="1" t="s">
        <v>254</v>
      </c>
      <c r="BW75" s="1" t="s">
        <v>254</v>
      </c>
      <c r="BX75" s="1">
        <v>0.0</v>
      </c>
      <c r="BY75" s="1">
        <v>0.0</v>
      </c>
      <c r="BZ75" s="1">
        <v>0.0</v>
      </c>
      <c r="CA75" s="1">
        <v>0.0</v>
      </c>
      <c r="CB75" s="1">
        <v>0.0</v>
      </c>
      <c r="CC75" s="1">
        <v>0.0</v>
      </c>
      <c r="CD75" s="1">
        <v>0.0</v>
      </c>
      <c r="CE75" s="1">
        <v>0.0</v>
      </c>
      <c r="CF75" s="1">
        <v>0.0</v>
      </c>
      <c r="CG75" s="1">
        <v>0.0</v>
      </c>
      <c r="CH75" s="1">
        <v>0.0</v>
      </c>
      <c r="CI75" s="1">
        <v>0.0</v>
      </c>
      <c r="CJ75" s="1">
        <v>0.0</v>
      </c>
      <c r="CK75" s="1">
        <v>0.0</v>
      </c>
      <c r="CL75" s="1">
        <v>0.0</v>
      </c>
      <c r="CM75" s="1" t="s">
        <v>254</v>
      </c>
      <c r="CN75" s="1">
        <v>0.0</v>
      </c>
      <c r="CO75" s="1" t="s">
        <v>254</v>
      </c>
      <c r="CP75" s="1">
        <v>0.0</v>
      </c>
      <c r="CQ75" s="1">
        <v>6.0</v>
      </c>
      <c r="CR75" s="1">
        <v>2.0</v>
      </c>
      <c r="CS75" s="1">
        <v>4.0</v>
      </c>
      <c r="CT75" s="1" t="s">
        <v>623</v>
      </c>
      <c r="CU75" s="1" t="s">
        <v>597</v>
      </c>
      <c r="CV75" s="1" t="s">
        <v>254</v>
      </c>
      <c r="CW75" s="1" t="s">
        <v>254</v>
      </c>
      <c r="CX75" s="1" t="s">
        <v>254</v>
      </c>
      <c r="CY75" s="1" t="s">
        <v>254</v>
      </c>
      <c r="CZ75" s="1" t="s">
        <v>254</v>
      </c>
      <c r="DA75" s="1" t="s">
        <v>255</v>
      </c>
      <c r="DB75" s="1" t="s">
        <v>255</v>
      </c>
      <c r="DC75" s="1" t="s">
        <v>254</v>
      </c>
      <c r="DD75" s="1" t="s">
        <v>255</v>
      </c>
      <c r="DE75" s="1" t="s">
        <v>293</v>
      </c>
      <c r="DF75" s="1" t="s">
        <v>293</v>
      </c>
      <c r="DG75" s="1" t="s">
        <v>323</v>
      </c>
      <c r="DH75" s="1" t="s">
        <v>291</v>
      </c>
      <c r="DI75" s="1" t="s">
        <v>324</v>
      </c>
      <c r="DJ75" s="1" t="s">
        <v>293</v>
      </c>
      <c r="DK75" s="1" t="s">
        <v>293</v>
      </c>
      <c r="DL75" s="1" t="s">
        <v>323</v>
      </c>
      <c r="DM75" s="1" t="s">
        <v>293</v>
      </c>
      <c r="DN75" s="1" t="s">
        <v>291</v>
      </c>
      <c r="DO75" s="1" t="s">
        <v>293</v>
      </c>
      <c r="DP75" s="1" t="s">
        <v>293</v>
      </c>
      <c r="DQ75" s="1" t="s">
        <v>293</v>
      </c>
      <c r="DR75" s="1" t="s">
        <v>293</v>
      </c>
      <c r="DS75" s="1" t="s">
        <v>293</v>
      </c>
      <c r="DT75" s="1" t="s">
        <v>293</v>
      </c>
      <c r="DU75" s="1" t="s">
        <v>293</v>
      </c>
      <c r="DV75" s="1" t="s">
        <v>293</v>
      </c>
      <c r="DW75" s="1" t="s">
        <v>293</v>
      </c>
      <c r="DX75" s="1" t="s">
        <v>293</v>
      </c>
      <c r="DY75" s="1" t="s">
        <v>293</v>
      </c>
      <c r="DZ75" s="1" t="s">
        <v>293</v>
      </c>
      <c r="EA75" s="1" t="s">
        <v>254</v>
      </c>
      <c r="EB75" s="1" t="s">
        <v>254</v>
      </c>
      <c r="EC75" s="1" t="s">
        <v>254</v>
      </c>
      <c r="ED75" s="1">
        <v>0.0</v>
      </c>
      <c r="EE75" s="1" t="s">
        <v>255</v>
      </c>
      <c r="EF75" s="1" t="s">
        <v>354</v>
      </c>
      <c r="EG75" s="1" t="s">
        <v>295</v>
      </c>
      <c r="EI75" s="1" t="s">
        <v>293</v>
      </c>
      <c r="EJ75" s="1" t="s">
        <v>293</v>
      </c>
      <c r="EK75" s="1" t="s">
        <v>293</v>
      </c>
      <c r="EL75" s="1" t="s">
        <v>293</v>
      </c>
      <c r="EM75" s="1" t="s">
        <v>293</v>
      </c>
      <c r="EN75" s="1" t="s">
        <v>296</v>
      </c>
      <c r="EO75" s="1" t="s">
        <v>293</v>
      </c>
      <c r="EP75" s="1" t="s">
        <v>293</v>
      </c>
      <c r="EQ75" s="1" t="s">
        <v>293</v>
      </c>
      <c r="ER75" s="1" t="s">
        <v>293</v>
      </c>
      <c r="ES75" s="1" t="s">
        <v>293</v>
      </c>
      <c r="ET75" s="1" t="s">
        <v>293</v>
      </c>
      <c r="EU75" s="1" t="s">
        <v>293</v>
      </c>
      <c r="EV75" s="1" t="s">
        <v>297</v>
      </c>
      <c r="EW75" s="1" t="s">
        <v>254</v>
      </c>
      <c r="EX75" s="1" t="s">
        <v>254</v>
      </c>
      <c r="EY75" s="1">
        <v>0.0</v>
      </c>
      <c r="EZ75" s="1">
        <v>0.0</v>
      </c>
      <c r="FA75" s="1">
        <v>0.0</v>
      </c>
      <c r="FB75" s="1" t="s">
        <v>254</v>
      </c>
      <c r="FC75" s="1">
        <v>0.0</v>
      </c>
      <c r="FD75" s="1">
        <v>0.0</v>
      </c>
      <c r="FE75" s="1">
        <v>0.0</v>
      </c>
      <c r="FF75" s="1" t="s">
        <v>293</v>
      </c>
      <c r="FG75" s="1">
        <v>0.0</v>
      </c>
      <c r="FH75" s="1">
        <v>0.0</v>
      </c>
      <c r="FI75" s="1">
        <v>0.0</v>
      </c>
      <c r="FJ75" s="1" t="s">
        <v>293</v>
      </c>
      <c r="FK75" s="1">
        <v>0.0</v>
      </c>
      <c r="FL75" s="1">
        <v>0.0</v>
      </c>
      <c r="FM75" s="1">
        <v>0.0</v>
      </c>
      <c r="FN75" s="1" t="s">
        <v>293</v>
      </c>
      <c r="FO75" s="1">
        <v>0.0</v>
      </c>
      <c r="FP75" s="1">
        <v>0.0</v>
      </c>
      <c r="FQ75" s="1">
        <v>0.0</v>
      </c>
      <c r="FR75" s="27" t="s">
        <v>514</v>
      </c>
      <c r="FS75" s="28" t="s">
        <v>205</v>
      </c>
      <c r="FT75" s="28" t="s">
        <v>205</v>
      </c>
      <c r="FU75" s="28" t="s">
        <v>298</v>
      </c>
      <c r="FV75" s="1">
        <v>6.0</v>
      </c>
      <c r="FW75" s="1" t="s">
        <v>299</v>
      </c>
      <c r="FX75" s="1">
        <v>20.0</v>
      </c>
      <c r="FY75" s="1" t="s">
        <v>300</v>
      </c>
      <c r="FZ75" s="1">
        <v>13.0</v>
      </c>
      <c r="GA75" s="1" t="s">
        <v>299</v>
      </c>
      <c r="GB75" s="1">
        <v>6.0</v>
      </c>
      <c r="GC75" s="1" t="s">
        <v>299</v>
      </c>
      <c r="GD75" s="1">
        <v>6.0</v>
      </c>
      <c r="GE75" s="1" t="s">
        <v>299</v>
      </c>
      <c r="GF75" s="1">
        <v>24.0</v>
      </c>
      <c r="GG75" s="1" t="s">
        <v>300</v>
      </c>
      <c r="GH75" s="1">
        <v>8.0</v>
      </c>
      <c r="GI75" s="1" t="s">
        <v>299</v>
      </c>
      <c r="GJ75" s="1">
        <v>9.0</v>
      </c>
      <c r="GK75" s="1" t="s">
        <v>299</v>
      </c>
      <c r="GL75" s="1">
        <v>6.0</v>
      </c>
      <c r="GM75" s="1" t="s">
        <v>299</v>
      </c>
      <c r="GN75" s="1">
        <v>20.0</v>
      </c>
      <c r="GO75" s="1" t="s">
        <v>299</v>
      </c>
      <c r="GP75" s="1">
        <v>6.0</v>
      </c>
      <c r="GQ75" s="1" t="s">
        <v>299</v>
      </c>
      <c r="GR75" s="1">
        <v>16.0</v>
      </c>
      <c r="GS75" s="1" t="s">
        <v>299</v>
      </c>
      <c r="GT75" s="1">
        <v>9.0</v>
      </c>
      <c r="GU75" s="1" t="s">
        <v>299</v>
      </c>
      <c r="GV75" s="1">
        <v>11.0</v>
      </c>
      <c r="GW75" s="1" t="s">
        <v>299</v>
      </c>
      <c r="GX75" s="1">
        <v>14.0</v>
      </c>
      <c r="GY75" s="1" t="s">
        <v>300</v>
      </c>
      <c r="GZ75" s="1">
        <v>24.0</v>
      </c>
      <c r="HA75" s="1" t="s">
        <v>300</v>
      </c>
      <c r="HB75" s="1">
        <v>6.0</v>
      </c>
      <c r="HC75" s="1" t="s">
        <v>299</v>
      </c>
      <c r="HD75" s="1">
        <v>8.0</v>
      </c>
      <c r="HE75" s="1" t="s">
        <v>299</v>
      </c>
      <c r="HF75" s="1">
        <v>15.0</v>
      </c>
      <c r="HG75" s="1" t="s">
        <v>299</v>
      </c>
      <c r="HH75" s="1">
        <v>14.0</v>
      </c>
      <c r="HI75" s="1" t="s">
        <v>299</v>
      </c>
      <c r="HJ75" s="1">
        <v>13.0</v>
      </c>
      <c r="HK75" s="1" t="s">
        <v>299</v>
      </c>
    </row>
    <row r="76">
      <c r="A76" s="44" t="s">
        <v>981</v>
      </c>
      <c r="B76" s="3">
        <v>73.0</v>
      </c>
      <c r="C76" s="3" t="s">
        <v>982</v>
      </c>
      <c r="D76" s="30">
        <v>39251.0</v>
      </c>
      <c r="E76" s="1">
        <v>19.0</v>
      </c>
      <c r="F76" s="3" t="s">
        <v>252</v>
      </c>
      <c r="G76" s="3" t="s">
        <v>253</v>
      </c>
      <c r="H76" s="3" t="s">
        <v>253</v>
      </c>
      <c r="I76" s="3" t="s">
        <v>252</v>
      </c>
      <c r="J76" s="3" t="s">
        <v>253</v>
      </c>
      <c r="K76" s="3" t="s">
        <v>253</v>
      </c>
      <c r="L76" s="3" t="s">
        <v>254</v>
      </c>
      <c r="M76" s="3" t="s">
        <v>255</v>
      </c>
      <c r="N76" s="3" t="s">
        <v>254</v>
      </c>
      <c r="O76" s="3" t="s">
        <v>255</v>
      </c>
      <c r="P76" s="3" t="s">
        <v>254</v>
      </c>
      <c r="Q76" s="3" t="s">
        <v>548</v>
      </c>
      <c r="R76" s="7" t="s">
        <v>298</v>
      </c>
      <c r="S76" s="7" t="s">
        <v>359</v>
      </c>
      <c r="T76" s="1" t="s">
        <v>259</v>
      </c>
      <c r="U76" s="1" t="s">
        <v>306</v>
      </c>
      <c r="W76" s="34"/>
      <c r="X76" s="1" t="s">
        <v>983</v>
      </c>
      <c r="Y76" s="1" t="s">
        <v>984</v>
      </c>
      <c r="Z76" s="1" t="s">
        <v>133</v>
      </c>
      <c r="AA76" s="1" t="s">
        <v>88</v>
      </c>
      <c r="AB76" s="1" t="s">
        <v>42</v>
      </c>
      <c r="AC76" s="1" t="s">
        <v>44</v>
      </c>
      <c r="AD76" s="1" t="s">
        <v>45</v>
      </c>
      <c r="AE76" s="1" t="s">
        <v>47</v>
      </c>
      <c r="AF76" s="1" t="s">
        <v>48</v>
      </c>
      <c r="AG76" s="1" t="s">
        <v>51</v>
      </c>
      <c r="AH76" s="1" t="s">
        <v>52</v>
      </c>
      <c r="AI76" s="1" t="s">
        <v>45</v>
      </c>
      <c r="AJ76" s="1" t="s">
        <v>54</v>
      </c>
      <c r="AK76" s="1" t="s">
        <v>985</v>
      </c>
      <c r="AL76" s="1" t="s">
        <v>594</v>
      </c>
      <c r="AM76" s="1" t="s">
        <v>610</v>
      </c>
      <c r="AN76" s="1" t="s">
        <v>269</v>
      </c>
      <c r="AO76" s="1" t="s">
        <v>270</v>
      </c>
      <c r="AP76" s="1" t="s">
        <v>284</v>
      </c>
      <c r="AQ76" s="1" t="s">
        <v>315</v>
      </c>
      <c r="AR76" s="1">
        <v>3.0</v>
      </c>
      <c r="AS76" s="1" t="s">
        <v>273</v>
      </c>
      <c r="AT76" s="1" t="s">
        <v>274</v>
      </c>
      <c r="AU76" s="1" t="s">
        <v>316</v>
      </c>
      <c r="AV76" s="1" t="s">
        <v>317</v>
      </c>
      <c r="AW76" s="1" t="s">
        <v>318</v>
      </c>
      <c r="AX76" s="1" t="s">
        <v>254</v>
      </c>
      <c r="AY76" s="1">
        <v>0.0</v>
      </c>
      <c r="AZ76" s="1" t="s">
        <v>255</v>
      </c>
      <c r="BA76" s="31" t="s">
        <v>319</v>
      </c>
      <c r="BB76" s="1" t="s">
        <v>255</v>
      </c>
      <c r="BC76" s="1" t="s">
        <v>279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 t="s">
        <v>320</v>
      </c>
      <c r="BM76" s="1" t="s">
        <v>594</v>
      </c>
      <c r="BN76" s="1" t="s">
        <v>610</v>
      </c>
      <c r="BO76" s="1" t="s">
        <v>269</v>
      </c>
      <c r="BP76" s="1" t="s">
        <v>270</v>
      </c>
      <c r="BQ76" s="1" t="s">
        <v>284</v>
      </c>
      <c r="BR76" s="1" t="s">
        <v>254</v>
      </c>
      <c r="BS76" s="1" t="s">
        <v>254</v>
      </c>
      <c r="BT76" s="1" t="s">
        <v>254</v>
      </c>
      <c r="BU76" s="1" t="s">
        <v>254</v>
      </c>
      <c r="BV76" s="1" t="s">
        <v>254</v>
      </c>
      <c r="BW76" s="1" t="s">
        <v>254</v>
      </c>
      <c r="BX76" s="1">
        <v>0.0</v>
      </c>
      <c r="BY76" s="1">
        <v>0.0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  <c r="CL76" s="1">
        <v>0.0</v>
      </c>
      <c r="CM76" s="1" t="s">
        <v>254</v>
      </c>
      <c r="CN76" s="1">
        <v>0.0</v>
      </c>
      <c r="CO76" s="1" t="s">
        <v>254</v>
      </c>
      <c r="CP76" s="1">
        <v>0.0</v>
      </c>
      <c r="CQ76" s="1">
        <v>6.0</v>
      </c>
      <c r="CR76" s="1">
        <v>3.0</v>
      </c>
      <c r="CS76" s="1">
        <v>0.0</v>
      </c>
      <c r="CT76" s="1">
        <v>0.0</v>
      </c>
      <c r="CU76" s="1">
        <v>0.0</v>
      </c>
      <c r="CV76" s="1" t="s">
        <v>254</v>
      </c>
      <c r="CW76" s="1" t="s">
        <v>254</v>
      </c>
      <c r="CX76" s="1" t="s">
        <v>254</v>
      </c>
      <c r="CY76" s="1" t="s">
        <v>254</v>
      </c>
      <c r="CZ76" s="1" t="s">
        <v>254</v>
      </c>
      <c r="DA76" s="1" t="s">
        <v>255</v>
      </c>
      <c r="DB76" s="1" t="s">
        <v>255</v>
      </c>
      <c r="DC76" s="1" t="s">
        <v>254</v>
      </c>
      <c r="DD76" s="1" t="s">
        <v>255</v>
      </c>
      <c r="DE76" s="1" t="s">
        <v>293</v>
      </c>
      <c r="DF76" s="1" t="s">
        <v>293</v>
      </c>
      <c r="DG76" s="1" t="s">
        <v>323</v>
      </c>
      <c r="DH76" s="1" t="s">
        <v>291</v>
      </c>
      <c r="DI76" s="1" t="s">
        <v>324</v>
      </c>
      <c r="DJ76" s="1" t="s">
        <v>293</v>
      </c>
      <c r="DK76" s="1" t="s">
        <v>293</v>
      </c>
      <c r="DL76" s="1" t="s">
        <v>323</v>
      </c>
      <c r="DM76" s="1" t="s">
        <v>293</v>
      </c>
      <c r="DN76" s="1" t="s">
        <v>291</v>
      </c>
      <c r="DO76" s="1" t="s">
        <v>293</v>
      </c>
      <c r="DP76" s="1" t="s">
        <v>293</v>
      </c>
      <c r="DQ76" s="1" t="s">
        <v>293</v>
      </c>
      <c r="DR76" s="1" t="s">
        <v>293</v>
      </c>
      <c r="DS76" s="1" t="s">
        <v>293</v>
      </c>
      <c r="DT76" s="1" t="s">
        <v>293</v>
      </c>
      <c r="DU76" s="1" t="s">
        <v>293</v>
      </c>
      <c r="DV76" s="1" t="s">
        <v>293</v>
      </c>
      <c r="DW76" s="1" t="s">
        <v>293</v>
      </c>
      <c r="DX76" s="1" t="s">
        <v>293</v>
      </c>
      <c r="DY76" s="1" t="s">
        <v>293</v>
      </c>
      <c r="DZ76" s="1" t="s">
        <v>293</v>
      </c>
      <c r="EA76" s="1" t="s">
        <v>254</v>
      </c>
      <c r="EB76" s="1" t="s">
        <v>254</v>
      </c>
      <c r="EC76" s="1" t="s">
        <v>254</v>
      </c>
      <c r="ED76" s="1">
        <v>0.0</v>
      </c>
      <c r="EE76" s="1" t="s">
        <v>255</v>
      </c>
      <c r="EF76" s="1" t="s">
        <v>354</v>
      </c>
      <c r="EG76" s="1" t="s">
        <v>295</v>
      </c>
      <c r="EI76" s="1" t="s">
        <v>293</v>
      </c>
      <c r="EJ76" s="1" t="s">
        <v>293</v>
      </c>
      <c r="EK76" s="1" t="s">
        <v>293</v>
      </c>
      <c r="EL76" s="1" t="s">
        <v>293</v>
      </c>
      <c r="EM76" s="1" t="s">
        <v>293</v>
      </c>
      <c r="EN76" s="1" t="s">
        <v>296</v>
      </c>
      <c r="EO76" s="1" t="s">
        <v>293</v>
      </c>
      <c r="EP76" s="1" t="s">
        <v>293</v>
      </c>
      <c r="EQ76" s="1" t="s">
        <v>293</v>
      </c>
      <c r="ER76" s="1" t="s">
        <v>293</v>
      </c>
      <c r="ES76" s="1" t="s">
        <v>293</v>
      </c>
      <c r="ET76" s="1" t="s">
        <v>293</v>
      </c>
      <c r="EU76" s="1" t="s">
        <v>293</v>
      </c>
      <c r="EV76" s="1" t="s">
        <v>297</v>
      </c>
      <c r="EW76" s="1" t="s">
        <v>254</v>
      </c>
      <c r="EX76" s="1" t="s">
        <v>254</v>
      </c>
      <c r="EY76" s="1">
        <v>0.0</v>
      </c>
      <c r="EZ76" s="1">
        <v>0.0</v>
      </c>
      <c r="FA76" s="1">
        <v>0.0</v>
      </c>
      <c r="FB76" s="1" t="s">
        <v>254</v>
      </c>
      <c r="FC76" s="1">
        <v>0.0</v>
      </c>
      <c r="FD76" s="1">
        <v>0.0</v>
      </c>
      <c r="FE76" s="1">
        <v>0.0</v>
      </c>
      <c r="FF76" s="1" t="s">
        <v>293</v>
      </c>
      <c r="FG76" s="1">
        <v>0.0</v>
      </c>
      <c r="FH76" s="1">
        <v>0.0</v>
      </c>
      <c r="FI76" s="1">
        <v>0.0</v>
      </c>
      <c r="FJ76" s="1" t="s">
        <v>293</v>
      </c>
      <c r="FK76" s="1">
        <v>0.0</v>
      </c>
      <c r="FL76" s="1">
        <v>0.0</v>
      </c>
      <c r="FM76" s="1">
        <v>0.0</v>
      </c>
      <c r="FN76" s="1" t="s">
        <v>293</v>
      </c>
      <c r="FO76" s="1">
        <v>0.0</v>
      </c>
      <c r="FP76" s="1">
        <v>0.0</v>
      </c>
      <c r="FQ76" s="1">
        <v>0.0</v>
      </c>
      <c r="FR76" s="28" t="s">
        <v>357</v>
      </c>
      <c r="FS76" s="28" t="s">
        <v>298</v>
      </c>
      <c r="FT76" s="28" t="s">
        <v>298</v>
      </c>
      <c r="FU76" s="28" t="s">
        <v>298</v>
      </c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  <c r="HI76" s="34"/>
      <c r="HJ76" s="34"/>
      <c r="HK76" s="34"/>
    </row>
    <row r="77">
      <c r="A77" s="44" t="s">
        <v>988</v>
      </c>
      <c r="B77" s="3">
        <v>74.0</v>
      </c>
      <c r="C77" s="3" t="s">
        <v>989</v>
      </c>
      <c r="D77" s="30">
        <v>29646.0</v>
      </c>
      <c r="E77" s="1">
        <v>45.0</v>
      </c>
      <c r="F77" s="3" t="s">
        <v>252</v>
      </c>
      <c r="G77" s="3" t="s">
        <v>253</v>
      </c>
      <c r="H77" s="3" t="s">
        <v>253</v>
      </c>
      <c r="I77" s="3" t="s">
        <v>252</v>
      </c>
      <c r="J77" s="3" t="s">
        <v>253</v>
      </c>
      <c r="K77" s="3" t="s">
        <v>253</v>
      </c>
      <c r="L77" s="3" t="s">
        <v>254</v>
      </c>
      <c r="M77" s="3" t="s">
        <v>255</v>
      </c>
      <c r="N77" s="3" t="s">
        <v>254</v>
      </c>
      <c r="O77" s="3" t="s">
        <v>255</v>
      </c>
      <c r="P77" s="3" t="s">
        <v>254</v>
      </c>
      <c r="Q77" s="3" t="s">
        <v>548</v>
      </c>
      <c r="R77" s="7" t="s">
        <v>888</v>
      </c>
      <c r="S77" s="7" t="s">
        <v>889</v>
      </c>
      <c r="T77" s="1" t="s">
        <v>259</v>
      </c>
      <c r="U77" s="1" t="s">
        <v>306</v>
      </c>
      <c r="W77" s="34"/>
      <c r="X77" s="1" t="s">
        <v>254</v>
      </c>
      <c r="Y77" s="1" t="s">
        <v>262</v>
      </c>
      <c r="Z77" s="1">
        <v>0.0</v>
      </c>
      <c r="AA77" s="34"/>
      <c r="AB77" s="34"/>
      <c r="AC77" s="1">
        <v>0.0</v>
      </c>
      <c r="AD77" s="1">
        <v>0.0</v>
      </c>
      <c r="AE77" s="1">
        <v>0.0</v>
      </c>
      <c r="AF77" s="1" t="s">
        <v>255</v>
      </c>
      <c r="AG77" s="1" t="s">
        <v>266</v>
      </c>
      <c r="AH77" s="1" t="s">
        <v>266</v>
      </c>
      <c r="AI77" s="1" t="s">
        <v>552</v>
      </c>
      <c r="AJ77" s="30">
        <v>45794.0</v>
      </c>
      <c r="AK77" s="1" t="s">
        <v>267</v>
      </c>
      <c r="AL77" s="1" t="s">
        <v>990</v>
      </c>
      <c r="AM77" s="1" t="s">
        <v>610</v>
      </c>
      <c r="AN77" s="1" t="s">
        <v>269</v>
      </c>
      <c r="AO77" s="1" t="s">
        <v>270</v>
      </c>
      <c r="AP77" s="1" t="s">
        <v>342</v>
      </c>
      <c r="AQ77" s="1" t="s">
        <v>343</v>
      </c>
      <c r="AR77" s="1">
        <v>4.0</v>
      </c>
      <c r="AS77" s="1" t="s">
        <v>273</v>
      </c>
      <c r="AT77" s="1" t="s">
        <v>274</v>
      </c>
      <c r="AU77" s="1" t="s">
        <v>344</v>
      </c>
      <c r="AV77" s="1" t="s">
        <v>345</v>
      </c>
      <c r="AW77" s="31" t="s">
        <v>346</v>
      </c>
      <c r="AX77" s="1" t="s">
        <v>254</v>
      </c>
      <c r="AY77" s="1">
        <v>0.0</v>
      </c>
      <c r="AZ77" s="1" t="s">
        <v>255</v>
      </c>
      <c r="BA77" s="1" t="s">
        <v>347</v>
      </c>
      <c r="BB77" s="1" t="s">
        <v>254</v>
      </c>
      <c r="BC77" s="1" t="s">
        <v>348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34"/>
      <c r="BK77" s="34"/>
      <c r="BL77" s="1" t="s">
        <v>320</v>
      </c>
      <c r="BM77" s="1" t="s">
        <v>990</v>
      </c>
      <c r="BN77" s="1" t="s">
        <v>610</v>
      </c>
      <c r="BO77" s="1" t="s">
        <v>269</v>
      </c>
      <c r="BP77" s="1" t="s">
        <v>270</v>
      </c>
      <c r="BQ77" s="1" t="s">
        <v>342</v>
      </c>
      <c r="BR77" s="1" t="s">
        <v>254</v>
      </c>
      <c r="BS77" s="1" t="s">
        <v>254</v>
      </c>
      <c r="BT77" s="1" t="s">
        <v>254</v>
      </c>
      <c r="BU77" s="1" t="s">
        <v>254</v>
      </c>
      <c r="BV77" s="1" t="s">
        <v>254</v>
      </c>
      <c r="BW77" s="1" t="s">
        <v>255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1.0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 t="s">
        <v>350</v>
      </c>
      <c r="CM77" s="1" t="s">
        <v>254</v>
      </c>
      <c r="CN77" s="1">
        <v>0.0</v>
      </c>
      <c r="CO77" s="1" t="s">
        <v>254</v>
      </c>
      <c r="CP77" s="1">
        <v>0.0</v>
      </c>
      <c r="CQ77" s="1">
        <v>4.0</v>
      </c>
      <c r="CR77" s="1">
        <v>2.0</v>
      </c>
      <c r="CS77" s="1">
        <v>2.0</v>
      </c>
      <c r="CT77" s="1" t="s">
        <v>351</v>
      </c>
      <c r="CU77" s="1" t="s">
        <v>352</v>
      </c>
      <c r="CV77" s="1" t="s">
        <v>254</v>
      </c>
      <c r="CW77" s="1" t="s">
        <v>254</v>
      </c>
      <c r="CX77" s="1" t="s">
        <v>254</v>
      </c>
      <c r="CY77" s="1" t="s">
        <v>254</v>
      </c>
      <c r="CZ77" s="1" t="s">
        <v>254</v>
      </c>
      <c r="DA77" s="1" t="s">
        <v>255</v>
      </c>
      <c r="DB77" s="1" t="s">
        <v>254</v>
      </c>
      <c r="DC77" s="1" t="s">
        <v>254</v>
      </c>
      <c r="DD77" s="1" t="s">
        <v>255</v>
      </c>
      <c r="DE77" s="1" t="s">
        <v>353</v>
      </c>
      <c r="DF77" s="1" t="s">
        <v>293</v>
      </c>
      <c r="DG77" s="1" t="s">
        <v>293</v>
      </c>
      <c r="DH77" s="1" t="s">
        <v>293</v>
      </c>
      <c r="DI77" s="1" t="s">
        <v>323</v>
      </c>
      <c r="DJ77" s="1" t="s">
        <v>293</v>
      </c>
      <c r="DK77" s="1" t="s">
        <v>293</v>
      </c>
      <c r="DL77" s="1" t="s">
        <v>323</v>
      </c>
      <c r="DM77" s="1" t="s">
        <v>293</v>
      </c>
      <c r="DN77" s="1" t="s">
        <v>293</v>
      </c>
      <c r="DO77" s="1" t="s">
        <v>293</v>
      </c>
      <c r="DP77" s="1" t="s">
        <v>293</v>
      </c>
      <c r="DQ77" s="1" t="s">
        <v>293</v>
      </c>
      <c r="DR77" s="1" t="s">
        <v>293</v>
      </c>
      <c r="DS77" s="1" t="s">
        <v>293</v>
      </c>
      <c r="DT77" s="1" t="s">
        <v>293</v>
      </c>
      <c r="DU77" s="1" t="s">
        <v>293</v>
      </c>
      <c r="DV77" s="1" t="s">
        <v>293</v>
      </c>
      <c r="DW77" s="1" t="s">
        <v>293</v>
      </c>
      <c r="DX77" s="1" t="s">
        <v>293</v>
      </c>
      <c r="DY77" s="1" t="s">
        <v>293</v>
      </c>
      <c r="DZ77" s="1" t="s">
        <v>293</v>
      </c>
      <c r="EA77" s="1" t="s">
        <v>254</v>
      </c>
      <c r="EB77" s="34"/>
      <c r="EC77" s="1" t="s">
        <v>254</v>
      </c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1">
        <v>0.0</v>
      </c>
      <c r="EZ77" s="34"/>
      <c r="FA77" s="34"/>
      <c r="FB77" s="34"/>
      <c r="FC77" s="34"/>
      <c r="FD77" s="34"/>
      <c r="FE77" s="34"/>
      <c r="FF77" s="34"/>
      <c r="FG77" s="34"/>
      <c r="FH77" s="34"/>
      <c r="FI77" s="1">
        <v>0.0</v>
      </c>
      <c r="FJ77" s="34"/>
      <c r="FK77" s="34"/>
      <c r="FL77" s="34"/>
      <c r="FM77" s="34"/>
      <c r="FN77" s="34"/>
      <c r="FO77" s="34"/>
      <c r="FP77" s="34"/>
      <c r="FQ77" s="1">
        <v>0.0</v>
      </c>
      <c r="FR77" s="26" t="s">
        <v>198</v>
      </c>
      <c r="FS77" s="28" t="s">
        <v>298</v>
      </c>
      <c r="FT77" s="28" t="s">
        <v>298</v>
      </c>
      <c r="FU77" s="28" t="s">
        <v>298</v>
      </c>
      <c r="FV77" s="1">
        <v>20.0</v>
      </c>
      <c r="FW77" s="1" t="s">
        <v>300</v>
      </c>
      <c r="FX77" s="1">
        <v>23.0</v>
      </c>
      <c r="FY77" s="1" t="s">
        <v>300</v>
      </c>
      <c r="FZ77" s="1">
        <v>17.0</v>
      </c>
      <c r="GA77" s="1" t="s">
        <v>300</v>
      </c>
      <c r="GB77" s="1">
        <v>20.0</v>
      </c>
      <c r="GC77" s="1" t="s">
        <v>300</v>
      </c>
      <c r="GD77" s="1">
        <v>21.0</v>
      </c>
      <c r="GE77" s="1" t="s">
        <v>300</v>
      </c>
      <c r="GF77" s="1">
        <v>20.0</v>
      </c>
      <c r="GG77" s="1" t="s">
        <v>300</v>
      </c>
      <c r="GH77" s="1">
        <v>19.0</v>
      </c>
      <c r="GI77" s="1" t="s">
        <v>331</v>
      </c>
      <c r="GJ77" s="1">
        <v>26.0</v>
      </c>
      <c r="GK77" s="1" t="s">
        <v>300</v>
      </c>
      <c r="GL77" s="1">
        <v>30.0</v>
      </c>
      <c r="GM77" s="1" t="s">
        <v>300</v>
      </c>
      <c r="GN77" s="1">
        <v>28.0</v>
      </c>
      <c r="GO77" s="1" t="s">
        <v>300</v>
      </c>
      <c r="GP77" s="1">
        <v>24.0</v>
      </c>
      <c r="GQ77" s="1" t="s">
        <v>300</v>
      </c>
      <c r="GR77" s="1">
        <v>27.0</v>
      </c>
      <c r="GS77" s="1" t="s">
        <v>300</v>
      </c>
      <c r="GT77" s="1">
        <v>23.0</v>
      </c>
      <c r="GU77" s="1" t="s">
        <v>300</v>
      </c>
      <c r="GV77" s="1">
        <v>22.0</v>
      </c>
      <c r="GW77" s="1" t="s">
        <v>300</v>
      </c>
      <c r="GX77" s="1">
        <v>18.0</v>
      </c>
      <c r="GY77" s="1" t="s">
        <v>300</v>
      </c>
      <c r="GZ77" s="1">
        <v>28.0</v>
      </c>
      <c r="HA77" s="1" t="s">
        <v>300</v>
      </c>
      <c r="HB77" s="1">
        <v>6.0</v>
      </c>
      <c r="HC77" s="1" t="s">
        <v>299</v>
      </c>
      <c r="HD77" s="1">
        <v>26.0</v>
      </c>
      <c r="HE77" s="1" t="s">
        <v>300</v>
      </c>
      <c r="HF77" s="1">
        <v>28.0</v>
      </c>
      <c r="HG77" s="1" t="s">
        <v>300</v>
      </c>
      <c r="HH77" s="1">
        <v>28.0</v>
      </c>
      <c r="HI77" s="1" t="s">
        <v>300</v>
      </c>
      <c r="HJ77" s="1">
        <v>23.0</v>
      </c>
      <c r="HK77" s="1" t="s">
        <v>299</v>
      </c>
    </row>
    <row r="78">
      <c r="A78" s="44" t="s">
        <v>993</v>
      </c>
      <c r="B78" s="3">
        <v>75.0</v>
      </c>
      <c r="C78" s="3" t="s">
        <v>994</v>
      </c>
      <c r="D78" s="30">
        <v>29592.0</v>
      </c>
      <c r="E78" s="1">
        <v>45.0</v>
      </c>
      <c r="F78" s="3" t="s">
        <v>252</v>
      </c>
      <c r="G78" s="3" t="s">
        <v>253</v>
      </c>
      <c r="H78" s="3" t="s">
        <v>253</v>
      </c>
      <c r="I78" s="3" t="s">
        <v>252</v>
      </c>
      <c r="J78" s="3" t="s">
        <v>253</v>
      </c>
      <c r="K78" s="3" t="s">
        <v>253</v>
      </c>
      <c r="L78" s="3" t="s">
        <v>254</v>
      </c>
      <c r="M78" s="3" t="s">
        <v>255</v>
      </c>
      <c r="N78" s="3" t="s">
        <v>254</v>
      </c>
      <c r="O78" s="3" t="s">
        <v>255</v>
      </c>
      <c r="P78" s="3" t="s">
        <v>254</v>
      </c>
      <c r="Q78" s="3" t="s">
        <v>548</v>
      </c>
      <c r="R78" s="7" t="s">
        <v>888</v>
      </c>
      <c r="S78" s="7" t="s">
        <v>889</v>
      </c>
      <c r="T78" s="1" t="s">
        <v>305</v>
      </c>
      <c r="U78" s="1" t="s">
        <v>306</v>
      </c>
      <c r="V78" s="1" t="s">
        <v>410</v>
      </c>
      <c r="W78" s="1" t="s">
        <v>995</v>
      </c>
      <c r="X78" s="1" t="s">
        <v>254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 t="s">
        <v>265</v>
      </c>
      <c r="AF78" s="1" t="s">
        <v>255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 t="s">
        <v>996</v>
      </c>
      <c r="AM78" s="1" t="s">
        <v>610</v>
      </c>
      <c r="AN78" s="1" t="s">
        <v>269</v>
      </c>
      <c r="AO78" s="1" t="s">
        <v>270</v>
      </c>
      <c r="AP78" s="1" t="s">
        <v>342</v>
      </c>
      <c r="AQ78" s="1" t="s">
        <v>343</v>
      </c>
      <c r="AR78" s="1">
        <v>3.0</v>
      </c>
      <c r="AS78" s="1" t="s">
        <v>368</v>
      </c>
      <c r="AT78" s="1" t="s">
        <v>274</v>
      </c>
      <c r="AU78" s="1" t="s">
        <v>370</v>
      </c>
      <c r="AV78" s="31" t="s">
        <v>317</v>
      </c>
      <c r="AW78" s="1" t="s">
        <v>346</v>
      </c>
      <c r="AX78" s="1" t="s">
        <v>254</v>
      </c>
      <c r="AY78" s="1">
        <v>0.0</v>
      </c>
      <c r="AZ78" s="1" t="s">
        <v>255</v>
      </c>
      <c r="BA78" s="31" t="s">
        <v>319</v>
      </c>
      <c r="BB78" s="1" t="s">
        <v>255</v>
      </c>
      <c r="BC78" s="1" t="s">
        <v>279</v>
      </c>
      <c r="BD78" s="1">
        <v>0.0</v>
      </c>
      <c r="BE78" s="1">
        <v>1.0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 t="s">
        <v>320</v>
      </c>
      <c r="BM78" s="1" t="s">
        <v>996</v>
      </c>
      <c r="BN78" s="1" t="s">
        <v>610</v>
      </c>
      <c r="BO78" s="1" t="s">
        <v>269</v>
      </c>
      <c r="BP78" s="1" t="s">
        <v>270</v>
      </c>
      <c r="BQ78" s="1" t="s">
        <v>342</v>
      </c>
      <c r="BR78" s="1" t="s">
        <v>357</v>
      </c>
      <c r="BS78" s="1" t="s">
        <v>254</v>
      </c>
      <c r="BT78" s="1" t="s">
        <v>254</v>
      </c>
      <c r="BU78" s="1" t="s">
        <v>254</v>
      </c>
      <c r="BV78" s="1" t="s">
        <v>254</v>
      </c>
      <c r="BW78" s="1" t="s">
        <v>254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  <c r="CL78" s="1">
        <v>0.0</v>
      </c>
      <c r="CM78" s="1" t="s">
        <v>254</v>
      </c>
      <c r="CN78" s="1">
        <v>0.0</v>
      </c>
      <c r="CO78" s="1" t="s">
        <v>254</v>
      </c>
      <c r="CP78" s="1">
        <v>0.0</v>
      </c>
      <c r="CQ78" s="1">
        <v>4.0</v>
      </c>
      <c r="CR78" s="1">
        <v>2.0</v>
      </c>
      <c r="CS78" s="1">
        <v>2.0</v>
      </c>
      <c r="CT78" s="1" t="s">
        <v>376</v>
      </c>
      <c r="CU78" s="1" t="s">
        <v>377</v>
      </c>
      <c r="CV78" s="1" t="s">
        <v>254</v>
      </c>
      <c r="CW78" s="1" t="s">
        <v>254</v>
      </c>
      <c r="CX78" s="1" t="s">
        <v>254</v>
      </c>
      <c r="CY78" s="1" t="s">
        <v>254</v>
      </c>
      <c r="CZ78" s="1" t="s">
        <v>254</v>
      </c>
      <c r="DA78" s="1" t="s">
        <v>255</v>
      </c>
      <c r="DB78" s="1" t="s">
        <v>254</v>
      </c>
      <c r="DC78" s="1" t="s">
        <v>254</v>
      </c>
      <c r="DD78" s="1" t="s">
        <v>255</v>
      </c>
      <c r="DE78" s="1" t="s">
        <v>353</v>
      </c>
      <c r="DF78" s="1" t="s">
        <v>293</v>
      </c>
      <c r="DG78" s="1" t="s">
        <v>353</v>
      </c>
      <c r="DH78" s="1" t="s">
        <v>353</v>
      </c>
      <c r="DI78" s="1" t="s">
        <v>353</v>
      </c>
      <c r="DJ78" s="1" t="s">
        <v>293</v>
      </c>
      <c r="DK78" s="1" t="s">
        <v>293</v>
      </c>
      <c r="DL78" s="1" t="s">
        <v>353</v>
      </c>
      <c r="DM78" s="1" t="s">
        <v>293</v>
      </c>
      <c r="DN78" s="1" t="s">
        <v>293</v>
      </c>
      <c r="DO78" s="1" t="s">
        <v>293</v>
      </c>
      <c r="DP78" s="1" t="s">
        <v>293</v>
      </c>
      <c r="DQ78" s="1" t="s">
        <v>293</v>
      </c>
      <c r="DR78" s="1" t="s">
        <v>293</v>
      </c>
      <c r="DS78" s="1" t="s">
        <v>293</v>
      </c>
      <c r="DT78" s="1" t="s">
        <v>293</v>
      </c>
      <c r="DU78" s="1" t="s">
        <v>293</v>
      </c>
      <c r="DV78" s="1" t="s">
        <v>293</v>
      </c>
      <c r="DW78" s="1" t="s">
        <v>293</v>
      </c>
      <c r="DX78" s="1" t="s">
        <v>293</v>
      </c>
      <c r="DY78" s="1" t="s">
        <v>293</v>
      </c>
      <c r="DZ78" s="1" t="s">
        <v>293</v>
      </c>
      <c r="EA78" s="1" t="s">
        <v>254</v>
      </c>
      <c r="EB78" s="1" t="s">
        <v>254</v>
      </c>
      <c r="EC78" s="1" t="s">
        <v>254</v>
      </c>
      <c r="ED78" s="1">
        <v>0.0</v>
      </c>
      <c r="EE78" s="1" t="s">
        <v>255</v>
      </c>
      <c r="EF78" s="1" t="s">
        <v>294</v>
      </c>
      <c r="EG78" s="1" t="s">
        <v>295</v>
      </c>
      <c r="EI78" s="31" t="s">
        <v>383</v>
      </c>
      <c r="EJ78" s="1" t="s">
        <v>293</v>
      </c>
      <c r="EK78" s="1" t="s">
        <v>293</v>
      </c>
      <c r="EL78" s="1" t="s">
        <v>293</v>
      </c>
      <c r="EM78" s="1" t="s">
        <v>293</v>
      </c>
      <c r="EN78" s="1" t="s">
        <v>293</v>
      </c>
      <c r="EO78" s="1" t="s">
        <v>293</v>
      </c>
      <c r="EP78" s="1" t="s">
        <v>293</v>
      </c>
      <c r="EQ78" s="1" t="s">
        <v>293</v>
      </c>
      <c r="ER78" s="1" t="s">
        <v>293</v>
      </c>
      <c r="ES78" s="1" t="s">
        <v>293</v>
      </c>
      <c r="ET78" s="1" t="s">
        <v>293</v>
      </c>
      <c r="EU78" s="1" t="s">
        <v>293</v>
      </c>
      <c r="EV78" s="1" t="s">
        <v>387</v>
      </c>
      <c r="EW78" s="1" t="s">
        <v>254</v>
      </c>
      <c r="EX78" s="1" t="s">
        <v>254</v>
      </c>
      <c r="EY78" s="1">
        <v>0.0</v>
      </c>
      <c r="EZ78" s="1">
        <v>0.0</v>
      </c>
      <c r="FA78" s="1">
        <v>0.0</v>
      </c>
      <c r="FB78" s="1" t="s">
        <v>254</v>
      </c>
      <c r="FC78" s="1">
        <v>0.0</v>
      </c>
      <c r="FD78" s="1">
        <v>0.0</v>
      </c>
      <c r="FE78" s="1">
        <v>0.0</v>
      </c>
      <c r="FF78" s="1" t="s">
        <v>293</v>
      </c>
      <c r="FG78" s="1">
        <v>0.0</v>
      </c>
      <c r="FH78" s="1">
        <v>0.0</v>
      </c>
      <c r="FI78" s="1">
        <v>0.0</v>
      </c>
      <c r="FJ78" s="1" t="s">
        <v>293</v>
      </c>
      <c r="FK78" s="1">
        <v>0.0</v>
      </c>
      <c r="FL78" s="1">
        <v>0.0</v>
      </c>
      <c r="FM78" s="1">
        <v>0.0</v>
      </c>
      <c r="FN78" s="1" t="s">
        <v>293</v>
      </c>
      <c r="FO78" s="1">
        <v>0.0</v>
      </c>
      <c r="FP78" s="1">
        <v>0.0</v>
      </c>
      <c r="FQ78" s="1">
        <v>0.0</v>
      </c>
      <c r="FR78" s="28" t="s">
        <v>514</v>
      </c>
      <c r="FS78" s="28" t="s">
        <v>298</v>
      </c>
      <c r="FT78" s="28" t="s">
        <v>298</v>
      </c>
      <c r="FU78" s="28" t="s">
        <v>298</v>
      </c>
      <c r="FV78" s="1">
        <v>6.0</v>
      </c>
      <c r="FW78" s="1" t="s">
        <v>299</v>
      </c>
      <c r="FX78" s="1">
        <v>19.0</v>
      </c>
      <c r="FY78" s="1" t="s">
        <v>300</v>
      </c>
      <c r="FZ78" s="1">
        <v>15.0</v>
      </c>
      <c r="GA78" s="1" t="s">
        <v>299</v>
      </c>
      <c r="GB78" s="1">
        <v>6.0</v>
      </c>
      <c r="GC78" s="1" t="s">
        <v>299</v>
      </c>
      <c r="GD78" s="1">
        <v>22.0</v>
      </c>
      <c r="GE78" s="1" t="s">
        <v>300</v>
      </c>
      <c r="GF78" s="1">
        <v>25.0</v>
      </c>
      <c r="GG78" s="1" t="s">
        <v>300</v>
      </c>
      <c r="GH78" s="1">
        <v>19.0</v>
      </c>
      <c r="GI78" s="1" t="s">
        <v>331</v>
      </c>
      <c r="GJ78" s="1">
        <v>6.0</v>
      </c>
      <c r="GK78" s="1" t="s">
        <v>299</v>
      </c>
      <c r="GL78" s="1">
        <v>6.0</v>
      </c>
      <c r="GM78" s="1" t="s">
        <v>299</v>
      </c>
      <c r="GN78" s="1">
        <v>26.0</v>
      </c>
      <c r="GO78" s="1" t="s">
        <v>300</v>
      </c>
      <c r="GP78" s="1">
        <v>6.0</v>
      </c>
      <c r="GQ78" s="1" t="s">
        <v>299</v>
      </c>
      <c r="GR78" s="1">
        <v>21.0</v>
      </c>
      <c r="GS78" s="1" t="s">
        <v>331</v>
      </c>
      <c r="GT78" s="1">
        <v>6.0</v>
      </c>
      <c r="GU78" s="1" t="s">
        <v>299</v>
      </c>
      <c r="GV78" s="1">
        <v>9.0</v>
      </c>
      <c r="GW78" s="1" t="s">
        <v>299</v>
      </c>
      <c r="GX78" s="1">
        <v>15.0</v>
      </c>
      <c r="GY78" s="1" t="s">
        <v>300</v>
      </c>
      <c r="GZ78" s="1">
        <v>19.0</v>
      </c>
      <c r="HA78" s="1" t="s">
        <v>299</v>
      </c>
      <c r="HB78" s="1">
        <v>6.0</v>
      </c>
      <c r="HC78" s="1" t="s">
        <v>299</v>
      </c>
      <c r="HD78" s="1">
        <v>22.0</v>
      </c>
      <c r="HE78" s="1" t="s">
        <v>300</v>
      </c>
      <c r="HF78" s="1">
        <v>22.0</v>
      </c>
      <c r="HG78" s="1" t="s">
        <v>299</v>
      </c>
      <c r="HH78" s="1">
        <v>24.0</v>
      </c>
      <c r="HI78" s="1" t="s">
        <v>300</v>
      </c>
      <c r="HJ78" s="1">
        <v>16.0</v>
      </c>
      <c r="HK78" s="1" t="s">
        <v>299</v>
      </c>
    </row>
    <row r="79">
      <c r="A79" s="44" t="s">
        <v>993</v>
      </c>
      <c r="B79" s="3" t="s">
        <v>444</v>
      </c>
      <c r="C79" s="3" t="s">
        <v>999</v>
      </c>
      <c r="D79" s="30">
        <v>29592.0</v>
      </c>
      <c r="E79" s="1">
        <v>45.0</v>
      </c>
      <c r="F79" s="3" t="s">
        <v>252</v>
      </c>
      <c r="G79" s="3" t="s">
        <v>253</v>
      </c>
      <c r="H79" s="3" t="s">
        <v>253</v>
      </c>
      <c r="I79" s="3" t="s">
        <v>252</v>
      </c>
      <c r="J79" s="3" t="s">
        <v>253</v>
      </c>
      <c r="K79" s="3" t="s">
        <v>253</v>
      </c>
      <c r="L79" s="3" t="s">
        <v>254</v>
      </c>
      <c r="M79" s="3" t="s">
        <v>255</v>
      </c>
      <c r="N79" s="3" t="s">
        <v>254</v>
      </c>
      <c r="O79" s="3" t="s">
        <v>255</v>
      </c>
      <c r="P79" s="3" t="s">
        <v>254</v>
      </c>
      <c r="Q79" s="3" t="s">
        <v>548</v>
      </c>
      <c r="R79" s="7" t="s">
        <v>888</v>
      </c>
      <c r="S79" s="7" t="s">
        <v>889</v>
      </c>
      <c r="T79" s="1" t="s">
        <v>305</v>
      </c>
      <c r="U79" s="1" t="s">
        <v>306</v>
      </c>
      <c r="V79" s="1" t="s">
        <v>410</v>
      </c>
      <c r="W79" s="1" t="s">
        <v>995</v>
      </c>
      <c r="X79" s="1" t="s">
        <v>254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 t="s">
        <v>265</v>
      </c>
      <c r="AF79" s="1" t="s">
        <v>255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 t="s">
        <v>996</v>
      </c>
      <c r="AM79" s="1" t="s">
        <v>610</v>
      </c>
      <c r="AN79" s="1" t="s">
        <v>269</v>
      </c>
      <c r="AO79" s="1" t="s">
        <v>270</v>
      </c>
      <c r="AP79" s="1" t="s">
        <v>342</v>
      </c>
      <c r="AQ79" s="1" t="s">
        <v>343</v>
      </c>
      <c r="AR79" s="1">
        <v>3.0</v>
      </c>
      <c r="AS79" s="1" t="s">
        <v>368</v>
      </c>
      <c r="AT79" s="1" t="s">
        <v>274</v>
      </c>
      <c r="AU79" s="1" t="s">
        <v>370</v>
      </c>
      <c r="AV79" s="31" t="s">
        <v>317</v>
      </c>
      <c r="AW79" s="1" t="s">
        <v>346</v>
      </c>
      <c r="AX79" s="1" t="s">
        <v>254</v>
      </c>
      <c r="AY79" s="1">
        <v>0.0</v>
      </c>
      <c r="AZ79" s="1" t="s">
        <v>255</v>
      </c>
      <c r="BA79" s="31" t="s">
        <v>319</v>
      </c>
      <c r="BB79" s="1" t="s">
        <v>255</v>
      </c>
      <c r="BC79" s="1" t="s">
        <v>279</v>
      </c>
      <c r="BD79" s="1">
        <v>0.0</v>
      </c>
      <c r="BE79" s="1">
        <v>1.0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 t="s">
        <v>320</v>
      </c>
      <c r="BM79" s="1" t="s">
        <v>996</v>
      </c>
      <c r="BN79" s="1" t="s">
        <v>610</v>
      </c>
      <c r="BO79" s="1" t="s">
        <v>269</v>
      </c>
      <c r="BP79" s="1" t="s">
        <v>270</v>
      </c>
      <c r="BQ79" s="1" t="s">
        <v>342</v>
      </c>
      <c r="BR79" s="1" t="s">
        <v>357</v>
      </c>
      <c r="BS79" s="1" t="s">
        <v>254</v>
      </c>
      <c r="BT79" s="1" t="s">
        <v>254</v>
      </c>
      <c r="BU79" s="1" t="s">
        <v>254</v>
      </c>
      <c r="BV79" s="1" t="s">
        <v>254</v>
      </c>
      <c r="BW79" s="1" t="s">
        <v>254</v>
      </c>
      <c r="BX79" s="1">
        <v>0.0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  <c r="CL79" s="1">
        <v>0.0</v>
      </c>
      <c r="CM79" s="1" t="s">
        <v>254</v>
      </c>
      <c r="CN79" s="1">
        <v>0.0</v>
      </c>
      <c r="CO79" s="1" t="s">
        <v>254</v>
      </c>
      <c r="CP79" s="1">
        <v>0.0</v>
      </c>
      <c r="CQ79" s="1">
        <v>4.0</v>
      </c>
      <c r="CR79" s="1">
        <v>2.0</v>
      </c>
      <c r="CS79" s="1">
        <v>2.0</v>
      </c>
      <c r="CT79" s="1" t="s">
        <v>376</v>
      </c>
      <c r="CU79" s="1" t="s">
        <v>377</v>
      </c>
      <c r="CV79" s="1" t="s">
        <v>254</v>
      </c>
      <c r="CW79" s="1" t="s">
        <v>254</v>
      </c>
      <c r="CX79" s="1" t="s">
        <v>254</v>
      </c>
      <c r="CY79" s="1" t="s">
        <v>254</v>
      </c>
      <c r="CZ79" s="1" t="s">
        <v>254</v>
      </c>
      <c r="DA79" s="1" t="s">
        <v>255</v>
      </c>
      <c r="DB79" s="1" t="s">
        <v>254</v>
      </c>
      <c r="DC79" s="1" t="s">
        <v>254</v>
      </c>
      <c r="DD79" s="1" t="s">
        <v>255</v>
      </c>
      <c r="DE79" s="1" t="s">
        <v>353</v>
      </c>
      <c r="DF79" s="1" t="s">
        <v>293</v>
      </c>
      <c r="DG79" s="1" t="s">
        <v>353</v>
      </c>
      <c r="DH79" s="1" t="s">
        <v>353</v>
      </c>
      <c r="DI79" s="1" t="s">
        <v>353</v>
      </c>
      <c r="DJ79" s="1" t="s">
        <v>293</v>
      </c>
      <c r="DK79" s="1" t="s">
        <v>293</v>
      </c>
      <c r="DL79" s="1" t="s">
        <v>353</v>
      </c>
      <c r="DM79" s="1" t="s">
        <v>293</v>
      </c>
      <c r="DN79" s="1" t="s">
        <v>293</v>
      </c>
      <c r="DO79" s="1" t="s">
        <v>293</v>
      </c>
      <c r="DP79" s="1" t="s">
        <v>293</v>
      </c>
      <c r="DQ79" s="1" t="s">
        <v>293</v>
      </c>
      <c r="DR79" s="1" t="s">
        <v>293</v>
      </c>
      <c r="DS79" s="1" t="s">
        <v>293</v>
      </c>
      <c r="DT79" s="1" t="s">
        <v>293</v>
      </c>
      <c r="DU79" s="1" t="s">
        <v>293</v>
      </c>
      <c r="DV79" s="1" t="s">
        <v>293</v>
      </c>
      <c r="DW79" s="1" t="s">
        <v>293</v>
      </c>
      <c r="DX79" s="1" t="s">
        <v>293</v>
      </c>
      <c r="DY79" s="1" t="s">
        <v>293</v>
      </c>
      <c r="DZ79" s="1" t="s">
        <v>293</v>
      </c>
      <c r="EA79" s="1" t="s">
        <v>254</v>
      </c>
      <c r="EB79" s="1" t="s">
        <v>254</v>
      </c>
      <c r="EC79" s="1" t="s">
        <v>254</v>
      </c>
      <c r="ED79" s="1">
        <v>0.0</v>
      </c>
      <c r="EE79" s="1" t="s">
        <v>255</v>
      </c>
      <c r="EF79" s="1" t="s">
        <v>294</v>
      </c>
      <c r="EG79" s="1" t="s">
        <v>295</v>
      </c>
      <c r="EI79" s="31" t="s">
        <v>383</v>
      </c>
      <c r="EJ79" s="1" t="s">
        <v>293</v>
      </c>
      <c r="EK79" s="1" t="s">
        <v>293</v>
      </c>
      <c r="EL79" s="1" t="s">
        <v>293</v>
      </c>
      <c r="EM79" s="1" t="s">
        <v>293</v>
      </c>
      <c r="EN79" s="1" t="s">
        <v>293</v>
      </c>
      <c r="EO79" s="1" t="s">
        <v>293</v>
      </c>
      <c r="EP79" s="1" t="s">
        <v>293</v>
      </c>
      <c r="EQ79" s="1" t="s">
        <v>293</v>
      </c>
      <c r="ER79" s="1" t="s">
        <v>293</v>
      </c>
      <c r="ES79" s="1" t="s">
        <v>293</v>
      </c>
      <c r="ET79" s="1" t="s">
        <v>293</v>
      </c>
      <c r="EU79" s="1" t="s">
        <v>293</v>
      </c>
      <c r="EV79" s="1" t="s">
        <v>387</v>
      </c>
      <c r="EW79" s="1" t="s">
        <v>254</v>
      </c>
      <c r="EX79" s="1" t="s">
        <v>254</v>
      </c>
      <c r="EY79" s="1">
        <v>0.0</v>
      </c>
      <c r="EZ79" s="1">
        <v>0.0</v>
      </c>
      <c r="FA79" s="1">
        <v>0.0</v>
      </c>
      <c r="FB79" s="1" t="s">
        <v>254</v>
      </c>
      <c r="FC79" s="1">
        <v>0.0</v>
      </c>
      <c r="FD79" s="1">
        <v>0.0</v>
      </c>
      <c r="FE79" s="1">
        <v>0.0</v>
      </c>
      <c r="FF79" s="1" t="s">
        <v>293</v>
      </c>
      <c r="FG79" s="1">
        <v>0.0</v>
      </c>
      <c r="FH79" s="1">
        <v>0.0</v>
      </c>
      <c r="FI79" s="1">
        <v>0.0</v>
      </c>
      <c r="FJ79" s="1" t="s">
        <v>293</v>
      </c>
      <c r="FK79" s="1">
        <v>0.0</v>
      </c>
      <c r="FL79" s="1">
        <v>0.0</v>
      </c>
      <c r="FM79" s="1">
        <v>0.0</v>
      </c>
      <c r="FN79" s="1" t="s">
        <v>293</v>
      </c>
      <c r="FO79" s="1">
        <v>0.0</v>
      </c>
      <c r="FP79" s="1">
        <v>0.0</v>
      </c>
      <c r="FQ79" s="1">
        <v>0.0</v>
      </c>
      <c r="FR79" s="28" t="s">
        <v>514</v>
      </c>
      <c r="FS79" s="28" t="s">
        <v>298</v>
      </c>
      <c r="FT79" s="28" t="s">
        <v>298</v>
      </c>
      <c r="FU79" s="28" t="s">
        <v>298</v>
      </c>
      <c r="FV79" s="1">
        <v>6.0</v>
      </c>
      <c r="FW79" s="1" t="s">
        <v>299</v>
      </c>
      <c r="FX79" s="1">
        <v>18.0</v>
      </c>
      <c r="FY79" s="1" t="s">
        <v>300</v>
      </c>
      <c r="FZ79" s="1">
        <v>18.0</v>
      </c>
      <c r="GA79" s="1" t="s">
        <v>300</v>
      </c>
      <c r="GB79" s="1">
        <v>6.0</v>
      </c>
      <c r="GC79" s="1" t="s">
        <v>299</v>
      </c>
      <c r="GD79" s="1">
        <v>22.0</v>
      </c>
      <c r="GE79" s="1" t="s">
        <v>300</v>
      </c>
      <c r="GF79" s="1">
        <v>27.0</v>
      </c>
      <c r="GG79" s="1" t="s">
        <v>300</v>
      </c>
      <c r="GH79" s="1">
        <v>20.0</v>
      </c>
      <c r="GI79" s="1" t="s">
        <v>331</v>
      </c>
      <c r="GJ79" s="1">
        <v>12.0</v>
      </c>
      <c r="GK79" s="1" t="s">
        <v>299</v>
      </c>
      <c r="GL79" s="1">
        <v>6.0</v>
      </c>
      <c r="GM79" s="1" t="s">
        <v>299</v>
      </c>
      <c r="GN79" s="1">
        <v>30.0</v>
      </c>
      <c r="GO79" s="1" t="s">
        <v>300</v>
      </c>
      <c r="GP79" s="1">
        <v>11.0</v>
      </c>
      <c r="GQ79" s="1" t="s">
        <v>299</v>
      </c>
      <c r="GR79" s="1">
        <v>25.0</v>
      </c>
      <c r="GS79" s="1" t="s">
        <v>300</v>
      </c>
      <c r="GT79" s="1">
        <v>16.0</v>
      </c>
      <c r="GU79" s="1" t="s">
        <v>299</v>
      </c>
      <c r="GV79" s="1">
        <v>12.0</v>
      </c>
      <c r="GW79" s="1" t="s">
        <v>299</v>
      </c>
      <c r="GX79" s="1">
        <v>13.0</v>
      </c>
      <c r="GY79" s="1" t="s">
        <v>300</v>
      </c>
      <c r="GZ79" s="1">
        <v>20.0</v>
      </c>
      <c r="HA79" s="1" t="s">
        <v>299</v>
      </c>
      <c r="HB79" s="1">
        <v>6.0</v>
      </c>
      <c r="HC79" s="1" t="s">
        <v>299</v>
      </c>
      <c r="HD79" s="1">
        <v>21.0</v>
      </c>
      <c r="HE79" s="1" t="s">
        <v>300</v>
      </c>
      <c r="HF79" s="1">
        <v>30.0</v>
      </c>
      <c r="HG79" s="1" t="s">
        <v>300</v>
      </c>
      <c r="HH79" s="1">
        <v>15.0</v>
      </c>
      <c r="HI79" s="1" t="s">
        <v>299</v>
      </c>
      <c r="HJ79" s="1">
        <v>12.0</v>
      </c>
      <c r="HK79" s="1" t="s">
        <v>299</v>
      </c>
    </row>
    <row r="80">
      <c r="A80" s="44" t="s">
        <v>1002</v>
      </c>
      <c r="B80" s="3">
        <v>76.0</v>
      </c>
      <c r="C80" s="3" t="s">
        <v>1003</v>
      </c>
      <c r="D80" s="30">
        <v>20037.0</v>
      </c>
      <c r="E80" s="1">
        <v>71.0</v>
      </c>
      <c r="F80" s="3" t="s">
        <v>252</v>
      </c>
      <c r="G80" s="3" t="s">
        <v>253</v>
      </c>
      <c r="H80" s="3" t="s">
        <v>253</v>
      </c>
      <c r="I80" s="3" t="s">
        <v>252</v>
      </c>
      <c r="J80" s="3" t="s">
        <v>253</v>
      </c>
      <c r="K80" s="3" t="s">
        <v>253</v>
      </c>
      <c r="L80" s="3" t="s">
        <v>254</v>
      </c>
      <c r="M80" s="3" t="s">
        <v>255</v>
      </c>
      <c r="N80" s="3" t="s">
        <v>254</v>
      </c>
      <c r="O80" s="3" t="s">
        <v>255</v>
      </c>
      <c r="P80" s="3" t="s">
        <v>254</v>
      </c>
      <c r="Q80" s="3" t="s">
        <v>548</v>
      </c>
      <c r="R80" s="7" t="s">
        <v>888</v>
      </c>
      <c r="S80" s="7" t="s">
        <v>889</v>
      </c>
      <c r="T80" s="1" t="s">
        <v>259</v>
      </c>
      <c r="U80" s="1" t="s">
        <v>306</v>
      </c>
      <c r="W80" s="34"/>
      <c r="X80" s="1" t="s">
        <v>254</v>
      </c>
      <c r="Y80" s="1">
        <v>0.0</v>
      </c>
      <c r="Z80" s="1">
        <v>0.0</v>
      </c>
      <c r="AA80" s="1">
        <v>0.0</v>
      </c>
      <c r="AB80" s="1" t="s">
        <v>336</v>
      </c>
      <c r="AC80" s="1">
        <v>0.0</v>
      </c>
      <c r="AD80" s="1">
        <v>2024.0</v>
      </c>
      <c r="AE80" s="1" t="s">
        <v>265</v>
      </c>
      <c r="AF80" s="1" t="s">
        <v>255</v>
      </c>
      <c r="AG80" s="1" t="s">
        <v>337</v>
      </c>
      <c r="AH80" s="1" t="s">
        <v>338</v>
      </c>
      <c r="AI80" s="1" t="s">
        <v>860</v>
      </c>
      <c r="AJ80" s="1" t="s">
        <v>340</v>
      </c>
      <c r="AK80" s="1" t="s">
        <v>313</v>
      </c>
      <c r="AL80" s="1" t="s">
        <v>805</v>
      </c>
      <c r="AM80" s="1" t="s">
        <v>610</v>
      </c>
      <c r="AN80" s="1" t="s">
        <v>269</v>
      </c>
      <c r="AO80" s="1" t="s">
        <v>270</v>
      </c>
      <c r="AP80" s="1" t="s">
        <v>342</v>
      </c>
      <c r="AQ80" s="1" t="s">
        <v>401</v>
      </c>
      <c r="AR80" s="1">
        <v>5.0</v>
      </c>
      <c r="AS80" s="1" t="s">
        <v>273</v>
      </c>
      <c r="AT80" s="1" t="s">
        <v>274</v>
      </c>
      <c r="AU80" s="1" t="s">
        <v>275</v>
      </c>
      <c r="AV80" s="1" t="s">
        <v>317</v>
      </c>
      <c r="AW80" s="1" t="s">
        <v>402</v>
      </c>
      <c r="AX80" s="1" t="s">
        <v>254</v>
      </c>
      <c r="AY80" s="1">
        <v>0.0</v>
      </c>
      <c r="AZ80" s="1" t="s">
        <v>255</v>
      </c>
      <c r="BA80" s="1" t="s">
        <v>319</v>
      </c>
      <c r="BB80" s="1" t="s">
        <v>255</v>
      </c>
      <c r="BC80" s="31" t="s">
        <v>279</v>
      </c>
      <c r="BD80" s="1">
        <v>1.0</v>
      </c>
      <c r="BE80" s="1">
        <v>0.0</v>
      </c>
      <c r="BF80" s="1">
        <v>0.0</v>
      </c>
      <c r="BG80" s="1">
        <v>0.0</v>
      </c>
      <c r="BH80" s="1">
        <v>1.0</v>
      </c>
      <c r="BI80" s="1" t="s">
        <v>405</v>
      </c>
      <c r="BJ80" s="1" t="s">
        <v>263</v>
      </c>
      <c r="BK80" s="1" t="s">
        <v>407</v>
      </c>
      <c r="BL80" s="1" t="s">
        <v>382</v>
      </c>
      <c r="BM80" s="1" t="s">
        <v>805</v>
      </c>
      <c r="BN80" s="1" t="s">
        <v>610</v>
      </c>
      <c r="BO80" s="1" t="s">
        <v>269</v>
      </c>
      <c r="BP80" s="1" t="s">
        <v>270</v>
      </c>
      <c r="BQ80" s="1" t="s">
        <v>342</v>
      </c>
      <c r="BR80" s="1" t="s">
        <v>255</v>
      </c>
      <c r="BS80" s="1" t="s">
        <v>413</v>
      </c>
      <c r="BT80" s="1" t="s">
        <v>414</v>
      </c>
      <c r="BU80" s="1" t="s">
        <v>254</v>
      </c>
      <c r="BV80" s="1" t="s">
        <v>254</v>
      </c>
      <c r="BW80" s="1" t="s">
        <v>255</v>
      </c>
      <c r="BX80" s="1">
        <v>10.0</v>
      </c>
      <c r="BY80" s="1">
        <v>1.0</v>
      </c>
      <c r="BZ80" s="1">
        <v>1.0</v>
      </c>
      <c r="CA80" s="1">
        <v>10.0</v>
      </c>
      <c r="CB80" s="1">
        <v>0.0</v>
      </c>
      <c r="CC80" s="1">
        <v>0.0</v>
      </c>
      <c r="CD80" s="1">
        <v>0.0</v>
      </c>
      <c r="CE80" s="1">
        <v>0.0</v>
      </c>
      <c r="CF80" s="1">
        <v>1.0</v>
      </c>
      <c r="CG80" s="1">
        <v>1.0</v>
      </c>
      <c r="CH80" s="1">
        <v>0.0</v>
      </c>
      <c r="CI80" s="1">
        <v>0.0</v>
      </c>
      <c r="CJ80" s="1" t="s">
        <v>416</v>
      </c>
      <c r="CK80" s="1" t="s">
        <v>384</v>
      </c>
      <c r="CL80" s="1" t="s">
        <v>317</v>
      </c>
      <c r="CM80" s="1" t="s">
        <v>254</v>
      </c>
      <c r="CN80" s="1">
        <v>0.0</v>
      </c>
      <c r="CO80" s="1" t="s">
        <v>254</v>
      </c>
      <c r="CP80" s="1">
        <v>0.0</v>
      </c>
      <c r="CQ80" s="1">
        <v>5.0</v>
      </c>
      <c r="CR80" s="1">
        <v>2.0</v>
      </c>
      <c r="CS80" s="1">
        <v>1.0</v>
      </c>
      <c r="CT80" s="1">
        <v>0.0</v>
      </c>
      <c r="CU80" s="1">
        <v>0.0</v>
      </c>
      <c r="CV80" s="1" t="s">
        <v>254</v>
      </c>
      <c r="CW80" s="1" t="s">
        <v>254</v>
      </c>
      <c r="CX80" s="1" t="s">
        <v>254</v>
      </c>
      <c r="CY80" s="1" t="s">
        <v>254</v>
      </c>
      <c r="CZ80" s="1" t="s">
        <v>254</v>
      </c>
      <c r="DA80" s="1" t="s">
        <v>254</v>
      </c>
      <c r="DB80" s="1" t="s">
        <v>255</v>
      </c>
      <c r="DC80" s="1" t="s">
        <v>254</v>
      </c>
      <c r="DD80" s="1" t="s">
        <v>255</v>
      </c>
      <c r="DE80" s="1" t="s">
        <v>323</v>
      </c>
      <c r="DF80" s="1" t="s">
        <v>293</v>
      </c>
      <c r="DG80" s="1" t="s">
        <v>323</v>
      </c>
      <c r="DH80" s="1" t="s">
        <v>323</v>
      </c>
      <c r="DI80" s="1" t="s">
        <v>291</v>
      </c>
      <c r="DJ80" s="1" t="s">
        <v>293</v>
      </c>
      <c r="DK80" s="1" t="s">
        <v>293</v>
      </c>
      <c r="DL80" s="1" t="s">
        <v>290</v>
      </c>
      <c r="DM80" s="1" t="s">
        <v>323</v>
      </c>
      <c r="DN80" s="1" t="s">
        <v>293</v>
      </c>
      <c r="DO80" s="1" t="s">
        <v>293</v>
      </c>
      <c r="DP80" s="1" t="s">
        <v>293</v>
      </c>
      <c r="DQ80" s="1" t="s">
        <v>293</v>
      </c>
      <c r="DR80" s="1" t="s">
        <v>293</v>
      </c>
      <c r="DS80" s="1" t="s">
        <v>293</v>
      </c>
      <c r="DT80" s="1" t="s">
        <v>293</v>
      </c>
      <c r="DU80" s="1" t="s">
        <v>293</v>
      </c>
      <c r="DV80" s="1" t="s">
        <v>293</v>
      </c>
      <c r="DW80" s="1" t="s">
        <v>293</v>
      </c>
      <c r="DX80" s="1" t="s">
        <v>293</v>
      </c>
      <c r="DY80" s="1" t="s">
        <v>293</v>
      </c>
      <c r="DZ80" s="1" t="s">
        <v>293</v>
      </c>
      <c r="EA80" s="1" t="s">
        <v>254</v>
      </c>
      <c r="EB80" s="1" t="s">
        <v>254</v>
      </c>
      <c r="EC80" s="1" t="s">
        <v>254</v>
      </c>
      <c r="ED80" s="1">
        <v>0.0</v>
      </c>
      <c r="EE80" s="1" t="s">
        <v>254</v>
      </c>
      <c r="EF80" s="60"/>
      <c r="EG80" s="34"/>
      <c r="EH80" s="34"/>
      <c r="EI80" s="1" t="s">
        <v>293</v>
      </c>
      <c r="EJ80" s="1" t="s">
        <v>293</v>
      </c>
      <c r="EK80" s="1" t="s">
        <v>293</v>
      </c>
      <c r="EL80" s="1" t="s">
        <v>293</v>
      </c>
      <c r="EM80" s="1" t="s">
        <v>293</v>
      </c>
      <c r="EN80" s="1" t="s">
        <v>293</v>
      </c>
      <c r="EO80" s="1" t="s">
        <v>293</v>
      </c>
      <c r="EP80" s="1" t="s">
        <v>293</v>
      </c>
      <c r="EQ80" s="1" t="s">
        <v>293</v>
      </c>
      <c r="ER80" s="1" t="s">
        <v>293</v>
      </c>
      <c r="ES80" s="1" t="s">
        <v>293</v>
      </c>
      <c r="ET80" s="1" t="s">
        <v>293</v>
      </c>
      <c r="EU80" s="1" t="s">
        <v>422</v>
      </c>
      <c r="EV80" s="1" t="s">
        <v>423</v>
      </c>
      <c r="EW80" s="1" t="s">
        <v>255</v>
      </c>
      <c r="EX80" s="1" t="s">
        <v>254</v>
      </c>
      <c r="EY80" s="1" t="s">
        <v>425</v>
      </c>
      <c r="EZ80" s="1" t="s">
        <v>427</v>
      </c>
      <c r="FA80" s="1" t="s">
        <v>428</v>
      </c>
      <c r="FB80" s="1" t="s">
        <v>255</v>
      </c>
      <c r="FC80" s="1" t="s">
        <v>425</v>
      </c>
      <c r="FD80" s="1" t="s">
        <v>429</v>
      </c>
      <c r="FE80" s="1" t="s">
        <v>428</v>
      </c>
      <c r="FF80" s="1" t="s">
        <v>430</v>
      </c>
      <c r="FG80" s="1" t="s">
        <v>425</v>
      </c>
      <c r="FH80" s="1" t="s">
        <v>427</v>
      </c>
      <c r="FI80" s="1">
        <v>0.0</v>
      </c>
      <c r="FJ80" s="1" t="s">
        <v>430</v>
      </c>
      <c r="FK80" s="1" t="s">
        <v>425</v>
      </c>
      <c r="FL80" s="1" t="s">
        <v>427</v>
      </c>
      <c r="FM80" s="34"/>
      <c r="FN80" s="1" t="s">
        <v>293</v>
      </c>
      <c r="FO80" s="1">
        <v>0.0</v>
      </c>
      <c r="FP80" s="34"/>
      <c r="FQ80" s="1">
        <v>0.0</v>
      </c>
      <c r="FR80" s="26" t="s">
        <v>198</v>
      </c>
      <c r="FS80" s="28" t="s">
        <v>298</v>
      </c>
      <c r="FT80" s="28" t="s">
        <v>298</v>
      </c>
      <c r="FU80" s="28" t="s">
        <v>298</v>
      </c>
      <c r="FV80" s="1">
        <v>26.0</v>
      </c>
      <c r="FW80" s="1" t="s">
        <v>300</v>
      </c>
      <c r="FX80" s="1">
        <v>18.0</v>
      </c>
      <c r="FY80" s="1" t="s">
        <v>300</v>
      </c>
      <c r="FZ80" s="1">
        <v>17.0</v>
      </c>
      <c r="GA80" s="1" t="s">
        <v>300</v>
      </c>
      <c r="GB80" s="1">
        <v>6.0</v>
      </c>
      <c r="GC80" s="1" t="s">
        <v>299</v>
      </c>
      <c r="GD80" s="1">
        <v>22.0</v>
      </c>
      <c r="GE80" s="1" t="s">
        <v>300</v>
      </c>
      <c r="GF80" s="1">
        <v>27.0</v>
      </c>
      <c r="GG80" s="1" t="s">
        <v>300</v>
      </c>
      <c r="GH80" s="1">
        <v>21.0</v>
      </c>
      <c r="GI80" s="1" t="s">
        <v>331</v>
      </c>
      <c r="GJ80" s="1">
        <v>30.0</v>
      </c>
      <c r="GK80" s="1" t="s">
        <v>300</v>
      </c>
      <c r="GL80" s="1">
        <v>6.0</v>
      </c>
      <c r="GM80" s="1" t="s">
        <v>299</v>
      </c>
      <c r="GN80" s="1">
        <v>30.0</v>
      </c>
      <c r="GO80" s="1" t="s">
        <v>300</v>
      </c>
      <c r="GP80" s="1">
        <v>18.0</v>
      </c>
      <c r="GQ80" s="1" t="s">
        <v>300</v>
      </c>
      <c r="GR80" s="1">
        <v>32.0</v>
      </c>
      <c r="GS80" s="1" t="s">
        <v>300</v>
      </c>
      <c r="GT80" s="1">
        <v>26.0</v>
      </c>
      <c r="GU80" s="1" t="s">
        <v>300</v>
      </c>
      <c r="GV80" s="1">
        <v>14.0</v>
      </c>
      <c r="GW80" s="1" t="s">
        <v>299</v>
      </c>
      <c r="GX80" s="1">
        <v>18.0</v>
      </c>
      <c r="GY80" s="1" t="s">
        <v>300</v>
      </c>
      <c r="GZ80" s="1">
        <v>22.0</v>
      </c>
      <c r="HA80" s="1" t="s">
        <v>299</v>
      </c>
      <c r="HB80" s="1">
        <v>6.0</v>
      </c>
      <c r="HC80" s="1" t="s">
        <v>299</v>
      </c>
      <c r="HD80" s="1">
        <v>26.0</v>
      </c>
      <c r="HE80" s="1" t="s">
        <v>300</v>
      </c>
      <c r="HF80" s="1">
        <v>27.0</v>
      </c>
      <c r="HG80" s="1" t="s">
        <v>300</v>
      </c>
      <c r="HH80" s="1">
        <v>30.0</v>
      </c>
      <c r="HI80" s="1" t="s">
        <v>300</v>
      </c>
      <c r="HJ80" s="1">
        <v>20.0</v>
      </c>
      <c r="HK80" s="1" t="s">
        <v>300</v>
      </c>
    </row>
    <row r="81">
      <c r="A81" s="44" t="s">
        <v>1006</v>
      </c>
      <c r="B81" s="3">
        <v>77.0</v>
      </c>
      <c r="C81" s="3" t="s">
        <v>1007</v>
      </c>
      <c r="D81" s="30">
        <v>34447.0</v>
      </c>
      <c r="E81" s="1">
        <v>32.0</v>
      </c>
      <c r="F81" s="3" t="s">
        <v>252</v>
      </c>
      <c r="G81" s="3" t="s">
        <v>253</v>
      </c>
      <c r="H81" s="3" t="s">
        <v>253</v>
      </c>
      <c r="I81" s="3" t="s">
        <v>252</v>
      </c>
      <c r="J81" s="3" t="s">
        <v>253</v>
      </c>
      <c r="K81" s="3" t="s">
        <v>253</v>
      </c>
      <c r="L81" s="3" t="s">
        <v>254</v>
      </c>
      <c r="M81" s="3" t="s">
        <v>255</v>
      </c>
      <c r="N81" s="3" t="s">
        <v>254</v>
      </c>
      <c r="O81" s="3" t="s">
        <v>255</v>
      </c>
      <c r="P81" s="3" t="s">
        <v>254</v>
      </c>
      <c r="Q81" s="3" t="s">
        <v>548</v>
      </c>
      <c r="R81" s="7" t="s">
        <v>888</v>
      </c>
      <c r="S81" s="7" t="s">
        <v>889</v>
      </c>
      <c r="T81" s="1" t="s">
        <v>259</v>
      </c>
      <c r="U81" s="1" t="s">
        <v>360</v>
      </c>
      <c r="V81" s="34"/>
      <c r="W81" s="34"/>
      <c r="X81" s="1" t="s">
        <v>255</v>
      </c>
      <c r="Y81" s="31" t="s">
        <v>362</v>
      </c>
      <c r="Z81" s="1">
        <v>5.0</v>
      </c>
      <c r="AA81" s="1" t="s">
        <v>363</v>
      </c>
      <c r="AB81" s="1">
        <v>0.0</v>
      </c>
      <c r="AC81" s="1">
        <v>0.0</v>
      </c>
      <c r="AD81" s="1">
        <v>0.0</v>
      </c>
      <c r="AE81" s="1">
        <v>0.0</v>
      </c>
      <c r="AF81" s="1" t="s">
        <v>255</v>
      </c>
      <c r="AG81" s="1" t="s">
        <v>364</v>
      </c>
      <c r="AH81" s="1" t="s">
        <v>365</v>
      </c>
      <c r="AI81" s="30">
        <v>45825.0</v>
      </c>
      <c r="AJ81" s="1" t="s">
        <v>366</v>
      </c>
      <c r="AK81" s="1" t="s">
        <v>267</v>
      </c>
      <c r="AL81" s="1" t="s">
        <v>594</v>
      </c>
      <c r="AM81" s="1" t="s">
        <v>610</v>
      </c>
      <c r="AN81" s="1" t="s">
        <v>269</v>
      </c>
      <c r="AO81" s="1" t="s">
        <v>270</v>
      </c>
      <c r="AP81" s="1" t="s">
        <v>342</v>
      </c>
      <c r="AQ81" s="1" t="s">
        <v>443</v>
      </c>
      <c r="AR81" s="1">
        <v>2.0</v>
      </c>
      <c r="AS81" s="1" t="s">
        <v>273</v>
      </c>
      <c r="AT81" s="1" t="s">
        <v>274</v>
      </c>
      <c r="AU81" s="1" t="s">
        <v>316</v>
      </c>
      <c r="AV81" s="1" t="s">
        <v>379</v>
      </c>
      <c r="AW81" s="1" t="s">
        <v>402</v>
      </c>
      <c r="AX81" s="1" t="s">
        <v>254</v>
      </c>
      <c r="AY81" s="1">
        <v>0.0</v>
      </c>
      <c r="AZ81" s="1" t="s">
        <v>255</v>
      </c>
      <c r="BA81" s="1" t="s">
        <v>446</v>
      </c>
      <c r="BB81" s="1" t="s">
        <v>255</v>
      </c>
      <c r="BC81" s="1" t="s">
        <v>279</v>
      </c>
      <c r="BD81" s="1">
        <v>1.0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 t="s">
        <v>382</v>
      </c>
      <c r="BM81" s="1" t="s">
        <v>594</v>
      </c>
      <c r="BN81" s="1" t="s">
        <v>610</v>
      </c>
      <c r="BO81" s="1" t="s">
        <v>269</v>
      </c>
      <c r="BP81" s="1" t="s">
        <v>270</v>
      </c>
      <c r="BQ81" s="1" t="s">
        <v>342</v>
      </c>
      <c r="BR81" s="1" t="s">
        <v>255</v>
      </c>
      <c r="BS81" s="1" t="s">
        <v>447</v>
      </c>
      <c r="BT81" s="1" t="s">
        <v>414</v>
      </c>
      <c r="BU81" s="1" t="s">
        <v>254</v>
      </c>
      <c r="BV81" s="1" t="s">
        <v>254</v>
      </c>
      <c r="BW81" s="1" t="s">
        <v>254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  <c r="CL81" s="1">
        <v>0.0</v>
      </c>
      <c r="CM81" s="1" t="s">
        <v>254</v>
      </c>
      <c r="CN81" s="1">
        <v>0.0</v>
      </c>
      <c r="CO81" s="1" t="s">
        <v>254</v>
      </c>
      <c r="CP81" s="1">
        <v>0.0</v>
      </c>
      <c r="CQ81" s="1">
        <v>0.0</v>
      </c>
      <c r="CR81" s="1">
        <v>0.0</v>
      </c>
      <c r="CS81" s="1">
        <v>1.0</v>
      </c>
      <c r="CT81" s="1">
        <v>0.0</v>
      </c>
      <c r="CU81" s="1">
        <v>0.0</v>
      </c>
      <c r="CV81" s="1" t="s">
        <v>255</v>
      </c>
      <c r="CW81" s="1" t="s">
        <v>254</v>
      </c>
      <c r="CX81" s="1" t="s">
        <v>254</v>
      </c>
      <c r="CY81" s="1" t="s">
        <v>254</v>
      </c>
      <c r="CZ81" s="1" t="s">
        <v>254</v>
      </c>
      <c r="DA81" s="1" t="s">
        <v>255</v>
      </c>
      <c r="DB81" s="1" t="s">
        <v>254</v>
      </c>
      <c r="DC81" s="1" t="s">
        <v>255</v>
      </c>
      <c r="DD81" s="1" t="s">
        <v>255</v>
      </c>
      <c r="DE81" s="1" t="s">
        <v>388</v>
      </c>
      <c r="DF81" s="1" t="s">
        <v>293</v>
      </c>
      <c r="DG81" s="1" t="s">
        <v>450</v>
      </c>
      <c r="DH81" s="1" t="s">
        <v>293</v>
      </c>
      <c r="DI81" s="1" t="s">
        <v>293</v>
      </c>
      <c r="DJ81" s="1" t="s">
        <v>293</v>
      </c>
      <c r="DK81" s="1" t="s">
        <v>293</v>
      </c>
      <c r="DL81" s="1" t="s">
        <v>353</v>
      </c>
      <c r="DM81" s="1" t="s">
        <v>293</v>
      </c>
      <c r="DN81" s="1" t="s">
        <v>293</v>
      </c>
      <c r="DO81" s="1" t="s">
        <v>293</v>
      </c>
      <c r="DP81" s="1" t="s">
        <v>451</v>
      </c>
      <c r="DQ81" s="1" t="s">
        <v>293</v>
      </c>
      <c r="DR81" s="1" t="s">
        <v>293</v>
      </c>
      <c r="DS81" s="1" t="s">
        <v>293</v>
      </c>
      <c r="DT81" s="1" t="s">
        <v>293</v>
      </c>
      <c r="DU81" s="1" t="s">
        <v>293</v>
      </c>
      <c r="DV81" s="1" t="s">
        <v>293</v>
      </c>
      <c r="DW81" s="1" t="s">
        <v>293</v>
      </c>
      <c r="DX81" s="1" t="s">
        <v>293</v>
      </c>
      <c r="DY81" s="1" t="s">
        <v>293</v>
      </c>
      <c r="DZ81" s="1" t="s">
        <v>293</v>
      </c>
      <c r="EA81" s="1" t="s">
        <v>254</v>
      </c>
      <c r="EB81" s="1" t="s">
        <v>254</v>
      </c>
      <c r="EC81" s="1" t="s">
        <v>254</v>
      </c>
      <c r="ED81" s="1">
        <v>0.0</v>
      </c>
      <c r="EE81" s="1" t="s">
        <v>255</v>
      </c>
      <c r="EF81" s="1" t="s">
        <v>452</v>
      </c>
      <c r="EG81" s="1" t="s">
        <v>389</v>
      </c>
      <c r="EI81" s="1" t="s">
        <v>390</v>
      </c>
      <c r="EJ81" s="1" t="s">
        <v>293</v>
      </c>
      <c r="EK81" s="1" t="s">
        <v>293</v>
      </c>
      <c r="EL81" s="1" t="s">
        <v>293</v>
      </c>
      <c r="EM81" s="1" t="s">
        <v>293</v>
      </c>
      <c r="EN81" s="1" t="s">
        <v>353</v>
      </c>
      <c r="EO81" s="1" t="s">
        <v>293</v>
      </c>
      <c r="EP81" s="1" t="s">
        <v>293</v>
      </c>
      <c r="EQ81" s="1" t="s">
        <v>293</v>
      </c>
      <c r="ER81" s="1" t="s">
        <v>293</v>
      </c>
      <c r="ES81" s="1" t="s">
        <v>293</v>
      </c>
      <c r="ET81" s="1" t="s">
        <v>293</v>
      </c>
      <c r="EU81" s="1" t="s">
        <v>293</v>
      </c>
      <c r="EV81" s="1" t="s">
        <v>387</v>
      </c>
      <c r="EW81" s="1" t="s">
        <v>254</v>
      </c>
      <c r="EX81" s="1" t="s">
        <v>254</v>
      </c>
      <c r="EY81" s="1">
        <v>0.0</v>
      </c>
      <c r="EZ81" s="1" t="s">
        <v>427</v>
      </c>
      <c r="FA81" s="1" t="s">
        <v>453</v>
      </c>
      <c r="FB81" s="1" t="s">
        <v>454</v>
      </c>
      <c r="FC81" s="1">
        <v>0.0</v>
      </c>
      <c r="FD81" s="1">
        <v>0.0</v>
      </c>
      <c r="FE81" s="1">
        <v>0.0</v>
      </c>
      <c r="FF81" s="1" t="s">
        <v>454</v>
      </c>
      <c r="FG81" s="1">
        <v>0.0</v>
      </c>
      <c r="FH81" s="1">
        <v>0.0</v>
      </c>
      <c r="FI81" s="1">
        <v>0.0</v>
      </c>
      <c r="FJ81" s="1" t="s">
        <v>454</v>
      </c>
      <c r="FK81" s="1">
        <v>0.0</v>
      </c>
      <c r="FL81" s="1">
        <v>0.0</v>
      </c>
      <c r="FM81" s="1">
        <v>0.0</v>
      </c>
      <c r="FN81" s="1" t="s">
        <v>454</v>
      </c>
      <c r="FO81" s="1">
        <v>0.0</v>
      </c>
      <c r="FP81" s="1">
        <v>0.0</v>
      </c>
      <c r="FQ81" s="1">
        <v>0.0</v>
      </c>
      <c r="FR81" s="26" t="s">
        <v>198</v>
      </c>
      <c r="FS81" s="28" t="s">
        <v>298</v>
      </c>
      <c r="FT81" s="28" t="s">
        <v>298</v>
      </c>
      <c r="FU81" s="28" t="s">
        <v>298</v>
      </c>
      <c r="FV81" s="1">
        <v>30.0</v>
      </c>
      <c r="FW81" s="1" t="s">
        <v>300</v>
      </c>
      <c r="FX81" s="1">
        <v>18.0</v>
      </c>
      <c r="FY81" s="1" t="s">
        <v>300</v>
      </c>
      <c r="FZ81" s="1">
        <v>13.0</v>
      </c>
      <c r="GA81" s="1" t="s">
        <v>299</v>
      </c>
      <c r="GB81" s="1">
        <v>6.0</v>
      </c>
      <c r="GC81" s="1" t="s">
        <v>299</v>
      </c>
      <c r="GD81" s="1">
        <v>19.0</v>
      </c>
      <c r="GE81" s="1" t="s">
        <v>331</v>
      </c>
      <c r="GF81" s="1">
        <v>24.0</v>
      </c>
      <c r="GG81" s="1" t="s">
        <v>300</v>
      </c>
      <c r="GH81" s="1">
        <v>20.0</v>
      </c>
      <c r="GI81" s="1" t="s">
        <v>331</v>
      </c>
      <c r="GJ81" s="1">
        <v>25.0</v>
      </c>
      <c r="GK81" s="1" t="s">
        <v>300</v>
      </c>
      <c r="GL81" s="1">
        <v>6.0</v>
      </c>
      <c r="GM81" s="1" t="s">
        <v>299</v>
      </c>
      <c r="GN81" s="1">
        <v>28.0</v>
      </c>
      <c r="GO81" s="1" t="s">
        <v>300</v>
      </c>
      <c r="GP81" s="1">
        <v>13.0</v>
      </c>
      <c r="GQ81" s="1" t="s">
        <v>299</v>
      </c>
      <c r="GR81" s="1">
        <v>30.0</v>
      </c>
      <c r="GS81" s="1" t="s">
        <v>300</v>
      </c>
      <c r="GT81" s="1">
        <v>36.0</v>
      </c>
      <c r="GU81" s="1" t="s">
        <v>300</v>
      </c>
      <c r="GV81" s="1">
        <v>13.0</v>
      </c>
      <c r="GW81" s="1" t="s">
        <v>299</v>
      </c>
      <c r="GX81" s="1">
        <v>18.0</v>
      </c>
      <c r="GY81" s="1" t="s">
        <v>300</v>
      </c>
      <c r="GZ81" s="1">
        <v>22.0</v>
      </c>
      <c r="HA81" s="1" t="s">
        <v>299</v>
      </c>
      <c r="HB81" s="1">
        <v>6.0</v>
      </c>
      <c r="HC81" s="1" t="s">
        <v>299</v>
      </c>
      <c r="HD81" s="1">
        <v>23.0</v>
      </c>
      <c r="HE81" s="1" t="s">
        <v>300</v>
      </c>
      <c r="HF81" s="1">
        <v>22.0</v>
      </c>
      <c r="HG81" s="1" t="s">
        <v>299</v>
      </c>
      <c r="HH81" s="1">
        <v>25.0</v>
      </c>
      <c r="HI81" s="1" t="s">
        <v>300</v>
      </c>
      <c r="HJ81" s="1">
        <v>16.0</v>
      </c>
      <c r="HK81" s="1" t="s">
        <v>299</v>
      </c>
    </row>
    <row r="82">
      <c r="A82" s="44" t="s">
        <v>1012</v>
      </c>
      <c r="B82" s="3">
        <v>78.0</v>
      </c>
      <c r="C82" s="3" t="s">
        <v>1013</v>
      </c>
      <c r="D82" s="30">
        <v>26185.0</v>
      </c>
      <c r="E82" s="1">
        <v>54.0</v>
      </c>
      <c r="F82" s="3" t="s">
        <v>252</v>
      </c>
      <c r="G82" s="3" t="s">
        <v>253</v>
      </c>
      <c r="H82" s="3" t="s">
        <v>253</v>
      </c>
      <c r="I82" s="3" t="s">
        <v>252</v>
      </c>
      <c r="J82" s="3" t="s">
        <v>253</v>
      </c>
      <c r="K82" s="3" t="s">
        <v>253</v>
      </c>
      <c r="L82" s="3" t="s">
        <v>254</v>
      </c>
      <c r="M82" s="3" t="s">
        <v>255</v>
      </c>
      <c r="N82" s="3" t="s">
        <v>254</v>
      </c>
      <c r="O82" s="3" t="s">
        <v>255</v>
      </c>
      <c r="P82" s="3" t="s">
        <v>254</v>
      </c>
      <c r="Q82" s="3" t="s">
        <v>548</v>
      </c>
      <c r="R82" s="7" t="s">
        <v>888</v>
      </c>
      <c r="S82" s="7" t="s">
        <v>889</v>
      </c>
      <c r="T82" s="1" t="s">
        <v>259</v>
      </c>
      <c r="U82" s="1" t="s">
        <v>306</v>
      </c>
      <c r="W82" s="34"/>
      <c r="X82" s="1" t="s">
        <v>254</v>
      </c>
      <c r="Y82" s="1">
        <v>0.0</v>
      </c>
      <c r="Z82" s="1">
        <v>0.0</v>
      </c>
      <c r="AA82" s="1">
        <v>0.0</v>
      </c>
      <c r="AB82" s="1" t="s">
        <v>395</v>
      </c>
      <c r="AD82" s="1" t="s">
        <v>396</v>
      </c>
      <c r="AE82" s="1" t="s">
        <v>265</v>
      </c>
      <c r="AF82" s="1" t="s">
        <v>255</v>
      </c>
      <c r="AG82" s="1" t="s">
        <v>397</v>
      </c>
      <c r="AH82" s="1" t="s">
        <v>398</v>
      </c>
      <c r="AI82" s="1" t="s">
        <v>865</v>
      </c>
      <c r="AJ82" s="1" t="s">
        <v>366</v>
      </c>
      <c r="AK82" s="1" t="s">
        <v>267</v>
      </c>
      <c r="AL82" s="1" t="s">
        <v>821</v>
      </c>
      <c r="AM82" s="1" t="s">
        <v>610</v>
      </c>
      <c r="AN82" s="1" t="s">
        <v>269</v>
      </c>
      <c r="AO82" s="1" t="s">
        <v>270</v>
      </c>
      <c r="AP82" s="1" t="s">
        <v>284</v>
      </c>
      <c r="AQ82" s="1" t="s">
        <v>476</v>
      </c>
      <c r="AR82" s="1">
        <v>5.0</v>
      </c>
      <c r="AS82" s="1" t="s">
        <v>273</v>
      </c>
      <c r="AT82" s="1" t="s">
        <v>274</v>
      </c>
      <c r="AU82" s="1" t="s">
        <v>275</v>
      </c>
      <c r="AV82" s="1" t="s">
        <v>276</v>
      </c>
      <c r="AW82" s="1" t="s">
        <v>544</v>
      </c>
      <c r="AX82" s="1" t="s">
        <v>254</v>
      </c>
      <c r="AY82" s="1">
        <v>0.0</v>
      </c>
      <c r="AZ82" s="1" t="s">
        <v>255</v>
      </c>
      <c r="BA82" s="1" t="s">
        <v>278</v>
      </c>
      <c r="BB82" s="1" t="s">
        <v>255</v>
      </c>
      <c r="BC82" s="1" t="s">
        <v>279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 t="s">
        <v>320</v>
      </c>
      <c r="BM82" s="1" t="s">
        <v>821</v>
      </c>
      <c r="BN82" s="1" t="s">
        <v>610</v>
      </c>
      <c r="BO82" s="1" t="s">
        <v>269</v>
      </c>
      <c r="BP82" s="1" t="s">
        <v>270</v>
      </c>
      <c r="BQ82" s="1" t="s">
        <v>284</v>
      </c>
      <c r="BR82" s="1" t="s">
        <v>255</v>
      </c>
      <c r="BS82" s="1" t="s">
        <v>545</v>
      </c>
      <c r="BT82" s="1" t="s">
        <v>414</v>
      </c>
      <c r="BU82" s="1" t="s">
        <v>254</v>
      </c>
      <c r="BV82" s="1" t="s">
        <v>254</v>
      </c>
      <c r="BW82" s="1" t="s">
        <v>255</v>
      </c>
      <c r="BX82" s="1">
        <v>20.0</v>
      </c>
      <c r="BY82" s="1">
        <v>2.0</v>
      </c>
      <c r="BZ82" s="1">
        <v>0.0</v>
      </c>
      <c r="CA82" s="1">
        <v>15.0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 t="s">
        <v>547</v>
      </c>
      <c r="CK82" s="1" t="s">
        <v>384</v>
      </c>
      <c r="CL82" s="1" t="s">
        <v>317</v>
      </c>
      <c r="CM82" s="1" t="s">
        <v>255</v>
      </c>
      <c r="CN82" s="1" t="s">
        <v>162</v>
      </c>
      <c r="CO82" s="1" t="s">
        <v>549</v>
      </c>
      <c r="CP82" s="1" t="s">
        <v>549</v>
      </c>
      <c r="CQ82" s="1" t="s">
        <v>551</v>
      </c>
      <c r="CU82" s="34"/>
      <c r="CV82" s="1" t="s">
        <v>255</v>
      </c>
      <c r="CW82" s="1" t="s">
        <v>480</v>
      </c>
      <c r="CX82" s="1" t="s">
        <v>480</v>
      </c>
      <c r="CY82" s="1" t="s">
        <v>480</v>
      </c>
      <c r="CZ82" s="1" t="s">
        <v>254</v>
      </c>
      <c r="DA82" s="1" t="s">
        <v>255</v>
      </c>
      <c r="DB82" s="1" t="s">
        <v>255</v>
      </c>
      <c r="DC82" s="1" t="s">
        <v>254</v>
      </c>
      <c r="DD82" s="1" t="s">
        <v>255</v>
      </c>
      <c r="DE82" s="1" t="s">
        <v>388</v>
      </c>
      <c r="DF82" s="1" t="s">
        <v>293</v>
      </c>
      <c r="DG82" s="1" t="s">
        <v>450</v>
      </c>
      <c r="DH82" s="1" t="s">
        <v>450</v>
      </c>
      <c r="DI82" s="1" t="s">
        <v>450</v>
      </c>
      <c r="DJ82" s="1" t="s">
        <v>293</v>
      </c>
      <c r="DK82" s="1" t="s">
        <v>388</v>
      </c>
      <c r="DL82" s="1" t="s">
        <v>424</v>
      </c>
      <c r="DM82" s="1" t="s">
        <v>388</v>
      </c>
      <c r="DN82" s="1" t="s">
        <v>293</v>
      </c>
      <c r="DO82" s="1" t="s">
        <v>293</v>
      </c>
      <c r="DP82" s="1" t="s">
        <v>293</v>
      </c>
      <c r="DQ82" s="1" t="s">
        <v>293</v>
      </c>
      <c r="DR82" s="1" t="s">
        <v>293</v>
      </c>
      <c r="DS82" s="1" t="s">
        <v>293</v>
      </c>
      <c r="DT82" s="1" t="s">
        <v>293</v>
      </c>
      <c r="DU82" s="1" t="s">
        <v>293</v>
      </c>
      <c r="DV82" s="1" t="s">
        <v>293</v>
      </c>
      <c r="DW82" s="1" t="s">
        <v>293</v>
      </c>
      <c r="DX82" s="1" t="s">
        <v>293</v>
      </c>
      <c r="DY82" s="1" t="s">
        <v>293</v>
      </c>
      <c r="DZ82" s="1" t="s">
        <v>293</v>
      </c>
      <c r="EA82" s="1" t="s">
        <v>255</v>
      </c>
      <c r="EB82" s="1" t="s">
        <v>555</v>
      </c>
      <c r="EC82" s="1" t="s">
        <v>254</v>
      </c>
      <c r="ED82" s="1">
        <v>0.0</v>
      </c>
      <c r="EE82" s="1" t="s">
        <v>255</v>
      </c>
      <c r="EF82" s="1" t="s">
        <v>531</v>
      </c>
      <c r="EG82" s="1" t="s">
        <v>389</v>
      </c>
      <c r="EI82" s="1" t="s">
        <v>293</v>
      </c>
      <c r="EJ82" s="1" t="s">
        <v>293</v>
      </c>
      <c r="EK82" s="1" t="s">
        <v>293</v>
      </c>
      <c r="EL82" s="1" t="s">
        <v>293</v>
      </c>
      <c r="EM82" s="1" t="s">
        <v>293</v>
      </c>
      <c r="EN82" s="1" t="s">
        <v>353</v>
      </c>
      <c r="EO82" s="1" t="s">
        <v>293</v>
      </c>
      <c r="EP82" s="1" t="s">
        <v>293</v>
      </c>
      <c r="EQ82" s="1" t="s">
        <v>293</v>
      </c>
      <c r="ER82" s="1" t="s">
        <v>293</v>
      </c>
      <c r="ES82" s="1" t="s">
        <v>293</v>
      </c>
      <c r="ET82" s="1" t="s">
        <v>293</v>
      </c>
      <c r="EU82" s="1" t="s">
        <v>293</v>
      </c>
      <c r="EV82" s="1" t="s">
        <v>423</v>
      </c>
      <c r="EW82" s="1" t="s">
        <v>255</v>
      </c>
      <c r="EX82" s="1" t="s">
        <v>254</v>
      </c>
      <c r="EY82" s="1" t="s">
        <v>484</v>
      </c>
      <c r="EZ82" s="1" t="s">
        <v>556</v>
      </c>
      <c r="FA82" s="1" t="s">
        <v>453</v>
      </c>
      <c r="FB82" s="1" t="s">
        <v>254</v>
      </c>
      <c r="FC82" s="1">
        <v>0.0</v>
      </c>
      <c r="FD82" s="1">
        <v>0.0</v>
      </c>
      <c r="FE82" s="1">
        <v>0.0</v>
      </c>
      <c r="FF82" s="1">
        <v>0.0</v>
      </c>
      <c r="FG82" s="1">
        <v>0.0</v>
      </c>
      <c r="FH82" s="1">
        <v>0.0</v>
      </c>
      <c r="FI82" s="1">
        <v>0.0</v>
      </c>
      <c r="FJ82" s="1">
        <v>0.0</v>
      </c>
      <c r="FK82" s="1">
        <v>0.0</v>
      </c>
      <c r="FL82" s="1">
        <v>0.0</v>
      </c>
      <c r="FM82" s="1">
        <v>0.0</v>
      </c>
      <c r="FN82" s="1">
        <v>0.0</v>
      </c>
      <c r="FO82" s="1">
        <v>0.0</v>
      </c>
      <c r="FP82" s="1">
        <v>0.0</v>
      </c>
      <c r="FQ82" s="1">
        <v>0.0</v>
      </c>
      <c r="FR82" s="28" t="s">
        <v>514</v>
      </c>
      <c r="FS82" s="28" t="s">
        <v>298</v>
      </c>
      <c r="FT82" s="28" t="s">
        <v>298</v>
      </c>
      <c r="FU82" s="28" t="s">
        <v>298</v>
      </c>
      <c r="FV82" s="1">
        <v>21.0</v>
      </c>
      <c r="FW82" s="1" t="s">
        <v>300</v>
      </c>
      <c r="FX82" s="1">
        <v>19.0</v>
      </c>
      <c r="FY82" s="1" t="s">
        <v>300</v>
      </c>
      <c r="FZ82" s="1">
        <v>20.0</v>
      </c>
      <c r="GA82" s="1" t="s">
        <v>300</v>
      </c>
      <c r="GB82" s="1">
        <v>6.0</v>
      </c>
      <c r="GC82" s="1" t="s">
        <v>299</v>
      </c>
      <c r="GD82" s="1">
        <v>20.0</v>
      </c>
      <c r="GE82" s="1" t="s">
        <v>300</v>
      </c>
      <c r="GF82" s="1">
        <v>24.0</v>
      </c>
      <c r="GG82" s="1" t="s">
        <v>300</v>
      </c>
      <c r="GH82" s="1">
        <v>21.0</v>
      </c>
      <c r="GI82" s="1" t="s">
        <v>331</v>
      </c>
      <c r="GJ82" s="1">
        <v>30.0</v>
      </c>
      <c r="GK82" s="1" t="s">
        <v>300</v>
      </c>
      <c r="GL82" s="1">
        <v>22.0</v>
      </c>
      <c r="GM82" s="1" t="s">
        <v>300</v>
      </c>
      <c r="GN82" s="1">
        <v>30.0</v>
      </c>
      <c r="GO82" s="1" t="s">
        <v>300</v>
      </c>
      <c r="GP82" s="1">
        <v>14.0</v>
      </c>
      <c r="GQ82" s="1" t="s">
        <v>299</v>
      </c>
      <c r="GR82" s="1">
        <v>22.0</v>
      </c>
      <c r="GS82" s="1" t="s">
        <v>300</v>
      </c>
      <c r="GT82" s="1">
        <v>24.0</v>
      </c>
      <c r="GU82" s="1" t="s">
        <v>300</v>
      </c>
      <c r="GV82" s="1">
        <v>12.0</v>
      </c>
      <c r="GW82" s="1" t="s">
        <v>299</v>
      </c>
      <c r="GX82" s="1">
        <v>12.0</v>
      </c>
      <c r="GY82" s="1" t="s">
        <v>300</v>
      </c>
      <c r="GZ82" s="1">
        <v>18.0</v>
      </c>
      <c r="HA82" s="1" t="s">
        <v>299</v>
      </c>
      <c r="HB82" s="1">
        <v>10.0</v>
      </c>
      <c r="HC82" s="1" t="s">
        <v>299</v>
      </c>
      <c r="HD82" s="1">
        <v>23.0</v>
      </c>
      <c r="HE82" s="1" t="s">
        <v>300</v>
      </c>
      <c r="HF82" s="1">
        <v>28.0</v>
      </c>
      <c r="HG82" s="1" t="s">
        <v>300</v>
      </c>
      <c r="HH82" s="1">
        <v>17.0</v>
      </c>
      <c r="HI82" s="1" t="s">
        <v>299</v>
      </c>
      <c r="HJ82" s="1">
        <v>15.0</v>
      </c>
      <c r="HK82" s="1" t="s">
        <v>299</v>
      </c>
    </row>
    <row r="83">
      <c r="A83" s="44" t="s">
        <v>1018</v>
      </c>
      <c r="B83" s="3">
        <v>79.0</v>
      </c>
      <c r="C83" s="3" t="s">
        <v>1019</v>
      </c>
      <c r="D83" s="30">
        <v>28611.0</v>
      </c>
      <c r="E83" s="1">
        <v>48.0</v>
      </c>
      <c r="F83" s="3" t="s">
        <v>252</v>
      </c>
      <c r="G83" s="3" t="s">
        <v>253</v>
      </c>
      <c r="H83" s="3" t="s">
        <v>253</v>
      </c>
      <c r="I83" s="3" t="s">
        <v>252</v>
      </c>
      <c r="J83" s="3" t="s">
        <v>253</v>
      </c>
      <c r="K83" s="3" t="s">
        <v>253</v>
      </c>
      <c r="L83" s="3" t="s">
        <v>254</v>
      </c>
      <c r="M83" s="3" t="s">
        <v>255</v>
      </c>
      <c r="N83" s="3" t="s">
        <v>254</v>
      </c>
      <c r="O83" s="3" t="s">
        <v>255</v>
      </c>
      <c r="P83" s="3" t="s">
        <v>254</v>
      </c>
      <c r="Q83" s="3" t="s">
        <v>548</v>
      </c>
      <c r="R83" s="7" t="s">
        <v>888</v>
      </c>
      <c r="S83" s="7" t="s">
        <v>889</v>
      </c>
      <c r="T83" s="1" t="s">
        <v>259</v>
      </c>
      <c r="U83" s="1" t="s">
        <v>550</v>
      </c>
      <c r="W83" s="34"/>
      <c r="X83" s="1" t="s">
        <v>254</v>
      </c>
      <c r="Y83" s="34"/>
      <c r="Z83" s="1">
        <v>0.0</v>
      </c>
      <c r="AA83" s="1">
        <v>0.0</v>
      </c>
      <c r="AB83" s="1" t="s">
        <v>437</v>
      </c>
      <c r="AC83" s="1">
        <v>0.0</v>
      </c>
      <c r="AD83" s="1" t="s">
        <v>438</v>
      </c>
      <c r="AE83" s="1" t="s">
        <v>265</v>
      </c>
      <c r="AF83" s="1" t="s">
        <v>255</v>
      </c>
      <c r="AG83" s="1" t="s">
        <v>439</v>
      </c>
      <c r="AH83" s="1" t="s">
        <v>440</v>
      </c>
      <c r="AI83" s="1" t="s">
        <v>441</v>
      </c>
      <c r="AJ83" s="30">
        <v>45474.0</v>
      </c>
      <c r="AK83" s="1" t="s">
        <v>267</v>
      </c>
      <c r="AL83" s="1" t="s">
        <v>700</v>
      </c>
      <c r="AM83" s="1" t="s">
        <v>610</v>
      </c>
      <c r="AN83" s="1" t="s">
        <v>269</v>
      </c>
      <c r="AO83" s="1" t="s">
        <v>270</v>
      </c>
      <c r="AP83" s="1" t="s">
        <v>284</v>
      </c>
      <c r="AQ83" s="1" t="s">
        <v>401</v>
      </c>
      <c r="AR83" s="1">
        <v>5.0</v>
      </c>
      <c r="AS83" s="1" t="s">
        <v>273</v>
      </c>
      <c r="AT83" s="1" t="s">
        <v>274</v>
      </c>
      <c r="AU83" s="1" t="s">
        <v>275</v>
      </c>
      <c r="AV83" s="1" t="s">
        <v>317</v>
      </c>
      <c r="AW83" s="1" t="s">
        <v>402</v>
      </c>
      <c r="AX83" s="1" t="s">
        <v>254</v>
      </c>
      <c r="AY83" s="1">
        <v>0.0</v>
      </c>
      <c r="AZ83" s="1" t="s">
        <v>255</v>
      </c>
      <c r="BA83" s="1" t="s">
        <v>319</v>
      </c>
      <c r="BB83" s="1" t="s">
        <v>255</v>
      </c>
      <c r="BC83" s="31" t="s">
        <v>279</v>
      </c>
      <c r="BD83" s="1">
        <v>1.0</v>
      </c>
      <c r="BE83" s="1">
        <v>0.0</v>
      </c>
      <c r="BF83" s="1">
        <v>0.0</v>
      </c>
      <c r="BG83" s="1">
        <v>0.0</v>
      </c>
      <c r="BH83" s="1">
        <v>1.0</v>
      </c>
      <c r="BI83" s="1" t="s">
        <v>405</v>
      </c>
      <c r="BJ83" s="1" t="s">
        <v>263</v>
      </c>
      <c r="BK83" s="1" t="s">
        <v>407</v>
      </c>
      <c r="BL83" s="1" t="s">
        <v>382</v>
      </c>
      <c r="BM83" s="1" t="s">
        <v>700</v>
      </c>
      <c r="BN83" s="1" t="s">
        <v>610</v>
      </c>
      <c r="BO83" s="1" t="s">
        <v>269</v>
      </c>
      <c r="BP83" s="1" t="s">
        <v>270</v>
      </c>
      <c r="BQ83" s="1" t="s">
        <v>284</v>
      </c>
      <c r="BR83" s="1" t="s">
        <v>255</v>
      </c>
      <c r="BS83" s="1" t="s">
        <v>413</v>
      </c>
      <c r="BT83" s="1" t="s">
        <v>414</v>
      </c>
      <c r="BU83" s="1" t="s">
        <v>254</v>
      </c>
      <c r="BV83" s="1" t="s">
        <v>254</v>
      </c>
      <c r="BW83" s="1" t="s">
        <v>255</v>
      </c>
      <c r="BX83" s="1">
        <v>10.0</v>
      </c>
      <c r="BY83" s="1">
        <v>1.0</v>
      </c>
      <c r="BZ83" s="1">
        <v>1.0</v>
      </c>
      <c r="CA83" s="1">
        <v>10.0</v>
      </c>
      <c r="CB83" s="1">
        <v>0.0</v>
      </c>
      <c r="CC83" s="1">
        <v>0.0</v>
      </c>
      <c r="CD83" s="1">
        <v>0.0</v>
      </c>
      <c r="CE83" s="1">
        <v>0.0</v>
      </c>
      <c r="CF83" s="1">
        <v>1.0</v>
      </c>
      <c r="CG83" s="1">
        <v>1.0</v>
      </c>
      <c r="CH83" s="1">
        <v>0.0</v>
      </c>
      <c r="CI83" s="1">
        <v>0.0</v>
      </c>
      <c r="CJ83" s="1" t="s">
        <v>416</v>
      </c>
      <c r="CK83" s="1" t="s">
        <v>384</v>
      </c>
      <c r="CL83" s="1" t="s">
        <v>317</v>
      </c>
      <c r="CM83" s="1" t="s">
        <v>254</v>
      </c>
      <c r="CN83" s="1">
        <v>0.0</v>
      </c>
      <c r="CO83" s="1" t="s">
        <v>254</v>
      </c>
      <c r="CP83" s="1">
        <v>0.0</v>
      </c>
      <c r="CQ83" s="1">
        <v>5.0</v>
      </c>
      <c r="CR83" s="1">
        <v>2.0</v>
      </c>
      <c r="CS83" s="1">
        <v>1.0</v>
      </c>
      <c r="CT83" s="1">
        <v>0.0</v>
      </c>
      <c r="CU83" s="1">
        <v>0.0</v>
      </c>
      <c r="CV83" s="1" t="s">
        <v>254</v>
      </c>
      <c r="CW83" s="1" t="s">
        <v>254</v>
      </c>
      <c r="CX83" s="1" t="s">
        <v>254</v>
      </c>
      <c r="CY83" s="1" t="s">
        <v>254</v>
      </c>
      <c r="CZ83" s="1" t="s">
        <v>254</v>
      </c>
      <c r="DA83" s="1" t="s">
        <v>254</v>
      </c>
      <c r="DB83" s="1" t="s">
        <v>255</v>
      </c>
      <c r="DC83" s="1" t="s">
        <v>254</v>
      </c>
      <c r="DD83" s="1" t="s">
        <v>255</v>
      </c>
      <c r="DE83" s="1" t="s">
        <v>323</v>
      </c>
      <c r="DF83" s="1" t="s">
        <v>293</v>
      </c>
      <c r="DG83" s="1" t="s">
        <v>323</v>
      </c>
      <c r="DH83" s="1" t="s">
        <v>323</v>
      </c>
      <c r="DI83" s="1" t="s">
        <v>291</v>
      </c>
      <c r="DJ83" s="1" t="s">
        <v>293</v>
      </c>
      <c r="DK83" s="1" t="s">
        <v>293</v>
      </c>
      <c r="DL83" s="1" t="s">
        <v>290</v>
      </c>
      <c r="DM83" s="1" t="s">
        <v>323</v>
      </c>
      <c r="DN83" s="1" t="s">
        <v>293</v>
      </c>
      <c r="DO83" s="1" t="s">
        <v>293</v>
      </c>
      <c r="DP83" s="1" t="s">
        <v>293</v>
      </c>
      <c r="DQ83" s="1" t="s">
        <v>293</v>
      </c>
      <c r="DR83" s="1" t="s">
        <v>293</v>
      </c>
      <c r="DS83" s="1" t="s">
        <v>293</v>
      </c>
      <c r="DT83" s="1" t="s">
        <v>293</v>
      </c>
      <c r="DU83" s="1" t="s">
        <v>293</v>
      </c>
      <c r="DV83" s="1" t="s">
        <v>293</v>
      </c>
      <c r="DW83" s="1" t="s">
        <v>293</v>
      </c>
      <c r="DX83" s="1" t="s">
        <v>293</v>
      </c>
      <c r="DY83" s="1" t="s">
        <v>293</v>
      </c>
      <c r="DZ83" s="1" t="s">
        <v>293</v>
      </c>
      <c r="EA83" s="1" t="s">
        <v>254</v>
      </c>
      <c r="EB83" s="1" t="s">
        <v>254</v>
      </c>
      <c r="EC83" s="1" t="s">
        <v>254</v>
      </c>
      <c r="ED83" s="1">
        <v>0.0</v>
      </c>
      <c r="EE83" s="1" t="s">
        <v>254</v>
      </c>
      <c r="EF83" s="60"/>
      <c r="EG83" s="34"/>
      <c r="EH83" s="34"/>
      <c r="EI83" s="1" t="s">
        <v>293</v>
      </c>
      <c r="EJ83" s="1" t="s">
        <v>293</v>
      </c>
      <c r="EK83" s="1" t="s">
        <v>293</v>
      </c>
      <c r="EL83" s="1" t="s">
        <v>293</v>
      </c>
      <c r="EM83" s="1" t="s">
        <v>293</v>
      </c>
      <c r="EN83" s="1" t="s">
        <v>293</v>
      </c>
      <c r="EO83" s="1" t="s">
        <v>293</v>
      </c>
      <c r="EP83" s="1" t="s">
        <v>293</v>
      </c>
      <c r="EQ83" s="1" t="s">
        <v>293</v>
      </c>
      <c r="ER83" s="1" t="s">
        <v>293</v>
      </c>
      <c r="ES83" s="1" t="s">
        <v>293</v>
      </c>
      <c r="ET83" s="1" t="s">
        <v>293</v>
      </c>
      <c r="EU83" s="1" t="s">
        <v>422</v>
      </c>
      <c r="EV83" s="1" t="s">
        <v>423</v>
      </c>
      <c r="EW83" s="1" t="s">
        <v>255</v>
      </c>
      <c r="EX83" s="1" t="s">
        <v>254</v>
      </c>
      <c r="EY83" s="1" t="s">
        <v>425</v>
      </c>
      <c r="EZ83" s="1" t="s">
        <v>427</v>
      </c>
      <c r="FA83" s="1" t="s">
        <v>428</v>
      </c>
      <c r="FB83" s="1" t="s">
        <v>255</v>
      </c>
      <c r="FC83" s="1" t="s">
        <v>425</v>
      </c>
      <c r="FD83" s="1" t="s">
        <v>429</v>
      </c>
      <c r="FE83" s="1" t="s">
        <v>428</v>
      </c>
      <c r="FF83" s="1" t="s">
        <v>430</v>
      </c>
      <c r="FG83" s="1" t="s">
        <v>425</v>
      </c>
      <c r="FH83" s="1" t="s">
        <v>427</v>
      </c>
      <c r="FI83" s="1">
        <v>0.0</v>
      </c>
      <c r="FJ83" s="1" t="s">
        <v>430</v>
      </c>
      <c r="FK83" s="1" t="s">
        <v>425</v>
      </c>
      <c r="FL83" s="1" t="s">
        <v>427</v>
      </c>
      <c r="FM83" s="34"/>
      <c r="FN83" s="1" t="s">
        <v>293</v>
      </c>
      <c r="FO83" s="1">
        <v>0.0</v>
      </c>
      <c r="FP83" s="34"/>
      <c r="FQ83" s="1">
        <v>0.0</v>
      </c>
      <c r="FR83" s="26" t="s">
        <v>198</v>
      </c>
      <c r="FS83" s="28" t="s">
        <v>298</v>
      </c>
      <c r="FT83" s="28" t="s">
        <v>298</v>
      </c>
      <c r="FU83" s="28" t="s">
        <v>298</v>
      </c>
      <c r="FV83" s="1">
        <v>20.0</v>
      </c>
      <c r="FW83" s="1" t="s">
        <v>300</v>
      </c>
      <c r="FX83" s="1">
        <v>19.0</v>
      </c>
      <c r="FY83" s="1" t="s">
        <v>300</v>
      </c>
      <c r="FZ83" s="1">
        <v>18.0</v>
      </c>
      <c r="GA83" s="1" t="s">
        <v>300</v>
      </c>
      <c r="GB83" s="1">
        <v>20.0</v>
      </c>
      <c r="GC83" s="1" t="s">
        <v>300</v>
      </c>
      <c r="GD83" s="1">
        <v>21.0</v>
      </c>
      <c r="GE83" s="1" t="s">
        <v>300</v>
      </c>
      <c r="GF83" s="1">
        <v>20.0</v>
      </c>
      <c r="GG83" s="1" t="s">
        <v>300</v>
      </c>
      <c r="GH83" s="1">
        <v>22.0</v>
      </c>
      <c r="GI83" s="1" t="s">
        <v>300</v>
      </c>
      <c r="GJ83" s="1">
        <v>24.0</v>
      </c>
      <c r="GK83" s="1" t="s">
        <v>331</v>
      </c>
      <c r="GL83" s="1">
        <v>22.0</v>
      </c>
      <c r="GM83" s="1" t="s">
        <v>300</v>
      </c>
      <c r="GN83" s="1">
        <v>30.0</v>
      </c>
      <c r="GO83" s="1" t="s">
        <v>300</v>
      </c>
      <c r="GP83" s="1">
        <v>15.0</v>
      </c>
      <c r="GQ83" s="1" t="s">
        <v>299</v>
      </c>
      <c r="GR83" s="1">
        <v>26.0</v>
      </c>
      <c r="GS83" s="1" t="s">
        <v>300</v>
      </c>
      <c r="GT83" s="1">
        <v>23.0</v>
      </c>
      <c r="GU83" s="1" t="s">
        <v>300</v>
      </c>
      <c r="GV83" s="1">
        <v>12.0</v>
      </c>
      <c r="GW83" s="1" t="s">
        <v>299</v>
      </c>
      <c r="GX83" s="1">
        <v>16.0</v>
      </c>
      <c r="GY83" s="1" t="s">
        <v>300</v>
      </c>
      <c r="GZ83" s="1">
        <v>18.0</v>
      </c>
      <c r="HA83" s="1" t="s">
        <v>299</v>
      </c>
      <c r="HB83" s="1">
        <v>11.0</v>
      </c>
      <c r="HC83" s="1" t="s">
        <v>299</v>
      </c>
      <c r="HD83" s="1">
        <v>26.0</v>
      </c>
      <c r="HE83" s="1" t="s">
        <v>300</v>
      </c>
      <c r="HF83" s="1">
        <v>24.0</v>
      </c>
      <c r="HG83" s="1" t="s">
        <v>331</v>
      </c>
      <c r="HH83" s="1">
        <v>22.0</v>
      </c>
      <c r="HI83" s="1" t="s">
        <v>299</v>
      </c>
      <c r="HJ83" s="1">
        <v>16.0</v>
      </c>
      <c r="HK83" s="1" t="s">
        <v>299</v>
      </c>
    </row>
    <row r="84">
      <c r="A84" s="44" t="s">
        <v>624</v>
      </c>
      <c r="B84" s="3">
        <v>80.0</v>
      </c>
      <c r="C84" s="3" t="s">
        <v>625</v>
      </c>
      <c r="D84" s="30">
        <v>28551.0</v>
      </c>
      <c r="E84" s="1">
        <v>48.0</v>
      </c>
      <c r="F84" s="3" t="s">
        <v>252</v>
      </c>
      <c r="G84" s="3" t="s">
        <v>253</v>
      </c>
      <c r="H84" s="3" t="s">
        <v>253</v>
      </c>
      <c r="I84" s="3" t="s">
        <v>252</v>
      </c>
      <c r="J84" s="3" t="s">
        <v>253</v>
      </c>
      <c r="K84" s="3" t="s">
        <v>253</v>
      </c>
      <c r="L84" s="3" t="s">
        <v>254</v>
      </c>
      <c r="M84" s="3" t="s">
        <v>255</v>
      </c>
      <c r="N84" s="3" t="s">
        <v>254</v>
      </c>
      <c r="O84" s="3" t="s">
        <v>255</v>
      </c>
      <c r="P84" s="3" t="s">
        <v>254</v>
      </c>
      <c r="Q84" s="3" t="s">
        <v>548</v>
      </c>
      <c r="R84" s="7" t="s">
        <v>334</v>
      </c>
      <c r="S84" s="7" t="s">
        <v>258</v>
      </c>
      <c r="T84" s="1" t="s">
        <v>305</v>
      </c>
      <c r="U84" s="1" t="s">
        <v>306</v>
      </c>
      <c r="W84" s="1" t="s">
        <v>254</v>
      </c>
      <c r="X84" s="1" t="s">
        <v>254</v>
      </c>
      <c r="Y84" s="1">
        <v>0.0</v>
      </c>
      <c r="Z84" s="1">
        <v>0.0</v>
      </c>
      <c r="AA84" s="1">
        <v>0.0</v>
      </c>
      <c r="AB84" s="1" t="s">
        <v>540</v>
      </c>
      <c r="AC84" s="1">
        <v>0.0</v>
      </c>
      <c r="AD84" s="1">
        <v>0.0</v>
      </c>
      <c r="AE84" s="1" t="s">
        <v>265</v>
      </c>
      <c r="AF84" s="1" t="s">
        <v>255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 t="s">
        <v>626</v>
      </c>
      <c r="AM84" s="1" t="s">
        <v>610</v>
      </c>
      <c r="AN84" s="1" t="s">
        <v>269</v>
      </c>
      <c r="AO84" s="1" t="s">
        <v>270</v>
      </c>
      <c r="AP84" s="1" t="s">
        <v>284</v>
      </c>
      <c r="AQ84" s="1" t="s">
        <v>443</v>
      </c>
      <c r="AR84" s="1">
        <v>2.0</v>
      </c>
      <c r="AS84" s="1" t="s">
        <v>273</v>
      </c>
      <c r="AT84" s="1" t="s">
        <v>274</v>
      </c>
      <c r="AU84" s="1" t="s">
        <v>316</v>
      </c>
      <c r="AV84" s="1" t="s">
        <v>379</v>
      </c>
      <c r="AW84" s="1" t="s">
        <v>402</v>
      </c>
      <c r="AX84" s="1" t="s">
        <v>254</v>
      </c>
      <c r="AY84" s="1">
        <v>0.0</v>
      </c>
      <c r="AZ84" s="1" t="s">
        <v>255</v>
      </c>
      <c r="BA84" s="1" t="s">
        <v>446</v>
      </c>
      <c r="BB84" s="1" t="s">
        <v>255</v>
      </c>
      <c r="BC84" s="1" t="s">
        <v>279</v>
      </c>
      <c r="BD84" s="1">
        <v>1.0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 t="s">
        <v>382</v>
      </c>
      <c r="BM84" s="1" t="s">
        <v>626</v>
      </c>
      <c r="BN84" s="1" t="s">
        <v>610</v>
      </c>
      <c r="BO84" s="1" t="s">
        <v>269</v>
      </c>
      <c r="BP84" s="1" t="s">
        <v>270</v>
      </c>
      <c r="BQ84" s="1" t="s">
        <v>284</v>
      </c>
      <c r="BR84" s="1" t="s">
        <v>255</v>
      </c>
      <c r="BS84" s="1" t="s">
        <v>447</v>
      </c>
      <c r="BT84" s="1" t="s">
        <v>414</v>
      </c>
      <c r="BU84" s="1" t="s">
        <v>254</v>
      </c>
      <c r="BV84" s="1" t="s">
        <v>254</v>
      </c>
      <c r="BW84" s="1" t="s">
        <v>254</v>
      </c>
      <c r="BX84" s="1">
        <v>0.0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  <c r="CL84" s="1">
        <v>0.0</v>
      </c>
      <c r="CM84" s="1" t="s">
        <v>254</v>
      </c>
      <c r="CN84" s="1">
        <v>0.0</v>
      </c>
      <c r="CO84" s="1" t="s">
        <v>254</v>
      </c>
      <c r="CP84" s="1">
        <v>0.0</v>
      </c>
      <c r="CQ84" s="1">
        <v>0.0</v>
      </c>
      <c r="CR84" s="1">
        <v>4.0</v>
      </c>
      <c r="CS84" s="1">
        <v>1.0</v>
      </c>
      <c r="CT84" s="1">
        <v>3.0</v>
      </c>
      <c r="CU84" s="1">
        <v>0.0</v>
      </c>
      <c r="CV84" s="1" t="s">
        <v>254</v>
      </c>
      <c r="CW84" s="1" t="s">
        <v>254</v>
      </c>
      <c r="CX84" s="1" t="s">
        <v>254</v>
      </c>
      <c r="CY84" s="1" t="s">
        <v>254</v>
      </c>
      <c r="CZ84" s="1" t="s">
        <v>254</v>
      </c>
      <c r="DA84" s="1" t="s">
        <v>255</v>
      </c>
      <c r="DB84" s="1" t="s">
        <v>254</v>
      </c>
      <c r="DC84" s="1" t="s">
        <v>255</v>
      </c>
      <c r="DD84" s="1" t="s">
        <v>255</v>
      </c>
      <c r="DE84" s="1" t="s">
        <v>388</v>
      </c>
      <c r="DF84" s="1" t="s">
        <v>293</v>
      </c>
      <c r="DG84" s="1" t="s">
        <v>450</v>
      </c>
      <c r="DH84" s="1" t="s">
        <v>293</v>
      </c>
      <c r="DI84" s="1" t="s">
        <v>293</v>
      </c>
      <c r="DJ84" s="1" t="s">
        <v>293</v>
      </c>
      <c r="DK84" s="1" t="s">
        <v>293</v>
      </c>
      <c r="DL84" s="1" t="s">
        <v>353</v>
      </c>
      <c r="DM84" s="1" t="s">
        <v>293</v>
      </c>
      <c r="DN84" s="1" t="s">
        <v>293</v>
      </c>
      <c r="DO84" s="1" t="s">
        <v>293</v>
      </c>
      <c r="DP84" s="1" t="s">
        <v>451</v>
      </c>
      <c r="DQ84" s="1" t="s">
        <v>293</v>
      </c>
      <c r="DR84" s="1" t="s">
        <v>293</v>
      </c>
      <c r="DS84" s="1" t="s">
        <v>293</v>
      </c>
      <c r="DT84" s="1" t="s">
        <v>293</v>
      </c>
      <c r="DU84" s="1" t="s">
        <v>293</v>
      </c>
      <c r="DV84" s="1" t="s">
        <v>293</v>
      </c>
      <c r="DW84" s="1" t="s">
        <v>293</v>
      </c>
      <c r="DX84" s="1" t="s">
        <v>293</v>
      </c>
      <c r="DY84" s="1" t="s">
        <v>293</v>
      </c>
      <c r="DZ84" s="1" t="s">
        <v>293</v>
      </c>
      <c r="EA84" s="1" t="s">
        <v>254</v>
      </c>
      <c r="EB84" s="1" t="s">
        <v>254</v>
      </c>
      <c r="EC84" s="1" t="s">
        <v>254</v>
      </c>
      <c r="ED84" s="1">
        <v>0.0</v>
      </c>
      <c r="EE84" s="1" t="s">
        <v>255</v>
      </c>
      <c r="EF84" s="1" t="s">
        <v>452</v>
      </c>
      <c r="EG84" s="1" t="s">
        <v>389</v>
      </c>
      <c r="EI84" s="1" t="s">
        <v>390</v>
      </c>
      <c r="EJ84" s="1" t="s">
        <v>293</v>
      </c>
      <c r="EK84" s="1" t="s">
        <v>293</v>
      </c>
      <c r="EL84" s="1" t="s">
        <v>293</v>
      </c>
      <c r="EM84" s="1" t="s">
        <v>293</v>
      </c>
      <c r="EN84" s="1" t="s">
        <v>353</v>
      </c>
      <c r="EO84" s="1" t="s">
        <v>293</v>
      </c>
      <c r="EP84" s="1" t="s">
        <v>293</v>
      </c>
      <c r="EQ84" s="1" t="s">
        <v>293</v>
      </c>
      <c r="ER84" s="1" t="s">
        <v>293</v>
      </c>
      <c r="ES84" s="1" t="s">
        <v>293</v>
      </c>
      <c r="ET84" s="1" t="s">
        <v>293</v>
      </c>
      <c r="EU84" s="1" t="s">
        <v>293</v>
      </c>
      <c r="EV84" s="1" t="s">
        <v>387</v>
      </c>
      <c r="EW84" s="1" t="s">
        <v>254</v>
      </c>
      <c r="EX84" s="1" t="s">
        <v>254</v>
      </c>
      <c r="EY84" s="1">
        <v>0.0</v>
      </c>
      <c r="EZ84" s="1" t="s">
        <v>427</v>
      </c>
      <c r="FA84" s="1" t="s">
        <v>453</v>
      </c>
      <c r="FB84" s="1" t="s">
        <v>454</v>
      </c>
      <c r="FC84" s="1">
        <v>0.0</v>
      </c>
      <c r="FD84" s="1">
        <v>0.0</v>
      </c>
      <c r="FE84" s="1">
        <v>0.0</v>
      </c>
      <c r="FF84" s="1" t="s">
        <v>454</v>
      </c>
      <c r="FG84" s="1">
        <v>0.0</v>
      </c>
      <c r="FH84" s="1">
        <v>0.0</v>
      </c>
      <c r="FI84" s="1">
        <v>0.0</v>
      </c>
      <c r="FJ84" s="1" t="s">
        <v>454</v>
      </c>
      <c r="FK84" s="1">
        <v>0.0</v>
      </c>
      <c r="FL84" s="1">
        <v>0.0</v>
      </c>
      <c r="FM84" s="1">
        <v>0.0</v>
      </c>
      <c r="FN84" s="1" t="s">
        <v>454</v>
      </c>
      <c r="FO84" s="1">
        <v>0.0</v>
      </c>
      <c r="FP84" s="1">
        <v>0.0</v>
      </c>
      <c r="FQ84" s="1">
        <v>0.0</v>
      </c>
      <c r="FR84" s="45" t="s">
        <v>198</v>
      </c>
      <c r="FS84" s="28" t="s">
        <v>205</v>
      </c>
      <c r="FT84" s="28" t="s">
        <v>205</v>
      </c>
      <c r="FU84" s="28" t="s">
        <v>205</v>
      </c>
      <c r="FV84" s="1">
        <v>6.0</v>
      </c>
      <c r="FW84" s="1" t="s">
        <v>299</v>
      </c>
      <c r="FX84" s="1">
        <v>22.0</v>
      </c>
      <c r="FY84" s="1" t="s">
        <v>300</v>
      </c>
      <c r="FZ84" s="1">
        <v>16.0</v>
      </c>
      <c r="GA84" s="1" t="s">
        <v>300</v>
      </c>
      <c r="GB84" s="1">
        <v>6.0</v>
      </c>
      <c r="GC84" s="1" t="s">
        <v>299</v>
      </c>
      <c r="GD84" s="1">
        <v>13.0</v>
      </c>
      <c r="GE84" s="1" t="s">
        <v>299</v>
      </c>
      <c r="GF84" s="1">
        <v>22.0</v>
      </c>
      <c r="GG84" s="1" t="s">
        <v>300</v>
      </c>
      <c r="GH84" s="1">
        <v>18.0</v>
      </c>
      <c r="GI84" s="1" t="s">
        <v>299</v>
      </c>
      <c r="GJ84" s="1">
        <v>6.0</v>
      </c>
      <c r="GK84" s="1" t="s">
        <v>299</v>
      </c>
      <c r="GL84" s="1">
        <v>6.0</v>
      </c>
      <c r="GM84" s="1" t="s">
        <v>299</v>
      </c>
      <c r="GN84" s="1">
        <v>24.0</v>
      </c>
      <c r="GO84" s="1" t="s">
        <v>299</v>
      </c>
      <c r="GP84" s="1">
        <v>17.0</v>
      </c>
      <c r="GQ84" s="1" t="s">
        <v>300</v>
      </c>
      <c r="GR84" s="1">
        <v>26.0</v>
      </c>
      <c r="GS84" s="1" t="s">
        <v>300</v>
      </c>
      <c r="GT84" s="1">
        <v>6.0</v>
      </c>
      <c r="GU84" s="1" t="s">
        <v>299</v>
      </c>
      <c r="GV84" s="1">
        <v>17.0</v>
      </c>
      <c r="GW84" s="1" t="s">
        <v>300</v>
      </c>
      <c r="GX84" s="1">
        <v>10.0</v>
      </c>
      <c r="GY84" s="1" t="s">
        <v>299</v>
      </c>
      <c r="GZ84" s="1">
        <v>23.0</v>
      </c>
      <c r="HA84" s="1" t="s">
        <v>299</v>
      </c>
      <c r="HB84" s="1">
        <v>6.0</v>
      </c>
      <c r="HC84" s="1" t="s">
        <v>299</v>
      </c>
      <c r="HD84" s="1">
        <v>18.0</v>
      </c>
      <c r="HE84" s="1" t="s">
        <v>300</v>
      </c>
      <c r="HF84" s="1">
        <v>22.0</v>
      </c>
      <c r="HG84" s="1" t="s">
        <v>299</v>
      </c>
      <c r="HH84" s="1">
        <v>20.0</v>
      </c>
      <c r="HI84" s="1" t="s">
        <v>299</v>
      </c>
      <c r="HJ84" s="1">
        <v>18.0</v>
      </c>
      <c r="HK84" s="1" t="s">
        <v>299</v>
      </c>
    </row>
    <row r="85">
      <c r="A85" s="44" t="s">
        <v>1026</v>
      </c>
      <c r="B85" s="3">
        <v>81.0</v>
      </c>
      <c r="C85" s="3" t="s">
        <v>1027</v>
      </c>
      <c r="D85" s="30">
        <v>26141.0</v>
      </c>
      <c r="E85" s="1">
        <v>54.0</v>
      </c>
      <c r="F85" s="3" t="s">
        <v>252</v>
      </c>
      <c r="G85" s="3" t="s">
        <v>253</v>
      </c>
      <c r="H85" s="3" t="s">
        <v>253</v>
      </c>
      <c r="I85" s="3" t="s">
        <v>252</v>
      </c>
      <c r="J85" s="3" t="s">
        <v>253</v>
      </c>
      <c r="K85" s="3" t="s">
        <v>253</v>
      </c>
      <c r="L85" s="3" t="s">
        <v>254</v>
      </c>
      <c r="M85" s="3" t="s">
        <v>255</v>
      </c>
      <c r="N85" s="3" t="s">
        <v>254</v>
      </c>
      <c r="O85" s="3" t="s">
        <v>255</v>
      </c>
      <c r="P85" s="3" t="s">
        <v>254</v>
      </c>
      <c r="Q85" s="3" t="s">
        <v>548</v>
      </c>
      <c r="R85" s="7" t="s">
        <v>888</v>
      </c>
      <c r="S85" s="7" t="s">
        <v>889</v>
      </c>
      <c r="T85" s="1" t="s">
        <v>259</v>
      </c>
      <c r="U85" s="1" t="s">
        <v>360</v>
      </c>
      <c r="V85" s="34"/>
      <c r="W85" s="34"/>
      <c r="X85" s="1" t="s">
        <v>254</v>
      </c>
      <c r="Y85" s="1" t="s">
        <v>262</v>
      </c>
      <c r="Z85" s="1">
        <v>0.0</v>
      </c>
      <c r="AA85" s="34"/>
      <c r="AB85" s="34"/>
      <c r="AC85" s="1">
        <v>0.0</v>
      </c>
      <c r="AD85" s="1">
        <v>0.0</v>
      </c>
      <c r="AE85" s="1">
        <v>0.0</v>
      </c>
      <c r="AF85" s="1" t="s">
        <v>255</v>
      </c>
      <c r="AG85" s="1" t="s">
        <v>397</v>
      </c>
      <c r="AH85" s="1" t="s">
        <v>398</v>
      </c>
      <c r="AI85" s="46">
        <v>45329.0</v>
      </c>
      <c r="AJ85" s="1" t="s">
        <v>366</v>
      </c>
      <c r="AK85" s="1" t="s">
        <v>267</v>
      </c>
      <c r="AL85" s="1" t="s">
        <v>911</v>
      </c>
      <c r="AM85" s="1" t="s">
        <v>610</v>
      </c>
      <c r="AN85" s="1" t="s">
        <v>269</v>
      </c>
      <c r="AO85" s="1" t="s">
        <v>270</v>
      </c>
      <c r="AP85" s="1" t="s">
        <v>284</v>
      </c>
      <c r="AQ85" s="1" t="s">
        <v>443</v>
      </c>
      <c r="AR85" s="1">
        <v>3.0</v>
      </c>
      <c r="AS85" s="1" t="s">
        <v>273</v>
      </c>
      <c r="AT85" s="1" t="s">
        <v>274</v>
      </c>
      <c r="AU85" s="1" t="s">
        <v>316</v>
      </c>
      <c r="AV85" s="1" t="s">
        <v>379</v>
      </c>
      <c r="AW85" s="1" t="s">
        <v>402</v>
      </c>
      <c r="AX85" s="1" t="s">
        <v>254</v>
      </c>
      <c r="AY85" s="1">
        <v>0.0</v>
      </c>
      <c r="AZ85" s="1" t="s">
        <v>255</v>
      </c>
      <c r="BA85" s="1" t="s">
        <v>446</v>
      </c>
      <c r="BB85" s="1" t="s">
        <v>254</v>
      </c>
      <c r="BC85" s="1" t="s">
        <v>279</v>
      </c>
      <c r="BD85" s="1">
        <v>1.0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 t="s">
        <v>382</v>
      </c>
      <c r="BM85" s="1" t="s">
        <v>911</v>
      </c>
      <c r="BN85" s="1" t="s">
        <v>610</v>
      </c>
      <c r="BO85" s="1" t="s">
        <v>269</v>
      </c>
      <c r="BP85" s="1" t="s">
        <v>270</v>
      </c>
      <c r="BQ85" s="1" t="s">
        <v>284</v>
      </c>
      <c r="BR85" s="1" t="s">
        <v>255</v>
      </c>
      <c r="BS85" s="1" t="s">
        <v>706</v>
      </c>
      <c r="BT85" s="1" t="s">
        <v>414</v>
      </c>
      <c r="BU85" s="1" t="s">
        <v>254</v>
      </c>
      <c r="BV85" s="1" t="s">
        <v>254</v>
      </c>
      <c r="BW85" s="1" t="s">
        <v>254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 t="s">
        <v>254</v>
      </c>
      <c r="CN85" s="1">
        <v>0.0</v>
      </c>
      <c r="CO85" s="1" t="s">
        <v>254</v>
      </c>
      <c r="CP85" s="1">
        <v>0.0</v>
      </c>
      <c r="CQ85" s="1">
        <v>0.0</v>
      </c>
      <c r="CR85" s="1">
        <v>0.0</v>
      </c>
      <c r="CS85" s="1">
        <v>4.0</v>
      </c>
      <c r="CT85" s="1">
        <v>2.0</v>
      </c>
      <c r="CU85" s="1">
        <v>2.0</v>
      </c>
      <c r="CV85" s="1" t="s">
        <v>255</v>
      </c>
      <c r="CW85" s="1" t="s">
        <v>254</v>
      </c>
      <c r="CX85" s="1" t="s">
        <v>254</v>
      </c>
      <c r="CY85" s="1" t="s">
        <v>254</v>
      </c>
      <c r="CZ85" s="1" t="s">
        <v>254</v>
      </c>
      <c r="DA85" s="1" t="s">
        <v>255</v>
      </c>
      <c r="DB85" s="1" t="s">
        <v>254</v>
      </c>
      <c r="DC85" s="1" t="s">
        <v>255</v>
      </c>
      <c r="DD85" s="1" t="s">
        <v>255</v>
      </c>
      <c r="DE85" s="1" t="s">
        <v>388</v>
      </c>
      <c r="DF85" s="1" t="s">
        <v>293</v>
      </c>
      <c r="DG85" s="1" t="s">
        <v>450</v>
      </c>
      <c r="DH85" s="1" t="s">
        <v>293</v>
      </c>
      <c r="DI85" s="1" t="s">
        <v>293</v>
      </c>
      <c r="DJ85" s="1" t="s">
        <v>293</v>
      </c>
      <c r="DK85" s="1" t="s">
        <v>293</v>
      </c>
      <c r="DL85" s="1" t="s">
        <v>353</v>
      </c>
      <c r="DM85" s="1" t="s">
        <v>293</v>
      </c>
      <c r="DN85" s="1" t="s">
        <v>293</v>
      </c>
      <c r="DO85" s="1" t="s">
        <v>293</v>
      </c>
      <c r="DP85" s="1" t="s">
        <v>451</v>
      </c>
      <c r="DQ85" s="1" t="s">
        <v>293</v>
      </c>
      <c r="DR85" s="1" t="s">
        <v>293</v>
      </c>
      <c r="DS85" s="1" t="s">
        <v>293</v>
      </c>
      <c r="DT85" s="1" t="s">
        <v>293</v>
      </c>
      <c r="DU85" s="1" t="s">
        <v>293</v>
      </c>
      <c r="DV85" s="1" t="s">
        <v>293</v>
      </c>
      <c r="DW85" s="1" t="s">
        <v>293</v>
      </c>
      <c r="DX85" s="1" t="s">
        <v>293</v>
      </c>
      <c r="DY85" s="1" t="s">
        <v>293</v>
      </c>
      <c r="DZ85" s="1" t="s">
        <v>293</v>
      </c>
      <c r="EA85" s="1" t="s">
        <v>254</v>
      </c>
      <c r="EB85" s="1" t="s">
        <v>254</v>
      </c>
      <c r="EC85" s="1" t="s">
        <v>254</v>
      </c>
      <c r="ED85" s="1">
        <v>0.0</v>
      </c>
      <c r="EE85" s="1" t="s">
        <v>255</v>
      </c>
      <c r="EF85" s="1" t="s">
        <v>452</v>
      </c>
      <c r="EG85" s="1" t="s">
        <v>389</v>
      </c>
      <c r="EI85" s="1" t="s">
        <v>390</v>
      </c>
      <c r="EJ85" s="1" t="s">
        <v>293</v>
      </c>
      <c r="EK85" s="1" t="s">
        <v>293</v>
      </c>
      <c r="EL85" s="1" t="s">
        <v>293</v>
      </c>
      <c r="EM85" s="1" t="s">
        <v>293</v>
      </c>
      <c r="EN85" s="1" t="s">
        <v>353</v>
      </c>
      <c r="EO85" s="1" t="s">
        <v>293</v>
      </c>
      <c r="EP85" s="1" t="s">
        <v>293</v>
      </c>
      <c r="EQ85" s="1" t="s">
        <v>293</v>
      </c>
      <c r="ER85" s="1" t="s">
        <v>293</v>
      </c>
      <c r="ES85" s="1" t="s">
        <v>293</v>
      </c>
      <c r="ET85" s="1" t="s">
        <v>293</v>
      </c>
      <c r="EU85" s="1" t="s">
        <v>293</v>
      </c>
      <c r="EV85" s="1" t="s">
        <v>387</v>
      </c>
      <c r="EW85" s="1" t="s">
        <v>254</v>
      </c>
      <c r="EX85" s="1" t="s">
        <v>254</v>
      </c>
      <c r="EY85" s="1">
        <v>0.0</v>
      </c>
      <c r="EZ85" s="1" t="s">
        <v>427</v>
      </c>
      <c r="FA85" s="1" t="s">
        <v>453</v>
      </c>
      <c r="FB85" s="1" t="s">
        <v>454</v>
      </c>
      <c r="FC85" s="1">
        <v>0.0</v>
      </c>
      <c r="FD85" s="1">
        <v>0.0</v>
      </c>
      <c r="FE85" s="1">
        <v>0.0</v>
      </c>
      <c r="FF85" s="1" t="s">
        <v>454</v>
      </c>
      <c r="FG85" s="1">
        <v>0.0</v>
      </c>
      <c r="FH85" s="1">
        <v>0.0</v>
      </c>
      <c r="FI85" s="1">
        <v>0.0</v>
      </c>
      <c r="FJ85" s="1" t="s">
        <v>454</v>
      </c>
      <c r="FK85" s="1">
        <v>0.0</v>
      </c>
      <c r="FL85" s="1">
        <v>0.0</v>
      </c>
      <c r="FM85" s="1">
        <v>0.0</v>
      </c>
      <c r="FN85" s="1" t="s">
        <v>454</v>
      </c>
      <c r="FO85" s="1">
        <v>0.0</v>
      </c>
      <c r="FP85" s="1">
        <v>0.0</v>
      </c>
      <c r="FQ85" s="1">
        <v>0.0</v>
      </c>
      <c r="FR85" s="26" t="s">
        <v>198</v>
      </c>
      <c r="FS85" s="28" t="s">
        <v>298</v>
      </c>
      <c r="FT85" s="28" t="s">
        <v>298</v>
      </c>
      <c r="FU85" s="28" t="s">
        <v>298</v>
      </c>
      <c r="FV85" s="1">
        <v>6.0</v>
      </c>
      <c r="FW85" s="1" t="s">
        <v>299</v>
      </c>
      <c r="FX85" s="1">
        <v>18.0</v>
      </c>
      <c r="FY85" s="1" t="s">
        <v>300</v>
      </c>
      <c r="FZ85" s="1">
        <v>18.0</v>
      </c>
      <c r="GA85" s="1" t="s">
        <v>300</v>
      </c>
      <c r="GB85" s="1">
        <v>6.0</v>
      </c>
      <c r="GC85" s="1" t="s">
        <v>299</v>
      </c>
      <c r="GD85" s="1">
        <v>23.0</v>
      </c>
      <c r="GE85" s="1" t="s">
        <v>300</v>
      </c>
      <c r="GF85" s="1">
        <v>22.0</v>
      </c>
      <c r="GG85" s="1" t="s">
        <v>300</v>
      </c>
      <c r="GH85" s="1">
        <v>25.0</v>
      </c>
      <c r="GI85" s="1" t="s">
        <v>300</v>
      </c>
      <c r="GJ85" s="1">
        <v>6.0</v>
      </c>
      <c r="GK85" s="1" t="s">
        <v>299</v>
      </c>
      <c r="GL85" s="1">
        <v>6.0</v>
      </c>
      <c r="GM85" s="1" t="s">
        <v>299</v>
      </c>
      <c r="GN85" s="1">
        <v>25.0</v>
      </c>
      <c r="GO85" s="1" t="s">
        <v>300</v>
      </c>
      <c r="GP85" s="1">
        <v>6.0</v>
      </c>
      <c r="GQ85" s="1" t="s">
        <v>300</v>
      </c>
      <c r="GR85" s="1">
        <v>23.0</v>
      </c>
      <c r="GS85" s="1" t="s">
        <v>300</v>
      </c>
      <c r="GT85" s="1">
        <v>6.0</v>
      </c>
      <c r="GU85" s="1" t="s">
        <v>299</v>
      </c>
      <c r="GV85" s="1">
        <v>6.0</v>
      </c>
      <c r="GW85" s="1" t="s">
        <v>299</v>
      </c>
      <c r="GX85" s="1">
        <v>14.0</v>
      </c>
      <c r="GY85" s="1" t="s">
        <v>300</v>
      </c>
      <c r="GZ85" s="1">
        <v>20.0</v>
      </c>
      <c r="HA85" s="1" t="s">
        <v>299</v>
      </c>
      <c r="HB85" s="1">
        <v>6.0</v>
      </c>
      <c r="HC85" s="1" t="s">
        <v>299</v>
      </c>
      <c r="HD85" s="1">
        <v>29.0</v>
      </c>
      <c r="HE85" s="1" t="s">
        <v>300</v>
      </c>
      <c r="HF85" s="1">
        <v>28.0</v>
      </c>
      <c r="HG85" s="1" t="s">
        <v>300</v>
      </c>
      <c r="HH85" s="1">
        <v>25.0</v>
      </c>
      <c r="HI85" s="1" t="s">
        <v>300</v>
      </c>
      <c r="HJ85" s="1">
        <v>15.0</v>
      </c>
      <c r="HK85" s="1" t="s">
        <v>299</v>
      </c>
    </row>
    <row r="86">
      <c r="A86" s="44" t="s">
        <v>1029</v>
      </c>
      <c r="B86" s="3">
        <v>82.0</v>
      </c>
      <c r="C86" s="3" t="s">
        <v>1030</v>
      </c>
      <c r="D86" s="30">
        <v>21096.0</v>
      </c>
      <c r="E86" s="1">
        <v>68.0</v>
      </c>
      <c r="F86" s="3" t="s">
        <v>252</v>
      </c>
      <c r="G86" s="3" t="s">
        <v>253</v>
      </c>
      <c r="H86" s="3" t="s">
        <v>253</v>
      </c>
      <c r="I86" s="3" t="s">
        <v>252</v>
      </c>
      <c r="J86" s="3" t="s">
        <v>253</v>
      </c>
      <c r="K86" s="3" t="s">
        <v>253</v>
      </c>
      <c r="L86" s="3" t="s">
        <v>254</v>
      </c>
      <c r="M86" s="3" t="s">
        <v>255</v>
      </c>
      <c r="N86" s="3" t="s">
        <v>254</v>
      </c>
      <c r="O86" s="3" t="s">
        <v>255</v>
      </c>
      <c r="P86" s="3" t="s">
        <v>254</v>
      </c>
      <c r="Q86" s="3" t="s">
        <v>548</v>
      </c>
      <c r="R86" s="7" t="s">
        <v>888</v>
      </c>
      <c r="S86" s="7" t="s">
        <v>889</v>
      </c>
      <c r="T86" s="1" t="s">
        <v>259</v>
      </c>
      <c r="U86" s="1" t="s">
        <v>360</v>
      </c>
      <c r="V86" s="34"/>
      <c r="W86" s="34"/>
      <c r="X86" s="1" t="s">
        <v>254</v>
      </c>
      <c r="Y86" s="34"/>
      <c r="Z86" s="1">
        <v>0.0</v>
      </c>
      <c r="AA86" s="1">
        <v>0.0</v>
      </c>
      <c r="AB86" s="1" t="s">
        <v>437</v>
      </c>
      <c r="AC86" s="1">
        <v>0.0</v>
      </c>
      <c r="AD86" s="1" t="s">
        <v>438</v>
      </c>
      <c r="AE86" s="1" t="s">
        <v>265</v>
      </c>
      <c r="AF86" s="1" t="s">
        <v>255</v>
      </c>
      <c r="AG86" s="1" t="s">
        <v>439</v>
      </c>
      <c r="AH86" s="1" t="s">
        <v>440</v>
      </c>
      <c r="AI86" s="46">
        <v>45358.0</v>
      </c>
      <c r="AJ86" s="30">
        <v>45474.0</v>
      </c>
      <c r="AK86" s="1" t="s">
        <v>267</v>
      </c>
      <c r="AL86" s="1" t="s">
        <v>700</v>
      </c>
      <c r="AM86" s="1" t="s">
        <v>610</v>
      </c>
      <c r="AN86" s="1" t="s">
        <v>269</v>
      </c>
      <c r="AO86" s="1" t="s">
        <v>270</v>
      </c>
      <c r="AP86" s="1" t="s">
        <v>284</v>
      </c>
      <c r="AQ86" s="1" t="s">
        <v>443</v>
      </c>
      <c r="AR86" s="1">
        <v>4.0</v>
      </c>
      <c r="AS86" s="1" t="s">
        <v>273</v>
      </c>
      <c r="AT86" s="1" t="s">
        <v>274</v>
      </c>
      <c r="AU86" s="1" t="s">
        <v>316</v>
      </c>
      <c r="AV86" s="1" t="s">
        <v>379</v>
      </c>
      <c r="AW86" s="1" t="s">
        <v>402</v>
      </c>
      <c r="AX86" s="1" t="s">
        <v>254</v>
      </c>
      <c r="AY86" s="1">
        <v>0.0</v>
      </c>
      <c r="AZ86" s="1" t="s">
        <v>255</v>
      </c>
      <c r="BA86" s="1" t="s">
        <v>446</v>
      </c>
      <c r="BB86" s="1" t="s">
        <v>255</v>
      </c>
      <c r="BC86" s="1" t="s">
        <v>279</v>
      </c>
      <c r="BD86" s="1">
        <v>1.0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 t="s">
        <v>382</v>
      </c>
      <c r="BM86" s="1" t="s">
        <v>700</v>
      </c>
      <c r="BN86" s="1" t="s">
        <v>610</v>
      </c>
      <c r="BO86" s="1" t="s">
        <v>269</v>
      </c>
      <c r="BP86" s="1" t="s">
        <v>270</v>
      </c>
      <c r="BQ86" s="1" t="s">
        <v>284</v>
      </c>
      <c r="BR86" s="1" t="s">
        <v>254</v>
      </c>
      <c r="BS86" s="1" t="s">
        <v>254</v>
      </c>
      <c r="BT86" s="1" t="s">
        <v>254</v>
      </c>
      <c r="BU86" s="1" t="s">
        <v>254</v>
      </c>
      <c r="BV86" s="1" t="s">
        <v>254</v>
      </c>
      <c r="BW86" s="1" t="s">
        <v>254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 t="s">
        <v>254</v>
      </c>
      <c r="CN86" s="1">
        <v>0.0</v>
      </c>
      <c r="CO86" s="1" t="s">
        <v>254</v>
      </c>
      <c r="CP86" s="1">
        <v>0.0</v>
      </c>
      <c r="CQ86" s="1">
        <v>0.0</v>
      </c>
      <c r="CR86" s="1">
        <v>0.0</v>
      </c>
      <c r="CS86" s="1">
        <v>2.0</v>
      </c>
      <c r="CT86" s="1">
        <v>1.0</v>
      </c>
      <c r="CU86" s="1">
        <v>1.0</v>
      </c>
      <c r="CV86" s="1" t="s">
        <v>255</v>
      </c>
      <c r="CW86" s="1" t="s">
        <v>254</v>
      </c>
      <c r="CX86" s="1" t="s">
        <v>254</v>
      </c>
      <c r="CY86" s="1" t="s">
        <v>254</v>
      </c>
      <c r="CZ86" s="1" t="s">
        <v>254</v>
      </c>
      <c r="DA86" s="1" t="s">
        <v>255</v>
      </c>
      <c r="DB86" s="1" t="s">
        <v>254</v>
      </c>
      <c r="DC86" s="1" t="s">
        <v>255</v>
      </c>
      <c r="DD86" s="1" t="s">
        <v>255</v>
      </c>
      <c r="DE86" s="1" t="s">
        <v>388</v>
      </c>
      <c r="DF86" s="1" t="s">
        <v>293</v>
      </c>
      <c r="DG86" s="1" t="s">
        <v>450</v>
      </c>
      <c r="DH86" s="1" t="s">
        <v>293</v>
      </c>
      <c r="DI86" s="1" t="s">
        <v>293</v>
      </c>
      <c r="DJ86" s="1" t="s">
        <v>293</v>
      </c>
      <c r="DK86" s="1" t="s">
        <v>293</v>
      </c>
      <c r="DL86" s="1" t="s">
        <v>353</v>
      </c>
      <c r="DM86" s="1" t="s">
        <v>293</v>
      </c>
      <c r="DN86" s="1" t="s">
        <v>293</v>
      </c>
      <c r="DO86" s="1" t="s">
        <v>293</v>
      </c>
      <c r="DP86" s="1" t="s">
        <v>451</v>
      </c>
      <c r="DQ86" s="1" t="s">
        <v>293</v>
      </c>
      <c r="DR86" s="1" t="s">
        <v>293</v>
      </c>
      <c r="DS86" s="1" t="s">
        <v>293</v>
      </c>
      <c r="DT86" s="1" t="s">
        <v>293</v>
      </c>
      <c r="DU86" s="1" t="s">
        <v>293</v>
      </c>
      <c r="DV86" s="1" t="s">
        <v>293</v>
      </c>
      <c r="DW86" s="1" t="s">
        <v>293</v>
      </c>
      <c r="DX86" s="1" t="s">
        <v>293</v>
      </c>
      <c r="DY86" s="1" t="s">
        <v>293</v>
      </c>
      <c r="DZ86" s="1" t="s">
        <v>293</v>
      </c>
      <c r="EA86" s="1" t="s">
        <v>254</v>
      </c>
      <c r="EB86" s="1" t="s">
        <v>254</v>
      </c>
      <c r="EC86" s="1" t="s">
        <v>254</v>
      </c>
      <c r="ED86" s="1">
        <v>0.0</v>
      </c>
      <c r="EE86" s="1" t="s">
        <v>255</v>
      </c>
      <c r="EF86" s="1" t="s">
        <v>452</v>
      </c>
      <c r="EG86" s="1" t="s">
        <v>389</v>
      </c>
      <c r="EI86" s="1" t="s">
        <v>390</v>
      </c>
      <c r="EJ86" s="1" t="s">
        <v>293</v>
      </c>
      <c r="EK86" s="1" t="s">
        <v>293</v>
      </c>
      <c r="EL86" s="1" t="s">
        <v>293</v>
      </c>
      <c r="EM86" s="1" t="s">
        <v>293</v>
      </c>
      <c r="EN86" s="1" t="s">
        <v>353</v>
      </c>
      <c r="EO86" s="1" t="s">
        <v>293</v>
      </c>
      <c r="EP86" s="1" t="s">
        <v>293</v>
      </c>
      <c r="EQ86" s="1" t="s">
        <v>293</v>
      </c>
      <c r="ER86" s="1" t="s">
        <v>293</v>
      </c>
      <c r="ES86" s="1" t="s">
        <v>293</v>
      </c>
      <c r="ET86" s="1" t="s">
        <v>293</v>
      </c>
      <c r="EU86" s="1" t="s">
        <v>293</v>
      </c>
      <c r="EV86" s="1" t="s">
        <v>387</v>
      </c>
      <c r="EW86" s="1" t="s">
        <v>254</v>
      </c>
      <c r="EX86" s="1" t="s">
        <v>254</v>
      </c>
      <c r="EY86" s="1">
        <v>0.0</v>
      </c>
      <c r="EZ86" s="1" t="s">
        <v>427</v>
      </c>
      <c r="FA86" s="1" t="s">
        <v>453</v>
      </c>
      <c r="FB86" s="1" t="s">
        <v>454</v>
      </c>
      <c r="FC86" s="1">
        <v>0.0</v>
      </c>
      <c r="FD86" s="1">
        <v>0.0</v>
      </c>
      <c r="FE86" s="1">
        <v>0.0</v>
      </c>
      <c r="FF86" s="1" t="s">
        <v>454</v>
      </c>
      <c r="FG86" s="1">
        <v>0.0</v>
      </c>
      <c r="FH86" s="1">
        <v>0.0</v>
      </c>
      <c r="FI86" s="1">
        <v>0.0</v>
      </c>
      <c r="FJ86" s="1" t="s">
        <v>454</v>
      </c>
      <c r="FK86" s="1">
        <v>0.0</v>
      </c>
      <c r="FL86" s="1">
        <v>0.0</v>
      </c>
      <c r="FM86" s="1">
        <v>0.0</v>
      </c>
      <c r="FN86" s="1" t="s">
        <v>454</v>
      </c>
      <c r="FO86" s="1">
        <v>0.0</v>
      </c>
      <c r="FP86" s="1">
        <v>0.0</v>
      </c>
      <c r="FQ86" s="1">
        <v>0.0</v>
      </c>
      <c r="FR86" s="28" t="s">
        <v>514</v>
      </c>
      <c r="FS86" s="28" t="s">
        <v>298</v>
      </c>
      <c r="FT86" s="28" t="s">
        <v>298</v>
      </c>
      <c r="FU86" s="28" t="s">
        <v>298</v>
      </c>
      <c r="FV86" s="1">
        <v>23.0</v>
      </c>
      <c r="FW86" s="1" t="s">
        <v>300</v>
      </c>
      <c r="FX86" s="1">
        <v>20.0</v>
      </c>
      <c r="FY86" s="1" t="s">
        <v>300</v>
      </c>
      <c r="FZ86" s="1">
        <v>20.0</v>
      </c>
      <c r="GA86" s="1" t="s">
        <v>300</v>
      </c>
      <c r="GB86" s="1">
        <v>6.0</v>
      </c>
      <c r="GC86" s="1" t="s">
        <v>299</v>
      </c>
      <c r="GD86" s="1">
        <v>20.0</v>
      </c>
      <c r="GE86" s="1" t="s">
        <v>300</v>
      </c>
      <c r="GF86" s="1">
        <v>20.0</v>
      </c>
      <c r="GG86" s="1" t="s">
        <v>300</v>
      </c>
      <c r="GH86" s="1">
        <v>24.0</v>
      </c>
      <c r="GI86" s="1" t="s">
        <v>300</v>
      </c>
      <c r="GJ86" s="1">
        <v>25.0</v>
      </c>
      <c r="GK86" s="1" t="s">
        <v>300</v>
      </c>
      <c r="GL86" s="1">
        <v>20.0</v>
      </c>
      <c r="GM86" s="1" t="s">
        <v>300</v>
      </c>
      <c r="GN86" s="1">
        <v>22.0</v>
      </c>
      <c r="GO86" s="1" t="s">
        <v>299</v>
      </c>
      <c r="GP86" s="1">
        <v>12.0</v>
      </c>
      <c r="GQ86" s="1" t="s">
        <v>299</v>
      </c>
      <c r="GR86" s="1">
        <v>21.0</v>
      </c>
      <c r="GS86" s="1" t="s">
        <v>331</v>
      </c>
      <c r="GT86" s="1">
        <v>23.0</v>
      </c>
      <c r="GU86" s="1" t="s">
        <v>300</v>
      </c>
      <c r="GV86" s="1">
        <v>16.0</v>
      </c>
      <c r="GW86" s="1" t="s">
        <v>300</v>
      </c>
      <c r="GX86" s="1">
        <v>15.0</v>
      </c>
      <c r="GY86" s="1" t="s">
        <v>300</v>
      </c>
      <c r="GZ86" s="1">
        <v>15.0</v>
      </c>
      <c r="HA86" s="1" t="s">
        <v>299</v>
      </c>
      <c r="HB86" s="1">
        <v>9.0</v>
      </c>
      <c r="HC86" s="1" t="s">
        <v>299</v>
      </c>
      <c r="HD86" s="1">
        <v>28.0</v>
      </c>
      <c r="HE86" s="1" t="s">
        <v>300</v>
      </c>
      <c r="HF86" s="1">
        <v>25.0</v>
      </c>
      <c r="HG86" s="1" t="s">
        <v>331</v>
      </c>
      <c r="HH86" s="1">
        <v>15.0</v>
      </c>
      <c r="HI86" s="1" t="s">
        <v>299</v>
      </c>
      <c r="HJ86" s="1">
        <v>18.0</v>
      </c>
      <c r="HK86" s="1" t="s">
        <v>299</v>
      </c>
    </row>
    <row r="87">
      <c r="A87" s="44" t="s">
        <v>633</v>
      </c>
      <c r="B87" s="3">
        <v>83.0</v>
      </c>
      <c r="C87" s="3" t="s">
        <v>634</v>
      </c>
      <c r="D87" s="30">
        <v>21312.0</v>
      </c>
      <c r="E87" s="1">
        <v>68.0</v>
      </c>
      <c r="F87" s="3" t="s">
        <v>252</v>
      </c>
      <c r="G87" s="3" t="s">
        <v>253</v>
      </c>
      <c r="H87" s="3" t="s">
        <v>253</v>
      </c>
      <c r="I87" s="3" t="s">
        <v>252</v>
      </c>
      <c r="J87" s="3" t="s">
        <v>253</v>
      </c>
      <c r="K87" s="3" t="s">
        <v>253</v>
      </c>
      <c r="L87" s="3" t="s">
        <v>254</v>
      </c>
      <c r="M87" s="3" t="s">
        <v>255</v>
      </c>
      <c r="N87" s="3" t="s">
        <v>254</v>
      </c>
      <c r="O87" s="3" t="s">
        <v>255</v>
      </c>
      <c r="P87" s="3" t="s">
        <v>254</v>
      </c>
      <c r="Q87" s="3" t="s">
        <v>548</v>
      </c>
      <c r="R87" s="7" t="s">
        <v>334</v>
      </c>
      <c r="S87" s="7" t="s">
        <v>258</v>
      </c>
      <c r="T87" s="1" t="s">
        <v>259</v>
      </c>
      <c r="U87" s="1" t="s">
        <v>306</v>
      </c>
      <c r="W87" s="34"/>
      <c r="X87" s="1" t="s">
        <v>254</v>
      </c>
      <c r="Y87" s="34"/>
      <c r="Z87" s="1">
        <v>0.0</v>
      </c>
      <c r="AA87" s="1">
        <v>0.0</v>
      </c>
      <c r="AB87" s="1" t="s">
        <v>437</v>
      </c>
      <c r="AC87" s="1">
        <v>1.0</v>
      </c>
      <c r="AD87" s="1" t="s">
        <v>635</v>
      </c>
      <c r="AE87" s="1" t="s">
        <v>265</v>
      </c>
      <c r="AF87" s="1" t="s">
        <v>255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 t="s">
        <v>609</v>
      </c>
      <c r="AM87" s="1" t="s">
        <v>610</v>
      </c>
      <c r="AN87" s="1" t="s">
        <v>269</v>
      </c>
      <c r="AO87" s="1" t="s">
        <v>270</v>
      </c>
      <c r="AP87" s="1" t="s">
        <v>284</v>
      </c>
      <c r="AQ87" s="1" t="s">
        <v>443</v>
      </c>
      <c r="AR87" s="1">
        <v>5.0</v>
      </c>
      <c r="AS87" s="1" t="s">
        <v>273</v>
      </c>
      <c r="AT87" s="1" t="s">
        <v>274</v>
      </c>
      <c r="AU87" s="1" t="s">
        <v>316</v>
      </c>
      <c r="AV87" s="1" t="s">
        <v>379</v>
      </c>
      <c r="AW87" s="1" t="s">
        <v>402</v>
      </c>
      <c r="AX87" s="1" t="s">
        <v>254</v>
      </c>
      <c r="AY87" s="1">
        <v>0.0</v>
      </c>
      <c r="AZ87" s="1" t="s">
        <v>254</v>
      </c>
      <c r="BA87" s="1" t="s">
        <v>446</v>
      </c>
      <c r="BB87" s="1" t="s">
        <v>255</v>
      </c>
      <c r="BC87" s="1" t="s">
        <v>279</v>
      </c>
      <c r="BD87" s="1">
        <v>1.0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 t="s">
        <v>382</v>
      </c>
      <c r="BM87" s="1" t="s">
        <v>609</v>
      </c>
      <c r="BN87" s="1" t="s">
        <v>610</v>
      </c>
      <c r="BO87" s="1" t="s">
        <v>269</v>
      </c>
      <c r="BP87" s="1" t="s">
        <v>270</v>
      </c>
      <c r="BQ87" s="1" t="s">
        <v>284</v>
      </c>
      <c r="BR87" s="1" t="s">
        <v>254</v>
      </c>
      <c r="BS87" s="1" t="s">
        <v>254</v>
      </c>
      <c r="BT87" s="1" t="s">
        <v>254</v>
      </c>
      <c r="BU87" s="1" t="s">
        <v>254</v>
      </c>
      <c r="BV87" s="1" t="s">
        <v>254</v>
      </c>
      <c r="BW87" s="1" t="s">
        <v>254</v>
      </c>
      <c r="BX87" s="1">
        <v>0.0</v>
      </c>
      <c r="BY87" s="1">
        <v>0.0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0.0</v>
      </c>
      <c r="CM87" s="1" t="s">
        <v>254</v>
      </c>
      <c r="CN87" s="1">
        <v>0.0</v>
      </c>
      <c r="CO87" s="1" t="s">
        <v>254</v>
      </c>
      <c r="CP87" s="1">
        <v>0.0</v>
      </c>
      <c r="CQ87" s="1">
        <v>0.0</v>
      </c>
      <c r="CR87" s="1">
        <v>0.0</v>
      </c>
      <c r="CS87" s="1">
        <v>4.0</v>
      </c>
      <c r="CT87" s="1">
        <v>3.0</v>
      </c>
      <c r="CU87" s="1">
        <v>1.0</v>
      </c>
      <c r="CV87" s="1" t="s">
        <v>255</v>
      </c>
      <c r="CW87" s="1" t="s">
        <v>254</v>
      </c>
      <c r="CX87" s="1" t="s">
        <v>254</v>
      </c>
      <c r="CY87" s="1" t="s">
        <v>254</v>
      </c>
      <c r="CZ87" s="1" t="s">
        <v>254</v>
      </c>
      <c r="DA87" s="1" t="s">
        <v>255</v>
      </c>
      <c r="DB87" s="1" t="s">
        <v>254</v>
      </c>
      <c r="DC87" s="1" t="s">
        <v>255</v>
      </c>
      <c r="DD87" s="1" t="s">
        <v>255</v>
      </c>
      <c r="DE87" s="1" t="s">
        <v>388</v>
      </c>
      <c r="DF87" s="1" t="s">
        <v>293</v>
      </c>
      <c r="DG87" s="1" t="s">
        <v>450</v>
      </c>
      <c r="DH87" s="1" t="s">
        <v>293</v>
      </c>
      <c r="DI87" s="1" t="s">
        <v>293</v>
      </c>
      <c r="DJ87" s="1" t="s">
        <v>293</v>
      </c>
      <c r="DK87" s="1" t="s">
        <v>293</v>
      </c>
      <c r="DL87" s="1" t="s">
        <v>353</v>
      </c>
      <c r="DM87" s="1" t="s">
        <v>293</v>
      </c>
      <c r="DN87" s="1" t="s">
        <v>293</v>
      </c>
      <c r="DO87" s="1" t="s">
        <v>293</v>
      </c>
      <c r="DP87" s="1" t="s">
        <v>451</v>
      </c>
      <c r="DQ87" s="1" t="s">
        <v>293</v>
      </c>
      <c r="DR87" s="1" t="s">
        <v>293</v>
      </c>
      <c r="DS87" s="1" t="s">
        <v>293</v>
      </c>
      <c r="DT87" s="1" t="s">
        <v>293</v>
      </c>
      <c r="DU87" s="1" t="s">
        <v>293</v>
      </c>
      <c r="DV87" s="1" t="s">
        <v>293</v>
      </c>
      <c r="DW87" s="1" t="s">
        <v>293</v>
      </c>
      <c r="DX87" s="1" t="s">
        <v>293</v>
      </c>
      <c r="DY87" s="1" t="s">
        <v>293</v>
      </c>
      <c r="DZ87" s="1" t="s">
        <v>293</v>
      </c>
      <c r="EA87" s="1" t="s">
        <v>254</v>
      </c>
      <c r="EB87" s="1" t="s">
        <v>254</v>
      </c>
      <c r="EC87" s="1" t="s">
        <v>254</v>
      </c>
      <c r="ED87" s="1">
        <v>0.0</v>
      </c>
      <c r="EE87" s="1" t="s">
        <v>255</v>
      </c>
      <c r="EF87" s="1" t="s">
        <v>452</v>
      </c>
      <c r="EG87" s="1" t="s">
        <v>389</v>
      </c>
      <c r="EI87" s="1" t="s">
        <v>390</v>
      </c>
      <c r="EJ87" s="1" t="s">
        <v>293</v>
      </c>
      <c r="EK87" s="1" t="s">
        <v>293</v>
      </c>
      <c r="EL87" s="1" t="s">
        <v>293</v>
      </c>
      <c r="EM87" s="1" t="s">
        <v>293</v>
      </c>
      <c r="EN87" s="1" t="s">
        <v>353</v>
      </c>
      <c r="EO87" s="1" t="s">
        <v>293</v>
      </c>
      <c r="EP87" s="1" t="s">
        <v>293</v>
      </c>
      <c r="EQ87" s="1" t="s">
        <v>293</v>
      </c>
      <c r="ER87" s="1" t="s">
        <v>293</v>
      </c>
      <c r="ES87" s="1" t="s">
        <v>293</v>
      </c>
      <c r="ET87" s="1" t="s">
        <v>293</v>
      </c>
      <c r="EU87" s="1" t="s">
        <v>293</v>
      </c>
      <c r="EV87" s="1" t="s">
        <v>387</v>
      </c>
      <c r="EW87" s="1" t="s">
        <v>254</v>
      </c>
      <c r="EX87" s="1" t="s">
        <v>254</v>
      </c>
      <c r="EY87" s="1">
        <v>0.0</v>
      </c>
      <c r="EZ87" s="1" t="s">
        <v>427</v>
      </c>
      <c r="FA87" s="1" t="s">
        <v>453</v>
      </c>
      <c r="FB87" s="1" t="s">
        <v>454</v>
      </c>
      <c r="FC87" s="1">
        <v>0.0</v>
      </c>
      <c r="FD87" s="1">
        <v>0.0</v>
      </c>
      <c r="FE87" s="1">
        <v>0.0</v>
      </c>
      <c r="FF87" s="1" t="s">
        <v>454</v>
      </c>
      <c r="FG87" s="1">
        <v>0.0</v>
      </c>
      <c r="FH87" s="1">
        <v>0.0</v>
      </c>
      <c r="FI87" s="1">
        <v>0.0</v>
      </c>
      <c r="FJ87" s="1" t="s">
        <v>454</v>
      </c>
      <c r="FK87" s="1">
        <v>0.0</v>
      </c>
      <c r="FL87" s="1">
        <v>0.0</v>
      </c>
      <c r="FM87" s="1">
        <v>0.0</v>
      </c>
      <c r="FN87" s="1" t="s">
        <v>454</v>
      </c>
      <c r="FO87" s="1">
        <v>0.0</v>
      </c>
      <c r="FP87" s="1">
        <v>0.0</v>
      </c>
      <c r="FQ87" s="1">
        <v>0.0</v>
      </c>
      <c r="FR87" s="45" t="s">
        <v>198</v>
      </c>
      <c r="FS87" s="28" t="s">
        <v>205</v>
      </c>
      <c r="FT87" s="28" t="s">
        <v>205</v>
      </c>
      <c r="FU87" s="28" t="s">
        <v>205</v>
      </c>
      <c r="FV87" s="1">
        <v>6.0</v>
      </c>
      <c r="FW87" s="1" t="s">
        <v>299</v>
      </c>
      <c r="FX87" s="1">
        <v>20.0</v>
      </c>
      <c r="FY87" s="1" t="s">
        <v>300</v>
      </c>
      <c r="FZ87" s="1">
        <v>6.0</v>
      </c>
      <c r="GA87" s="1" t="s">
        <v>299</v>
      </c>
      <c r="GB87" s="1">
        <v>6.0</v>
      </c>
      <c r="GC87" s="1" t="s">
        <v>299</v>
      </c>
      <c r="GD87" s="1">
        <v>6.0</v>
      </c>
      <c r="GE87" s="1" t="s">
        <v>299</v>
      </c>
      <c r="GF87" s="1">
        <v>6.0</v>
      </c>
      <c r="GG87" s="1" t="s">
        <v>299</v>
      </c>
      <c r="GH87" s="1">
        <v>6.0</v>
      </c>
      <c r="GI87" s="1" t="s">
        <v>299</v>
      </c>
      <c r="GJ87" s="1">
        <v>22.0</v>
      </c>
      <c r="GK87" s="1" t="s">
        <v>300</v>
      </c>
      <c r="GL87" s="1">
        <v>6.0</v>
      </c>
      <c r="GM87" s="1" t="s">
        <v>299</v>
      </c>
      <c r="GN87" s="1">
        <v>18.0</v>
      </c>
      <c r="GO87" s="1" t="s">
        <v>299</v>
      </c>
      <c r="GP87" s="1">
        <v>17.0</v>
      </c>
      <c r="GQ87" s="1" t="s">
        <v>300</v>
      </c>
      <c r="GR87" s="1">
        <v>18.0</v>
      </c>
      <c r="GS87" s="1" t="s">
        <v>299</v>
      </c>
      <c r="GT87" s="1">
        <v>13.0</v>
      </c>
      <c r="GU87" s="1" t="s">
        <v>299</v>
      </c>
      <c r="GV87" s="1">
        <v>14.0</v>
      </c>
      <c r="GW87" s="1" t="s">
        <v>299</v>
      </c>
      <c r="GX87" s="1">
        <v>17.0</v>
      </c>
      <c r="GY87" s="1" t="s">
        <v>300</v>
      </c>
      <c r="GZ87" s="1">
        <v>23.0</v>
      </c>
      <c r="HA87" s="1" t="s">
        <v>299</v>
      </c>
      <c r="HB87" s="1">
        <v>6.0</v>
      </c>
      <c r="HC87" s="1" t="s">
        <v>299</v>
      </c>
      <c r="HD87" s="1">
        <v>15.0</v>
      </c>
      <c r="HE87" s="1" t="s">
        <v>299</v>
      </c>
      <c r="HF87" s="1">
        <v>20.0</v>
      </c>
      <c r="HG87" s="1" t="s">
        <v>299</v>
      </c>
      <c r="HH87" s="1">
        <v>25.0</v>
      </c>
      <c r="HI87" s="1" t="s">
        <v>300</v>
      </c>
      <c r="HJ87" s="1">
        <v>14.0</v>
      </c>
      <c r="HK87" s="1" t="s">
        <v>299</v>
      </c>
    </row>
    <row r="88">
      <c r="A88" s="44" t="s">
        <v>637</v>
      </c>
      <c r="B88" s="3">
        <v>84.0</v>
      </c>
      <c r="C88" s="3" t="s">
        <v>638</v>
      </c>
      <c r="D88" s="30">
        <v>22434.0</v>
      </c>
      <c r="E88" s="1">
        <v>65.0</v>
      </c>
      <c r="F88" s="3" t="s">
        <v>252</v>
      </c>
      <c r="G88" s="3" t="s">
        <v>253</v>
      </c>
      <c r="H88" s="3" t="s">
        <v>253</v>
      </c>
      <c r="I88" s="3" t="s">
        <v>252</v>
      </c>
      <c r="J88" s="3" t="s">
        <v>253</v>
      </c>
      <c r="K88" s="3" t="s">
        <v>253</v>
      </c>
      <c r="L88" s="3" t="s">
        <v>254</v>
      </c>
      <c r="M88" s="3" t="s">
        <v>255</v>
      </c>
      <c r="N88" s="3" t="s">
        <v>254</v>
      </c>
      <c r="O88" s="3" t="s">
        <v>255</v>
      </c>
      <c r="P88" s="3" t="s">
        <v>254</v>
      </c>
      <c r="Q88" s="3" t="s">
        <v>548</v>
      </c>
      <c r="R88" s="7" t="s">
        <v>334</v>
      </c>
      <c r="S88" s="7" t="s">
        <v>258</v>
      </c>
      <c r="T88" s="1" t="s">
        <v>259</v>
      </c>
      <c r="U88" s="1" t="s">
        <v>306</v>
      </c>
      <c r="W88" s="34"/>
      <c r="X88" s="1" t="s">
        <v>254</v>
      </c>
      <c r="Y88" s="34"/>
      <c r="Z88" s="1">
        <v>0.0</v>
      </c>
      <c r="AA88" s="1">
        <v>0.0</v>
      </c>
      <c r="AB88" s="1" t="s">
        <v>437</v>
      </c>
      <c r="AC88" s="1">
        <v>2.0</v>
      </c>
      <c r="AD88" s="1" t="s">
        <v>641</v>
      </c>
      <c r="AE88" s="1" t="s">
        <v>265</v>
      </c>
      <c r="AF88" s="1" t="s">
        <v>255</v>
      </c>
      <c r="AG88" s="1" t="s">
        <v>439</v>
      </c>
      <c r="AH88" s="1" t="s">
        <v>440</v>
      </c>
      <c r="AI88" s="46">
        <v>45419.0</v>
      </c>
      <c r="AJ88" s="30">
        <v>45474.0</v>
      </c>
      <c r="AK88" s="1" t="s">
        <v>267</v>
      </c>
      <c r="AL88" s="1" t="s">
        <v>622</v>
      </c>
      <c r="AM88" s="1" t="s">
        <v>610</v>
      </c>
      <c r="AN88" s="1" t="s">
        <v>269</v>
      </c>
      <c r="AO88" s="1" t="s">
        <v>270</v>
      </c>
      <c r="AP88" s="1" t="s">
        <v>284</v>
      </c>
      <c r="AQ88" s="1" t="s">
        <v>464</v>
      </c>
      <c r="AR88" s="1">
        <v>2.0</v>
      </c>
      <c r="AS88" s="1" t="s">
        <v>273</v>
      </c>
      <c r="AT88" s="1" t="s">
        <v>274</v>
      </c>
      <c r="AU88" s="1" t="s">
        <v>465</v>
      </c>
      <c r="AV88" s="1" t="s">
        <v>317</v>
      </c>
      <c r="AW88" s="1" t="s">
        <v>402</v>
      </c>
      <c r="AX88" s="1" t="s">
        <v>254</v>
      </c>
      <c r="AY88" s="1">
        <v>0.0</v>
      </c>
      <c r="AZ88" s="1" t="s">
        <v>255</v>
      </c>
      <c r="BA88" s="1" t="s">
        <v>319</v>
      </c>
      <c r="BB88" s="1" t="s">
        <v>254</v>
      </c>
      <c r="BC88" s="1" t="s">
        <v>279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 t="s">
        <v>466</v>
      </c>
      <c r="BM88" s="1" t="s">
        <v>622</v>
      </c>
      <c r="BN88" s="1" t="s">
        <v>610</v>
      </c>
      <c r="BO88" s="1" t="s">
        <v>269</v>
      </c>
      <c r="BP88" s="1" t="s">
        <v>270</v>
      </c>
      <c r="BQ88" s="1" t="s">
        <v>284</v>
      </c>
      <c r="BR88" s="1" t="s">
        <v>254</v>
      </c>
      <c r="BS88" s="1" t="s">
        <v>254</v>
      </c>
      <c r="BT88" s="1" t="s">
        <v>254</v>
      </c>
      <c r="BU88" s="1" t="s">
        <v>254</v>
      </c>
      <c r="BV88" s="1" t="s">
        <v>254</v>
      </c>
      <c r="BW88" s="1" t="s">
        <v>254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0.0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0.0</v>
      </c>
      <c r="CL88" s="1">
        <v>0.0</v>
      </c>
      <c r="CM88" s="1" t="s">
        <v>254</v>
      </c>
      <c r="CN88" s="1">
        <v>0.0</v>
      </c>
      <c r="CO88" s="1" t="s">
        <v>254</v>
      </c>
      <c r="CP88" s="1">
        <v>0.0</v>
      </c>
      <c r="CQ88" s="1">
        <v>0.0</v>
      </c>
      <c r="CR88" s="1">
        <v>0.0</v>
      </c>
      <c r="CS88" s="1">
        <v>3.0</v>
      </c>
      <c r="CT88" s="1" t="s">
        <v>473</v>
      </c>
      <c r="CU88" s="1" t="s">
        <v>474</v>
      </c>
      <c r="CV88" s="1" t="s">
        <v>254</v>
      </c>
      <c r="CW88" s="1" t="s">
        <v>254</v>
      </c>
      <c r="CX88" s="1" t="s">
        <v>254</v>
      </c>
      <c r="CY88" s="1" t="s">
        <v>254</v>
      </c>
      <c r="CZ88" s="1" t="s">
        <v>254</v>
      </c>
      <c r="DA88" s="1" t="s">
        <v>255</v>
      </c>
      <c r="DB88" s="1" t="s">
        <v>255</v>
      </c>
      <c r="DC88" s="1" t="s">
        <v>255</v>
      </c>
      <c r="DD88" s="1" t="s">
        <v>255</v>
      </c>
      <c r="DE88" s="1" t="s">
        <v>477</v>
      </c>
      <c r="DF88" s="1" t="s">
        <v>293</v>
      </c>
      <c r="DG88" s="1" t="s">
        <v>353</v>
      </c>
      <c r="DH88" s="31" t="s">
        <v>383</v>
      </c>
      <c r="DI88" s="1" t="s">
        <v>450</v>
      </c>
      <c r="DJ88" s="1" t="s">
        <v>293</v>
      </c>
      <c r="DK88" s="1" t="s">
        <v>293</v>
      </c>
      <c r="DL88" s="1" t="s">
        <v>388</v>
      </c>
      <c r="DM88" s="1" t="s">
        <v>293</v>
      </c>
      <c r="DN88" s="1" t="s">
        <v>450</v>
      </c>
      <c r="DO88" s="1" t="s">
        <v>293</v>
      </c>
      <c r="DP88" s="34"/>
      <c r="DQ88" s="1" t="s">
        <v>293</v>
      </c>
      <c r="DR88" s="1" t="s">
        <v>293</v>
      </c>
      <c r="DS88" s="1" t="s">
        <v>293</v>
      </c>
      <c r="DT88" s="1" t="s">
        <v>293</v>
      </c>
      <c r="DU88" s="1" t="s">
        <v>293</v>
      </c>
      <c r="DV88" s="1" t="s">
        <v>293</v>
      </c>
      <c r="DW88" s="1" t="s">
        <v>293</v>
      </c>
      <c r="DX88" s="1" t="s">
        <v>293</v>
      </c>
      <c r="DY88" s="1" t="s">
        <v>293</v>
      </c>
      <c r="DZ88" s="1" t="s">
        <v>293</v>
      </c>
      <c r="EA88" s="1" t="s">
        <v>254</v>
      </c>
      <c r="EB88" s="1" t="s">
        <v>254</v>
      </c>
      <c r="EC88" s="1" t="s">
        <v>254</v>
      </c>
      <c r="ED88" s="1">
        <v>0.0</v>
      </c>
      <c r="EE88" s="1" t="s">
        <v>255</v>
      </c>
      <c r="EF88" s="1" t="s">
        <v>325</v>
      </c>
      <c r="EG88" s="1" t="s">
        <v>389</v>
      </c>
      <c r="EI88" s="1" t="s">
        <v>293</v>
      </c>
      <c r="EJ88" s="1" t="s">
        <v>293</v>
      </c>
      <c r="EK88" s="1" t="s">
        <v>293</v>
      </c>
      <c r="EL88" s="1" t="s">
        <v>293</v>
      </c>
      <c r="EM88" s="1" t="s">
        <v>293</v>
      </c>
      <c r="EN88" s="1" t="s">
        <v>293</v>
      </c>
      <c r="EO88" s="1" t="s">
        <v>293</v>
      </c>
      <c r="EP88" s="1" t="s">
        <v>293</v>
      </c>
      <c r="EQ88" s="1" t="s">
        <v>293</v>
      </c>
      <c r="ER88" s="1" t="s">
        <v>293</v>
      </c>
      <c r="ES88" s="1" t="s">
        <v>293</v>
      </c>
      <c r="ET88" s="1" t="s">
        <v>293</v>
      </c>
      <c r="EU88" s="1" t="s">
        <v>293</v>
      </c>
      <c r="EV88" s="1" t="s">
        <v>387</v>
      </c>
      <c r="EW88" s="1" t="s">
        <v>255</v>
      </c>
      <c r="EX88" s="1" t="s">
        <v>254</v>
      </c>
      <c r="EY88" s="1" t="s">
        <v>484</v>
      </c>
      <c r="EZ88" s="1">
        <v>0.0</v>
      </c>
      <c r="FA88" s="1">
        <v>0.0</v>
      </c>
      <c r="FB88" s="1" t="s">
        <v>255</v>
      </c>
      <c r="FC88" s="1" t="s">
        <v>454</v>
      </c>
      <c r="FD88" s="1" t="s">
        <v>486</v>
      </c>
      <c r="FE88" s="1" t="s">
        <v>488</v>
      </c>
      <c r="FF88" s="1" t="s">
        <v>454</v>
      </c>
      <c r="FG88" s="1">
        <v>0.0</v>
      </c>
      <c r="FH88" s="1">
        <v>0.0</v>
      </c>
      <c r="FI88" s="1" t="s">
        <v>453</v>
      </c>
      <c r="FJ88" s="1" t="s">
        <v>454</v>
      </c>
      <c r="FK88" s="1">
        <v>0.0</v>
      </c>
      <c r="FL88" s="1">
        <v>0.0</v>
      </c>
      <c r="FM88" s="1">
        <v>0.0</v>
      </c>
      <c r="FN88" s="1" t="s">
        <v>293</v>
      </c>
      <c r="FO88" s="1">
        <v>0.0</v>
      </c>
      <c r="FP88" s="1">
        <v>0.0</v>
      </c>
      <c r="FQ88" s="1">
        <v>0.0</v>
      </c>
      <c r="FR88" s="45" t="s">
        <v>198</v>
      </c>
      <c r="FS88" s="28" t="s">
        <v>205</v>
      </c>
      <c r="FT88" s="28" t="s">
        <v>205</v>
      </c>
      <c r="FU88" s="28" t="s">
        <v>205</v>
      </c>
      <c r="FV88" s="1">
        <v>6.0</v>
      </c>
      <c r="FW88" s="1" t="s">
        <v>299</v>
      </c>
      <c r="FX88" s="1">
        <v>23.0</v>
      </c>
      <c r="FY88" s="1" t="s">
        <v>300</v>
      </c>
      <c r="FZ88" s="1">
        <v>20.0</v>
      </c>
      <c r="GA88" s="1" t="s">
        <v>300</v>
      </c>
      <c r="GB88" s="1">
        <v>6.0</v>
      </c>
      <c r="GC88" s="1" t="s">
        <v>299</v>
      </c>
      <c r="GD88" s="1">
        <v>6.0</v>
      </c>
      <c r="GE88" s="1" t="s">
        <v>299</v>
      </c>
      <c r="GF88" s="1">
        <v>24.0</v>
      </c>
      <c r="GG88" s="1" t="s">
        <v>300</v>
      </c>
      <c r="GH88" s="1">
        <v>15.0</v>
      </c>
      <c r="GI88" s="1" t="s">
        <v>299</v>
      </c>
      <c r="GJ88" s="1">
        <v>6.0</v>
      </c>
      <c r="GK88" s="1" t="s">
        <v>299</v>
      </c>
      <c r="GL88" s="1">
        <v>6.0</v>
      </c>
      <c r="GM88" s="1" t="s">
        <v>299</v>
      </c>
      <c r="GN88" s="1">
        <v>22.0</v>
      </c>
      <c r="GO88" s="1" t="s">
        <v>299</v>
      </c>
      <c r="GP88" s="1">
        <v>12.0</v>
      </c>
      <c r="GQ88" s="1" t="s">
        <v>299</v>
      </c>
      <c r="GR88" s="1">
        <v>25.0</v>
      </c>
      <c r="GS88" s="1" t="s">
        <v>300</v>
      </c>
      <c r="GT88" s="1">
        <v>6.0</v>
      </c>
      <c r="GU88" s="1" t="s">
        <v>299</v>
      </c>
      <c r="GV88" s="1">
        <v>12.0</v>
      </c>
      <c r="GW88" s="1" t="s">
        <v>299</v>
      </c>
      <c r="GX88" s="1">
        <v>17.0</v>
      </c>
      <c r="GY88" s="1" t="s">
        <v>300</v>
      </c>
      <c r="GZ88" s="1">
        <v>24.0</v>
      </c>
      <c r="HA88" s="1" t="s">
        <v>300</v>
      </c>
      <c r="HB88" s="1">
        <v>6.0</v>
      </c>
      <c r="HC88" s="1" t="s">
        <v>299</v>
      </c>
      <c r="HD88" s="1">
        <v>14.0</v>
      </c>
      <c r="HE88" s="1" t="s">
        <v>299</v>
      </c>
      <c r="HF88" s="1">
        <v>13.0</v>
      </c>
      <c r="HG88" s="1" t="s">
        <v>299</v>
      </c>
      <c r="HH88" s="1">
        <v>28.0</v>
      </c>
      <c r="HI88" s="1" t="s">
        <v>300</v>
      </c>
      <c r="HJ88" s="1">
        <v>16.0</v>
      </c>
      <c r="HK88" s="1" t="s">
        <v>299</v>
      </c>
    </row>
    <row r="89">
      <c r="A89" s="44" t="s">
        <v>647</v>
      </c>
      <c r="B89" s="3">
        <v>85.0</v>
      </c>
      <c r="C89" s="3" t="s">
        <v>648</v>
      </c>
      <c r="D89" s="30">
        <v>14144.0</v>
      </c>
      <c r="E89" s="1">
        <v>87.0</v>
      </c>
      <c r="F89" s="3" t="s">
        <v>252</v>
      </c>
      <c r="G89" s="3" t="s">
        <v>253</v>
      </c>
      <c r="H89" s="3" t="s">
        <v>253</v>
      </c>
      <c r="I89" s="3" t="s">
        <v>252</v>
      </c>
      <c r="J89" s="3" t="s">
        <v>253</v>
      </c>
      <c r="K89" s="3" t="s">
        <v>253</v>
      </c>
      <c r="L89" s="3" t="s">
        <v>254</v>
      </c>
      <c r="M89" s="3" t="s">
        <v>255</v>
      </c>
      <c r="N89" s="3" t="s">
        <v>254</v>
      </c>
      <c r="O89" s="3" t="s">
        <v>255</v>
      </c>
      <c r="P89" s="3" t="s">
        <v>254</v>
      </c>
      <c r="Q89" s="3" t="s">
        <v>548</v>
      </c>
      <c r="R89" s="7" t="s">
        <v>257</v>
      </c>
      <c r="S89" s="7" t="s">
        <v>258</v>
      </c>
      <c r="T89" s="1" t="s">
        <v>305</v>
      </c>
      <c r="U89" s="1" t="s">
        <v>360</v>
      </c>
      <c r="V89" s="34"/>
      <c r="W89" s="34"/>
      <c r="X89" s="1" t="s">
        <v>254</v>
      </c>
      <c r="Y89" s="34"/>
      <c r="Z89" s="1">
        <v>0.0</v>
      </c>
      <c r="AA89" s="1">
        <v>0.0</v>
      </c>
      <c r="AB89" s="1" t="s">
        <v>437</v>
      </c>
      <c r="AC89" s="1">
        <v>3.0</v>
      </c>
      <c r="AD89" s="1" t="s">
        <v>649</v>
      </c>
      <c r="AE89" s="1" t="s">
        <v>265</v>
      </c>
      <c r="AF89" s="1" t="s">
        <v>255</v>
      </c>
      <c r="AG89" s="1" t="s">
        <v>439</v>
      </c>
      <c r="AH89" s="1" t="s">
        <v>440</v>
      </c>
      <c r="AI89" s="46">
        <v>45450.0</v>
      </c>
      <c r="AJ89" s="30">
        <v>45474.0</v>
      </c>
      <c r="AK89" s="1" t="s">
        <v>267</v>
      </c>
      <c r="AL89" s="1" t="s">
        <v>578</v>
      </c>
      <c r="AM89" s="1" t="s">
        <v>610</v>
      </c>
      <c r="AN89" s="1" t="s">
        <v>269</v>
      </c>
      <c r="AO89" s="1" t="s">
        <v>270</v>
      </c>
      <c r="AP89" s="1" t="s">
        <v>284</v>
      </c>
      <c r="AQ89" s="1" t="s">
        <v>443</v>
      </c>
      <c r="AR89" s="1">
        <v>1.0</v>
      </c>
      <c r="AS89" s="1" t="s">
        <v>273</v>
      </c>
      <c r="AT89" s="1" t="s">
        <v>274</v>
      </c>
      <c r="AU89" s="1" t="s">
        <v>275</v>
      </c>
      <c r="AV89" s="1" t="s">
        <v>317</v>
      </c>
      <c r="AW89" s="1" t="s">
        <v>544</v>
      </c>
      <c r="AX89" s="1" t="s">
        <v>254</v>
      </c>
      <c r="AY89" s="1">
        <v>0.0</v>
      </c>
      <c r="AZ89" s="1" t="s">
        <v>254</v>
      </c>
      <c r="BA89" s="1" t="s">
        <v>319</v>
      </c>
      <c r="BB89" s="1" t="s">
        <v>255</v>
      </c>
      <c r="BC89" s="1" t="s">
        <v>279</v>
      </c>
      <c r="BD89" s="1">
        <v>1.0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 t="s">
        <v>382</v>
      </c>
      <c r="BM89" s="1" t="s">
        <v>578</v>
      </c>
      <c r="BN89" s="1" t="s">
        <v>610</v>
      </c>
      <c r="BO89" s="1" t="s">
        <v>269</v>
      </c>
      <c r="BP89" s="1" t="s">
        <v>270</v>
      </c>
      <c r="BQ89" s="1" t="s">
        <v>284</v>
      </c>
      <c r="BR89" s="1" t="s">
        <v>254</v>
      </c>
      <c r="BS89" s="1" t="s">
        <v>254</v>
      </c>
      <c r="BT89" s="1" t="s">
        <v>254</v>
      </c>
      <c r="BU89" s="1" t="s">
        <v>254</v>
      </c>
      <c r="BV89" s="1" t="s">
        <v>254</v>
      </c>
      <c r="BW89" s="1" t="s">
        <v>254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 t="s">
        <v>254</v>
      </c>
      <c r="CN89" s="1">
        <v>0.0</v>
      </c>
      <c r="CO89" s="1" t="s">
        <v>254</v>
      </c>
      <c r="CP89" s="1">
        <v>0.0</v>
      </c>
      <c r="CQ89" s="1">
        <v>0.0</v>
      </c>
      <c r="CR89" s="1">
        <v>0.0</v>
      </c>
      <c r="CS89" s="1">
        <v>3.0</v>
      </c>
      <c r="CT89" s="1" t="s">
        <v>652</v>
      </c>
      <c r="CU89" s="34"/>
      <c r="CV89" s="1" t="s">
        <v>254</v>
      </c>
      <c r="CW89" s="1" t="s">
        <v>254</v>
      </c>
      <c r="CX89" s="1" t="s">
        <v>254</v>
      </c>
      <c r="CY89" s="1" t="s">
        <v>254</v>
      </c>
      <c r="CZ89" s="1" t="s">
        <v>254</v>
      </c>
      <c r="DA89" s="1" t="s">
        <v>254</v>
      </c>
      <c r="DB89" s="1" t="s">
        <v>255</v>
      </c>
      <c r="DC89" s="1" t="s">
        <v>254</v>
      </c>
      <c r="DD89" s="1" t="s">
        <v>255</v>
      </c>
      <c r="DE89" s="1" t="s">
        <v>323</v>
      </c>
      <c r="DF89" s="1" t="s">
        <v>293</v>
      </c>
      <c r="DG89" s="1" t="s">
        <v>323</v>
      </c>
      <c r="DH89" s="1" t="s">
        <v>323</v>
      </c>
      <c r="DI89" s="1" t="s">
        <v>291</v>
      </c>
      <c r="DJ89" s="1" t="s">
        <v>293</v>
      </c>
      <c r="DK89" s="1" t="s">
        <v>293</v>
      </c>
      <c r="DL89" s="1" t="s">
        <v>290</v>
      </c>
      <c r="DM89" s="1" t="s">
        <v>323</v>
      </c>
      <c r="DN89" s="1" t="s">
        <v>293</v>
      </c>
      <c r="DO89" s="1" t="s">
        <v>293</v>
      </c>
      <c r="DP89" s="1" t="s">
        <v>293</v>
      </c>
      <c r="DQ89" s="1" t="s">
        <v>293</v>
      </c>
      <c r="DR89" s="1" t="s">
        <v>293</v>
      </c>
      <c r="DS89" s="1" t="s">
        <v>293</v>
      </c>
      <c r="DT89" s="1" t="s">
        <v>293</v>
      </c>
      <c r="DU89" s="1" t="s">
        <v>293</v>
      </c>
      <c r="DV89" s="1" t="s">
        <v>293</v>
      </c>
      <c r="DW89" s="1" t="s">
        <v>293</v>
      </c>
      <c r="DX89" s="1" t="s">
        <v>293</v>
      </c>
      <c r="DY89" s="1" t="s">
        <v>293</v>
      </c>
      <c r="DZ89" s="1" t="s">
        <v>293</v>
      </c>
      <c r="EA89" s="1" t="s">
        <v>254</v>
      </c>
      <c r="EB89" s="1" t="s">
        <v>254</v>
      </c>
      <c r="EC89" s="1" t="s">
        <v>254</v>
      </c>
      <c r="ED89" s="1">
        <v>0.0</v>
      </c>
      <c r="EE89" s="1" t="s">
        <v>254</v>
      </c>
      <c r="EF89" s="31">
        <v>0.0</v>
      </c>
      <c r="EG89" s="1">
        <v>0.0</v>
      </c>
      <c r="EH89" s="1">
        <v>0.0</v>
      </c>
      <c r="EI89" s="1" t="s">
        <v>293</v>
      </c>
      <c r="EJ89" s="1" t="s">
        <v>293</v>
      </c>
      <c r="EK89" s="1" t="s">
        <v>293</v>
      </c>
      <c r="EL89" s="1" t="s">
        <v>293</v>
      </c>
      <c r="EM89" s="1" t="s">
        <v>293</v>
      </c>
      <c r="EN89" s="1" t="s">
        <v>293</v>
      </c>
      <c r="EO89" s="1" t="s">
        <v>293</v>
      </c>
      <c r="EP89" s="1" t="s">
        <v>293</v>
      </c>
      <c r="EQ89" s="1" t="s">
        <v>293</v>
      </c>
      <c r="ER89" s="1" t="s">
        <v>293</v>
      </c>
      <c r="ES89" s="1" t="s">
        <v>293</v>
      </c>
      <c r="ET89" s="1" t="s">
        <v>293</v>
      </c>
      <c r="EU89" s="1" t="s">
        <v>422</v>
      </c>
      <c r="EV89" s="1" t="s">
        <v>423</v>
      </c>
      <c r="EW89" s="1" t="s">
        <v>255</v>
      </c>
      <c r="EX89" s="1" t="s">
        <v>254</v>
      </c>
      <c r="EY89" s="1" t="s">
        <v>425</v>
      </c>
      <c r="EZ89" s="1" t="s">
        <v>427</v>
      </c>
      <c r="FA89" s="1" t="s">
        <v>428</v>
      </c>
      <c r="FB89" s="1" t="s">
        <v>255</v>
      </c>
      <c r="FC89" s="1" t="s">
        <v>425</v>
      </c>
      <c r="FD89" s="1" t="s">
        <v>429</v>
      </c>
      <c r="FE89" s="1" t="s">
        <v>428</v>
      </c>
      <c r="FF89" s="1" t="s">
        <v>430</v>
      </c>
      <c r="FG89" s="1" t="s">
        <v>425</v>
      </c>
      <c r="FH89" s="1" t="s">
        <v>427</v>
      </c>
      <c r="FI89" s="1">
        <v>0.0</v>
      </c>
      <c r="FJ89" s="1" t="s">
        <v>430</v>
      </c>
      <c r="FK89" s="1" t="s">
        <v>425</v>
      </c>
      <c r="FL89" s="1" t="s">
        <v>427</v>
      </c>
      <c r="FM89" s="34"/>
      <c r="FN89" s="1" t="s">
        <v>293</v>
      </c>
      <c r="FO89" s="1">
        <v>0.0</v>
      </c>
      <c r="FP89" s="34"/>
      <c r="FQ89" s="1">
        <v>0.0</v>
      </c>
      <c r="FR89" s="45" t="s">
        <v>198</v>
      </c>
      <c r="FS89" s="28" t="s">
        <v>205</v>
      </c>
      <c r="FT89" s="28" t="s">
        <v>205</v>
      </c>
      <c r="FU89" s="28" t="s">
        <v>298</v>
      </c>
      <c r="FV89" s="1">
        <v>23.0</v>
      </c>
      <c r="FW89" s="1" t="s">
        <v>300</v>
      </c>
      <c r="FX89" s="1">
        <v>20.0</v>
      </c>
      <c r="FY89" s="1" t="s">
        <v>300</v>
      </c>
      <c r="FZ89" s="1">
        <v>24.0</v>
      </c>
      <c r="GA89" s="1" t="s">
        <v>300</v>
      </c>
      <c r="GB89" s="1">
        <v>6.0</v>
      </c>
      <c r="GC89" s="1" t="s">
        <v>299</v>
      </c>
      <c r="GD89" s="1">
        <v>6.0</v>
      </c>
      <c r="GE89" s="1" t="s">
        <v>299</v>
      </c>
      <c r="GF89" s="1">
        <v>24.0</v>
      </c>
      <c r="GG89" s="1" t="s">
        <v>300</v>
      </c>
      <c r="GH89" s="1">
        <v>18.0</v>
      </c>
      <c r="GI89" s="1" t="s">
        <v>331</v>
      </c>
      <c r="GJ89" s="1">
        <v>32.0</v>
      </c>
      <c r="GK89" s="1" t="s">
        <v>300</v>
      </c>
      <c r="GL89" s="1">
        <v>22.0</v>
      </c>
      <c r="GM89" s="1" t="s">
        <v>300</v>
      </c>
      <c r="GN89" s="1">
        <v>24.0</v>
      </c>
      <c r="GO89" s="1" t="s">
        <v>299</v>
      </c>
      <c r="GP89" s="1">
        <v>12.0</v>
      </c>
      <c r="GQ89" s="1" t="s">
        <v>299</v>
      </c>
      <c r="GR89" s="1">
        <v>24.0</v>
      </c>
      <c r="GS89" s="1" t="s">
        <v>300</v>
      </c>
      <c r="GT89" s="1">
        <v>25.0</v>
      </c>
      <c r="GU89" s="1" t="s">
        <v>300</v>
      </c>
      <c r="GV89" s="1">
        <v>12.0</v>
      </c>
      <c r="GW89" s="1" t="s">
        <v>299</v>
      </c>
      <c r="GX89" s="1">
        <v>18.0</v>
      </c>
      <c r="GY89" s="1" t="s">
        <v>300</v>
      </c>
      <c r="GZ89" s="1">
        <v>29.0</v>
      </c>
      <c r="HA89" s="1" t="s">
        <v>300</v>
      </c>
      <c r="HB89" s="1">
        <v>6.0</v>
      </c>
      <c r="HC89" s="1" t="s">
        <v>299</v>
      </c>
      <c r="HD89" s="1">
        <v>13.0</v>
      </c>
      <c r="HE89" s="1" t="s">
        <v>299</v>
      </c>
      <c r="HF89" s="1">
        <v>6.0</v>
      </c>
      <c r="HG89" s="1" t="s">
        <v>299</v>
      </c>
      <c r="HH89" s="1">
        <v>14.0</v>
      </c>
      <c r="HI89" s="1" t="s">
        <v>299</v>
      </c>
      <c r="HJ89" s="1">
        <v>24.0</v>
      </c>
      <c r="HK89" s="1" t="s">
        <v>300</v>
      </c>
    </row>
    <row r="90">
      <c r="A90" s="44" t="s">
        <v>1040</v>
      </c>
      <c r="B90" s="3">
        <v>86.0</v>
      </c>
      <c r="C90" s="3" t="s">
        <v>1041</v>
      </c>
      <c r="D90" s="30">
        <v>29646.0</v>
      </c>
      <c r="E90" s="1">
        <v>45.0</v>
      </c>
      <c r="F90" s="3" t="s">
        <v>252</v>
      </c>
      <c r="G90" s="3" t="s">
        <v>252</v>
      </c>
      <c r="H90" s="3" t="s">
        <v>253</v>
      </c>
      <c r="I90" s="3" t="s">
        <v>252</v>
      </c>
      <c r="J90" s="3" t="s">
        <v>253</v>
      </c>
      <c r="K90" s="3" t="s">
        <v>253</v>
      </c>
      <c r="L90" s="3" t="s">
        <v>254</v>
      </c>
      <c r="M90" s="3" t="s">
        <v>255</v>
      </c>
      <c r="N90" s="3" t="s">
        <v>254</v>
      </c>
      <c r="O90" s="3" t="s">
        <v>255</v>
      </c>
      <c r="P90" s="3" t="s">
        <v>254</v>
      </c>
      <c r="Q90" s="3" t="s">
        <v>548</v>
      </c>
      <c r="R90" s="7" t="s">
        <v>888</v>
      </c>
      <c r="S90" s="7" t="s">
        <v>889</v>
      </c>
      <c r="T90" s="1" t="s">
        <v>259</v>
      </c>
      <c r="U90" s="1" t="s">
        <v>360</v>
      </c>
      <c r="V90" s="34"/>
      <c r="W90" s="34"/>
      <c r="X90" s="1" t="s">
        <v>254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 t="s">
        <v>255</v>
      </c>
      <c r="AG90" s="31" t="s">
        <v>458</v>
      </c>
      <c r="AH90" s="1" t="s">
        <v>459</v>
      </c>
      <c r="AI90" s="46">
        <v>45480.0</v>
      </c>
      <c r="AJ90" s="1" t="s">
        <v>461</v>
      </c>
      <c r="AK90" s="1" t="s">
        <v>462</v>
      </c>
      <c r="AL90" s="1" t="s">
        <v>578</v>
      </c>
      <c r="AM90" s="1" t="s">
        <v>610</v>
      </c>
      <c r="AN90" s="1" t="s">
        <v>269</v>
      </c>
      <c r="AO90" s="1" t="s">
        <v>270</v>
      </c>
      <c r="AP90" s="1" t="s">
        <v>284</v>
      </c>
      <c r="AQ90" s="1" t="s">
        <v>595</v>
      </c>
      <c r="AR90" s="1">
        <v>5.0</v>
      </c>
      <c r="AS90" s="1" t="s">
        <v>273</v>
      </c>
      <c r="AT90" s="1" t="s">
        <v>274</v>
      </c>
      <c r="AU90" s="1" t="s">
        <v>275</v>
      </c>
      <c r="AV90" s="1" t="s">
        <v>276</v>
      </c>
      <c r="AW90" s="1" t="s">
        <v>402</v>
      </c>
      <c r="AX90" s="1" t="s">
        <v>254</v>
      </c>
      <c r="AY90" s="1">
        <v>0.0</v>
      </c>
      <c r="AZ90" s="1" t="s">
        <v>255</v>
      </c>
      <c r="BA90" s="1" t="s">
        <v>278</v>
      </c>
      <c r="BB90" s="1" t="s">
        <v>255</v>
      </c>
      <c r="BC90" s="1" t="s">
        <v>279</v>
      </c>
      <c r="BD90" s="1">
        <v>0.0</v>
      </c>
      <c r="BE90" s="1">
        <v>0.0</v>
      </c>
      <c r="BF90" s="1">
        <v>0.0</v>
      </c>
      <c r="BG90" s="1">
        <v>0.0</v>
      </c>
      <c r="BH90" s="1">
        <v>1.0</v>
      </c>
      <c r="BI90" s="1" t="s">
        <v>405</v>
      </c>
      <c r="BJ90" s="1" t="s">
        <v>909</v>
      </c>
      <c r="BK90" s="1" t="s">
        <v>910</v>
      </c>
      <c r="BL90" s="1" t="s">
        <v>382</v>
      </c>
      <c r="BM90" s="1" t="s">
        <v>578</v>
      </c>
      <c r="BN90" s="1" t="s">
        <v>610</v>
      </c>
      <c r="BO90" s="1" t="s">
        <v>269</v>
      </c>
      <c r="BP90" s="1" t="s">
        <v>270</v>
      </c>
      <c r="BQ90" s="1" t="s">
        <v>284</v>
      </c>
      <c r="BR90" s="1" t="s">
        <v>254</v>
      </c>
      <c r="BS90" s="1" t="s">
        <v>254</v>
      </c>
      <c r="BT90" s="1" t="s">
        <v>254</v>
      </c>
      <c r="BU90" s="1" t="s">
        <v>254</v>
      </c>
      <c r="BV90" s="1" t="s">
        <v>254</v>
      </c>
      <c r="BW90" s="1" t="s">
        <v>254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 t="s">
        <v>254</v>
      </c>
      <c r="CN90" s="1">
        <v>0.0</v>
      </c>
      <c r="CO90" s="1" t="s">
        <v>254</v>
      </c>
      <c r="CP90" s="1">
        <v>0.0</v>
      </c>
      <c r="CQ90" s="1">
        <v>5.0</v>
      </c>
      <c r="CR90" s="1">
        <v>3.0</v>
      </c>
      <c r="CS90" s="1">
        <v>2.0</v>
      </c>
      <c r="CT90" s="1" t="s">
        <v>913</v>
      </c>
      <c r="CU90" s="1" t="s">
        <v>474</v>
      </c>
      <c r="CV90" s="1" t="s">
        <v>254</v>
      </c>
      <c r="CW90" s="1" t="s">
        <v>254</v>
      </c>
      <c r="CX90" s="1" t="s">
        <v>254</v>
      </c>
      <c r="CY90" s="1" t="s">
        <v>254</v>
      </c>
      <c r="CZ90" s="1" t="s">
        <v>254</v>
      </c>
      <c r="DA90" s="1" t="s">
        <v>255</v>
      </c>
      <c r="DB90" s="1" t="s">
        <v>254</v>
      </c>
      <c r="DC90" s="1" t="s">
        <v>255</v>
      </c>
      <c r="DD90" s="1" t="s">
        <v>255</v>
      </c>
      <c r="DE90" s="1" t="s">
        <v>388</v>
      </c>
      <c r="DF90" s="1" t="s">
        <v>293</v>
      </c>
      <c r="DG90" s="1" t="s">
        <v>450</v>
      </c>
      <c r="DH90" s="1" t="s">
        <v>293</v>
      </c>
      <c r="DI90" s="1" t="s">
        <v>293</v>
      </c>
      <c r="DJ90" s="1" t="s">
        <v>293</v>
      </c>
      <c r="DK90" s="1" t="s">
        <v>293</v>
      </c>
      <c r="DL90" s="1" t="s">
        <v>353</v>
      </c>
      <c r="DM90" s="1" t="s">
        <v>293</v>
      </c>
      <c r="DN90" s="1" t="s">
        <v>293</v>
      </c>
      <c r="DO90" s="1" t="s">
        <v>293</v>
      </c>
      <c r="DP90" s="1" t="s">
        <v>451</v>
      </c>
      <c r="DQ90" s="1" t="s">
        <v>293</v>
      </c>
      <c r="DR90" s="1" t="s">
        <v>293</v>
      </c>
      <c r="DS90" s="1" t="s">
        <v>293</v>
      </c>
      <c r="DT90" s="1" t="s">
        <v>293</v>
      </c>
      <c r="DU90" s="1" t="s">
        <v>293</v>
      </c>
      <c r="DV90" s="1" t="s">
        <v>293</v>
      </c>
      <c r="DW90" s="1" t="s">
        <v>293</v>
      </c>
      <c r="DX90" s="1" t="s">
        <v>293</v>
      </c>
      <c r="DY90" s="1" t="s">
        <v>293</v>
      </c>
      <c r="DZ90" s="1" t="s">
        <v>293</v>
      </c>
      <c r="EA90" s="1" t="s">
        <v>254</v>
      </c>
      <c r="EB90" s="1" t="s">
        <v>254</v>
      </c>
      <c r="EC90" s="1" t="s">
        <v>254</v>
      </c>
      <c r="ED90" s="1">
        <v>0.0</v>
      </c>
      <c r="EE90" s="1" t="s">
        <v>255</v>
      </c>
      <c r="EF90" s="1" t="s">
        <v>452</v>
      </c>
      <c r="EG90" s="1" t="s">
        <v>389</v>
      </c>
      <c r="EI90" s="1" t="s">
        <v>390</v>
      </c>
      <c r="EJ90" s="1" t="s">
        <v>293</v>
      </c>
      <c r="EK90" s="1" t="s">
        <v>293</v>
      </c>
      <c r="EL90" s="1" t="s">
        <v>293</v>
      </c>
      <c r="EM90" s="1" t="s">
        <v>293</v>
      </c>
      <c r="EN90" s="1" t="s">
        <v>353</v>
      </c>
      <c r="EO90" s="1" t="s">
        <v>293</v>
      </c>
      <c r="EP90" s="1" t="s">
        <v>293</v>
      </c>
      <c r="EQ90" s="1" t="s">
        <v>293</v>
      </c>
      <c r="ER90" s="1" t="s">
        <v>293</v>
      </c>
      <c r="ES90" s="1" t="s">
        <v>293</v>
      </c>
      <c r="ET90" s="1" t="s">
        <v>293</v>
      </c>
      <c r="EU90" s="1" t="s">
        <v>293</v>
      </c>
      <c r="EV90" s="1" t="s">
        <v>387</v>
      </c>
      <c r="EW90" s="1" t="s">
        <v>254</v>
      </c>
      <c r="EX90" s="1" t="s">
        <v>254</v>
      </c>
      <c r="EY90" s="1">
        <v>0.0</v>
      </c>
      <c r="EZ90" s="1" t="s">
        <v>427</v>
      </c>
      <c r="FA90" s="1" t="s">
        <v>453</v>
      </c>
      <c r="FB90" s="1" t="s">
        <v>454</v>
      </c>
      <c r="FC90" s="1">
        <v>0.0</v>
      </c>
      <c r="FD90" s="1">
        <v>0.0</v>
      </c>
      <c r="FE90" s="1">
        <v>0.0</v>
      </c>
      <c r="FF90" s="1" t="s">
        <v>454</v>
      </c>
      <c r="FG90" s="1">
        <v>0.0</v>
      </c>
      <c r="FH90" s="1">
        <v>0.0</v>
      </c>
      <c r="FI90" s="1">
        <v>0.0</v>
      </c>
      <c r="FJ90" s="1" t="s">
        <v>454</v>
      </c>
      <c r="FK90" s="1">
        <v>0.0</v>
      </c>
      <c r="FL90" s="1">
        <v>0.0</v>
      </c>
      <c r="FM90" s="1">
        <v>0.0</v>
      </c>
      <c r="FN90" s="1" t="s">
        <v>454</v>
      </c>
      <c r="FO90" s="1">
        <v>0.0</v>
      </c>
      <c r="FP90" s="1">
        <v>0.0</v>
      </c>
      <c r="FQ90" s="1">
        <v>0.0</v>
      </c>
      <c r="FR90" s="26" t="s">
        <v>198</v>
      </c>
      <c r="FS90" s="28" t="s">
        <v>298</v>
      </c>
      <c r="FT90" s="28" t="s">
        <v>298</v>
      </c>
      <c r="FU90" s="28" t="s">
        <v>298</v>
      </c>
      <c r="FV90" s="1">
        <v>6.0</v>
      </c>
      <c r="FW90" s="1" t="s">
        <v>299</v>
      </c>
      <c r="FX90" s="1">
        <v>18.0</v>
      </c>
      <c r="FY90" s="1" t="s">
        <v>300</v>
      </c>
      <c r="FZ90" s="1">
        <v>18.0</v>
      </c>
      <c r="GA90" s="1" t="s">
        <v>300</v>
      </c>
      <c r="GB90" s="1">
        <v>6.0</v>
      </c>
      <c r="GC90" s="1" t="s">
        <v>299</v>
      </c>
      <c r="GD90" s="1">
        <v>23.0</v>
      </c>
      <c r="GE90" s="1" t="s">
        <v>300</v>
      </c>
      <c r="GF90" s="1">
        <v>24.0</v>
      </c>
      <c r="GG90" s="1" t="s">
        <v>300</v>
      </c>
      <c r="GH90" s="1">
        <v>23.0</v>
      </c>
      <c r="GI90" s="1" t="s">
        <v>300</v>
      </c>
      <c r="GJ90" s="1">
        <v>6.0</v>
      </c>
      <c r="GK90" s="1" t="s">
        <v>299</v>
      </c>
      <c r="GL90" s="1">
        <v>26.0</v>
      </c>
      <c r="GM90" s="1" t="s">
        <v>300</v>
      </c>
      <c r="GN90" s="1">
        <v>26.0</v>
      </c>
      <c r="GO90" s="1" t="s">
        <v>300</v>
      </c>
      <c r="GP90" s="1">
        <v>14.0</v>
      </c>
      <c r="GQ90" s="1" t="s">
        <v>299</v>
      </c>
      <c r="GR90" s="1">
        <v>30.0</v>
      </c>
      <c r="GS90" s="1" t="s">
        <v>300</v>
      </c>
      <c r="GT90" s="1">
        <v>6.0</v>
      </c>
      <c r="GU90" s="1" t="s">
        <v>299</v>
      </c>
      <c r="GV90" s="1">
        <v>14.0</v>
      </c>
      <c r="GW90" s="1" t="s">
        <v>299</v>
      </c>
      <c r="GX90" s="1">
        <v>24.0</v>
      </c>
      <c r="GY90" s="1" t="s">
        <v>300</v>
      </c>
      <c r="GZ90" s="1">
        <v>28.0</v>
      </c>
      <c r="HA90" s="1" t="s">
        <v>300</v>
      </c>
      <c r="HB90" s="1">
        <v>6.0</v>
      </c>
      <c r="HC90" s="1" t="s">
        <v>299</v>
      </c>
      <c r="HD90" s="1">
        <v>28.0</v>
      </c>
      <c r="HE90" s="1" t="s">
        <v>300</v>
      </c>
      <c r="HF90" s="1">
        <v>30.0</v>
      </c>
      <c r="HG90" s="1" t="s">
        <v>300</v>
      </c>
      <c r="HH90" s="1">
        <v>22.0</v>
      </c>
      <c r="HI90" s="1" t="s">
        <v>299</v>
      </c>
      <c r="HJ90" s="1">
        <v>28.0</v>
      </c>
      <c r="HK90" s="1" t="s">
        <v>300</v>
      </c>
    </row>
    <row r="91">
      <c r="A91" s="44" t="s">
        <v>659</v>
      </c>
      <c r="B91" s="3">
        <v>87.0</v>
      </c>
      <c r="C91" s="3" t="s">
        <v>661</v>
      </c>
      <c r="D91" s="30">
        <v>28526.0</v>
      </c>
      <c r="E91" s="1">
        <v>48.0</v>
      </c>
      <c r="F91" s="3" t="s">
        <v>252</v>
      </c>
      <c r="G91" s="3" t="s">
        <v>253</v>
      </c>
      <c r="H91" s="3" t="s">
        <v>253</v>
      </c>
      <c r="I91" s="3" t="s">
        <v>252</v>
      </c>
      <c r="J91" s="3" t="s">
        <v>253</v>
      </c>
      <c r="K91" s="3" t="s">
        <v>253</v>
      </c>
      <c r="L91" s="3" t="s">
        <v>254</v>
      </c>
      <c r="M91" s="3" t="s">
        <v>255</v>
      </c>
      <c r="N91" s="3" t="s">
        <v>254</v>
      </c>
      <c r="O91" s="3" t="s">
        <v>255</v>
      </c>
      <c r="P91" s="3" t="s">
        <v>254</v>
      </c>
      <c r="Q91" s="3" t="s">
        <v>548</v>
      </c>
      <c r="R91" s="7" t="s">
        <v>257</v>
      </c>
      <c r="S91" s="7" t="s">
        <v>258</v>
      </c>
      <c r="T91" s="1" t="s">
        <v>259</v>
      </c>
      <c r="U91" s="1" t="s">
        <v>360</v>
      </c>
      <c r="V91" s="34"/>
      <c r="W91" s="34"/>
      <c r="X91" s="1" t="s">
        <v>254</v>
      </c>
      <c r="Y91" s="1">
        <v>0.0</v>
      </c>
      <c r="Z91" s="1">
        <v>0.0</v>
      </c>
      <c r="AA91" s="1">
        <v>0.0</v>
      </c>
      <c r="AB91" s="1" t="s">
        <v>665</v>
      </c>
      <c r="AC91" s="1">
        <v>0.0</v>
      </c>
      <c r="AD91" s="1">
        <v>0.0</v>
      </c>
      <c r="AE91" s="1">
        <v>0.0</v>
      </c>
      <c r="AF91" s="1" t="s">
        <v>254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 t="s">
        <v>578</v>
      </c>
      <c r="AM91" s="1" t="s">
        <v>610</v>
      </c>
      <c r="AN91" s="1" t="s">
        <v>269</v>
      </c>
      <c r="AO91" s="1" t="s">
        <v>270</v>
      </c>
      <c r="AP91" s="1" t="s">
        <v>284</v>
      </c>
      <c r="AQ91" s="1" t="s">
        <v>595</v>
      </c>
      <c r="AR91" s="1">
        <v>4.0</v>
      </c>
      <c r="AS91" s="1" t="s">
        <v>273</v>
      </c>
      <c r="AT91" s="1" t="s">
        <v>274</v>
      </c>
      <c r="AU91" s="1" t="s">
        <v>344</v>
      </c>
      <c r="AV91" s="1" t="s">
        <v>345</v>
      </c>
      <c r="AW91" s="1" t="s">
        <v>544</v>
      </c>
      <c r="AX91" s="1" t="s">
        <v>254</v>
      </c>
      <c r="AY91" s="1">
        <v>0.0</v>
      </c>
      <c r="AZ91" s="1" t="s">
        <v>255</v>
      </c>
      <c r="BA91" s="1" t="s">
        <v>319</v>
      </c>
      <c r="BB91" s="1" t="s">
        <v>255</v>
      </c>
      <c r="BC91" s="1" t="s">
        <v>279</v>
      </c>
      <c r="BD91" s="1">
        <v>1.0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 t="s">
        <v>382</v>
      </c>
      <c r="BM91" s="1" t="s">
        <v>578</v>
      </c>
      <c r="BN91" s="1" t="s">
        <v>610</v>
      </c>
      <c r="BO91" s="1" t="s">
        <v>269</v>
      </c>
      <c r="BP91" s="1" t="s">
        <v>270</v>
      </c>
      <c r="BQ91" s="1" t="s">
        <v>284</v>
      </c>
      <c r="BR91" s="1" t="s">
        <v>255</v>
      </c>
      <c r="BS91" s="1" t="s">
        <v>525</v>
      </c>
      <c r="BT91" s="1" t="s">
        <v>254</v>
      </c>
      <c r="BU91" s="1" t="s">
        <v>254</v>
      </c>
      <c r="BV91" s="1" t="s">
        <v>254</v>
      </c>
      <c r="BW91" s="1" t="s">
        <v>255</v>
      </c>
      <c r="BX91" s="1">
        <v>0.0</v>
      </c>
      <c r="BY91" s="1">
        <v>0.0</v>
      </c>
      <c r="BZ91" s="1">
        <v>2.0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 t="s">
        <v>384</v>
      </c>
      <c r="CL91" s="1" t="s">
        <v>317</v>
      </c>
      <c r="CM91" s="1" t="s">
        <v>254</v>
      </c>
      <c r="CN91" s="1">
        <v>0.0</v>
      </c>
      <c r="CO91" s="1" t="s">
        <v>254</v>
      </c>
      <c r="CP91" s="1">
        <v>0.0</v>
      </c>
      <c r="CQ91" s="1">
        <v>4.0</v>
      </c>
      <c r="CR91" s="1">
        <v>2.0</v>
      </c>
      <c r="CS91" s="1">
        <v>2.0</v>
      </c>
      <c r="CT91" s="1" t="s">
        <v>666</v>
      </c>
      <c r="CU91" s="1" t="s">
        <v>667</v>
      </c>
      <c r="CV91" s="1" t="s">
        <v>254</v>
      </c>
      <c r="CW91" s="1" t="s">
        <v>254</v>
      </c>
      <c r="CX91" s="1" t="s">
        <v>254</v>
      </c>
      <c r="CY91" s="1" t="s">
        <v>254</v>
      </c>
      <c r="CZ91" s="1" t="s">
        <v>254</v>
      </c>
      <c r="DA91" s="1" t="s">
        <v>255</v>
      </c>
      <c r="DB91" s="1" t="s">
        <v>255</v>
      </c>
      <c r="DC91" s="1" t="s">
        <v>254</v>
      </c>
      <c r="DD91" s="1" t="s">
        <v>255</v>
      </c>
      <c r="DE91" s="1" t="s">
        <v>290</v>
      </c>
      <c r="DF91" s="1" t="s">
        <v>291</v>
      </c>
      <c r="DG91" s="1" t="s">
        <v>292</v>
      </c>
      <c r="DH91" s="1" t="s">
        <v>292</v>
      </c>
      <c r="DI91" s="1" t="s">
        <v>290</v>
      </c>
      <c r="DJ91" s="1" t="s">
        <v>293</v>
      </c>
      <c r="DK91" s="1" t="s">
        <v>293</v>
      </c>
      <c r="DL91" s="1" t="s">
        <v>290</v>
      </c>
      <c r="DM91" s="1" t="s">
        <v>291</v>
      </c>
      <c r="DN91" s="1" t="s">
        <v>293</v>
      </c>
      <c r="DO91" s="1" t="s">
        <v>293</v>
      </c>
      <c r="DP91" s="1" t="s">
        <v>293</v>
      </c>
      <c r="DQ91" s="1" t="s">
        <v>293</v>
      </c>
      <c r="DR91" s="1" t="s">
        <v>293</v>
      </c>
      <c r="DS91" s="1" t="s">
        <v>293</v>
      </c>
      <c r="DT91" s="1" t="s">
        <v>293</v>
      </c>
      <c r="DU91" s="1" t="s">
        <v>293</v>
      </c>
      <c r="DV91" s="1" t="s">
        <v>293</v>
      </c>
      <c r="DW91" s="1" t="s">
        <v>293</v>
      </c>
      <c r="DX91" s="1" t="s">
        <v>293</v>
      </c>
      <c r="DY91" s="1" t="s">
        <v>293</v>
      </c>
      <c r="DZ91" s="1" t="s">
        <v>293</v>
      </c>
      <c r="EA91" s="1" t="s">
        <v>254</v>
      </c>
      <c r="EB91" s="1" t="s">
        <v>254</v>
      </c>
      <c r="EC91" s="1" t="s">
        <v>254</v>
      </c>
      <c r="ED91" s="1">
        <v>0.0</v>
      </c>
      <c r="EE91" s="1" t="s">
        <v>255</v>
      </c>
      <c r="EF91" s="1" t="s">
        <v>294</v>
      </c>
      <c r="EG91" s="1" t="s">
        <v>295</v>
      </c>
      <c r="EI91" s="1" t="s">
        <v>293</v>
      </c>
      <c r="EJ91" s="1" t="s">
        <v>293</v>
      </c>
      <c r="EK91" s="1" t="s">
        <v>293</v>
      </c>
      <c r="EL91" s="1" t="s">
        <v>293</v>
      </c>
      <c r="EM91" s="1" t="s">
        <v>293</v>
      </c>
      <c r="EN91" s="1" t="s">
        <v>296</v>
      </c>
      <c r="EO91" s="1" t="s">
        <v>293</v>
      </c>
      <c r="EP91" s="1" t="s">
        <v>293</v>
      </c>
      <c r="EQ91" s="1" t="s">
        <v>293</v>
      </c>
      <c r="ER91" s="1" t="s">
        <v>293</v>
      </c>
      <c r="ES91" s="1" t="s">
        <v>293</v>
      </c>
      <c r="ET91" s="1" t="s">
        <v>293</v>
      </c>
      <c r="EU91" s="1" t="s">
        <v>293</v>
      </c>
      <c r="EV91" s="1" t="s">
        <v>297</v>
      </c>
      <c r="EW91" s="1" t="s">
        <v>254</v>
      </c>
      <c r="EX91" s="1" t="s">
        <v>254</v>
      </c>
      <c r="EY91" s="1">
        <v>0.0</v>
      </c>
      <c r="EZ91" s="1">
        <v>0.0</v>
      </c>
      <c r="FA91" s="1">
        <v>0.0</v>
      </c>
      <c r="FB91" s="1" t="s">
        <v>254</v>
      </c>
      <c r="FC91" s="1">
        <v>0.0</v>
      </c>
      <c r="FD91" s="1">
        <v>0.0</v>
      </c>
      <c r="FE91" s="1">
        <v>0.0</v>
      </c>
      <c r="FF91" s="1" t="s">
        <v>293</v>
      </c>
      <c r="FG91" s="1">
        <v>0.0</v>
      </c>
      <c r="FH91" s="1">
        <v>0.0</v>
      </c>
      <c r="FI91" s="1">
        <v>0.0</v>
      </c>
      <c r="FJ91" s="1" t="s">
        <v>293</v>
      </c>
      <c r="FK91" s="1">
        <v>0.0</v>
      </c>
      <c r="FL91" s="1">
        <v>0.0</v>
      </c>
      <c r="FM91" s="1">
        <v>0.0</v>
      </c>
      <c r="FN91" s="1" t="s">
        <v>293</v>
      </c>
      <c r="FO91" s="1">
        <v>0.0</v>
      </c>
      <c r="FP91" s="1">
        <v>0.0</v>
      </c>
      <c r="FQ91" s="1">
        <v>0.0</v>
      </c>
      <c r="FR91" s="45" t="s">
        <v>198</v>
      </c>
      <c r="FS91" s="28" t="s">
        <v>205</v>
      </c>
      <c r="FT91" s="28" t="s">
        <v>205</v>
      </c>
      <c r="FU91" s="28" t="s">
        <v>298</v>
      </c>
      <c r="FV91" s="1">
        <v>6.0</v>
      </c>
      <c r="FW91" s="1" t="s">
        <v>299</v>
      </c>
      <c r="FX91" s="1">
        <v>18.0</v>
      </c>
      <c r="FY91" s="1" t="s">
        <v>300</v>
      </c>
      <c r="FZ91" s="1">
        <v>6.0</v>
      </c>
      <c r="GA91" s="1" t="s">
        <v>299</v>
      </c>
      <c r="GB91" s="1">
        <v>6.0</v>
      </c>
      <c r="GC91" s="1" t="s">
        <v>299</v>
      </c>
      <c r="GD91" s="1">
        <v>18.0</v>
      </c>
      <c r="GE91" s="1" t="s">
        <v>331</v>
      </c>
      <c r="GF91" s="1">
        <v>20.0</v>
      </c>
      <c r="GG91" s="1" t="s">
        <v>300</v>
      </c>
      <c r="GH91" s="1">
        <v>11.0</v>
      </c>
      <c r="GI91" s="1" t="s">
        <v>299</v>
      </c>
      <c r="GJ91" s="1">
        <v>6.0</v>
      </c>
      <c r="GK91" s="1" t="s">
        <v>299</v>
      </c>
      <c r="GL91" s="1">
        <v>6.0</v>
      </c>
      <c r="GM91" s="1" t="s">
        <v>299</v>
      </c>
      <c r="GN91" s="1">
        <v>20.0</v>
      </c>
      <c r="GO91" s="1" t="s">
        <v>299</v>
      </c>
      <c r="GP91" s="1">
        <v>15.0</v>
      </c>
      <c r="GQ91" s="1" t="s">
        <v>299</v>
      </c>
      <c r="GR91" s="1">
        <v>22.0</v>
      </c>
      <c r="GS91" s="1" t="s">
        <v>300</v>
      </c>
      <c r="GT91" s="1">
        <v>6.0</v>
      </c>
      <c r="GU91" s="1" t="s">
        <v>299</v>
      </c>
      <c r="GV91" s="1">
        <v>16.0</v>
      </c>
      <c r="GW91" s="1" t="s">
        <v>300</v>
      </c>
      <c r="GX91" s="1">
        <v>12.0</v>
      </c>
      <c r="GY91" s="1" t="s">
        <v>300</v>
      </c>
      <c r="GZ91" s="1">
        <v>16.0</v>
      </c>
      <c r="HA91" s="1" t="s">
        <v>299</v>
      </c>
      <c r="HB91" s="1">
        <v>6.0</v>
      </c>
      <c r="HC91" s="1" t="s">
        <v>299</v>
      </c>
      <c r="HD91" s="1">
        <v>11.0</v>
      </c>
      <c r="HE91" s="1" t="s">
        <v>299</v>
      </c>
      <c r="HF91" s="1">
        <v>15.0</v>
      </c>
      <c r="HG91" s="1" t="s">
        <v>299</v>
      </c>
      <c r="HH91" s="1">
        <v>23.0</v>
      </c>
      <c r="HI91" s="1" t="s">
        <v>299</v>
      </c>
      <c r="HJ91" s="1">
        <v>17.0</v>
      </c>
      <c r="HK91" s="1" t="s">
        <v>299</v>
      </c>
    </row>
    <row r="92">
      <c r="A92" s="44" t="s">
        <v>1050</v>
      </c>
      <c r="B92" s="3">
        <v>88.0</v>
      </c>
      <c r="C92" s="3" t="s">
        <v>1051</v>
      </c>
      <c r="D92" s="30">
        <v>35045.0</v>
      </c>
      <c r="E92" s="1">
        <v>30.0</v>
      </c>
      <c r="F92" s="3" t="s">
        <v>252</v>
      </c>
      <c r="G92" s="3" t="s">
        <v>253</v>
      </c>
      <c r="H92" s="3" t="s">
        <v>253</v>
      </c>
      <c r="I92" s="3" t="s">
        <v>252</v>
      </c>
      <c r="J92" s="3" t="s">
        <v>253</v>
      </c>
      <c r="K92" s="3" t="s">
        <v>253</v>
      </c>
      <c r="L92" s="3" t="s">
        <v>254</v>
      </c>
      <c r="M92" s="3" t="s">
        <v>255</v>
      </c>
      <c r="N92" s="3" t="s">
        <v>254</v>
      </c>
      <c r="O92" s="3" t="s">
        <v>255</v>
      </c>
      <c r="P92" s="3" t="s">
        <v>254</v>
      </c>
      <c r="Q92" s="3" t="s">
        <v>548</v>
      </c>
      <c r="R92" s="7" t="s">
        <v>888</v>
      </c>
      <c r="S92" s="7" t="s">
        <v>889</v>
      </c>
      <c r="T92" s="1" t="s">
        <v>259</v>
      </c>
      <c r="U92" s="1" t="s">
        <v>590</v>
      </c>
      <c r="W92" s="34"/>
      <c r="X92" s="1" t="s">
        <v>254</v>
      </c>
      <c r="Y92" s="1" t="s">
        <v>262</v>
      </c>
      <c r="Z92" s="1">
        <v>1.0</v>
      </c>
      <c r="AA92" s="1" t="s">
        <v>908</v>
      </c>
      <c r="AB92" s="1">
        <v>0.0</v>
      </c>
      <c r="AC92" s="1">
        <v>0.0</v>
      </c>
      <c r="AD92" s="1">
        <v>0.0</v>
      </c>
      <c r="AE92" s="1">
        <v>0.0</v>
      </c>
      <c r="AF92" s="1" t="s">
        <v>254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 t="s">
        <v>821</v>
      </c>
      <c r="AM92" s="1" t="s">
        <v>610</v>
      </c>
      <c r="AN92" s="1" t="s">
        <v>269</v>
      </c>
      <c r="AO92" s="1" t="s">
        <v>270</v>
      </c>
      <c r="AP92" s="1" t="s">
        <v>342</v>
      </c>
      <c r="AQ92" s="1" t="s">
        <v>443</v>
      </c>
      <c r="AR92" s="1">
        <v>3.0</v>
      </c>
      <c r="AS92" s="1" t="s">
        <v>273</v>
      </c>
      <c r="AT92" s="1" t="s">
        <v>274</v>
      </c>
      <c r="AU92" s="1" t="s">
        <v>275</v>
      </c>
      <c r="AV92" s="1" t="s">
        <v>317</v>
      </c>
      <c r="AW92" s="1" t="s">
        <v>544</v>
      </c>
      <c r="AX92" s="1" t="s">
        <v>254</v>
      </c>
      <c r="AY92" s="1">
        <v>0.0</v>
      </c>
      <c r="AZ92" s="1" t="s">
        <v>254</v>
      </c>
      <c r="BA92" s="1" t="s">
        <v>319</v>
      </c>
      <c r="BB92" s="1" t="s">
        <v>255</v>
      </c>
      <c r="BC92" s="1" t="s">
        <v>279</v>
      </c>
      <c r="BD92" s="1">
        <v>1.0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 t="s">
        <v>466</v>
      </c>
      <c r="BM92" s="1" t="s">
        <v>821</v>
      </c>
      <c r="BN92" s="1" t="s">
        <v>610</v>
      </c>
      <c r="BO92" s="1" t="s">
        <v>269</v>
      </c>
      <c r="BP92" s="1" t="s">
        <v>270</v>
      </c>
      <c r="BQ92" s="1" t="s">
        <v>342</v>
      </c>
      <c r="BR92" s="1" t="s">
        <v>254</v>
      </c>
      <c r="BS92" s="1" t="s">
        <v>254</v>
      </c>
      <c r="BT92" s="1" t="s">
        <v>254</v>
      </c>
      <c r="BU92" s="1" t="s">
        <v>254</v>
      </c>
      <c r="BV92" s="1" t="s">
        <v>254</v>
      </c>
      <c r="BW92" s="1" t="s">
        <v>254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  <c r="CL92" s="1">
        <v>0.0</v>
      </c>
      <c r="CM92" s="1" t="s">
        <v>254</v>
      </c>
      <c r="CN92" s="1">
        <v>0.0</v>
      </c>
      <c r="CO92" s="1" t="s">
        <v>254</v>
      </c>
      <c r="CP92" s="1">
        <v>0.0</v>
      </c>
      <c r="CQ92" s="1">
        <v>3.0</v>
      </c>
      <c r="CR92" s="1">
        <v>1.0</v>
      </c>
      <c r="CS92" s="1">
        <v>2.0</v>
      </c>
      <c r="CT92" s="1" t="s">
        <v>596</v>
      </c>
      <c r="CU92" s="1" t="s">
        <v>474</v>
      </c>
      <c r="CV92" s="1" t="s">
        <v>254</v>
      </c>
      <c r="CW92" s="1" t="s">
        <v>254</v>
      </c>
      <c r="CX92" s="1" t="s">
        <v>254</v>
      </c>
      <c r="CY92" s="1" t="s">
        <v>254</v>
      </c>
      <c r="CZ92" s="1" t="s">
        <v>254</v>
      </c>
      <c r="DA92" s="1" t="s">
        <v>254</v>
      </c>
      <c r="DB92" s="1" t="s">
        <v>254</v>
      </c>
      <c r="DC92" s="1" t="s">
        <v>255</v>
      </c>
      <c r="DD92" s="1" t="s">
        <v>255</v>
      </c>
      <c r="DE92" s="1" t="s">
        <v>388</v>
      </c>
      <c r="DF92" s="1" t="s">
        <v>293</v>
      </c>
      <c r="DG92" s="1" t="s">
        <v>450</v>
      </c>
      <c r="DH92" s="1" t="s">
        <v>293</v>
      </c>
      <c r="DI92" s="1" t="s">
        <v>293</v>
      </c>
      <c r="DJ92" s="1" t="s">
        <v>293</v>
      </c>
      <c r="DK92" s="1" t="s">
        <v>293</v>
      </c>
      <c r="DL92" s="1" t="s">
        <v>353</v>
      </c>
      <c r="DM92" s="1" t="s">
        <v>293</v>
      </c>
      <c r="DN92" s="1" t="s">
        <v>293</v>
      </c>
      <c r="DO92" s="1" t="s">
        <v>293</v>
      </c>
      <c r="DP92" s="1" t="s">
        <v>293</v>
      </c>
      <c r="DQ92" s="1" t="s">
        <v>293</v>
      </c>
      <c r="DR92" s="1" t="s">
        <v>293</v>
      </c>
      <c r="DS92" s="1" t="s">
        <v>293</v>
      </c>
      <c r="DT92" s="1" t="s">
        <v>293</v>
      </c>
      <c r="DU92" s="1" t="s">
        <v>293</v>
      </c>
      <c r="DV92" s="1" t="s">
        <v>293</v>
      </c>
      <c r="DW92" s="1" t="s">
        <v>293</v>
      </c>
      <c r="DX92" s="1" t="s">
        <v>293</v>
      </c>
      <c r="DY92" s="1" t="s">
        <v>293</v>
      </c>
      <c r="DZ92" s="1" t="s">
        <v>293</v>
      </c>
      <c r="EA92" s="1" t="s">
        <v>254</v>
      </c>
      <c r="EB92" s="1" t="s">
        <v>254</v>
      </c>
      <c r="EC92" s="1" t="s">
        <v>254</v>
      </c>
      <c r="ED92" s="1">
        <v>0.0</v>
      </c>
      <c r="EE92" s="1" t="s">
        <v>255</v>
      </c>
      <c r="EF92" s="1" t="s">
        <v>294</v>
      </c>
      <c r="EG92" s="1" t="s">
        <v>295</v>
      </c>
      <c r="EI92" s="31" t="s">
        <v>383</v>
      </c>
      <c r="EJ92" s="1" t="s">
        <v>293</v>
      </c>
      <c r="EK92" s="1" t="s">
        <v>293</v>
      </c>
      <c r="EL92" s="1" t="s">
        <v>293</v>
      </c>
      <c r="EM92" s="1" t="s">
        <v>293</v>
      </c>
      <c r="EN92" s="1" t="s">
        <v>293</v>
      </c>
      <c r="EO92" s="1" t="s">
        <v>293</v>
      </c>
      <c r="EP92" s="1" t="s">
        <v>293</v>
      </c>
      <c r="EQ92" s="1" t="s">
        <v>293</v>
      </c>
      <c r="ER92" s="1" t="s">
        <v>293</v>
      </c>
      <c r="ES92" s="1" t="s">
        <v>293</v>
      </c>
      <c r="ET92" s="1" t="s">
        <v>293</v>
      </c>
      <c r="EU92" s="1" t="s">
        <v>293</v>
      </c>
      <c r="EV92" s="1" t="s">
        <v>387</v>
      </c>
      <c r="EW92" s="1" t="s">
        <v>254</v>
      </c>
      <c r="EX92" s="1" t="s">
        <v>254</v>
      </c>
      <c r="EY92" s="1">
        <v>0.0</v>
      </c>
      <c r="EZ92" s="1">
        <v>0.0</v>
      </c>
      <c r="FA92" s="1">
        <v>0.0</v>
      </c>
      <c r="FB92" s="1" t="s">
        <v>254</v>
      </c>
      <c r="FC92" s="1">
        <v>0.0</v>
      </c>
      <c r="FD92" s="1">
        <v>0.0</v>
      </c>
      <c r="FE92" s="1">
        <v>0.0</v>
      </c>
      <c r="FF92" s="1" t="s">
        <v>293</v>
      </c>
      <c r="FG92" s="1">
        <v>0.0</v>
      </c>
      <c r="FH92" s="1">
        <v>0.0</v>
      </c>
      <c r="FI92" s="1">
        <v>0.0</v>
      </c>
      <c r="FJ92" s="1" t="s">
        <v>293</v>
      </c>
      <c r="FK92" s="1">
        <v>0.0</v>
      </c>
      <c r="FL92" s="1">
        <v>0.0</v>
      </c>
      <c r="FM92" s="1">
        <v>0.0</v>
      </c>
      <c r="FN92" s="1" t="s">
        <v>293</v>
      </c>
      <c r="FO92" s="1">
        <v>0.0</v>
      </c>
      <c r="FP92" s="1">
        <v>0.0</v>
      </c>
      <c r="FQ92" s="1">
        <v>0.0</v>
      </c>
      <c r="FR92" s="26" t="s">
        <v>198</v>
      </c>
      <c r="FS92" s="28" t="s">
        <v>298</v>
      </c>
      <c r="FT92" s="28" t="s">
        <v>298</v>
      </c>
      <c r="FU92" s="28" t="s">
        <v>298</v>
      </c>
      <c r="FV92" s="1">
        <v>18.0</v>
      </c>
      <c r="FW92" s="1" t="s">
        <v>300</v>
      </c>
      <c r="FX92" s="1">
        <v>20.0</v>
      </c>
      <c r="FY92" s="1" t="s">
        <v>300</v>
      </c>
      <c r="FZ92" s="1">
        <v>19.0</v>
      </c>
      <c r="GA92" s="1" t="s">
        <v>300</v>
      </c>
      <c r="GB92" s="1">
        <v>22.0</v>
      </c>
      <c r="GC92" s="1" t="s">
        <v>300</v>
      </c>
      <c r="GD92" s="1">
        <v>20.0</v>
      </c>
      <c r="GE92" s="1" t="s">
        <v>300</v>
      </c>
      <c r="GF92" s="1">
        <v>22.0</v>
      </c>
      <c r="GG92" s="1" t="s">
        <v>300</v>
      </c>
      <c r="GH92" s="1">
        <v>21.0</v>
      </c>
      <c r="GI92" s="1" t="s">
        <v>331</v>
      </c>
      <c r="GJ92" s="1">
        <v>24.0</v>
      </c>
      <c r="GK92" s="1" t="s">
        <v>331</v>
      </c>
      <c r="GL92" s="1">
        <v>24.0</v>
      </c>
      <c r="GM92" s="1" t="s">
        <v>300</v>
      </c>
      <c r="GN92" s="1">
        <v>23.0</v>
      </c>
      <c r="GO92" s="1" t="s">
        <v>299</v>
      </c>
      <c r="GP92" s="1">
        <v>18.0</v>
      </c>
      <c r="GQ92" s="1" t="s">
        <v>300</v>
      </c>
      <c r="GR92" s="1">
        <v>22.0</v>
      </c>
      <c r="GS92" s="1" t="s">
        <v>300</v>
      </c>
      <c r="GT92" s="1">
        <v>21.0</v>
      </c>
      <c r="GU92" s="1" t="s">
        <v>331</v>
      </c>
      <c r="GV92" s="1">
        <v>17.0</v>
      </c>
      <c r="GW92" s="1" t="s">
        <v>300</v>
      </c>
      <c r="GX92" s="1">
        <v>13.0</v>
      </c>
      <c r="GY92" s="1" t="s">
        <v>300</v>
      </c>
      <c r="GZ92" s="1">
        <v>18.0</v>
      </c>
      <c r="HA92" s="1" t="s">
        <v>299</v>
      </c>
      <c r="HB92" s="1">
        <v>11.0</v>
      </c>
      <c r="HC92" s="1" t="s">
        <v>299</v>
      </c>
      <c r="HD92" s="1">
        <v>23.0</v>
      </c>
      <c r="HE92" s="1" t="s">
        <v>300</v>
      </c>
      <c r="HF92" s="1">
        <v>25.0</v>
      </c>
      <c r="HG92" s="1" t="s">
        <v>331</v>
      </c>
      <c r="HH92" s="1">
        <v>25.0</v>
      </c>
      <c r="HI92" s="1" t="s">
        <v>300</v>
      </c>
      <c r="HJ92" s="1">
        <v>20.0</v>
      </c>
      <c r="HK92" s="1" t="s">
        <v>300</v>
      </c>
    </row>
    <row r="93">
      <c r="A93" s="44" t="s">
        <v>1056</v>
      </c>
      <c r="B93" s="3">
        <v>89.0</v>
      </c>
      <c r="C93" s="3" t="s">
        <v>1057</v>
      </c>
      <c r="D93" s="30">
        <v>29074.0</v>
      </c>
      <c r="E93" s="1">
        <v>46.0</v>
      </c>
      <c r="F93" s="3" t="s">
        <v>252</v>
      </c>
      <c r="G93" s="3" t="s">
        <v>253</v>
      </c>
      <c r="H93" s="3" t="s">
        <v>253</v>
      </c>
      <c r="I93" s="3" t="s">
        <v>252</v>
      </c>
      <c r="J93" s="3" t="s">
        <v>253</v>
      </c>
      <c r="K93" s="3" t="s">
        <v>253</v>
      </c>
      <c r="L93" s="3" t="s">
        <v>254</v>
      </c>
      <c r="M93" s="3" t="s">
        <v>255</v>
      </c>
      <c r="N93" s="3" t="s">
        <v>254</v>
      </c>
      <c r="O93" s="3" t="s">
        <v>255</v>
      </c>
      <c r="P93" s="3" t="s">
        <v>254</v>
      </c>
      <c r="Q93" s="3" t="s">
        <v>548</v>
      </c>
      <c r="R93" s="7" t="s">
        <v>298</v>
      </c>
      <c r="S93" s="7" t="s">
        <v>359</v>
      </c>
      <c r="T93" s="1" t="s">
        <v>305</v>
      </c>
      <c r="U93" s="1" t="s">
        <v>306</v>
      </c>
      <c r="V93" s="1" t="s">
        <v>1060</v>
      </c>
      <c r="W93" s="34"/>
      <c r="X93" s="1" t="s">
        <v>254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 t="s">
        <v>255</v>
      </c>
      <c r="AG93" s="1" t="s">
        <v>917</v>
      </c>
      <c r="AH93" s="1" t="s">
        <v>917</v>
      </c>
      <c r="AI93" s="30">
        <v>45844.0</v>
      </c>
      <c r="AJ93" s="1" t="s">
        <v>366</v>
      </c>
      <c r="AK93" s="1" t="s">
        <v>313</v>
      </c>
      <c r="AL93" s="1" t="s">
        <v>626</v>
      </c>
      <c r="AM93" s="1" t="s">
        <v>610</v>
      </c>
      <c r="AN93" s="1" t="s">
        <v>269</v>
      </c>
      <c r="AO93" s="1" t="s">
        <v>270</v>
      </c>
      <c r="AP93" s="1" t="s">
        <v>284</v>
      </c>
      <c r="AQ93" s="1" t="s">
        <v>443</v>
      </c>
      <c r="AR93" s="1">
        <v>5.0</v>
      </c>
      <c r="AS93" s="1" t="s">
        <v>273</v>
      </c>
      <c r="AT93" s="1" t="s">
        <v>274</v>
      </c>
      <c r="AU93" s="1" t="s">
        <v>275</v>
      </c>
      <c r="AV93" s="1" t="s">
        <v>276</v>
      </c>
      <c r="AW93" s="1" t="s">
        <v>402</v>
      </c>
      <c r="AX93" s="1" t="s">
        <v>254</v>
      </c>
      <c r="AY93" s="1">
        <v>0.0</v>
      </c>
      <c r="AZ93" s="1" t="s">
        <v>255</v>
      </c>
      <c r="BA93" s="1" t="s">
        <v>278</v>
      </c>
      <c r="BB93" s="1" t="s">
        <v>255</v>
      </c>
      <c r="BC93" s="1" t="s">
        <v>279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 t="s">
        <v>466</v>
      </c>
      <c r="BM93" s="1" t="s">
        <v>626</v>
      </c>
      <c r="BN93" s="1" t="s">
        <v>610</v>
      </c>
      <c r="BO93" s="1" t="s">
        <v>269</v>
      </c>
      <c r="BP93" s="1" t="s">
        <v>270</v>
      </c>
      <c r="BQ93" s="1" t="s">
        <v>284</v>
      </c>
      <c r="BR93" s="1" t="s">
        <v>254</v>
      </c>
      <c r="BS93" s="1" t="s">
        <v>254</v>
      </c>
      <c r="BT93" s="1" t="s">
        <v>254</v>
      </c>
      <c r="BU93" s="1" t="s">
        <v>254</v>
      </c>
      <c r="BV93" s="1" t="s">
        <v>254</v>
      </c>
      <c r="BW93" s="1" t="s">
        <v>254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0.0</v>
      </c>
      <c r="CL93" s="1">
        <v>0.0</v>
      </c>
      <c r="CM93" s="1" t="s">
        <v>254</v>
      </c>
      <c r="CN93" s="1">
        <v>0.0</v>
      </c>
      <c r="CO93" s="1" t="s">
        <v>254</v>
      </c>
      <c r="CP93" s="1">
        <v>0.0</v>
      </c>
      <c r="CQ93" s="1">
        <v>6.0</v>
      </c>
      <c r="CR93" s="1">
        <v>2.0</v>
      </c>
      <c r="CS93" s="1">
        <v>4.0</v>
      </c>
      <c r="CT93" s="1" t="s">
        <v>623</v>
      </c>
      <c r="CU93" s="1" t="s">
        <v>597</v>
      </c>
      <c r="CV93" s="1" t="s">
        <v>254</v>
      </c>
      <c r="CW93" s="1" t="s">
        <v>254</v>
      </c>
      <c r="CX93" s="1" t="s">
        <v>254</v>
      </c>
      <c r="CY93" s="1" t="s">
        <v>254</v>
      </c>
      <c r="CZ93" s="1" t="s">
        <v>254</v>
      </c>
      <c r="DA93" s="1" t="s">
        <v>255</v>
      </c>
      <c r="DB93" s="1" t="s">
        <v>255</v>
      </c>
      <c r="DC93" s="1" t="s">
        <v>254</v>
      </c>
      <c r="DD93" s="1" t="s">
        <v>255</v>
      </c>
      <c r="DE93" s="1" t="s">
        <v>293</v>
      </c>
      <c r="DF93" s="1" t="s">
        <v>293</v>
      </c>
      <c r="DG93" s="1" t="s">
        <v>323</v>
      </c>
      <c r="DH93" s="1" t="s">
        <v>291</v>
      </c>
      <c r="DI93" s="1" t="s">
        <v>324</v>
      </c>
      <c r="DJ93" s="1" t="s">
        <v>293</v>
      </c>
      <c r="DK93" s="1" t="s">
        <v>293</v>
      </c>
      <c r="DL93" s="1" t="s">
        <v>323</v>
      </c>
      <c r="DM93" s="1" t="s">
        <v>293</v>
      </c>
      <c r="DN93" s="1" t="s">
        <v>291</v>
      </c>
      <c r="DO93" s="1" t="s">
        <v>293</v>
      </c>
      <c r="DP93" s="1" t="s">
        <v>293</v>
      </c>
      <c r="DQ93" s="1" t="s">
        <v>293</v>
      </c>
      <c r="DR93" s="1" t="s">
        <v>293</v>
      </c>
      <c r="DS93" s="1" t="s">
        <v>293</v>
      </c>
      <c r="DT93" s="1" t="s">
        <v>293</v>
      </c>
      <c r="DU93" s="1" t="s">
        <v>293</v>
      </c>
      <c r="DV93" s="1" t="s">
        <v>293</v>
      </c>
      <c r="DW93" s="1" t="s">
        <v>293</v>
      </c>
      <c r="DX93" s="1" t="s">
        <v>293</v>
      </c>
      <c r="DY93" s="1" t="s">
        <v>293</v>
      </c>
      <c r="DZ93" s="1" t="s">
        <v>293</v>
      </c>
      <c r="EA93" s="1" t="s">
        <v>254</v>
      </c>
      <c r="EB93" s="1" t="s">
        <v>254</v>
      </c>
      <c r="EC93" s="1" t="s">
        <v>254</v>
      </c>
      <c r="ED93" s="1">
        <v>0.0</v>
      </c>
      <c r="EE93" s="1" t="s">
        <v>255</v>
      </c>
      <c r="EF93" s="1" t="s">
        <v>354</v>
      </c>
      <c r="EG93" s="1" t="s">
        <v>295</v>
      </c>
      <c r="EI93" s="1" t="s">
        <v>293</v>
      </c>
      <c r="EJ93" s="1" t="s">
        <v>293</v>
      </c>
      <c r="EK93" s="1" t="s">
        <v>293</v>
      </c>
      <c r="EL93" s="1" t="s">
        <v>293</v>
      </c>
      <c r="EM93" s="1" t="s">
        <v>293</v>
      </c>
      <c r="EN93" s="1" t="s">
        <v>296</v>
      </c>
      <c r="EO93" s="1" t="s">
        <v>293</v>
      </c>
      <c r="EP93" s="1" t="s">
        <v>293</v>
      </c>
      <c r="EQ93" s="1" t="s">
        <v>293</v>
      </c>
      <c r="ER93" s="1" t="s">
        <v>293</v>
      </c>
      <c r="ES93" s="1" t="s">
        <v>293</v>
      </c>
      <c r="ET93" s="1" t="s">
        <v>293</v>
      </c>
      <c r="EU93" s="1" t="s">
        <v>293</v>
      </c>
      <c r="EV93" s="1" t="s">
        <v>297</v>
      </c>
      <c r="EW93" s="1" t="s">
        <v>254</v>
      </c>
      <c r="EX93" s="1" t="s">
        <v>254</v>
      </c>
      <c r="EY93" s="1">
        <v>0.0</v>
      </c>
      <c r="EZ93" s="1">
        <v>0.0</v>
      </c>
      <c r="FA93" s="1">
        <v>0.0</v>
      </c>
      <c r="FB93" s="1" t="s">
        <v>254</v>
      </c>
      <c r="FC93" s="1">
        <v>0.0</v>
      </c>
      <c r="FD93" s="1">
        <v>0.0</v>
      </c>
      <c r="FE93" s="1">
        <v>0.0</v>
      </c>
      <c r="FF93" s="1" t="s">
        <v>293</v>
      </c>
      <c r="FG93" s="1">
        <v>0.0</v>
      </c>
      <c r="FH93" s="1">
        <v>0.0</v>
      </c>
      <c r="FI93" s="1">
        <v>0.0</v>
      </c>
      <c r="FJ93" s="1" t="s">
        <v>293</v>
      </c>
      <c r="FK93" s="1">
        <v>0.0</v>
      </c>
      <c r="FL93" s="1">
        <v>0.0</v>
      </c>
      <c r="FM93" s="1">
        <v>0.0</v>
      </c>
      <c r="FN93" s="1" t="s">
        <v>293</v>
      </c>
      <c r="FO93" s="1">
        <v>0.0</v>
      </c>
      <c r="FP93" s="1">
        <v>0.0</v>
      </c>
      <c r="FQ93" s="1">
        <v>0.0</v>
      </c>
      <c r="FR93" s="28" t="s">
        <v>357</v>
      </c>
      <c r="FS93" s="28" t="s">
        <v>298</v>
      </c>
      <c r="FT93" s="28" t="s">
        <v>298</v>
      </c>
      <c r="FU93" s="28" t="s">
        <v>298</v>
      </c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  <c r="GX93" s="34"/>
      <c r="GY93" s="34"/>
      <c r="GZ93" s="34"/>
      <c r="HA93" s="34"/>
      <c r="HB93" s="34"/>
      <c r="HC93" s="34"/>
      <c r="HD93" s="34"/>
      <c r="HE93" s="34"/>
      <c r="HF93" s="34"/>
      <c r="HG93" s="34"/>
      <c r="HH93" s="34"/>
      <c r="HI93" s="34"/>
      <c r="HJ93" s="34"/>
      <c r="HK93" s="34"/>
    </row>
    <row r="94">
      <c r="A94" s="44" t="s">
        <v>1065</v>
      </c>
      <c r="B94" s="3">
        <v>90.0</v>
      </c>
      <c r="C94" s="3" t="s">
        <v>1066</v>
      </c>
      <c r="D94" s="30">
        <v>27627.0</v>
      </c>
      <c r="E94" s="1">
        <v>50.0</v>
      </c>
      <c r="F94" s="3" t="s">
        <v>252</v>
      </c>
      <c r="G94" s="3" t="s">
        <v>253</v>
      </c>
      <c r="H94" s="3" t="s">
        <v>253</v>
      </c>
      <c r="I94" s="3" t="s">
        <v>252</v>
      </c>
      <c r="J94" s="3" t="s">
        <v>253</v>
      </c>
      <c r="K94" s="3" t="s">
        <v>253</v>
      </c>
      <c r="L94" s="3" t="s">
        <v>254</v>
      </c>
      <c r="M94" s="3" t="s">
        <v>255</v>
      </c>
      <c r="N94" s="3" t="s">
        <v>254</v>
      </c>
      <c r="O94" s="3" t="s">
        <v>255</v>
      </c>
      <c r="P94" s="3" t="s">
        <v>254</v>
      </c>
      <c r="Q94" s="3" t="s">
        <v>548</v>
      </c>
      <c r="R94" s="7" t="s">
        <v>298</v>
      </c>
      <c r="S94" s="7" t="s">
        <v>359</v>
      </c>
      <c r="T94" s="1" t="s">
        <v>305</v>
      </c>
      <c r="U94" s="1" t="s">
        <v>306</v>
      </c>
      <c r="V94" s="1" t="s">
        <v>1060</v>
      </c>
      <c r="W94" s="34"/>
      <c r="X94" s="1" t="s">
        <v>254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 t="s">
        <v>254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 t="s">
        <v>594</v>
      </c>
      <c r="AM94" s="1" t="s">
        <v>610</v>
      </c>
      <c r="AN94" s="1" t="s">
        <v>269</v>
      </c>
      <c r="AO94" s="1" t="s">
        <v>270</v>
      </c>
      <c r="AP94" s="1" t="s">
        <v>284</v>
      </c>
      <c r="AQ94" s="1" t="s">
        <v>595</v>
      </c>
      <c r="AR94" s="1">
        <v>2.0</v>
      </c>
      <c r="AS94" s="1" t="s">
        <v>273</v>
      </c>
      <c r="AT94" s="1" t="s">
        <v>274</v>
      </c>
      <c r="AU94" s="1" t="s">
        <v>465</v>
      </c>
      <c r="AV94" s="1" t="s">
        <v>317</v>
      </c>
      <c r="AW94" s="1" t="s">
        <v>402</v>
      </c>
      <c r="AX94" s="1" t="s">
        <v>254</v>
      </c>
      <c r="AY94" s="1">
        <v>0.0</v>
      </c>
      <c r="AZ94" s="1" t="s">
        <v>255</v>
      </c>
      <c r="BA94" s="1" t="s">
        <v>319</v>
      </c>
      <c r="BB94" s="1" t="s">
        <v>254</v>
      </c>
      <c r="BC94" s="1" t="s">
        <v>279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 t="s">
        <v>382</v>
      </c>
      <c r="BM94" s="1" t="s">
        <v>594</v>
      </c>
      <c r="BN94" s="1" t="s">
        <v>610</v>
      </c>
      <c r="BO94" s="1" t="s">
        <v>269</v>
      </c>
      <c r="BP94" s="1" t="s">
        <v>270</v>
      </c>
      <c r="BQ94" s="1" t="s">
        <v>284</v>
      </c>
      <c r="BR94" s="1" t="s">
        <v>254</v>
      </c>
      <c r="BS94" s="1" t="s">
        <v>254</v>
      </c>
      <c r="BT94" s="1" t="s">
        <v>254</v>
      </c>
      <c r="BU94" s="1" t="s">
        <v>254</v>
      </c>
      <c r="BV94" s="1" t="s">
        <v>254</v>
      </c>
      <c r="BW94" s="1" t="s">
        <v>254</v>
      </c>
      <c r="BX94" s="1">
        <v>0.0</v>
      </c>
      <c r="BY94" s="1">
        <v>0.0</v>
      </c>
      <c r="BZ94" s="1">
        <v>0.0</v>
      </c>
      <c r="CA94" s="1">
        <v>0.0</v>
      </c>
      <c r="CB94" s="1">
        <v>0.0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0.0</v>
      </c>
      <c r="CK94" s="1">
        <v>0.0</v>
      </c>
      <c r="CL94" s="1">
        <v>0.0</v>
      </c>
      <c r="CM94" s="1" t="s">
        <v>254</v>
      </c>
      <c r="CN94" s="1">
        <v>0.0</v>
      </c>
      <c r="CO94" s="1" t="s">
        <v>254</v>
      </c>
      <c r="CP94" s="1">
        <v>0.0</v>
      </c>
      <c r="CQ94" s="1">
        <v>5.0</v>
      </c>
      <c r="CR94" s="1">
        <v>2.0</v>
      </c>
      <c r="CS94" s="1">
        <v>3.0</v>
      </c>
      <c r="CT94" s="1" t="s">
        <v>928</v>
      </c>
      <c r="CU94" s="1" t="s">
        <v>929</v>
      </c>
      <c r="CV94" s="1" t="s">
        <v>254</v>
      </c>
      <c r="CW94" s="1" t="s">
        <v>254</v>
      </c>
      <c r="CX94" s="1" t="s">
        <v>254</v>
      </c>
      <c r="CY94" s="1" t="s">
        <v>254</v>
      </c>
      <c r="CZ94" s="1" t="s">
        <v>254</v>
      </c>
      <c r="DA94" s="1" t="s">
        <v>255</v>
      </c>
      <c r="DB94" s="1" t="s">
        <v>255</v>
      </c>
      <c r="DC94" s="1" t="s">
        <v>254</v>
      </c>
      <c r="DD94" s="1" t="s">
        <v>255</v>
      </c>
      <c r="DE94" s="1" t="s">
        <v>477</v>
      </c>
      <c r="DF94" s="1" t="s">
        <v>293</v>
      </c>
      <c r="DG94" s="1" t="s">
        <v>353</v>
      </c>
      <c r="DH94" s="31" t="s">
        <v>383</v>
      </c>
      <c r="DI94" s="1" t="s">
        <v>450</v>
      </c>
      <c r="DJ94" s="1" t="s">
        <v>293</v>
      </c>
      <c r="DK94" s="1" t="s">
        <v>293</v>
      </c>
      <c r="DL94" s="1" t="s">
        <v>388</v>
      </c>
      <c r="DM94" s="1" t="s">
        <v>293</v>
      </c>
      <c r="DN94" s="1" t="s">
        <v>450</v>
      </c>
      <c r="DO94" s="1" t="s">
        <v>293</v>
      </c>
      <c r="DP94" s="34"/>
      <c r="DQ94" s="1" t="s">
        <v>293</v>
      </c>
      <c r="DR94" s="1" t="s">
        <v>293</v>
      </c>
      <c r="DS94" s="1" t="s">
        <v>293</v>
      </c>
      <c r="DT94" s="1" t="s">
        <v>293</v>
      </c>
      <c r="DU94" s="1" t="s">
        <v>293</v>
      </c>
      <c r="DV94" s="1" t="s">
        <v>293</v>
      </c>
      <c r="DW94" s="1" t="s">
        <v>293</v>
      </c>
      <c r="DX94" s="1" t="s">
        <v>293</v>
      </c>
      <c r="DY94" s="1" t="s">
        <v>293</v>
      </c>
      <c r="DZ94" s="1" t="s">
        <v>293</v>
      </c>
      <c r="EA94" s="1" t="s">
        <v>254</v>
      </c>
      <c r="EB94" s="1" t="s">
        <v>254</v>
      </c>
      <c r="EC94" s="1" t="s">
        <v>254</v>
      </c>
      <c r="ED94" s="1">
        <v>0.0</v>
      </c>
      <c r="EE94" s="1" t="s">
        <v>255</v>
      </c>
      <c r="EF94" s="1" t="s">
        <v>325</v>
      </c>
      <c r="EG94" s="1" t="s">
        <v>389</v>
      </c>
      <c r="EI94" s="1" t="s">
        <v>293</v>
      </c>
      <c r="EJ94" s="1" t="s">
        <v>293</v>
      </c>
      <c r="EK94" s="1" t="s">
        <v>293</v>
      </c>
      <c r="EL94" s="1" t="s">
        <v>293</v>
      </c>
      <c r="EM94" s="1" t="s">
        <v>293</v>
      </c>
      <c r="EN94" s="1" t="s">
        <v>293</v>
      </c>
      <c r="EO94" s="1" t="s">
        <v>293</v>
      </c>
      <c r="EP94" s="1" t="s">
        <v>293</v>
      </c>
      <c r="EQ94" s="1" t="s">
        <v>293</v>
      </c>
      <c r="ER94" s="1" t="s">
        <v>293</v>
      </c>
      <c r="ES94" s="1" t="s">
        <v>293</v>
      </c>
      <c r="ET94" s="1" t="s">
        <v>293</v>
      </c>
      <c r="EU94" s="1" t="s">
        <v>293</v>
      </c>
      <c r="EV94" s="1" t="s">
        <v>387</v>
      </c>
      <c r="EW94" s="1" t="s">
        <v>255</v>
      </c>
      <c r="EX94" s="1" t="s">
        <v>254</v>
      </c>
      <c r="EY94" s="1" t="s">
        <v>484</v>
      </c>
      <c r="EZ94" s="1">
        <v>0.0</v>
      </c>
      <c r="FA94" s="1">
        <v>0.0</v>
      </c>
      <c r="FB94" s="1" t="s">
        <v>255</v>
      </c>
      <c r="FC94" s="1" t="s">
        <v>454</v>
      </c>
      <c r="FD94" s="1" t="s">
        <v>486</v>
      </c>
      <c r="FE94" s="1" t="s">
        <v>488</v>
      </c>
      <c r="FF94" s="1" t="s">
        <v>454</v>
      </c>
      <c r="FG94" s="1">
        <v>0.0</v>
      </c>
      <c r="FH94" s="1">
        <v>0.0</v>
      </c>
      <c r="FI94" s="1" t="s">
        <v>453</v>
      </c>
      <c r="FJ94" s="1" t="s">
        <v>454</v>
      </c>
      <c r="FK94" s="1">
        <v>0.0</v>
      </c>
      <c r="FL94" s="1">
        <v>0.0</v>
      </c>
      <c r="FM94" s="1">
        <v>0.0</v>
      </c>
      <c r="FN94" s="1" t="s">
        <v>293</v>
      </c>
      <c r="FO94" s="1">
        <v>0.0</v>
      </c>
      <c r="FP94" s="1">
        <v>0.0</v>
      </c>
      <c r="FQ94" s="1">
        <v>0.0</v>
      </c>
      <c r="FR94" s="28" t="s">
        <v>357</v>
      </c>
      <c r="FS94" s="28" t="s">
        <v>298</v>
      </c>
      <c r="FT94" s="28" t="s">
        <v>298</v>
      </c>
      <c r="FU94" s="28" t="s">
        <v>298</v>
      </c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  <c r="HB94" s="34"/>
      <c r="HC94" s="34"/>
      <c r="HD94" s="34"/>
      <c r="HE94" s="34"/>
      <c r="HF94" s="34"/>
      <c r="HG94" s="34"/>
      <c r="HH94" s="34"/>
      <c r="HI94" s="34"/>
      <c r="HJ94" s="34"/>
      <c r="HK94" s="34"/>
    </row>
    <row r="95">
      <c r="A95" s="44" t="s">
        <v>1071</v>
      </c>
      <c r="B95" s="3">
        <v>91.0</v>
      </c>
      <c r="C95" s="3" t="s">
        <v>1072</v>
      </c>
      <c r="D95" s="30">
        <v>20401.0</v>
      </c>
      <c r="E95" s="1">
        <v>70.0</v>
      </c>
      <c r="F95" s="3" t="s">
        <v>252</v>
      </c>
      <c r="G95" s="3" t="s">
        <v>253</v>
      </c>
      <c r="H95" s="3" t="s">
        <v>253</v>
      </c>
      <c r="I95" s="3" t="s">
        <v>252</v>
      </c>
      <c r="J95" s="3" t="s">
        <v>253</v>
      </c>
      <c r="K95" s="3" t="s">
        <v>253</v>
      </c>
      <c r="L95" s="3" t="s">
        <v>254</v>
      </c>
      <c r="M95" s="3" t="s">
        <v>255</v>
      </c>
      <c r="N95" s="3" t="s">
        <v>254</v>
      </c>
      <c r="O95" s="3" t="s">
        <v>255</v>
      </c>
      <c r="P95" s="3" t="s">
        <v>254</v>
      </c>
      <c r="Q95" s="3" t="s">
        <v>548</v>
      </c>
      <c r="R95" s="7" t="s">
        <v>298</v>
      </c>
      <c r="S95" s="7" t="s">
        <v>359</v>
      </c>
      <c r="T95" s="1" t="s">
        <v>305</v>
      </c>
      <c r="U95" s="1" t="s">
        <v>550</v>
      </c>
      <c r="V95" s="1" t="s">
        <v>1060</v>
      </c>
      <c r="W95" s="34"/>
      <c r="X95" s="1" t="s">
        <v>254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 t="s">
        <v>254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 t="s">
        <v>821</v>
      </c>
      <c r="AM95" s="1" t="s">
        <v>610</v>
      </c>
      <c r="AN95" s="1" t="s">
        <v>269</v>
      </c>
      <c r="AO95" s="1" t="s">
        <v>270</v>
      </c>
      <c r="AP95" s="1" t="s">
        <v>284</v>
      </c>
      <c r="AQ95" s="1" t="s">
        <v>579</v>
      </c>
      <c r="AR95" s="1">
        <v>2.0</v>
      </c>
      <c r="AS95" s="1" t="s">
        <v>273</v>
      </c>
      <c r="AT95" s="1" t="s">
        <v>274</v>
      </c>
      <c r="AU95" s="1" t="s">
        <v>275</v>
      </c>
      <c r="AV95" s="1" t="s">
        <v>379</v>
      </c>
      <c r="AW95" s="1" t="s">
        <v>402</v>
      </c>
      <c r="AX95" s="1" t="s">
        <v>254</v>
      </c>
      <c r="AY95" s="1">
        <v>0.0</v>
      </c>
      <c r="AZ95" s="1" t="s">
        <v>255</v>
      </c>
      <c r="BA95" s="1" t="s">
        <v>446</v>
      </c>
      <c r="BB95" s="1" t="s">
        <v>255</v>
      </c>
      <c r="BC95" s="1" t="s">
        <v>279</v>
      </c>
      <c r="BD95" s="1">
        <v>1.0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 t="s">
        <v>382</v>
      </c>
      <c r="BM95" s="1" t="s">
        <v>821</v>
      </c>
      <c r="BN95" s="1" t="s">
        <v>610</v>
      </c>
      <c r="BO95" s="1" t="s">
        <v>269</v>
      </c>
      <c r="BP95" s="1" t="s">
        <v>270</v>
      </c>
      <c r="BQ95" s="1" t="s">
        <v>284</v>
      </c>
      <c r="BR95" s="1" t="s">
        <v>255</v>
      </c>
      <c r="BS95" s="1" t="s">
        <v>447</v>
      </c>
      <c r="BT95" s="1" t="s">
        <v>414</v>
      </c>
      <c r="BU95" s="1" t="s">
        <v>254</v>
      </c>
      <c r="BV95" s="1" t="s">
        <v>254</v>
      </c>
      <c r="BW95" s="1" t="s">
        <v>254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0.0</v>
      </c>
      <c r="CL95" s="1">
        <v>0.0</v>
      </c>
      <c r="CM95" s="1" t="s">
        <v>254</v>
      </c>
      <c r="CN95" s="1">
        <v>0.0</v>
      </c>
      <c r="CO95" s="1" t="s">
        <v>254</v>
      </c>
      <c r="CP95" s="1">
        <v>0.0</v>
      </c>
      <c r="CQ95" s="1">
        <v>0.0</v>
      </c>
      <c r="CR95" s="1">
        <v>4.0</v>
      </c>
      <c r="CS95" s="1">
        <v>1.0</v>
      </c>
      <c r="CT95" s="1">
        <v>3.0</v>
      </c>
      <c r="CU95" s="1">
        <v>0.0</v>
      </c>
      <c r="CV95" s="1" t="s">
        <v>255</v>
      </c>
      <c r="CW95" s="1" t="s">
        <v>254</v>
      </c>
      <c r="CX95" s="1" t="s">
        <v>254</v>
      </c>
      <c r="CY95" s="1" t="s">
        <v>254</v>
      </c>
      <c r="CZ95" s="1" t="s">
        <v>254</v>
      </c>
      <c r="DA95" s="1" t="s">
        <v>255</v>
      </c>
      <c r="DB95" s="1" t="s">
        <v>254</v>
      </c>
      <c r="DC95" s="1" t="s">
        <v>255</v>
      </c>
      <c r="DD95" s="1" t="s">
        <v>255</v>
      </c>
      <c r="DE95" s="1" t="s">
        <v>388</v>
      </c>
      <c r="DF95" s="1" t="s">
        <v>293</v>
      </c>
      <c r="DG95" s="1" t="s">
        <v>450</v>
      </c>
      <c r="DH95" s="1" t="s">
        <v>293</v>
      </c>
      <c r="DI95" s="1" t="s">
        <v>293</v>
      </c>
      <c r="DJ95" s="1" t="s">
        <v>293</v>
      </c>
      <c r="DK95" s="1" t="s">
        <v>293</v>
      </c>
      <c r="DL95" s="1" t="s">
        <v>353</v>
      </c>
      <c r="DM95" s="1" t="s">
        <v>293</v>
      </c>
      <c r="DN95" s="1" t="s">
        <v>293</v>
      </c>
      <c r="DO95" s="1" t="s">
        <v>293</v>
      </c>
      <c r="DP95" s="1" t="s">
        <v>451</v>
      </c>
      <c r="DQ95" s="1" t="s">
        <v>293</v>
      </c>
      <c r="DR95" s="1" t="s">
        <v>293</v>
      </c>
      <c r="DS95" s="1" t="s">
        <v>293</v>
      </c>
      <c r="DT95" s="1" t="s">
        <v>293</v>
      </c>
      <c r="DU95" s="1" t="s">
        <v>293</v>
      </c>
      <c r="DV95" s="1" t="s">
        <v>293</v>
      </c>
      <c r="DW95" s="1" t="s">
        <v>293</v>
      </c>
      <c r="DX95" s="1" t="s">
        <v>293</v>
      </c>
      <c r="DY95" s="1" t="s">
        <v>293</v>
      </c>
      <c r="DZ95" s="1" t="s">
        <v>293</v>
      </c>
      <c r="EA95" s="1" t="s">
        <v>254</v>
      </c>
      <c r="EB95" s="1" t="s">
        <v>254</v>
      </c>
      <c r="EC95" s="1" t="s">
        <v>254</v>
      </c>
      <c r="ED95" s="1">
        <v>0.0</v>
      </c>
      <c r="EE95" s="1" t="s">
        <v>255</v>
      </c>
      <c r="EF95" s="1" t="s">
        <v>452</v>
      </c>
      <c r="EG95" s="1" t="s">
        <v>389</v>
      </c>
      <c r="EI95" s="1" t="s">
        <v>390</v>
      </c>
      <c r="EJ95" s="1" t="s">
        <v>293</v>
      </c>
      <c r="EK95" s="1" t="s">
        <v>293</v>
      </c>
      <c r="EL95" s="1" t="s">
        <v>293</v>
      </c>
      <c r="EM95" s="1" t="s">
        <v>293</v>
      </c>
      <c r="EN95" s="1" t="s">
        <v>353</v>
      </c>
      <c r="EO95" s="1" t="s">
        <v>293</v>
      </c>
      <c r="EP95" s="1" t="s">
        <v>293</v>
      </c>
      <c r="EQ95" s="1" t="s">
        <v>293</v>
      </c>
      <c r="ER95" s="1" t="s">
        <v>293</v>
      </c>
      <c r="ES95" s="1" t="s">
        <v>293</v>
      </c>
      <c r="ET95" s="1" t="s">
        <v>293</v>
      </c>
      <c r="EU95" s="1" t="s">
        <v>293</v>
      </c>
      <c r="EV95" s="1" t="s">
        <v>387</v>
      </c>
      <c r="EW95" s="1" t="s">
        <v>254</v>
      </c>
      <c r="EX95" s="1" t="s">
        <v>254</v>
      </c>
      <c r="EY95" s="1">
        <v>0.0</v>
      </c>
      <c r="EZ95" s="1" t="s">
        <v>427</v>
      </c>
      <c r="FA95" s="1" t="s">
        <v>453</v>
      </c>
      <c r="FB95" s="1" t="s">
        <v>454</v>
      </c>
      <c r="FC95" s="1">
        <v>0.0</v>
      </c>
      <c r="FD95" s="1">
        <v>0.0</v>
      </c>
      <c r="FE95" s="1">
        <v>0.0</v>
      </c>
      <c r="FF95" s="1" t="s">
        <v>454</v>
      </c>
      <c r="FG95" s="1">
        <v>0.0</v>
      </c>
      <c r="FH95" s="1">
        <v>0.0</v>
      </c>
      <c r="FI95" s="1">
        <v>0.0</v>
      </c>
      <c r="FJ95" s="1" t="s">
        <v>454</v>
      </c>
      <c r="FK95" s="1">
        <v>0.0</v>
      </c>
      <c r="FL95" s="1">
        <v>0.0</v>
      </c>
      <c r="FM95" s="1">
        <v>0.0</v>
      </c>
      <c r="FN95" s="1" t="s">
        <v>454</v>
      </c>
      <c r="FO95" s="1">
        <v>0.0</v>
      </c>
      <c r="FP95" s="1">
        <v>0.0</v>
      </c>
      <c r="FQ95" s="1">
        <v>0.0</v>
      </c>
      <c r="FR95" s="28" t="s">
        <v>357</v>
      </c>
      <c r="FS95" s="28" t="s">
        <v>298</v>
      </c>
      <c r="FT95" s="28" t="s">
        <v>298</v>
      </c>
      <c r="FU95" s="28" t="s">
        <v>298</v>
      </c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  <c r="GX95" s="34"/>
      <c r="GY95" s="34"/>
      <c r="GZ95" s="34"/>
      <c r="HA95" s="34"/>
      <c r="HB95" s="34"/>
      <c r="HC95" s="34"/>
      <c r="HD95" s="34"/>
      <c r="HE95" s="34"/>
      <c r="HF95" s="34"/>
      <c r="HG95" s="34"/>
      <c r="HH95" s="34"/>
      <c r="HI95" s="34"/>
      <c r="HJ95" s="34"/>
      <c r="HK95" s="34"/>
    </row>
    <row r="96">
      <c r="A96" s="44" t="s">
        <v>670</v>
      </c>
      <c r="B96" s="3">
        <v>92.0</v>
      </c>
      <c r="C96" s="3" t="s">
        <v>671</v>
      </c>
      <c r="D96" s="30">
        <v>36476.0</v>
      </c>
      <c r="E96" s="1">
        <v>26.0</v>
      </c>
      <c r="F96" s="3" t="s">
        <v>252</v>
      </c>
      <c r="G96" s="3" t="s">
        <v>253</v>
      </c>
      <c r="H96" s="3" t="s">
        <v>253</v>
      </c>
      <c r="I96" s="3" t="s">
        <v>252</v>
      </c>
      <c r="J96" s="3" t="s">
        <v>253</v>
      </c>
      <c r="K96" s="3" t="s">
        <v>253</v>
      </c>
      <c r="L96" s="3" t="s">
        <v>254</v>
      </c>
      <c r="M96" s="3" t="s">
        <v>255</v>
      </c>
      <c r="N96" s="3" t="s">
        <v>254</v>
      </c>
      <c r="O96" s="3" t="s">
        <v>255</v>
      </c>
      <c r="P96" s="3" t="s">
        <v>254</v>
      </c>
      <c r="Q96" s="3" t="s">
        <v>548</v>
      </c>
      <c r="R96" s="7" t="s">
        <v>257</v>
      </c>
      <c r="S96" s="7" t="s">
        <v>258</v>
      </c>
      <c r="T96" s="1" t="s">
        <v>259</v>
      </c>
      <c r="U96" s="1" t="s">
        <v>306</v>
      </c>
      <c r="W96" s="34"/>
      <c r="X96" s="1" t="s">
        <v>254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 t="s">
        <v>255</v>
      </c>
      <c r="AG96" s="1" t="s">
        <v>672</v>
      </c>
      <c r="AH96" s="1" t="s">
        <v>673</v>
      </c>
      <c r="AI96" s="30">
        <v>45872.0</v>
      </c>
      <c r="AJ96" s="1" t="s">
        <v>366</v>
      </c>
      <c r="AK96" s="1">
        <v>0.0</v>
      </c>
      <c r="AL96" s="1" t="s">
        <v>609</v>
      </c>
      <c r="AM96" s="1" t="s">
        <v>610</v>
      </c>
      <c r="AN96" s="1" t="s">
        <v>269</v>
      </c>
      <c r="AO96" s="1" t="s">
        <v>270</v>
      </c>
      <c r="AP96" s="1" t="s">
        <v>284</v>
      </c>
      <c r="AQ96" s="1" t="s">
        <v>464</v>
      </c>
      <c r="AR96" s="1">
        <v>3.0</v>
      </c>
      <c r="AS96" s="1" t="s">
        <v>273</v>
      </c>
      <c r="AT96" s="1" t="s">
        <v>274</v>
      </c>
      <c r="AU96" s="1" t="s">
        <v>275</v>
      </c>
      <c r="AV96" s="1" t="s">
        <v>276</v>
      </c>
      <c r="AW96" s="1" t="s">
        <v>544</v>
      </c>
      <c r="AX96" s="1" t="s">
        <v>254</v>
      </c>
      <c r="AY96" s="1">
        <v>0.0</v>
      </c>
      <c r="AZ96" s="1" t="s">
        <v>255</v>
      </c>
      <c r="BA96" s="1" t="s">
        <v>278</v>
      </c>
      <c r="BB96" s="1" t="s">
        <v>255</v>
      </c>
      <c r="BC96" s="1" t="s">
        <v>279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 t="s">
        <v>320</v>
      </c>
      <c r="BM96" s="1" t="s">
        <v>609</v>
      </c>
      <c r="BN96" s="1" t="s">
        <v>610</v>
      </c>
      <c r="BO96" s="1" t="s">
        <v>269</v>
      </c>
      <c r="BP96" s="1" t="s">
        <v>270</v>
      </c>
      <c r="BQ96" s="1" t="s">
        <v>284</v>
      </c>
      <c r="BR96" s="1" t="s">
        <v>254</v>
      </c>
      <c r="BS96" s="1" t="s">
        <v>254</v>
      </c>
      <c r="BT96" s="1" t="s">
        <v>254</v>
      </c>
      <c r="BU96" s="1" t="s">
        <v>254</v>
      </c>
      <c r="BV96" s="1" t="s">
        <v>254</v>
      </c>
      <c r="BW96" s="1" t="s">
        <v>254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0.0</v>
      </c>
      <c r="CL96" s="1">
        <v>0.0</v>
      </c>
      <c r="CM96" s="1" t="s">
        <v>254</v>
      </c>
      <c r="CN96" s="1">
        <v>0.0</v>
      </c>
      <c r="CO96" s="1" t="s">
        <v>254</v>
      </c>
      <c r="CP96" s="1">
        <v>0.0</v>
      </c>
      <c r="CQ96" s="1">
        <v>2.0</v>
      </c>
      <c r="CR96" s="1">
        <v>0.0</v>
      </c>
      <c r="CS96" s="1">
        <v>2.0</v>
      </c>
      <c r="CT96" s="1" t="s">
        <v>675</v>
      </c>
      <c r="CU96" s="1" t="s">
        <v>676</v>
      </c>
      <c r="CV96" s="1" t="s">
        <v>255</v>
      </c>
      <c r="CW96" s="1" t="s">
        <v>254</v>
      </c>
      <c r="CX96" s="1" t="s">
        <v>254</v>
      </c>
      <c r="CY96" s="1" t="s">
        <v>254</v>
      </c>
      <c r="CZ96" s="1" t="s">
        <v>254</v>
      </c>
      <c r="DA96" s="1" t="s">
        <v>255</v>
      </c>
      <c r="DB96" s="1" t="s">
        <v>254</v>
      </c>
      <c r="DC96" s="1" t="s">
        <v>255</v>
      </c>
      <c r="DD96" s="1" t="s">
        <v>255</v>
      </c>
      <c r="DE96" s="1" t="s">
        <v>388</v>
      </c>
      <c r="DF96" s="1" t="s">
        <v>293</v>
      </c>
      <c r="DG96" s="1" t="s">
        <v>450</v>
      </c>
      <c r="DH96" s="1" t="s">
        <v>293</v>
      </c>
      <c r="DI96" s="1" t="s">
        <v>293</v>
      </c>
      <c r="DJ96" s="1" t="s">
        <v>293</v>
      </c>
      <c r="DK96" s="1" t="s">
        <v>293</v>
      </c>
      <c r="DL96" s="1" t="s">
        <v>353</v>
      </c>
      <c r="DM96" s="1" t="s">
        <v>293</v>
      </c>
      <c r="DN96" s="1" t="s">
        <v>293</v>
      </c>
      <c r="DO96" s="1" t="s">
        <v>293</v>
      </c>
      <c r="DP96" s="1" t="s">
        <v>451</v>
      </c>
      <c r="DQ96" s="1" t="s">
        <v>293</v>
      </c>
      <c r="DR96" s="1" t="s">
        <v>293</v>
      </c>
      <c r="DS96" s="1" t="s">
        <v>293</v>
      </c>
      <c r="DT96" s="1" t="s">
        <v>293</v>
      </c>
      <c r="DU96" s="1" t="s">
        <v>293</v>
      </c>
      <c r="DV96" s="1" t="s">
        <v>293</v>
      </c>
      <c r="DW96" s="1" t="s">
        <v>293</v>
      </c>
      <c r="DX96" s="1" t="s">
        <v>293</v>
      </c>
      <c r="DY96" s="1" t="s">
        <v>293</v>
      </c>
      <c r="DZ96" s="1" t="s">
        <v>293</v>
      </c>
      <c r="EA96" s="1" t="s">
        <v>254</v>
      </c>
      <c r="EB96" s="1" t="s">
        <v>254</v>
      </c>
      <c r="EC96" s="1" t="s">
        <v>254</v>
      </c>
      <c r="ED96" s="1">
        <v>0.0</v>
      </c>
      <c r="EE96" s="1" t="s">
        <v>255</v>
      </c>
      <c r="EF96" s="1" t="s">
        <v>452</v>
      </c>
      <c r="EG96" s="1" t="s">
        <v>389</v>
      </c>
      <c r="EI96" s="1" t="s">
        <v>390</v>
      </c>
      <c r="EJ96" s="1" t="s">
        <v>293</v>
      </c>
      <c r="EK96" s="1" t="s">
        <v>293</v>
      </c>
      <c r="EL96" s="1" t="s">
        <v>293</v>
      </c>
      <c r="EM96" s="1" t="s">
        <v>293</v>
      </c>
      <c r="EN96" s="1" t="s">
        <v>353</v>
      </c>
      <c r="EO96" s="1" t="s">
        <v>293</v>
      </c>
      <c r="EP96" s="1" t="s">
        <v>293</v>
      </c>
      <c r="EQ96" s="1" t="s">
        <v>293</v>
      </c>
      <c r="ER96" s="1" t="s">
        <v>293</v>
      </c>
      <c r="ES96" s="1" t="s">
        <v>293</v>
      </c>
      <c r="ET96" s="1" t="s">
        <v>293</v>
      </c>
      <c r="EU96" s="1" t="s">
        <v>293</v>
      </c>
      <c r="EV96" s="1" t="s">
        <v>387</v>
      </c>
      <c r="EW96" s="1" t="s">
        <v>254</v>
      </c>
      <c r="EX96" s="1" t="s">
        <v>254</v>
      </c>
      <c r="EY96" s="1">
        <v>0.0</v>
      </c>
      <c r="EZ96" s="1" t="s">
        <v>427</v>
      </c>
      <c r="FA96" s="1" t="s">
        <v>453</v>
      </c>
      <c r="FB96" s="1" t="s">
        <v>454</v>
      </c>
      <c r="FC96" s="1">
        <v>0.0</v>
      </c>
      <c r="FD96" s="1">
        <v>0.0</v>
      </c>
      <c r="FE96" s="1">
        <v>0.0</v>
      </c>
      <c r="FF96" s="1" t="s">
        <v>454</v>
      </c>
      <c r="FG96" s="1">
        <v>0.0</v>
      </c>
      <c r="FH96" s="1">
        <v>0.0</v>
      </c>
      <c r="FI96" s="1">
        <v>0.0</v>
      </c>
      <c r="FJ96" s="1" t="s">
        <v>454</v>
      </c>
      <c r="FK96" s="1">
        <v>0.0</v>
      </c>
      <c r="FL96" s="1">
        <v>0.0</v>
      </c>
      <c r="FM96" s="1">
        <v>0.0</v>
      </c>
      <c r="FN96" s="1" t="s">
        <v>454</v>
      </c>
      <c r="FO96" s="1">
        <v>0.0</v>
      </c>
      <c r="FP96" s="1">
        <v>0.0</v>
      </c>
      <c r="FQ96" s="1">
        <v>0.0</v>
      </c>
      <c r="FR96" s="45" t="s">
        <v>198</v>
      </c>
      <c r="FS96" s="28" t="s">
        <v>205</v>
      </c>
      <c r="FT96" s="28" t="s">
        <v>205</v>
      </c>
      <c r="FU96" s="28" t="s">
        <v>298</v>
      </c>
      <c r="FV96" s="1">
        <v>6.0</v>
      </c>
      <c r="FW96" s="1" t="s">
        <v>299</v>
      </c>
      <c r="FX96" s="1">
        <v>20.0</v>
      </c>
      <c r="FY96" s="1" t="s">
        <v>300</v>
      </c>
      <c r="FZ96" s="1">
        <v>16.0</v>
      </c>
      <c r="GA96" s="1" t="s">
        <v>300</v>
      </c>
      <c r="GB96" s="1">
        <v>6.0</v>
      </c>
      <c r="GC96" s="1" t="s">
        <v>299</v>
      </c>
      <c r="GD96" s="1">
        <v>6.0</v>
      </c>
      <c r="GE96" s="1" t="s">
        <v>299</v>
      </c>
      <c r="GF96" s="1">
        <v>24.0</v>
      </c>
      <c r="GG96" s="1" t="s">
        <v>300</v>
      </c>
      <c r="GH96" s="1">
        <v>11.0</v>
      </c>
      <c r="GI96" s="1" t="s">
        <v>299</v>
      </c>
      <c r="GJ96" s="1">
        <v>6.0</v>
      </c>
      <c r="GK96" s="1" t="s">
        <v>299</v>
      </c>
      <c r="GL96" s="1">
        <v>6.0</v>
      </c>
      <c r="GM96" s="1" t="s">
        <v>299</v>
      </c>
      <c r="GN96" s="1">
        <v>23.0</v>
      </c>
      <c r="GO96" s="1" t="s">
        <v>299</v>
      </c>
      <c r="GP96" s="1">
        <v>6.0</v>
      </c>
      <c r="GQ96" s="1" t="s">
        <v>299</v>
      </c>
      <c r="GR96" s="1">
        <v>23.0</v>
      </c>
      <c r="GS96" s="1" t="s">
        <v>300</v>
      </c>
      <c r="GT96" s="1">
        <v>6.0</v>
      </c>
      <c r="GU96" s="1" t="s">
        <v>299</v>
      </c>
      <c r="GV96" s="1">
        <v>13.0</v>
      </c>
      <c r="GW96" s="1" t="s">
        <v>299</v>
      </c>
      <c r="GX96" s="1">
        <v>18.0</v>
      </c>
      <c r="GY96" s="1" t="s">
        <v>300</v>
      </c>
      <c r="GZ96" s="1">
        <v>22.0</v>
      </c>
      <c r="HA96" s="1" t="s">
        <v>299</v>
      </c>
      <c r="HB96" s="1">
        <v>6.0</v>
      </c>
      <c r="HC96" s="1" t="s">
        <v>299</v>
      </c>
      <c r="HD96" s="1">
        <v>11.0</v>
      </c>
      <c r="HE96" s="1" t="s">
        <v>299</v>
      </c>
      <c r="HF96" s="1">
        <v>14.0</v>
      </c>
      <c r="HG96" s="1" t="s">
        <v>299</v>
      </c>
      <c r="HH96" s="1">
        <v>23.0</v>
      </c>
      <c r="HI96" s="1" t="s">
        <v>299</v>
      </c>
      <c r="HJ96" s="1">
        <v>18.0</v>
      </c>
      <c r="HK96" s="1" t="s">
        <v>299</v>
      </c>
    </row>
    <row r="97">
      <c r="A97" s="44" t="s">
        <v>680</v>
      </c>
      <c r="B97" s="3">
        <v>93.0</v>
      </c>
      <c r="C97" s="3" t="s">
        <v>681</v>
      </c>
      <c r="D97" s="30">
        <v>20935.0</v>
      </c>
      <c r="E97" s="1">
        <v>69.0</v>
      </c>
      <c r="F97" s="3" t="s">
        <v>252</v>
      </c>
      <c r="G97" s="3" t="s">
        <v>253</v>
      </c>
      <c r="H97" s="3" t="s">
        <v>253</v>
      </c>
      <c r="I97" s="3" t="s">
        <v>252</v>
      </c>
      <c r="J97" s="3" t="s">
        <v>253</v>
      </c>
      <c r="K97" s="3" t="s">
        <v>253</v>
      </c>
      <c r="L97" s="3" t="s">
        <v>254</v>
      </c>
      <c r="M97" s="3" t="s">
        <v>255</v>
      </c>
      <c r="N97" s="3" t="s">
        <v>254</v>
      </c>
      <c r="O97" s="3" t="s">
        <v>255</v>
      </c>
      <c r="P97" s="3" t="s">
        <v>254</v>
      </c>
      <c r="Q97" s="3" t="s">
        <v>548</v>
      </c>
      <c r="R97" s="7" t="s">
        <v>334</v>
      </c>
      <c r="S97" s="7" t="s">
        <v>258</v>
      </c>
      <c r="T97" s="1" t="s">
        <v>259</v>
      </c>
      <c r="U97" s="1" t="s">
        <v>360</v>
      </c>
      <c r="V97" s="34"/>
      <c r="W97" s="34"/>
      <c r="X97" s="1" t="s">
        <v>254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 t="s">
        <v>254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 t="s">
        <v>622</v>
      </c>
      <c r="AM97" s="1" t="s">
        <v>610</v>
      </c>
      <c r="AN97" s="1" t="s">
        <v>269</v>
      </c>
      <c r="AO97" s="1" t="s">
        <v>270</v>
      </c>
      <c r="AP97" s="1" t="s">
        <v>284</v>
      </c>
      <c r="AQ97" s="1" t="s">
        <v>443</v>
      </c>
      <c r="AR97" s="1">
        <v>2.0</v>
      </c>
      <c r="AS97" s="1" t="s">
        <v>273</v>
      </c>
      <c r="AT97" s="1" t="s">
        <v>274</v>
      </c>
      <c r="AU97" s="1" t="s">
        <v>316</v>
      </c>
      <c r="AV97" s="1" t="s">
        <v>317</v>
      </c>
      <c r="AW97" s="1" t="s">
        <v>402</v>
      </c>
      <c r="AX97" s="1" t="s">
        <v>254</v>
      </c>
      <c r="AY97" s="1">
        <v>0.0</v>
      </c>
      <c r="AZ97" s="1" t="s">
        <v>255</v>
      </c>
      <c r="BA97" s="1" t="s">
        <v>319</v>
      </c>
      <c r="BB97" s="1" t="s">
        <v>255</v>
      </c>
      <c r="BC97" s="31" t="s">
        <v>279</v>
      </c>
      <c r="BD97" s="1">
        <v>1.0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 t="s">
        <v>382</v>
      </c>
      <c r="BM97" s="1" t="s">
        <v>622</v>
      </c>
      <c r="BN97" s="1" t="s">
        <v>610</v>
      </c>
      <c r="BO97" s="1" t="s">
        <v>269</v>
      </c>
      <c r="BP97" s="1" t="s">
        <v>270</v>
      </c>
      <c r="BQ97" s="1" t="s">
        <v>284</v>
      </c>
      <c r="BR97" s="1" t="s">
        <v>254</v>
      </c>
      <c r="BS97" s="1" t="s">
        <v>254</v>
      </c>
      <c r="BT97" s="1" t="s">
        <v>254</v>
      </c>
      <c r="BU97" s="1" t="s">
        <v>254</v>
      </c>
      <c r="BV97" s="1" t="s">
        <v>254</v>
      </c>
      <c r="BW97" s="1" t="s">
        <v>254</v>
      </c>
      <c r="BX97" s="1">
        <v>0.0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 t="s">
        <v>254</v>
      </c>
      <c r="CN97" s="1">
        <v>0.0</v>
      </c>
      <c r="CO97" s="1" t="s">
        <v>254</v>
      </c>
      <c r="CP97" s="1">
        <v>0.0</v>
      </c>
      <c r="CQ97" s="1">
        <v>0.0</v>
      </c>
      <c r="CR97" s="1">
        <v>0.0</v>
      </c>
      <c r="CS97" s="1">
        <v>3.0</v>
      </c>
      <c r="CT97" s="1" t="s">
        <v>652</v>
      </c>
      <c r="CU97" s="34"/>
      <c r="CV97" s="1" t="s">
        <v>254</v>
      </c>
      <c r="CW97" s="1" t="s">
        <v>254</v>
      </c>
      <c r="CX97" s="1" t="s">
        <v>254</v>
      </c>
      <c r="CY97" s="1" t="s">
        <v>254</v>
      </c>
      <c r="CZ97" s="1" t="s">
        <v>254</v>
      </c>
      <c r="DA97" s="1" t="s">
        <v>254</v>
      </c>
      <c r="DB97" s="1" t="s">
        <v>255</v>
      </c>
      <c r="DC97" s="1" t="s">
        <v>254</v>
      </c>
      <c r="DD97" s="1" t="s">
        <v>255</v>
      </c>
      <c r="DE97" s="1" t="s">
        <v>323</v>
      </c>
      <c r="DF97" s="1" t="s">
        <v>293</v>
      </c>
      <c r="DG97" s="1" t="s">
        <v>323</v>
      </c>
      <c r="DH97" s="1" t="s">
        <v>323</v>
      </c>
      <c r="DI97" s="1" t="s">
        <v>291</v>
      </c>
      <c r="DJ97" s="1" t="s">
        <v>293</v>
      </c>
      <c r="DK97" s="1" t="s">
        <v>293</v>
      </c>
      <c r="DL97" s="1" t="s">
        <v>290</v>
      </c>
      <c r="DM97" s="1" t="s">
        <v>323</v>
      </c>
      <c r="DN97" s="1" t="s">
        <v>293</v>
      </c>
      <c r="DO97" s="1" t="s">
        <v>293</v>
      </c>
      <c r="DP97" s="1" t="s">
        <v>293</v>
      </c>
      <c r="DQ97" s="1" t="s">
        <v>293</v>
      </c>
      <c r="DR97" s="1" t="s">
        <v>293</v>
      </c>
      <c r="DS97" s="1" t="s">
        <v>293</v>
      </c>
      <c r="DT97" s="1" t="s">
        <v>293</v>
      </c>
      <c r="DU97" s="1" t="s">
        <v>293</v>
      </c>
      <c r="DV97" s="1" t="s">
        <v>293</v>
      </c>
      <c r="DW97" s="1" t="s">
        <v>293</v>
      </c>
      <c r="DX97" s="1" t="s">
        <v>293</v>
      </c>
      <c r="DY97" s="1" t="s">
        <v>293</v>
      </c>
      <c r="DZ97" s="1" t="s">
        <v>293</v>
      </c>
      <c r="EA97" s="1" t="s">
        <v>254</v>
      </c>
      <c r="EB97" s="1" t="s">
        <v>254</v>
      </c>
      <c r="EC97" s="1" t="s">
        <v>254</v>
      </c>
      <c r="ED97" s="1">
        <v>0.0</v>
      </c>
      <c r="EE97" s="1" t="s">
        <v>254</v>
      </c>
      <c r="EF97" s="31">
        <v>0.0</v>
      </c>
      <c r="EG97" s="1">
        <v>0.0</v>
      </c>
      <c r="EH97" s="34"/>
      <c r="EI97" s="1" t="s">
        <v>293</v>
      </c>
      <c r="EJ97" s="1" t="s">
        <v>293</v>
      </c>
      <c r="EK97" s="1" t="s">
        <v>293</v>
      </c>
      <c r="EL97" s="1" t="s">
        <v>293</v>
      </c>
      <c r="EM97" s="1" t="s">
        <v>293</v>
      </c>
      <c r="EN97" s="1" t="s">
        <v>293</v>
      </c>
      <c r="EO97" s="1" t="s">
        <v>293</v>
      </c>
      <c r="EP97" s="1" t="s">
        <v>293</v>
      </c>
      <c r="EQ97" s="1" t="s">
        <v>293</v>
      </c>
      <c r="ER97" s="1" t="s">
        <v>293</v>
      </c>
      <c r="ES97" s="1" t="s">
        <v>293</v>
      </c>
      <c r="ET97" s="1" t="s">
        <v>293</v>
      </c>
      <c r="EU97" s="1" t="s">
        <v>422</v>
      </c>
      <c r="EV97" s="1" t="s">
        <v>423</v>
      </c>
      <c r="EW97" s="1" t="s">
        <v>255</v>
      </c>
      <c r="EX97" s="1" t="s">
        <v>254</v>
      </c>
      <c r="EY97" s="1" t="s">
        <v>425</v>
      </c>
      <c r="EZ97" s="1" t="s">
        <v>427</v>
      </c>
      <c r="FA97" s="1" t="s">
        <v>428</v>
      </c>
      <c r="FB97" s="1" t="s">
        <v>255</v>
      </c>
      <c r="FC97" s="1" t="s">
        <v>425</v>
      </c>
      <c r="FD97" s="1" t="s">
        <v>429</v>
      </c>
      <c r="FE97" s="1" t="s">
        <v>428</v>
      </c>
      <c r="FF97" s="1" t="s">
        <v>430</v>
      </c>
      <c r="FG97" s="1" t="s">
        <v>425</v>
      </c>
      <c r="FH97" s="1" t="s">
        <v>427</v>
      </c>
      <c r="FI97" s="1">
        <v>0.0</v>
      </c>
      <c r="FJ97" s="1" t="s">
        <v>430</v>
      </c>
      <c r="FK97" s="1" t="s">
        <v>425</v>
      </c>
      <c r="FL97" s="1" t="s">
        <v>427</v>
      </c>
      <c r="FM97" s="1">
        <v>0.0</v>
      </c>
      <c r="FN97" s="1" t="s">
        <v>293</v>
      </c>
      <c r="FO97" s="1">
        <v>0.0</v>
      </c>
      <c r="FP97" s="1">
        <v>0.0</v>
      </c>
      <c r="FQ97" s="1">
        <v>0.0</v>
      </c>
      <c r="FR97" s="45" t="s">
        <v>198</v>
      </c>
      <c r="FS97" s="28" t="s">
        <v>205</v>
      </c>
      <c r="FT97" s="28" t="s">
        <v>205</v>
      </c>
      <c r="FU97" s="28" t="s">
        <v>205</v>
      </c>
      <c r="FV97" s="1">
        <v>6.0</v>
      </c>
      <c r="FW97" s="1" t="s">
        <v>299</v>
      </c>
      <c r="FX97" s="1">
        <v>22.0</v>
      </c>
      <c r="FY97" s="1" t="s">
        <v>300</v>
      </c>
      <c r="FZ97" s="1">
        <v>6.0</v>
      </c>
      <c r="GA97" s="1" t="s">
        <v>299</v>
      </c>
      <c r="GB97" s="1">
        <v>6.0</v>
      </c>
      <c r="GC97" s="1" t="s">
        <v>299</v>
      </c>
      <c r="GD97" s="1">
        <v>11.0</v>
      </c>
      <c r="GE97" s="1" t="s">
        <v>299</v>
      </c>
      <c r="GF97" s="1">
        <v>6.0</v>
      </c>
      <c r="GG97" s="1" t="s">
        <v>299</v>
      </c>
      <c r="GH97" s="1">
        <v>16.0</v>
      </c>
      <c r="GI97" s="1" t="s">
        <v>299</v>
      </c>
      <c r="GJ97" s="1">
        <v>6.0</v>
      </c>
      <c r="GK97" s="1" t="s">
        <v>299</v>
      </c>
      <c r="GL97" s="1">
        <v>6.0</v>
      </c>
      <c r="GM97" s="1" t="s">
        <v>299</v>
      </c>
      <c r="GN97" s="1">
        <v>23.0</v>
      </c>
      <c r="GO97" s="1" t="s">
        <v>299</v>
      </c>
      <c r="GP97" s="1">
        <v>15.0</v>
      </c>
      <c r="GQ97" s="1" t="s">
        <v>299</v>
      </c>
      <c r="GR97" s="1">
        <v>18.0</v>
      </c>
      <c r="GS97" s="1" t="s">
        <v>299</v>
      </c>
      <c r="GT97" s="1">
        <v>6.0</v>
      </c>
      <c r="GU97" s="1" t="s">
        <v>299</v>
      </c>
      <c r="GV97" s="1">
        <v>9.0</v>
      </c>
      <c r="GW97" s="1" t="s">
        <v>299</v>
      </c>
      <c r="GX97" s="1">
        <v>11.0</v>
      </c>
      <c r="GY97" s="1" t="s">
        <v>300</v>
      </c>
      <c r="GZ97" s="1">
        <v>23.0</v>
      </c>
      <c r="HA97" s="1" t="s">
        <v>299</v>
      </c>
      <c r="HB97" s="1">
        <v>6.0</v>
      </c>
      <c r="HC97" s="1" t="s">
        <v>299</v>
      </c>
      <c r="HD97" s="1">
        <v>20.0</v>
      </c>
      <c r="HE97" s="1" t="s">
        <v>300</v>
      </c>
      <c r="HF97" s="1">
        <v>23.0</v>
      </c>
      <c r="HG97" s="1" t="s">
        <v>299</v>
      </c>
      <c r="HH97" s="1">
        <v>25.0</v>
      </c>
      <c r="HI97" s="1" t="s">
        <v>300</v>
      </c>
      <c r="HJ97" s="1">
        <v>10.0</v>
      </c>
      <c r="HK97" s="1" t="s">
        <v>299</v>
      </c>
    </row>
    <row r="98">
      <c r="A98" s="44" t="s">
        <v>680</v>
      </c>
      <c r="B98" s="3" t="s">
        <v>444</v>
      </c>
      <c r="C98" s="3" t="s">
        <v>688</v>
      </c>
      <c r="D98" s="30">
        <v>20935.0</v>
      </c>
      <c r="E98" s="1">
        <v>69.0</v>
      </c>
      <c r="F98" s="3" t="s">
        <v>252</v>
      </c>
      <c r="G98" s="3" t="s">
        <v>253</v>
      </c>
      <c r="H98" s="3" t="s">
        <v>253</v>
      </c>
      <c r="I98" s="3" t="s">
        <v>252</v>
      </c>
      <c r="J98" s="3" t="s">
        <v>253</v>
      </c>
      <c r="K98" s="3" t="s">
        <v>253</v>
      </c>
      <c r="L98" s="3" t="s">
        <v>254</v>
      </c>
      <c r="M98" s="3" t="s">
        <v>255</v>
      </c>
      <c r="N98" s="3" t="s">
        <v>254</v>
      </c>
      <c r="O98" s="3" t="s">
        <v>255</v>
      </c>
      <c r="P98" s="3" t="s">
        <v>254</v>
      </c>
      <c r="Q98" s="3" t="s">
        <v>548</v>
      </c>
      <c r="R98" s="7" t="s">
        <v>334</v>
      </c>
      <c r="S98" s="7" t="s">
        <v>258</v>
      </c>
      <c r="T98" s="1" t="s">
        <v>259</v>
      </c>
      <c r="U98" s="1" t="s">
        <v>360</v>
      </c>
      <c r="V98" s="34"/>
      <c r="W98" s="34"/>
      <c r="X98" s="1" t="s">
        <v>254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 t="s">
        <v>254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 t="s">
        <v>622</v>
      </c>
      <c r="AM98" s="1" t="s">
        <v>610</v>
      </c>
      <c r="AN98" s="1" t="s">
        <v>269</v>
      </c>
      <c r="AO98" s="1" t="s">
        <v>270</v>
      </c>
      <c r="AP98" s="1" t="s">
        <v>284</v>
      </c>
      <c r="AQ98" s="1" t="s">
        <v>443</v>
      </c>
      <c r="AR98" s="1">
        <v>2.0</v>
      </c>
      <c r="AS98" s="1" t="s">
        <v>273</v>
      </c>
      <c r="AT98" s="1" t="s">
        <v>274</v>
      </c>
      <c r="AU98" s="1" t="s">
        <v>316</v>
      </c>
      <c r="AV98" s="1" t="s">
        <v>317</v>
      </c>
      <c r="AW98" s="1" t="s">
        <v>402</v>
      </c>
      <c r="AX98" s="1" t="s">
        <v>254</v>
      </c>
      <c r="AY98" s="1">
        <v>0.0</v>
      </c>
      <c r="AZ98" s="1" t="s">
        <v>255</v>
      </c>
      <c r="BA98" s="1" t="s">
        <v>319</v>
      </c>
      <c r="BB98" s="1" t="s">
        <v>255</v>
      </c>
      <c r="BC98" s="31" t="s">
        <v>279</v>
      </c>
      <c r="BD98" s="1">
        <v>1.0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 t="s">
        <v>382</v>
      </c>
      <c r="BM98" s="1" t="s">
        <v>622</v>
      </c>
      <c r="BN98" s="1" t="s">
        <v>610</v>
      </c>
      <c r="BO98" s="1" t="s">
        <v>269</v>
      </c>
      <c r="BP98" s="1" t="s">
        <v>270</v>
      </c>
      <c r="BQ98" s="1" t="s">
        <v>284</v>
      </c>
      <c r="BR98" s="1" t="s">
        <v>254</v>
      </c>
      <c r="BS98" s="1" t="s">
        <v>254</v>
      </c>
      <c r="BT98" s="1" t="s">
        <v>254</v>
      </c>
      <c r="BU98" s="1" t="s">
        <v>254</v>
      </c>
      <c r="BV98" s="1" t="s">
        <v>254</v>
      </c>
      <c r="BW98" s="1" t="s">
        <v>254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1" t="s">
        <v>254</v>
      </c>
      <c r="CN98" s="1">
        <v>0.0</v>
      </c>
      <c r="CO98" s="1" t="s">
        <v>254</v>
      </c>
      <c r="CP98" s="1">
        <v>0.0</v>
      </c>
      <c r="CQ98" s="1">
        <v>0.0</v>
      </c>
      <c r="CR98" s="1">
        <v>0.0</v>
      </c>
      <c r="CS98" s="1">
        <v>3.0</v>
      </c>
      <c r="CT98" s="1" t="s">
        <v>652</v>
      </c>
      <c r="CU98" s="34"/>
      <c r="CV98" s="1" t="s">
        <v>254</v>
      </c>
      <c r="CW98" s="1" t="s">
        <v>254</v>
      </c>
      <c r="CX98" s="1" t="s">
        <v>254</v>
      </c>
      <c r="CY98" s="1" t="s">
        <v>254</v>
      </c>
      <c r="CZ98" s="1" t="s">
        <v>254</v>
      </c>
      <c r="DA98" s="1" t="s">
        <v>254</v>
      </c>
      <c r="DB98" s="1" t="s">
        <v>255</v>
      </c>
      <c r="DC98" s="1" t="s">
        <v>254</v>
      </c>
      <c r="DD98" s="1" t="s">
        <v>255</v>
      </c>
      <c r="DE98" s="1" t="s">
        <v>323</v>
      </c>
      <c r="DF98" s="1" t="s">
        <v>293</v>
      </c>
      <c r="DG98" s="1" t="s">
        <v>323</v>
      </c>
      <c r="DH98" s="1" t="s">
        <v>323</v>
      </c>
      <c r="DI98" s="1" t="s">
        <v>291</v>
      </c>
      <c r="DJ98" s="1" t="s">
        <v>293</v>
      </c>
      <c r="DK98" s="1" t="s">
        <v>293</v>
      </c>
      <c r="DL98" s="1" t="s">
        <v>290</v>
      </c>
      <c r="DM98" s="1" t="s">
        <v>323</v>
      </c>
      <c r="DN98" s="1" t="s">
        <v>293</v>
      </c>
      <c r="DO98" s="1" t="s">
        <v>293</v>
      </c>
      <c r="DP98" s="1" t="s">
        <v>293</v>
      </c>
      <c r="DQ98" s="1" t="s">
        <v>293</v>
      </c>
      <c r="DR98" s="1" t="s">
        <v>293</v>
      </c>
      <c r="DS98" s="1" t="s">
        <v>293</v>
      </c>
      <c r="DT98" s="1" t="s">
        <v>293</v>
      </c>
      <c r="DU98" s="1" t="s">
        <v>293</v>
      </c>
      <c r="DV98" s="1" t="s">
        <v>293</v>
      </c>
      <c r="DW98" s="1" t="s">
        <v>293</v>
      </c>
      <c r="DX98" s="1" t="s">
        <v>293</v>
      </c>
      <c r="DY98" s="1" t="s">
        <v>293</v>
      </c>
      <c r="DZ98" s="1" t="s">
        <v>293</v>
      </c>
      <c r="EA98" s="1" t="s">
        <v>254</v>
      </c>
      <c r="EB98" s="1" t="s">
        <v>254</v>
      </c>
      <c r="EC98" s="1" t="s">
        <v>254</v>
      </c>
      <c r="ED98" s="1">
        <v>0.0</v>
      </c>
      <c r="EE98" s="1" t="s">
        <v>254</v>
      </c>
      <c r="EF98" s="31">
        <v>0.0</v>
      </c>
      <c r="EG98" s="1">
        <v>0.0</v>
      </c>
      <c r="EH98" s="34"/>
      <c r="EI98" s="1" t="s">
        <v>293</v>
      </c>
      <c r="EJ98" s="1" t="s">
        <v>293</v>
      </c>
      <c r="EK98" s="1" t="s">
        <v>293</v>
      </c>
      <c r="EL98" s="1" t="s">
        <v>293</v>
      </c>
      <c r="EM98" s="1" t="s">
        <v>293</v>
      </c>
      <c r="EN98" s="1" t="s">
        <v>293</v>
      </c>
      <c r="EO98" s="1" t="s">
        <v>293</v>
      </c>
      <c r="EP98" s="1" t="s">
        <v>293</v>
      </c>
      <c r="EQ98" s="1" t="s">
        <v>293</v>
      </c>
      <c r="ER98" s="1" t="s">
        <v>293</v>
      </c>
      <c r="ES98" s="1" t="s">
        <v>293</v>
      </c>
      <c r="ET98" s="1" t="s">
        <v>293</v>
      </c>
      <c r="EU98" s="1" t="s">
        <v>422</v>
      </c>
      <c r="EV98" s="1" t="s">
        <v>423</v>
      </c>
      <c r="EW98" s="1" t="s">
        <v>255</v>
      </c>
      <c r="EX98" s="1" t="s">
        <v>254</v>
      </c>
      <c r="EY98" s="1" t="s">
        <v>425</v>
      </c>
      <c r="EZ98" s="1" t="s">
        <v>427</v>
      </c>
      <c r="FA98" s="1" t="s">
        <v>428</v>
      </c>
      <c r="FB98" s="1" t="s">
        <v>255</v>
      </c>
      <c r="FC98" s="1" t="s">
        <v>425</v>
      </c>
      <c r="FD98" s="1" t="s">
        <v>429</v>
      </c>
      <c r="FE98" s="1" t="s">
        <v>428</v>
      </c>
      <c r="FF98" s="1" t="s">
        <v>430</v>
      </c>
      <c r="FG98" s="1" t="s">
        <v>425</v>
      </c>
      <c r="FH98" s="1" t="s">
        <v>427</v>
      </c>
      <c r="FI98" s="1">
        <v>0.0</v>
      </c>
      <c r="FJ98" s="1" t="s">
        <v>430</v>
      </c>
      <c r="FK98" s="1" t="s">
        <v>425</v>
      </c>
      <c r="FL98" s="1" t="s">
        <v>427</v>
      </c>
      <c r="FM98" s="1">
        <v>0.0</v>
      </c>
      <c r="FN98" s="1" t="s">
        <v>293</v>
      </c>
      <c r="FO98" s="1">
        <v>0.0</v>
      </c>
      <c r="FP98" s="1">
        <v>0.0</v>
      </c>
      <c r="FQ98" s="1">
        <v>0.0</v>
      </c>
      <c r="FR98" s="27" t="s">
        <v>514</v>
      </c>
      <c r="FS98" s="28" t="s">
        <v>205</v>
      </c>
      <c r="FT98" s="28" t="s">
        <v>205</v>
      </c>
      <c r="FU98" s="28" t="s">
        <v>205</v>
      </c>
      <c r="FV98" s="1">
        <v>15.0</v>
      </c>
      <c r="FW98" s="1" t="s">
        <v>300</v>
      </c>
      <c r="FX98" s="1">
        <v>20.0</v>
      </c>
      <c r="FY98" s="1" t="s">
        <v>300</v>
      </c>
      <c r="FZ98" s="1">
        <v>12.0</v>
      </c>
      <c r="GA98" s="1" t="s">
        <v>299</v>
      </c>
      <c r="GB98" s="1">
        <v>6.0</v>
      </c>
      <c r="GC98" s="1" t="s">
        <v>299</v>
      </c>
      <c r="GD98" s="1">
        <v>13.0</v>
      </c>
      <c r="GE98" s="1" t="s">
        <v>299</v>
      </c>
      <c r="GF98" s="1">
        <v>10.0</v>
      </c>
      <c r="GG98" s="1" t="s">
        <v>299</v>
      </c>
      <c r="GH98" s="1">
        <v>17.0</v>
      </c>
      <c r="GI98" s="1" t="s">
        <v>299</v>
      </c>
      <c r="GJ98" s="1">
        <v>24.0</v>
      </c>
      <c r="GK98" s="1" t="s">
        <v>331</v>
      </c>
      <c r="GL98" s="1">
        <v>25.0</v>
      </c>
      <c r="GM98" s="1" t="s">
        <v>300</v>
      </c>
      <c r="GN98" s="1">
        <v>23.0</v>
      </c>
      <c r="GO98" s="1" t="s">
        <v>299</v>
      </c>
      <c r="GP98" s="1">
        <v>16.0</v>
      </c>
      <c r="GQ98" s="1" t="s">
        <v>299</v>
      </c>
      <c r="GR98" s="1">
        <v>23.0</v>
      </c>
      <c r="GS98" s="1" t="s">
        <v>300</v>
      </c>
      <c r="GT98" s="1">
        <v>20.0</v>
      </c>
      <c r="GU98" s="1" t="s">
        <v>331</v>
      </c>
      <c r="GV98" s="1">
        <v>17.0</v>
      </c>
      <c r="GW98" s="1" t="s">
        <v>300</v>
      </c>
      <c r="GX98" s="1">
        <v>17.0</v>
      </c>
      <c r="GY98" s="1" t="s">
        <v>300</v>
      </c>
      <c r="GZ98" s="1">
        <v>26.0</v>
      </c>
      <c r="HA98" s="1" t="s">
        <v>300</v>
      </c>
      <c r="HB98" s="1">
        <v>6.0</v>
      </c>
      <c r="HC98" s="1" t="s">
        <v>299</v>
      </c>
      <c r="HD98" s="1">
        <v>28.0</v>
      </c>
      <c r="HE98" s="1" t="s">
        <v>300</v>
      </c>
      <c r="HF98" s="1">
        <v>30.0</v>
      </c>
      <c r="HG98" s="1" t="s">
        <v>300</v>
      </c>
      <c r="HH98" s="1">
        <v>31.0</v>
      </c>
      <c r="HI98" s="1" t="s">
        <v>300</v>
      </c>
      <c r="HJ98" s="1">
        <v>20.0</v>
      </c>
      <c r="HK98" s="1" t="s">
        <v>300</v>
      </c>
    </row>
    <row r="99">
      <c r="A99" s="44" t="s">
        <v>1103</v>
      </c>
      <c r="B99" s="3">
        <v>94.0</v>
      </c>
      <c r="C99" s="3" t="s">
        <v>1104</v>
      </c>
      <c r="D99" s="30">
        <v>34138.0</v>
      </c>
      <c r="E99" s="1">
        <v>33.0</v>
      </c>
      <c r="F99" s="3" t="s">
        <v>252</v>
      </c>
      <c r="G99" s="3" t="s">
        <v>253</v>
      </c>
      <c r="H99" s="3" t="s">
        <v>253</v>
      </c>
      <c r="I99" s="3" t="s">
        <v>252</v>
      </c>
      <c r="J99" s="3" t="s">
        <v>253</v>
      </c>
      <c r="K99" s="3" t="s">
        <v>253</v>
      </c>
      <c r="L99" s="3" t="s">
        <v>254</v>
      </c>
      <c r="M99" s="3" t="s">
        <v>255</v>
      </c>
      <c r="N99" s="3" t="s">
        <v>254</v>
      </c>
      <c r="O99" s="3" t="s">
        <v>255</v>
      </c>
      <c r="P99" s="3" t="s">
        <v>254</v>
      </c>
      <c r="Q99" s="3" t="s">
        <v>548</v>
      </c>
      <c r="R99" s="7" t="s">
        <v>298</v>
      </c>
      <c r="S99" s="7" t="s">
        <v>359</v>
      </c>
      <c r="T99" s="1" t="s">
        <v>305</v>
      </c>
      <c r="U99" s="1" t="s">
        <v>360</v>
      </c>
      <c r="V99" s="34"/>
      <c r="W99" s="34"/>
      <c r="X99" s="1" t="s">
        <v>254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 t="s">
        <v>254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 t="s">
        <v>594</v>
      </c>
      <c r="AM99" s="1" t="s">
        <v>610</v>
      </c>
      <c r="AN99" s="1" t="s">
        <v>269</v>
      </c>
      <c r="AO99" s="1" t="s">
        <v>270</v>
      </c>
      <c r="AP99" s="1" t="s">
        <v>284</v>
      </c>
      <c r="AQ99" s="1" t="s">
        <v>595</v>
      </c>
      <c r="AR99" s="1">
        <v>1.0</v>
      </c>
      <c r="AS99" s="1" t="s">
        <v>273</v>
      </c>
      <c r="AT99" s="1" t="s">
        <v>274</v>
      </c>
      <c r="AU99" s="1" t="s">
        <v>316</v>
      </c>
      <c r="AV99" s="1" t="s">
        <v>317</v>
      </c>
      <c r="AW99" s="1" t="s">
        <v>402</v>
      </c>
      <c r="AX99" s="1" t="s">
        <v>254</v>
      </c>
      <c r="AY99" s="1">
        <v>0.0</v>
      </c>
      <c r="AZ99" s="1" t="s">
        <v>255</v>
      </c>
      <c r="BA99" s="1" t="s">
        <v>319</v>
      </c>
      <c r="BC99" s="1" t="s">
        <v>946</v>
      </c>
      <c r="BD99" s="1">
        <v>1.0</v>
      </c>
      <c r="BE99" s="1">
        <v>0.0</v>
      </c>
      <c r="BF99" s="1">
        <v>0.0</v>
      </c>
      <c r="BG99" s="1">
        <v>0.0</v>
      </c>
      <c r="BH99" s="1">
        <v>1.0</v>
      </c>
      <c r="BI99" s="1" t="s">
        <v>405</v>
      </c>
      <c r="BJ99" s="1" t="s">
        <v>263</v>
      </c>
      <c r="BK99" s="1" t="s">
        <v>407</v>
      </c>
      <c r="BM99" s="1" t="s">
        <v>594</v>
      </c>
      <c r="BN99" s="1" t="s">
        <v>610</v>
      </c>
      <c r="BO99" s="1" t="s">
        <v>269</v>
      </c>
      <c r="BP99" s="1" t="s">
        <v>270</v>
      </c>
      <c r="BQ99" s="1" t="s">
        <v>284</v>
      </c>
      <c r="BR99" s="1" t="s">
        <v>254</v>
      </c>
      <c r="BS99" s="1" t="s">
        <v>254</v>
      </c>
      <c r="BT99" s="1" t="s">
        <v>254</v>
      </c>
      <c r="BU99" s="1" t="s">
        <v>254</v>
      </c>
      <c r="BV99" s="1" t="s">
        <v>254</v>
      </c>
      <c r="BW99" s="1" t="s">
        <v>254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0.0</v>
      </c>
      <c r="CL99" s="1">
        <v>0.0</v>
      </c>
      <c r="CM99" s="1" t="s">
        <v>254</v>
      </c>
      <c r="CN99" s="1">
        <v>0.0</v>
      </c>
      <c r="CO99" s="1" t="s">
        <v>254</v>
      </c>
      <c r="CP99" s="1">
        <v>0.0</v>
      </c>
      <c r="CQ99" s="1">
        <v>5.0</v>
      </c>
      <c r="CR99" s="1">
        <v>2.0</v>
      </c>
      <c r="CS99" s="1">
        <v>3.0</v>
      </c>
      <c r="CT99" s="1" t="s">
        <v>928</v>
      </c>
      <c r="CU99" s="1" t="s">
        <v>929</v>
      </c>
      <c r="CV99" s="1" t="s">
        <v>255</v>
      </c>
      <c r="CW99" s="1" t="s">
        <v>254</v>
      </c>
      <c r="CX99" s="1" t="s">
        <v>254</v>
      </c>
      <c r="CY99" s="1" t="s">
        <v>254</v>
      </c>
      <c r="CZ99" s="1" t="s">
        <v>254</v>
      </c>
      <c r="DA99" s="1" t="s">
        <v>255</v>
      </c>
      <c r="DB99" s="1" t="s">
        <v>254</v>
      </c>
      <c r="DC99" s="1" t="s">
        <v>255</v>
      </c>
      <c r="DD99" s="1" t="s">
        <v>255</v>
      </c>
      <c r="DE99" s="1" t="s">
        <v>388</v>
      </c>
      <c r="DF99" s="1" t="s">
        <v>293</v>
      </c>
      <c r="DG99" s="1" t="s">
        <v>450</v>
      </c>
      <c r="DH99" s="1" t="s">
        <v>293</v>
      </c>
      <c r="DI99" s="1" t="s">
        <v>293</v>
      </c>
      <c r="DJ99" s="1" t="s">
        <v>293</v>
      </c>
      <c r="DK99" s="1" t="s">
        <v>293</v>
      </c>
      <c r="DL99" s="1" t="s">
        <v>353</v>
      </c>
      <c r="DM99" s="1" t="s">
        <v>293</v>
      </c>
      <c r="DN99" s="1" t="s">
        <v>293</v>
      </c>
      <c r="DO99" s="1" t="s">
        <v>293</v>
      </c>
      <c r="DP99" s="1" t="s">
        <v>451</v>
      </c>
      <c r="DQ99" s="1" t="s">
        <v>293</v>
      </c>
      <c r="DR99" s="1" t="s">
        <v>293</v>
      </c>
      <c r="DS99" s="1" t="s">
        <v>293</v>
      </c>
      <c r="DT99" s="1" t="s">
        <v>293</v>
      </c>
      <c r="DU99" s="1" t="s">
        <v>293</v>
      </c>
      <c r="DV99" s="1" t="s">
        <v>293</v>
      </c>
      <c r="DW99" s="1" t="s">
        <v>293</v>
      </c>
      <c r="DX99" s="1" t="s">
        <v>293</v>
      </c>
      <c r="DY99" s="1" t="s">
        <v>293</v>
      </c>
      <c r="DZ99" s="1" t="s">
        <v>293</v>
      </c>
      <c r="EA99" s="1" t="s">
        <v>254</v>
      </c>
      <c r="EB99" s="1" t="s">
        <v>254</v>
      </c>
      <c r="EC99" s="1" t="s">
        <v>254</v>
      </c>
      <c r="ED99" s="1">
        <v>0.0</v>
      </c>
      <c r="EE99" s="1" t="s">
        <v>255</v>
      </c>
      <c r="EF99" s="1" t="s">
        <v>452</v>
      </c>
      <c r="EG99" s="1" t="s">
        <v>389</v>
      </c>
      <c r="EI99" s="1" t="s">
        <v>390</v>
      </c>
      <c r="EJ99" s="1" t="s">
        <v>293</v>
      </c>
      <c r="EK99" s="1" t="s">
        <v>293</v>
      </c>
      <c r="EL99" s="1" t="s">
        <v>293</v>
      </c>
      <c r="EM99" s="1" t="s">
        <v>293</v>
      </c>
      <c r="EN99" s="1" t="s">
        <v>353</v>
      </c>
      <c r="EO99" s="1" t="s">
        <v>293</v>
      </c>
      <c r="EP99" s="1" t="s">
        <v>293</v>
      </c>
      <c r="EQ99" s="1" t="s">
        <v>293</v>
      </c>
      <c r="ER99" s="1" t="s">
        <v>293</v>
      </c>
      <c r="ES99" s="1" t="s">
        <v>293</v>
      </c>
      <c r="ET99" s="1" t="s">
        <v>293</v>
      </c>
      <c r="EU99" s="1" t="s">
        <v>293</v>
      </c>
      <c r="EV99" s="1" t="s">
        <v>387</v>
      </c>
      <c r="EW99" s="1" t="s">
        <v>254</v>
      </c>
      <c r="EX99" s="1" t="s">
        <v>254</v>
      </c>
      <c r="EY99" s="1">
        <v>0.0</v>
      </c>
      <c r="EZ99" s="1" t="s">
        <v>427</v>
      </c>
      <c r="FA99" s="1" t="s">
        <v>453</v>
      </c>
      <c r="FB99" s="1" t="s">
        <v>454</v>
      </c>
      <c r="FC99" s="1">
        <v>0.0</v>
      </c>
      <c r="FD99" s="1">
        <v>0.0</v>
      </c>
      <c r="FE99" s="1">
        <v>0.0</v>
      </c>
      <c r="FF99" s="1" t="s">
        <v>454</v>
      </c>
      <c r="FG99" s="1">
        <v>0.0</v>
      </c>
      <c r="FH99" s="1">
        <v>0.0</v>
      </c>
      <c r="FI99" s="1">
        <v>0.0</v>
      </c>
      <c r="FJ99" s="1" t="s">
        <v>454</v>
      </c>
      <c r="FK99" s="1">
        <v>0.0</v>
      </c>
      <c r="FL99" s="1">
        <v>0.0</v>
      </c>
      <c r="FM99" s="1">
        <v>0.0</v>
      </c>
      <c r="FN99" s="1" t="s">
        <v>454</v>
      </c>
      <c r="FO99" s="1">
        <v>0.0</v>
      </c>
      <c r="FP99" s="1">
        <v>0.0</v>
      </c>
      <c r="FQ99" s="1">
        <v>0.0</v>
      </c>
      <c r="FR99" s="28" t="s">
        <v>357</v>
      </c>
      <c r="FS99" s="28" t="s">
        <v>298</v>
      </c>
      <c r="FT99" s="28" t="s">
        <v>298</v>
      </c>
      <c r="FU99" s="28" t="s">
        <v>298</v>
      </c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  <c r="GX99" s="34"/>
      <c r="GY99" s="34"/>
      <c r="GZ99" s="34"/>
      <c r="HA99" s="34"/>
      <c r="HB99" s="34"/>
      <c r="HC99" s="34"/>
      <c r="HD99" s="34"/>
      <c r="HE99" s="34"/>
      <c r="HF99" s="34"/>
      <c r="HG99" s="34"/>
      <c r="HH99" s="34"/>
      <c r="HI99" s="34"/>
      <c r="HJ99" s="34"/>
      <c r="HK99" s="34"/>
    </row>
    <row r="100">
      <c r="A100" s="44" t="s">
        <v>1113</v>
      </c>
      <c r="B100" s="3">
        <v>95.0</v>
      </c>
      <c r="C100" s="3" t="s">
        <v>1114</v>
      </c>
      <c r="D100" s="30">
        <v>34914.0</v>
      </c>
      <c r="E100" s="1">
        <v>30.0</v>
      </c>
      <c r="F100" s="3" t="s">
        <v>252</v>
      </c>
      <c r="G100" s="3" t="s">
        <v>253</v>
      </c>
      <c r="H100" s="3" t="s">
        <v>253</v>
      </c>
      <c r="I100" s="3" t="s">
        <v>252</v>
      </c>
      <c r="J100" s="3" t="s">
        <v>253</v>
      </c>
      <c r="K100" s="3" t="s">
        <v>253</v>
      </c>
      <c r="L100" s="3" t="s">
        <v>254</v>
      </c>
      <c r="M100" s="3" t="s">
        <v>255</v>
      </c>
      <c r="N100" s="3" t="s">
        <v>254</v>
      </c>
      <c r="O100" s="3" t="s">
        <v>255</v>
      </c>
      <c r="P100" s="3" t="s">
        <v>254</v>
      </c>
      <c r="Q100" s="3" t="s">
        <v>548</v>
      </c>
      <c r="R100" s="7" t="s">
        <v>298</v>
      </c>
      <c r="S100" s="7" t="s">
        <v>359</v>
      </c>
      <c r="T100" s="1" t="s">
        <v>259</v>
      </c>
      <c r="U100" s="1" t="s">
        <v>306</v>
      </c>
      <c r="W100" s="34"/>
      <c r="X100" s="1" t="s">
        <v>254</v>
      </c>
      <c r="Y100" s="1">
        <v>0.0</v>
      </c>
      <c r="Z100" s="1">
        <v>0.0</v>
      </c>
      <c r="AA100" s="1">
        <v>0.0</v>
      </c>
      <c r="AB100" s="1" t="s">
        <v>665</v>
      </c>
      <c r="AC100" s="1">
        <v>0.0</v>
      </c>
      <c r="AD100" s="1">
        <v>0.0</v>
      </c>
      <c r="AE100" s="1">
        <v>0.0</v>
      </c>
      <c r="AF100" s="1" t="s">
        <v>254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 t="s">
        <v>990</v>
      </c>
      <c r="AM100" s="1" t="s">
        <v>610</v>
      </c>
      <c r="AN100" s="1" t="s">
        <v>269</v>
      </c>
      <c r="AO100" s="1" t="s">
        <v>270</v>
      </c>
      <c r="AP100" s="1" t="s">
        <v>284</v>
      </c>
      <c r="AQ100" s="1" t="s">
        <v>595</v>
      </c>
      <c r="AR100" s="1">
        <v>2.0</v>
      </c>
      <c r="AS100" s="1" t="s">
        <v>273</v>
      </c>
      <c r="AT100" s="1" t="s">
        <v>274</v>
      </c>
      <c r="AU100" s="1" t="s">
        <v>465</v>
      </c>
      <c r="AV100" s="1" t="s">
        <v>317</v>
      </c>
      <c r="AW100" s="1" t="s">
        <v>402</v>
      </c>
      <c r="AX100" s="1" t="s">
        <v>254</v>
      </c>
      <c r="AY100" s="1">
        <v>0.0</v>
      </c>
      <c r="AZ100" s="1" t="s">
        <v>255</v>
      </c>
      <c r="BA100" s="1" t="s">
        <v>319</v>
      </c>
      <c r="BB100" s="1" t="s">
        <v>254</v>
      </c>
      <c r="BC100" s="1" t="s">
        <v>279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 t="s">
        <v>382</v>
      </c>
      <c r="BM100" s="1" t="s">
        <v>990</v>
      </c>
      <c r="BN100" s="1" t="s">
        <v>610</v>
      </c>
      <c r="BO100" s="1" t="s">
        <v>269</v>
      </c>
      <c r="BP100" s="1" t="s">
        <v>270</v>
      </c>
      <c r="BQ100" s="1" t="s">
        <v>284</v>
      </c>
      <c r="BR100" s="1" t="s">
        <v>254</v>
      </c>
      <c r="BS100" s="1" t="s">
        <v>254</v>
      </c>
      <c r="BT100" s="1" t="s">
        <v>254</v>
      </c>
      <c r="BU100" s="1" t="s">
        <v>254</v>
      </c>
      <c r="BV100" s="1" t="s">
        <v>254</v>
      </c>
      <c r="BW100" s="1" t="s">
        <v>254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 t="s">
        <v>254</v>
      </c>
      <c r="CN100" s="1">
        <v>0.0</v>
      </c>
      <c r="CO100" s="1" t="s">
        <v>254</v>
      </c>
      <c r="CP100" s="1">
        <v>0.0</v>
      </c>
      <c r="CQ100" s="1">
        <v>3.0</v>
      </c>
      <c r="CR100" s="1">
        <v>1.0</v>
      </c>
      <c r="CS100" s="1">
        <v>2.0</v>
      </c>
      <c r="CT100" s="1" t="s">
        <v>596</v>
      </c>
      <c r="CU100" s="1" t="s">
        <v>597</v>
      </c>
      <c r="CV100" s="1" t="s">
        <v>255</v>
      </c>
      <c r="CW100" s="1" t="s">
        <v>254</v>
      </c>
      <c r="CX100" s="1" t="s">
        <v>254</v>
      </c>
      <c r="CY100" s="1" t="s">
        <v>254</v>
      </c>
      <c r="CZ100" s="1" t="s">
        <v>254</v>
      </c>
      <c r="DA100" s="1" t="s">
        <v>255</v>
      </c>
      <c r="DB100" s="1" t="s">
        <v>255</v>
      </c>
      <c r="DC100" s="1" t="s">
        <v>254</v>
      </c>
      <c r="DD100" s="1" t="s">
        <v>255</v>
      </c>
      <c r="DE100" s="1" t="s">
        <v>477</v>
      </c>
      <c r="DF100" s="1" t="s">
        <v>293</v>
      </c>
      <c r="DG100" s="1" t="s">
        <v>353</v>
      </c>
      <c r="DH100" s="31" t="s">
        <v>383</v>
      </c>
      <c r="DI100" s="1" t="s">
        <v>450</v>
      </c>
      <c r="DJ100" s="1" t="s">
        <v>293</v>
      </c>
      <c r="DK100" s="1" t="s">
        <v>293</v>
      </c>
      <c r="DL100" s="1" t="s">
        <v>388</v>
      </c>
      <c r="DM100" s="1" t="s">
        <v>293</v>
      </c>
      <c r="DN100" s="1" t="s">
        <v>450</v>
      </c>
      <c r="DO100" s="1" t="s">
        <v>293</v>
      </c>
      <c r="DP100" s="34"/>
      <c r="DQ100" s="1" t="s">
        <v>293</v>
      </c>
      <c r="DR100" s="1" t="s">
        <v>293</v>
      </c>
      <c r="DS100" s="1" t="s">
        <v>293</v>
      </c>
      <c r="DT100" s="1" t="s">
        <v>293</v>
      </c>
      <c r="DU100" s="1" t="s">
        <v>293</v>
      </c>
      <c r="DV100" s="1" t="s">
        <v>293</v>
      </c>
      <c r="DW100" s="1" t="s">
        <v>293</v>
      </c>
      <c r="DX100" s="1" t="s">
        <v>293</v>
      </c>
      <c r="DY100" s="1" t="s">
        <v>293</v>
      </c>
      <c r="DZ100" s="1" t="s">
        <v>293</v>
      </c>
      <c r="EA100" s="1" t="s">
        <v>254</v>
      </c>
      <c r="EB100" s="1" t="s">
        <v>254</v>
      </c>
      <c r="EC100" s="1" t="s">
        <v>254</v>
      </c>
      <c r="ED100" s="1">
        <v>0.0</v>
      </c>
      <c r="EE100" s="1" t="s">
        <v>255</v>
      </c>
      <c r="EF100" s="1" t="s">
        <v>325</v>
      </c>
      <c r="EG100" s="1" t="s">
        <v>389</v>
      </c>
      <c r="EI100" s="1" t="s">
        <v>293</v>
      </c>
      <c r="EJ100" s="1" t="s">
        <v>293</v>
      </c>
      <c r="EK100" s="1" t="s">
        <v>293</v>
      </c>
      <c r="EL100" s="1" t="s">
        <v>293</v>
      </c>
      <c r="EM100" s="1" t="s">
        <v>293</v>
      </c>
      <c r="EN100" s="1" t="s">
        <v>293</v>
      </c>
      <c r="EO100" s="1" t="s">
        <v>293</v>
      </c>
      <c r="EP100" s="1" t="s">
        <v>293</v>
      </c>
      <c r="EQ100" s="1" t="s">
        <v>293</v>
      </c>
      <c r="ER100" s="1" t="s">
        <v>293</v>
      </c>
      <c r="ES100" s="1" t="s">
        <v>293</v>
      </c>
      <c r="ET100" s="1" t="s">
        <v>293</v>
      </c>
      <c r="EU100" s="1" t="s">
        <v>293</v>
      </c>
      <c r="EV100" s="1" t="s">
        <v>387</v>
      </c>
      <c r="EW100" s="1" t="s">
        <v>255</v>
      </c>
      <c r="EX100" s="1" t="s">
        <v>254</v>
      </c>
      <c r="EY100" s="1" t="s">
        <v>484</v>
      </c>
      <c r="EZ100" s="1">
        <v>0.0</v>
      </c>
      <c r="FA100" s="1">
        <v>0.0</v>
      </c>
      <c r="FB100" s="1" t="s">
        <v>255</v>
      </c>
      <c r="FC100" s="1" t="s">
        <v>454</v>
      </c>
      <c r="FD100" s="1" t="s">
        <v>486</v>
      </c>
      <c r="FE100" s="1" t="s">
        <v>488</v>
      </c>
      <c r="FF100" s="1" t="s">
        <v>454</v>
      </c>
      <c r="FG100" s="1">
        <v>0.0</v>
      </c>
      <c r="FH100" s="1">
        <v>0.0</v>
      </c>
      <c r="FI100" s="1" t="s">
        <v>453</v>
      </c>
      <c r="FJ100" s="1" t="s">
        <v>454</v>
      </c>
      <c r="FK100" s="1">
        <v>0.0</v>
      </c>
      <c r="FL100" s="1">
        <v>0.0</v>
      </c>
      <c r="FM100" s="1">
        <v>0.0</v>
      </c>
      <c r="FN100" s="1" t="s">
        <v>293</v>
      </c>
      <c r="FO100" s="1">
        <v>0.0</v>
      </c>
      <c r="FP100" s="1">
        <v>0.0</v>
      </c>
      <c r="FQ100" s="1">
        <v>0.0</v>
      </c>
      <c r="FR100" s="28" t="s">
        <v>357</v>
      </c>
      <c r="FS100" s="28" t="s">
        <v>298</v>
      </c>
      <c r="FT100" s="28" t="s">
        <v>298</v>
      </c>
      <c r="FU100" s="28" t="s">
        <v>298</v>
      </c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  <c r="GX100" s="34"/>
      <c r="GY100" s="34"/>
      <c r="GZ100" s="34"/>
      <c r="HA100" s="34"/>
      <c r="HB100" s="34"/>
      <c r="HC100" s="34"/>
      <c r="HD100" s="34"/>
      <c r="HE100" s="34"/>
      <c r="HF100" s="34"/>
      <c r="HG100" s="34"/>
      <c r="HH100" s="34"/>
      <c r="HI100" s="34"/>
      <c r="HJ100" s="34"/>
      <c r="HK100" s="34"/>
    </row>
    <row r="101">
      <c r="A101" s="44" t="s">
        <v>1121</v>
      </c>
      <c r="B101" s="3">
        <v>96.0</v>
      </c>
      <c r="C101" s="3" t="s">
        <v>1122</v>
      </c>
      <c r="D101" s="30">
        <v>15491.0</v>
      </c>
      <c r="E101" s="1">
        <v>84.0</v>
      </c>
      <c r="F101" s="3" t="s">
        <v>252</v>
      </c>
      <c r="G101" s="3" t="s">
        <v>253</v>
      </c>
      <c r="H101" s="3" t="s">
        <v>253</v>
      </c>
      <c r="I101" s="3" t="s">
        <v>252</v>
      </c>
      <c r="J101" s="3" t="s">
        <v>253</v>
      </c>
      <c r="K101" s="3" t="s">
        <v>253</v>
      </c>
      <c r="L101" s="3" t="s">
        <v>254</v>
      </c>
      <c r="M101" s="3" t="s">
        <v>255</v>
      </c>
      <c r="N101" s="3" t="s">
        <v>254</v>
      </c>
      <c r="O101" s="3" t="s">
        <v>255</v>
      </c>
      <c r="P101" s="3" t="s">
        <v>254</v>
      </c>
      <c r="Q101" s="3" t="s">
        <v>548</v>
      </c>
      <c r="R101" s="7" t="s">
        <v>298</v>
      </c>
      <c r="S101" s="7" t="s">
        <v>359</v>
      </c>
      <c r="T101" s="1" t="s">
        <v>259</v>
      </c>
      <c r="U101" s="1" t="s">
        <v>306</v>
      </c>
      <c r="W101" s="34"/>
      <c r="X101" s="1" t="s">
        <v>254</v>
      </c>
      <c r="Y101" s="1">
        <v>0.0</v>
      </c>
      <c r="Z101" s="1">
        <v>0.0</v>
      </c>
      <c r="AA101" s="1">
        <v>0.0</v>
      </c>
      <c r="AB101" s="1" t="s">
        <v>437</v>
      </c>
      <c r="AC101" s="1">
        <v>0.0</v>
      </c>
      <c r="AD101" s="1" t="s">
        <v>945</v>
      </c>
      <c r="AE101" s="1" t="s">
        <v>265</v>
      </c>
      <c r="AF101" s="1" t="s">
        <v>254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 t="s">
        <v>996</v>
      </c>
      <c r="AM101" s="1" t="s">
        <v>610</v>
      </c>
      <c r="AN101" s="1" t="s">
        <v>269</v>
      </c>
      <c r="AO101" s="1" t="s">
        <v>270</v>
      </c>
      <c r="AP101" s="1" t="s">
        <v>284</v>
      </c>
      <c r="AQ101" s="1" t="s">
        <v>443</v>
      </c>
      <c r="AR101" s="1">
        <v>1.0</v>
      </c>
      <c r="AS101" s="1" t="s">
        <v>273</v>
      </c>
      <c r="AT101" s="1" t="s">
        <v>274</v>
      </c>
      <c r="AU101" s="1" t="s">
        <v>465</v>
      </c>
      <c r="AV101" s="1" t="s">
        <v>317</v>
      </c>
      <c r="AW101" s="1" t="s">
        <v>402</v>
      </c>
      <c r="AX101" s="1" t="s">
        <v>254</v>
      </c>
      <c r="AY101" s="1">
        <v>0.0</v>
      </c>
      <c r="AZ101" s="1" t="s">
        <v>255</v>
      </c>
      <c r="BA101" s="1" t="s">
        <v>278</v>
      </c>
      <c r="BB101" s="1" t="s">
        <v>255</v>
      </c>
      <c r="BC101" s="1" t="s">
        <v>279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 t="s">
        <v>382</v>
      </c>
      <c r="BM101" s="1" t="s">
        <v>996</v>
      </c>
      <c r="BN101" s="1" t="s">
        <v>610</v>
      </c>
      <c r="BO101" s="1" t="s">
        <v>269</v>
      </c>
      <c r="BP101" s="1" t="s">
        <v>270</v>
      </c>
      <c r="BQ101" s="1" t="s">
        <v>284</v>
      </c>
      <c r="BR101" s="1" t="s">
        <v>254</v>
      </c>
      <c r="BS101" s="1" t="s">
        <v>254</v>
      </c>
      <c r="BT101" s="1" t="s">
        <v>254</v>
      </c>
      <c r="BU101" s="1" t="s">
        <v>254</v>
      </c>
      <c r="BV101" s="1" t="s">
        <v>254</v>
      </c>
      <c r="BW101" s="1" t="s">
        <v>254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  <c r="CL101" s="1">
        <v>0.0</v>
      </c>
      <c r="CM101" s="1" t="s">
        <v>254</v>
      </c>
      <c r="CN101" s="1">
        <v>0.0</v>
      </c>
      <c r="CO101" s="1" t="s">
        <v>254</v>
      </c>
      <c r="CP101" s="1">
        <v>0.0</v>
      </c>
      <c r="CQ101" s="1">
        <v>2.0</v>
      </c>
      <c r="CR101" s="1">
        <v>2.0</v>
      </c>
      <c r="CS101" s="1">
        <v>0.0</v>
      </c>
      <c r="CT101" s="1" t="s">
        <v>959</v>
      </c>
      <c r="CU101" s="1" t="s">
        <v>929</v>
      </c>
      <c r="CV101" s="1" t="s">
        <v>254</v>
      </c>
      <c r="CW101" s="1" t="s">
        <v>254</v>
      </c>
      <c r="CX101" s="1" t="s">
        <v>254</v>
      </c>
      <c r="CY101" s="1" t="s">
        <v>254</v>
      </c>
      <c r="CZ101" s="1" t="s">
        <v>254</v>
      </c>
      <c r="DA101" s="1" t="s">
        <v>255</v>
      </c>
      <c r="DB101" s="1" t="s">
        <v>254</v>
      </c>
      <c r="DC101" s="1" t="s">
        <v>255</v>
      </c>
      <c r="DD101" s="1" t="s">
        <v>255</v>
      </c>
      <c r="DE101" s="1" t="s">
        <v>388</v>
      </c>
      <c r="DF101" s="1" t="s">
        <v>293</v>
      </c>
      <c r="DG101" s="1" t="s">
        <v>450</v>
      </c>
      <c r="DH101" s="1" t="s">
        <v>293</v>
      </c>
      <c r="DI101" s="1" t="s">
        <v>293</v>
      </c>
      <c r="DJ101" s="1" t="s">
        <v>293</v>
      </c>
      <c r="DK101" s="1" t="s">
        <v>293</v>
      </c>
      <c r="DL101" s="1" t="s">
        <v>353</v>
      </c>
      <c r="DM101" s="1" t="s">
        <v>293</v>
      </c>
      <c r="DN101" s="1" t="s">
        <v>293</v>
      </c>
      <c r="DO101" s="1" t="s">
        <v>293</v>
      </c>
      <c r="DP101" s="1" t="s">
        <v>451</v>
      </c>
      <c r="DQ101" s="1" t="s">
        <v>293</v>
      </c>
      <c r="DR101" s="1" t="s">
        <v>293</v>
      </c>
      <c r="DS101" s="1" t="s">
        <v>293</v>
      </c>
      <c r="DT101" s="1" t="s">
        <v>293</v>
      </c>
      <c r="DU101" s="1" t="s">
        <v>293</v>
      </c>
      <c r="DV101" s="1" t="s">
        <v>293</v>
      </c>
      <c r="DW101" s="1" t="s">
        <v>293</v>
      </c>
      <c r="DX101" s="1" t="s">
        <v>293</v>
      </c>
      <c r="DY101" s="1" t="s">
        <v>293</v>
      </c>
      <c r="DZ101" s="1" t="s">
        <v>293</v>
      </c>
      <c r="EA101" s="1" t="s">
        <v>254</v>
      </c>
      <c r="EB101" s="1" t="s">
        <v>254</v>
      </c>
      <c r="EC101" s="1" t="s">
        <v>254</v>
      </c>
      <c r="ED101" s="1">
        <v>0.0</v>
      </c>
      <c r="EE101" s="1" t="s">
        <v>255</v>
      </c>
      <c r="EF101" s="1" t="s">
        <v>452</v>
      </c>
      <c r="EG101" s="1" t="s">
        <v>389</v>
      </c>
      <c r="EI101" s="1" t="s">
        <v>390</v>
      </c>
      <c r="EJ101" s="1" t="s">
        <v>293</v>
      </c>
      <c r="EK101" s="1" t="s">
        <v>293</v>
      </c>
      <c r="EL101" s="1" t="s">
        <v>293</v>
      </c>
      <c r="EM101" s="1" t="s">
        <v>293</v>
      </c>
      <c r="EN101" s="1" t="s">
        <v>353</v>
      </c>
      <c r="EO101" s="1" t="s">
        <v>293</v>
      </c>
      <c r="EP101" s="1" t="s">
        <v>293</v>
      </c>
      <c r="EQ101" s="1" t="s">
        <v>293</v>
      </c>
      <c r="ER101" s="1" t="s">
        <v>293</v>
      </c>
      <c r="ES101" s="1" t="s">
        <v>293</v>
      </c>
      <c r="ET101" s="1" t="s">
        <v>293</v>
      </c>
      <c r="EU101" s="1" t="s">
        <v>293</v>
      </c>
      <c r="EV101" s="1" t="s">
        <v>387</v>
      </c>
      <c r="EW101" s="1" t="s">
        <v>254</v>
      </c>
      <c r="EX101" s="1" t="s">
        <v>254</v>
      </c>
      <c r="EY101" s="1">
        <v>0.0</v>
      </c>
      <c r="EZ101" s="1" t="s">
        <v>427</v>
      </c>
      <c r="FA101" s="1" t="s">
        <v>453</v>
      </c>
      <c r="FB101" s="1" t="s">
        <v>454</v>
      </c>
      <c r="FC101" s="1">
        <v>0.0</v>
      </c>
      <c r="FD101" s="1">
        <v>0.0</v>
      </c>
      <c r="FE101" s="1">
        <v>0.0</v>
      </c>
      <c r="FF101" s="1" t="s">
        <v>454</v>
      </c>
      <c r="FG101" s="1">
        <v>0.0</v>
      </c>
      <c r="FH101" s="1">
        <v>0.0</v>
      </c>
      <c r="FI101" s="1">
        <v>0.0</v>
      </c>
      <c r="FJ101" s="1" t="s">
        <v>454</v>
      </c>
      <c r="FK101" s="1">
        <v>0.0</v>
      </c>
      <c r="FL101" s="1">
        <v>0.0</v>
      </c>
      <c r="FM101" s="1">
        <v>0.0</v>
      </c>
      <c r="FN101" s="1" t="s">
        <v>454</v>
      </c>
      <c r="FO101" s="1">
        <v>0.0</v>
      </c>
      <c r="FP101" s="1">
        <v>0.0</v>
      </c>
      <c r="FQ101" s="1">
        <v>0.0</v>
      </c>
      <c r="FR101" s="28" t="s">
        <v>357</v>
      </c>
      <c r="FS101" s="28" t="s">
        <v>298</v>
      </c>
      <c r="FT101" s="28" t="s">
        <v>298</v>
      </c>
      <c r="FU101" s="28" t="s">
        <v>298</v>
      </c>
      <c r="FV101" s="34"/>
      <c r="FW101" s="34"/>
      <c r="FX101" s="34"/>
      <c r="FY101" s="34"/>
      <c r="FZ101" s="34"/>
      <c r="GA101" s="34"/>
      <c r="GB101" s="34"/>
      <c r="GC101" s="34"/>
      <c r="GD101" s="34"/>
      <c r="GE101" s="34"/>
      <c r="GF101" s="34"/>
      <c r="GG101" s="34"/>
      <c r="GH101" s="34"/>
      <c r="GI101" s="34"/>
      <c r="GJ101" s="34"/>
      <c r="GK101" s="34"/>
      <c r="GL101" s="34"/>
      <c r="GM101" s="34"/>
      <c r="GN101" s="34"/>
      <c r="GO101" s="34"/>
      <c r="GP101" s="34"/>
      <c r="GQ101" s="34"/>
      <c r="GR101" s="34"/>
      <c r="GS101" s="34"/>
      <c r="GT101" s="34"/>
      <c r="GU101" s="34"/>
      <c r="GV101" s="34"/>
      <c r="GW101" s="34"/>
      <c r="GX101" s="34"/>
      <c r="GY101" s="34"/>
      <c r="GZ101" s="34"/>
      <c r="HA101" s="34"/>
      <c r="HB101" s="34"/>
      <c r="HC101" s="34"/>
      <c r="HD101" s="34"/>
      <c r="HE101" s="34"/>
      <c r="HF101" s="34"/>
      <c r="HG101" s="34"/>
      <c r="HH101" s="34"/>
      <c r="HI101" s="34"/>
      <c r="HJ101" s="34"/>
      <c r="HK101" s="34"/>
    </row>
    <row r="102">
      <c r="A102" s="44" t="s">
        <v>1129</v>
      </c>
      <c r="B102" s="3">
        <v>97.0</v>
      </c>
      <c r="C102" s="3" t="s">
        <v>1130</v>
      </c>
      <c r="D102" s="30">
        <v>26193.0</v>
      </c>
      <c r="E102" s="1">
        <v>54.0</v>
      </c>
      <c r="F102" s="3" t="s">
        <v>252</v>
      </c>
      <c r="G102" s="3" t="s">
        <v>253</v>
      </c>
      <c r="H102" s="3" t="s">
        <v>253</v>
      </c>
      <c r="I102" s="3" t="s">
        <v>252</v>
      </c>
      <c r="J102" s="3" t="s">
        <v>253</v>
      </c>
      <c r="K102" s="3" t="s">
        <v>253</v>
      </c>
      <c r="L102" s="3" t="s">
        <v>254</v>
      </c>
      <c r="M102" s="3" t="s">
        <v>255</v>
      </c>
      <c r="N102" s="3" t="s">
        <v>254</v>
      </c>
      <c r="O102" s="3" t="s">
        <v>255</v>
      </c>
      <c r="P102" s="3" t="s">
        <v>254</v>
      </c>
      <c r="Q102" s="3" t="s">
        <v>548</v>
      </c>
      <c r="R102" s="7" t="s">
        <v>298</v>
      </c>
      <c r="S102" s="7" t="s">
        <v>359</v>
      </c>
      <c r="T102" s="1" t="s">
        <v>305</v>
      </c>
      <c r="U102" s="1" t="s">
        <v>360</v>
      </c>
      <c r="V102" s="34"/>
      <c r="W102" s="1" t="s">
        <v>1135</v>
      </c>
      <c r="X102" s="1" t="s">
        <v>254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 t="s">
        <v>254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 t="s">
        <v>805</v>
      </c>
      <c r="AM102" s="1" t="s">
        <v>610</v>
      </c>
      <c r="AN102" s="1" t="s">
        <v>269</v>
      </c>
      <c r="AO102" s="1" t="s">
        <v>270</v>
      </c>
      <c r="AP102" s="1" t="s">
        <v>342</v>
      </c>
      <c r="AQ102" s="1" t="s">
        <v>443</v>
      </c>
      <c r="AR102" s="1">
        <v>1.0</v>
      </c>
      <c r="AS102" s="1" t="s">
        <v>273</v>
      </c>
      <c r="AT102" s="1" t="s">
        <v>274</v>
      </c>
      <c r="AU102" s="1" t="s">
        <v>275</v>
      </c>
      <c r="AV102" s="1" t="s">
        <v>317</v>
      </c>
      <c r="AW102" s="1" t="s">
        <v>544</v>
      </c>
      <c r="AX102" s="1" t="s">
        <v>254</v>
      </c>
      <c r="AY102" s="1">
        <v>0.0</v>
      </c>
      <c r="AZ102" s="1" t="s">
        <v>254</v>
      </c>
      <c r="BA102" s="1" t="s">
        <v>319</v>
      </c>
      <c r="BB102" s="1" t="s">
        <v>255</v>
      </c>
      <c r="BC102" s="1" t="s">
        <v>279</v>
      </c>
      <c r="BD102" s="1">
        <v>1.0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 t="s">
        <v>382</v>
      </c>
      <c r="BM102" s="1" t="s">
        <v>805</v>
      </c>
      <c r="BN102" s="1" t="s">
        <v>610</v>
      </c>
      <c r="BO102" s="1" t="s">
        <v>269</v>
      </c>
      <c r="BP102" s="1" t="s">
        <v>270</v>
      </c>
      <c r="BQ102" s="1" t="s">
        <v>342</v>
      </c>
      <c r="BR102" s="1" t="s">
        <v>254</v>
      </c>
      <c r="BS102" s="1" t="s">
        <v>254</v>
      </c>
      <c r="BT102" s="1" t="s">
        <v>254</v>
      </c>
      <c r="BU102" s="1" t="s">
        <v>254</v>
      </c>
      <c r="BV102" s="1" t="s">
        <v>254</v>
      </c>
      <c r="BW102" s="1" t="s">
        <v>254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 t="s">
        <v>254</v>
      </c>
      <c r="CN102" s="1">
        <v>0.0</v>
      </c>
      <c r="CO102" s="1" t="s">
        <v>254</v>
      </c>
      <c r="CP102" s="1">
        <v>0.0</v>
      </c>
      <c r="CQ102" s="1">
        <v>0.0</v>
      </c>
      <c r="CR102" s="1">
        <v>0.0</v>
      </c>
      <c r="CS102" s="1">
        <v>3.0</v>
      </c>
      <c r="CT102" s="1" t="s">
        <v>652</v>
      </c>
      <c r="CU102" s="34"/>
      <c r="CV102" s="1" t="s">
        <v>254</v>
      </c>
      <c r="CW102" s="1" t="s">
        <v>254</v>
      </c>
      <c r="CX102" s="1" t="s">
        <v>254</v>
      </c>
      <c r="CY102" s="1" t="s">
        <v>254</v>
      </c>
      <c r="CZ102" s="1" t="s">
        <v>254</v>
      </c>
      <c r="DA102" s="1" t="s">
        <v>254</v>
      </c>
      <c r="DB102" s="1" t="s">
        <v>255</v>
      </c>
      <c r="DC102" s="1" t="s">
        <v>254</v>
      </c>
      <c r="DD102" s="1" t="s">
        <v>255</v>
      </c>
      <c r="DE102" s="1" t="s">
        <v>323</v>
      </c>
      <c r="DF102" s="1" t="s">
        <v>293</v>
      </c>
      <c r="DG102" s="1" t="s">
        <v>323</v>
      </c>
      <c r="DH102" s="1" t="s">
        <v>323</v>
      </c>
      <c r="DI102" s="1" t="s">
        <v>291</v>
      </c>
      <c r="DJ102" s="1" t="s">
        <v>293</v>
      </c>
      <c r="DK102" s="1" t="s">
        <v>293</v>
      </c>
      <c r="DL102" s="1" t="s">
        <v>290</v>
      </c>
      <c r="DM102" s="1" t="s">
        <v>323</v>
      </c>
      <c r="DN102" s="1" t="s">
        <v>293</v>
      </c>
      <c r="DO102" s="1" t="s">
        <v>293</v>
      </c>
      <c r="DP102" s="1" t="s">
        <v>293</v>
      </c>
      <c r="DQ102" s="1" t="s">
        <v>293</v>
      </c>
      <c r="DR102" s="1" t="s">
        <v>293</v>
      </c>
      <c r="DS102" s="1" t="s">
        <v>293</v>
      </c>
      <c r="DT102" s="1" t="s">
        <v>293</v>
      </c>
      <c r="DU102" s="1" t="s">
        <v>293</v>
      </c>
      <c r="DV102" s="1" t="s">
        <v>293</v>
      </c>
      <c r="DW102" s="1" t="s">
        <v>293</v>
      </c>
      <c r="DX102" s="1" t="s">
        <v>293</v>
      </c>
      <c r="DY102" s="1" t="s">
        <v>293</v>
      </c>
      <c r="DZ102" s="1" t="s">
        <v>293</v>
      </c>
      <c r="EA102" s="1" t="s">
        <v>254</v>
      </c>
      <c r="EB102" s="1" t="s">
        <v>254</v>
      </c>
      <c r="EC102" s="1" t="s">
        <v>254</v>
      </c>
      <c r="ED102" s="1">
        <v>0.0</v>
      </c>
      <c r="EE102" s="1" t="s">
        <v>254</v>
      </c>
      <c r="EF102" s="31">
        <v>0.0</v>
      </c>
      <c r="EG102" s="1">
        <v>0.0</v>
      </c>
      <c r="EH102" s="1">
        <v>0.0</v>
      </c>
      <c r="EI102" s="1" t="s">
        <v>293</v>
      </c>
      <c r="EJ102" s="1" t="s">
        <v>293</v>
      </c>
      <c r="EK102" s="1" t="s">
        <v>293</v>
      </c>
      <c r="EL102" s="1" t="s">
        <v>293</v>
      </c>
      <c r="EM102" s="1" t="s">
        <v>293</v>
      </c>
      <c r="EN102" s="1" t="s">
        <v>293</v>
      </c>
      <c r="EO102" s="1" t="s">
        <v>293</v>
      </c>
      <c r="EP102" s="1" t="s">
        <v>293</v>
      </c>
      <c r="EQ102" s="1" t="s">
        <v>293</v>
      </c>
      <c r="ER102" s="1" t="s">
        <v>293</v>
      </c>
      <c r="ES102" s="1" t="s">
        <v>293</v>
      </c>
      <c r="ET102" s="1" t="s">
        <v>293</v>
      </c>
      <c r="EU102" s="1" t="s">
        <v>422</v>
      </c>
      <c r="EV102" s="1" t="s">
        <v>423</v>
      </c>
      <c r="EW102" s="1" t="s">
        <v>255</v>
      </c>
      <c r="EX102" s="1" t="s">
        <v>254</v>
      </c>
      <c r="EY102" s="1" t="s">
        <v>425</v>
      </c>
      <c r="EZ102" s="1" t="s">
        <v>427</v>
      </c>
      <c r="FA102" s="1" t="s">
        <v>428</v>
      </c>
      <c r="FB102" s="1" t="s">
        <v>255</v>
      </c>
      <c r="FC102" s="1" t="s">
        <v>425</v>
      </c>
      <c r="FD102" s="1" t="s">
        <v>429</v>
      </c>
      <c r="FE102" s="1" t="s">
        <v>428</v>
      </c>
      <c r="FF102" s="1" t="s">
        <v>430</v>
      </c>
      <c r="FG102" s="1" t="s">
        <v>425</v>
      </c>
      <c r="FH102" s="1" t="s">
        <v>427</v>
      </c>
      <c r="FI102" s="1">
        <v>0.0</v>
      </c>
      <c r="FJ102" s="1" t="s">
        <v>430</v>
      </c>
      <c r="FK102" s="1" t="s">
        <v>425</v>
      </c>
      <c r="FL102" s="1" t="s">
        <v>427</v>
      </c>
      <c r="FM102" s="1">
        <v>0.0</v>
      </c>
      <c r="FN102" s="1" t="s">
        <v>293</v>
      </c>
      <c r="FO102" s="1">
        <v>0.0</v>
      </c>
      <c r="FP102" s="1">
        <v>0.0</v>
      </c>
      <c r="FQ102" s="1">
        <v>0.0</v>
      </c>
      <c r="FR102" s="28" t="s">
        <v>357</v>
      </c>
      <c r="FS102" s="28" t="s">
        <v>298</v>
      </c>
      <c r="FT102" s="28" t="s">
        <v>298</v>
      </c>
      <c r="FU102" s="28" t="s">
        <v>298</v>
      </c>
      <c r="FV102" s="34"/>
      <c r="FW102" s="34"/>
      <c r="FX102" s="34"/>
      <c r="FY102" s="34"/>
      <c r="FZ102" s="34"/>
      <c r="GA102" s="34"/>
      <c r="GB102" s="34"/>
      <c r="GC102" s="34"/>
      <c r="GD102" s="34"/>
      <c r="GE102" s="34"/>
      <c r="GF102" s="34"/>
      <c r="GG102" s="34"/>
      <c r="GH102" s="34"/>
      <c r="GI102" s="34"/>
      <c r="GJ102" s="34"/>
      <c r="GK102" s="34"/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  <c r="HB102" s="34"/>
      <c r="HC102" s="34"/>
      <c r="HD102" s="34"/>
      <c r="HE102" s="34"/>
      <c r="HF102" s="34"/>
      <c r="HG102" s="34"/>
      <c r="HH102" s="34"/>
      <c r="HI102" s="34"/>
      <c r="HJ102" s="34"/>
      <c r="HK102" s="34"/>
    </row>
    <row r="103">
      <c r="A103" s="44" t="s">
        <v>1139</v>
      </c>
      <c r="B103" s="3">
        <v>98.0</v>
      </c>
      <c r="C103" s="3" t="s">
        <v>1140</v>
      </c>
      <c r="D103" s="30">
        <v>37779.0</v>
      </c>
      <c r="E103" s="1">
        <v>23.0</v>
      </c>
      <c r="F103" s="3" t="s">
        <v>252</v>
      </c>
      <c r="G103" s="3" t="s">
        <v>253</v>
      </c>
      <c r="H103" s="3" t="s">
        <v>253</v>
      </c>
      <c r="I103" s="3" t="s">
        <v>252</v>
      </c>
      <c r="J103" s="3" t="s">
        <v>253</v>
      </c>
      <c r="K103" s="3" t="s">
        <v>253</v>
      </c>
      <c r="L103" s="3" t="s">
        <v>254</v>
      </c>
      <c r="M103" s="3" t="s">
        <v>255</v>
      </c>
      <c r="N103" s="3" t="s">
        <v>254</v>
      </c>
      <c r="O103" s="3" t="s">
        <v>255</v>
      </c>
      <c r="P103" s="3" t="s">
        <v>254</v>
      </c>
      <c r="Q103" s="3" t="s">
        <v>548</v>
      </c>
      <c r="R103" s="7" t="s">
        <v>298</v>
      </c>
      <c r="S103" s="7" t="s">
        <v>359</v>
      </c>
      <c r="T103" s="1" t="s">
        <v>259</v>
      </c>
      <c r="U103" s="1" t="s">
        <v>360</v>
      </c>
      <c r="V103" s="34"/>
      <c r="W103" s="34"/>
      <c r="X103" s="1" t="s">
        <v>254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 t="s">
        <v>254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 t="s">
        <v>594</v>
      </c>
      <c r="AM103" s="1" t="s">
        <v>610</v>
      </c>
      <c r="AN103" s="1" t="s">
        <v>269</v>
      </c>
      <c r="AO103" s="1" t="s">
        <v>270</v>
      </c>
      <c r="AP103" s="1" t="s">
        <v>342</v>
      </c>
      <c r="AQ103" s="1" t="s">
        <v>595</v>
      </c>
      <c r="AR103" s="1">
        <v>5.0</v>
      </c>
      <c r="AS103" s="1" t="s">
        <v>273</v>
      </c>
      <c r="AT103" s="1" t="s">
        <v>274</v>
      </c>
      <c r="AU103" s="1" t="s">
        <v>275</v>
      </c>
      <c r="AV103" s="1" t="s">
        <v>276</v>
      </c>
      <c r="AW103" s="1" t="s">
        <v>402</v>
      </c>
      <c r="AX103" s="1" t="s">
        <v>254</v>
      </c>
      <c r="AY103" s="1">
        <v>0.0</v>
      </c>
      <c r="AZ103" s="1" t="s">
        <v>255</v>
      </c>
      <c r="BA103" s="1" t="s">
        <v>278</v>
      </c>
      <c r="BB103" s="1" t="s">
        <v>255</v>
      </c>
      <c r="BC103" s="1" t="s">
        <v>279</v>
      </c>
      <c r="BD103" s="1">
        <v>0.0</v>
      </c>
      <c r="BE103" s="1">
        <v>0.0</v>
      </c>
      <c r="BF103" s="1">
        <v>0.0</v>
      </c>
      <c r="BG103" s="1">
        <v>0.0</v>
      </c>
      <c r="BH103" s="1">
        <v>1.0</v>
      </c>
      <c r="BI103" s="1" t="s">
        <v>405</v>
      </c>
      <c r="BJ103" s="1" t="s">
        <v>909</v>
      </c>
      <c r="BK103" s="1" t="s">
        <v>910</v>
      </c>
      <c r="BL103" s="1" t="s">
        <v>382</v>
      </c>
      <c r="BM103" s="1" t="s">
        <v>594</v>
      </c>
      <c r="BN103" s="1" t="s">
        <v>610</v>
      </c>
      <c r="BO103" s="1" t="s">
        <v>269</v>
      </c>
      <c r="BP103" s="1" t="s">
        <v>270</v>
      </c>
      <c r="BQ103" s="1" t="s">
        <v>342</v>
      </c>
      <c r="BR103" s="1" t="s">
        <v>254</v>
      </c>
      <c r="BS103" s="1" t="s">
        <v>254</v>
      </c>
      <c r="BT103" s="1" t="s">
        <v>254</v>
      </c>
      <c r="BU103" s="1" t="s">
        <v>254</v>
      </c>
      <c r="BV103" s="1" t="s">
        <v>254</v>
      </c>
      <c r="BW103" s="1" t="s">
        <v>254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 t="s">
        <v>254</v>
      </c>
      <c r="CN103" s="1">
        <v>0.0</v>
      </c>
      <c r="CO103" s="1" t="s">
        <v>254</v>
      </c>
      <c r="CP103" s="1">
        <v>0.0</v>
      </c>
      <c r="CQ103" s="1">
        <v>5.0</v>
      </c>
      <c r="CR103" s="1">
        <v>3.0</v>
      </c>
      <c r="CS103" s="1">
        <v>2.0</v>
      </c>
      <c r="CT103" s="1" t="s">
        <v>913</v>
      </c>
      <c r="CU103" s="1" t="s">
        <v>474</v>
      </c>
      <c r="CV103" s="1" t="s">
        <v>254</v>
      </c>
      <c r="CW103" s="1" t="s">
        <v>254</v>
      </c>
      <c r="CX103" s="1" t="s">
        <v>254</v>
      </c>
      <c r="CY103" s="1" t="s">
        <v>254</v>
      </c>
      <c r="CZ103" s="1" t="s">
        <v>254</v>
      </c>
      <c r="DA103" s="1" t="s">
        <v>255</v>
      </c>
      <c r="DB103" s="1" t="s">
        <v>254</v>
      </c>
      <c r="DC103" s="1" t="s">
        <v>255</v>
      </c>
      <c r="DD103" s="1" t="s">
        <v>255</v>
      </c>
      <c r="DE103" s="1" t="s">
        <v>388</v>
      </c>
      <c r="DF103" s="1" t="s">
        <v>293</v>
      </c>
      <c r="DG103" s="1" t="s">
        <v>450</v>
      </c>
      <c r="DH103" s="1" t="s">
        <v>293</v>
      </c>
      <c r="DI103" s="1" t="s">
        <v>293</v>
      </c>
      <c r="DJ103" s="1" t="s">
        <v>293</v>
      </c>
      <c r="DK103" s="1" t="s">
        <v>293</v>
      </c>
      <c r="DL103" s="1" t="s">
        <v>353</v>
      </c>
      <c r="DM103" s="1" t="s">
        <v>293</v>
      </c>
      <c r="DN103" s="1" t="s">
        <v>293</v>
      </c>
      <c r="DO103" s="1" t="s">
        <v>293</v>
      </c>
      <c r="DP103" s="1" t="s">
        <v>451</v>
      </c>
      <c r="DQ103" s="1" t="s">
        <v>293</v>
      </c>
      <c r="DR103" s="1" t="s">
        <v>293</v>
      </c>
      <c r="DS103" s="1" t="s">
        <v>293</v>
      </c>
      <c r="DT103" s="1" t="s">
        <v>293</v>
      </c>
      <c r="DU103" s="1" t="s">
        <v>293</v>
      </c>
      <c r="DV103" s="1" t="s">
        <v>293</v>
      </c>
      <c r="DW103" s="1" t="s">
        <v>293</v>
      </c>
      <c r="DX103" s="1" t="s">
        <v>293</v>
      </c>
      <c r="DY103" s="1" t="s">
        <v>293</v>
      </c>
      <c r="DZ103" s="1" t="s">
        <v>293</v>
      </c>
      <c r="EA103" s="1" t="s">
        <v>254</v>
      </c>
      <c r="EB103" s="1" t="s">
        <v>254</v>
      </c>
      <c r="EC103" s="1" t="s">
        <v>254</v>
      </c>
      <c r="ED103" s="1">
        <v>0.0</v>
      </c>
      <c r="EE103" s="1" t="s">
        <v>255</v>
      </c>
      <c r="EF103" s="1" t="s">
        <v>452</v>
      </c>
      <c r="EG103" s="1" t="s">
        <v>389</v>
      </c>
      <c r="EI103" s="1" t="s">
        <v>390</v>
      </c>
      <c r="EJ103" s="1" t="s">
        <v>293</v>
      </c>
      <c r="EK103" s="1" t="s">
        <v>293</v>
      </c>
      <c r="EL103" s="1" t="s">
        <v>293</v>
      </c>
      <c r="EM103" s="1" t="s">
        <v>293</v>
      </c>
      <c r="EN103" s="1" t="s">
        <v>353</v>
      </c>
      <c r="EO103" s="1" t="s">
        <v>293</v>
      </c>
      <c r="EP103" s="1" t="s">
        <v>293</v>
      </c>
      <c r="EQ103" s="1" t="s">
        <v>293</v>
      </c>
      <c r="ER103" s="1" t="s">
        <v>293</v>
      </c>
      <c r="ES103" s="1" t="s">
        <v>293</v>
      </c>
      <c r="ET103" s="1" t="s">
        <v>293</v>
      </c>
      <c r="EU103" s="1" t="s">
        <v>293</v>
      </c>
      <c r="EV103" s="1" t="s">
        <v>387</v>
      </c>
      <c r="EW103" s="1" t="s">
        <v>254</v>
      </c>
      <c r="EX103" s="1" t="s">
        <v>254</v>
      </c>
      <c r="EY103" s="1">
        <v>0.0</v>
      </c>
      <c r="EZ103" s="1" t="s">
        <v>427</v>
      </c>
      <c r="FA103" s="1" t="s">
        <v>453</v>
      </c>
      <c r="FB103" s="1" t="s">
        <v>454</v>
      </c>
      <c r="FC103" s="1">
        <v>0.0</v>
      </c>
      <c r="FD103" s="1">
        <v>0.0</v>
      </c>
      <c r="FE103" s="1">
        <v>0.0</v>
      </c>
      <c r="FF103" s="1" t="s">
        <v>454</v>
      </c>
      <c r="FG103" s="1">
        <v>0.0</v>
      </c>
      <c r="FH103" s="1">
        <v>0.0</v>
      </c>
      <c r="FI103" s="1">
        <v>0.0</v>
      </c>
      <c r="FJ103" s="1" t="s">
        <v>454</v>
      </c>
      <c r="FK103" s="1">
        <v>0.0</v>
      </c>
      <c r="FL103" s="1">
        <v>0.0</v>
      </c>
      <c r="FM103" s="1">
        <v>0.0</v>
      </c>
      <c r="FN103" s="1" t="s">
        <v>454</v>
      </c>
      <c r="FO103" s="1">
        <v>0.0</v>
      </c>
      <c r="FP103" s="1">
        <v>0.0</v>
      </c>
      <c r="FQ103" s="1">
        <v>0.0</v>
      </c>
      <c r="FR103" s="28" t="s">
        <v>357</v>
      </c>
      <c r="FS103" s="28" t="s">
        <v>298</v>
      </c>
      <c r="FT103" s="28" t="s">
        <v>298</v>
      </c>
      <c r="FU103" s="28" t="s">
        <v>298</v>
      </c>
      <c r="FV103" s="34"/>
      <c r="FW103" s="34"/>
      <c r="FX103" s="34"/>
      <c r="FY103" s="34"/>
      <c r="FZ103" s="34"/>
      <c r="GA103" s="34"/>
      <c r="GB103" s="34"/>
      <c r="GC103" s="34"/>
      <c r="GD103" s="34"/>
      <c r="GE103" s="34"/>
      <c r="GF103" s="34"/>
      <c r="GG103" s="34"/>
      <c r="GH103" s="34"/>
      <c r="GI103" s="34"/>
      <c r="GJ103" s="34"/>
      <c r="GK103" s="34"/>
      <c r="GL103" s="34"/>
      <c r="GM103" s="34"/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  <c r="HB103" s="34"/>
      <c r="HC103" s="34"/>
      <c r="HD103" s="34"/>
      <c r="HE103" s="34"/>
      <c r="HF103" s="34"/>
      <c r="HG103" s="34"/>
      <c r="HH103" s="34"/>
      <c r="HI103" s="34"/>
      <c r="HJ103" s="34"/>
      <c r="HK103" s="34"/>
    </row>
    <row r="104">
      <c r="A104" s="44" t="s">
        <v>1143</v>
      </c>
      <c r="B104" s="3">
        <v>99.0</v>
      </c>
      <c r="C104" s="3" t="s">
        <v>1144</v>
      </c>
      <c r="D104" s="30">
        <v>24394.0</v>
      </c>
      <c r="E104" s="1">
        <v>59.0</v>
      </c>
      <c r="F104" s="3" t="s">
        <v>252</v>
      </c>
      <c r="G104" s="3" t="s">
        <v>253</v>
      </c>
      <c r="H104" s="3" t="s">
        <v>253</v>
      </c>
      <c r="I104" s="3" t="s">
        <v>252</v>
      </c>
      <c r="J104" s="3" t="s">
        <v>253</v>
      </c>
      <c r="K104" s="3" t="s">
        <v>253</v>
      </c>
      <c r="L104" s="3" t="s">
        <v>254</v>
      </c>
      <c r="M104" s="3" t="s">
        <v>255</v>
      </c>
      <c r="N104" s="3" t="s">
        <v>254</v>
      </c>
      <c r="O104" s="3" t="s">
        <v>255</v>
      </c>
      <c r="P104" s="3" t="s">
        <v>254</v>
      </c>
      <c r="Q104" s="3" t="s">
        <v>548</v>
      </c>
      <c r="R104" s="7" t="s">
        <v>298</v>
      </c>
      <c r="S104" s="7" t="s">
        <v>359</v>
      </c>
      <c r="T104" s="1" t="s">
        <v>259</v>
      </c>
      <c r="U104" s="1" t="s">
        <v>360</v>
      </c>
      <c r="V104" s="34"/>
      <c r="W104" s="34"/>
      <c r="X104" s="1" t="s">
        <v>254</v>
      </c>
      <c r="Y104" s="1">
        <v>0.0</v>
      </c>
      <c r="Z104" s="1">
        <v>0.0</v>
      </c>
      <c r="AA104" s="1">
        <v>0.0</v>
      </c>
      <c r="AB104" s="1" t="s">
        <v>665</v>
      </c>
      <c r="AC104" s="1">
        <v>0.0</v>
      </c>
      <c r="AD104" s="1">
        <v>0.0</v>
      </c>
      <c r="AE104" s="1">
        <v>0.0</v>
      </c>
      <c r="AF104" s="1" t="s">
        <v>254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 t="s">
        <v>821</v>
      </c>
      <c r="AM104" s="1" t="s">
        <v>610</v>
      </c>
      <c r="AN104" s="1" t="s">
        <v>269</v>
      </c>
      <c r="AO104" s="1" t="s">
        <v>270</v>
      </c>
      <c r="AP104" s="1" t="s">
        <v>342</v>
      </c>
      <c r="AQ104" s="1" t="s">
        <v>595</v>
      </c>
      <c r="AR104" s="1">
        <v>4.0</v>
      </c>
      <c r="AS104" s="1" t="s">
        <v>273</v>
      </c>
      <c r="AT104" s="1" t="s">
        <v>274</v>
      </c>
      <c r="AU104" s="1" t="s">
        <v>344</v>
      </c>
      <c r="AV104" s="1" t="s">
        <v>345</v>
      </c>
      <c r="AW104" s="1" t="s">
        <v>544</v>
      </c>
      <c r="AX104" s="1" t="s">
        <v>254</v>
      </c>
      <c r="AY104" s="1">
        <v>0.0</v>
      </c>
      <c r="AZ104" s="1" t="s">
        <v>255</v>
      </c>
      <c r="BA104" s="1" t="s">
        <v>319</v>
      </c>
      <c r="BB104" s="1" t="s">
        <v>255</v>
      </c>
      <c r="BC104" s="1" t="s">
        <v>279</v>
      </c>
      <c r="BD104" s="1">
        <v>1.0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 t="s">
        <v>382</v>
      </c>
      <c r="BM104" s="1" t="s">
        <v>821</v>
      </c>
      <c r="BN104" s="1" t="s">
        <v>610</v>
      </c>
      <c r="BO104" s="1" t="s">
        <v>269</v>
      </c>
      <c r="BP104" s="1" t="s">
        <v>270</v>
      </c>
      <c r="BQ104" s="1" t="s">
        <v>342</v>
      </c>
      <c r="BR104" s="1" t="s">
        <v>255</v>
      </c>
      <c r="BS104" s="1" t="s">
        <v>525</v>
      </c>
      <c r="BT104" s="1" t="s">
        <v>254</v>
      </c>
      <c r="BU104" s="1" t="s">
        <v>254</v>
      </c>
      <c r="BV104" s="1" t="s">
        <v>254</v>
      </c>
      <c r="BW104" s="1" t="s">
        <v>255</v>
      </c>
      <c r="BX104" s="1">
        <v>0.0</v>
      </c>
      <c r="BY104" s="1">
        <v>0.0</v>
      </c>
      <c r="BZ104" s="1">
        <v>2.0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 t="s">
        <v>384</v>
      </c>
      <c r="CL104" s="1" t="s">
        <v>317</v>
      </c>
      <c r="CM104" s="1" t="s">
        <v>254</v>
      </c>
      <c r="CN104" s="1">
        <v>0.0</v>
      </c>
      <c r="CO104" s="1" t="s">
        <v>254</v>
      </c>
      <c r="CP104" s="1">
        <v>0.0</v>
      </c>
      <c r="CQ104" s="1">
        <v>4.0</v>
      </c>
      <c r="CR104" s="1">
        <v>2.0</v>
      </c>
      <c r="CS104" s="1">
        <v>2.0</v>
      </c>
      <c r="CT104" s="1" t="s">
        <v>666</v>
      </c>
      <c r="CU104" s="1" t="s">
        <v>667</v>
      </c>
      <c r="CV104" s="1" t="s">
        <v>254</v>
      </c>
      <c r="CW104" s="1" t="s">
        <v>254</v>
      </c>
      <c r="CX104" s="1" t="s">
        <v>254</v>
      </c>
      <c r="CY104" s="1" t="s">
        <v>254</v>
      </c>
      <c r="CZ104" s="1" t="s">
        <v>254</v>
      </c>
      <c r="DA104" s="1" t="s">
        <v>255</v>
      </c>
      <c r="DB104" s="1" t="s">
        <v>255</v>
      </c>
      <c r="DC104" s="1" t="s">
        <v>254</v>
      </c>
      <c r="DD104" s="1" t="s">
        <v>255</v>
      </c>
      <c r="DE104" s="1" t="s">
        <v>290</v>
      </c>
      <c r="DF104" s="1" t="s">
        <v>291</v>
      </c>
      <c r="DG104" s="1" t="s">
        <v>292</v>
      </c>
      <c r="DH104" s="1" t="s">
        <v>292</v>
      </c>
      <c r="DI104" s="1" t="s">
        <v>290</v>
      </c>
      <c r="DJ104" s="1" t="s">
        <v>293</v>
      </c>
      <c r="DK104" s="1" t="s">
        <v>293</v>
      </c>
      <c r="DL104" s="1" t="s">
        <v>290</v>
      </c>
      <c r="DM104" s="1" t="s">
        <v>291</v>
      </c>
      <c r="DN104" s="1" t="s">
        <v>293</v>
      </c>
      <c r="DO104" s="1" t="s">
        <v>293</v>
      </c>
      <c r="DP104" s="1" t="s">
        <v>293</v>
      </c>
      <c r="DQ104" s="1" t="s">
        <v>293</v>
      </c>
      <c r="DR104" s="1" t="s">
        <v>293</v>
      </c>
      <c r="DS104" s="1" t="s">
        <v>293</v>
      </c>
      <c r="DT104" s="1" t="s">
        <v>293</v>
      </c>
      <c r="DU104" s="1" t="s">
        <v>293</v>
      </c>
      <c r="DV104" s="1" t="s">
        <v>293</v>
      </c>
      <c r="DW104" s="1" t="s">
        <v>293</v>
      </c>
      <c r="DX104" s="1" t="s">
        <v>293</v>
      </c>
      <c r="DY104" s="1" t="s">
        <v>293</v>
      </c>
      <c r="DZ104" s="1" t="s">
        <v>293</v>
      </c>
      <c r="EA104" s="1" t="s">
        <v>254</v>
      </c>
      <c r="EB104" s="1" t="s">
        <v>254</v>
      </c>
      <c r="EC104" s="1" t="s">
        <v>254</v>
      </c>
      <c r="ED104" s="1">
        <v>0.0</v>
      </c>
      <c r="EE104" s="1" t="s">
        <v>255</v>
      </c>
      <c r="EF104" s="1" t="s">
        <v>294</v>
      </c>
      <c r="EG104" s="1" t="s">
        <v>295</v>
      </c>
      <c r="EI104" s="1" t="s">
        <v>293</v>
      </c>
      <c r="EJ104" s="1" t="s">
        <v>293</v>
      </c>
      <c r="EK104" s="1" t="s">
        <v>293</v>
      </c>
      <c r="EL104" s="1" t="s">
        <v>293</v>
      </c>
      <c r="EM104" s="1" t="s">
        <v>293</v>
      </c>
      <c r="EN104" s="1" t="s">
        <v>296</v>
      </c>
      <c r="EO104" s="1" t="s">
        <v>293</v>
      </c>
      <c r="EP104" s="1" t="s">
        <v>293</v>
      </c>
      <c r="EQ104" s="1" t="s">
        <v>293</v>
      </c>
      <c r="ER104" s="1" t="s">
        <v>293</v>
      </c>
      <c r="ES104" s="1" t="s">
        <v>293</v>
      </c>
      <c r="ET104" s="1" t="s">
        <v>293</v>
      </c>
      <c r="EU104" s="1" t="s">
        <v>293</v>
      </c>
      <c r="EV104" s="1" t="s">
        <v>297</v>
      </c>
      <c r="EW104" s="1" t="s">
        <v>254</v>
      </c>
      <c r="EX104" s="1" t="s">
        <v>254</v>
      </c>
      <c r="EY104" s="1">
        <v>0.0</v>
      </c>
      <c r="EZ104" s="1">
        <v>0.0</v>
      </c>
      <c r="FA104" s="1">
        <v>0.0</v>
      </c>
      <c r="FB104" s="1" t="s">
        <v>254</v>
      </c>
      <c r="FC104" s="1">
        <v>0.0</v>
      </c>
      <c r="FD104" s="1">
        <v>0.0</v>
      </c>
      <c r="FE104" s="1">
        <v>0.0</v>
      </c>
      <c r="FF104" s="1" t="s">
        <v>293</v>
      </c>
      <c r="FG104" s="1">
        <v>0.0</v>
      </c>
      <c r="FH104" s="1">
        <v>0.0</v>
      </c>
      <c r="FI104" s="1">
        <v>0.0</v>
      </c>
      <c r="FJ104" s="1" t="s">
        <v>293</v>
      </c>
      <c r="FK104" s="1">
        <v>0.0</v>
      </c>
      <c r="FL104" s="1">
        <v>0.0</v>
      </c>
      <c r="FM104" s="1">
        <v>0.0</v>
      </c>
      <c r="FN104" s="1" t="s">
        <v>293</v>
      </c>
      <c r="FO104" s="1">
        <v>0.0</v>
      </c>
      <c r="FP104" s="1">
        <v>0.0</v>
      </c>
      <c r="FQ104" s="1">
        <v>0.0</v>
      </c>
      <c r="FR104" s="28" t="s">
        <v>357</v>
      </c>
      <c r="FS104" s="28" t="s">
        <v>298</v>
      </c>
      <c r="FT104" s="28" t="s">
        <v>298</v>
      </c>
      <c r="FU104" s="28" t="s">
        <v>298</v>
      </c>
      <c r="FV104" s="34"/>
      <c r="FW104" s="34"/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  <c r="HB104" s="34"/>
      <c r="HC104" s="34"/>
      <c r="HD104" s="34"/>
      <c r="HE104" s="34"/>
      <c r="HF104" s="34"/>
      <c r="HG104" s="34"/>
      <c r="HH104" s="34"/>
      <c r="HI104" s="34"/>
      <c r="HJ104" s="34"/>
      <c r="HK104" s="34"/>
    </row>
    <row r="105">
      <c r="A105" s="44" t="s">
        <v>1149</v>
      </c>
      <c r="B105" s="3">
        <v>100.0</v>
      </c>
      <c r="C105" s="3" t="s">
        <v>1150</v>
      </c>
      <c r="D105" s="30">
        <v>27960.0</v>
      </c>
      <c r="E105" s="1">
        <v>49.0</v>
      </c>
      <c r="F105" s="3" t="s">
        <v>252</v>
      </c>
      <c r="G105" s="3" t="s">
        <v>253</v>
      </c>
      <c r="H105" s="3" t="s">
        <v>253</v>
      </c>
      <c r="I105" s="3" t="s">
        <v>252</v>
      </c>
      <c r="J105" s="3" t="s">
        <v>253</v>
      </c>
      <c r="K105" s="3" t="s">
        <v>253</v>
      </c>
      <c r="L105" s="3" t="s">
        <v>254</v>
      </c>
      <c r="M105" s="3" t="s">
        <v>255</v>
      </c>
      <c r="N105" s="3" t="s">
        <v>254</v>
      </c>
      <c r="O105" s="3" t="s">
        <v>255</v>
      </c>
      <c r="P105" s="3" t="s">
        <v>254</v>
      </c>
      <c r="Q105" s="3" t="s">
        <v>548</v>
      </c>
      <c r="R105" s="7" t="s">
        <v>298</v>
      </c>
      <c r="S105" s="7" t="s">
        <v>359</v>
      </c>
      <c r="T105" s="1" t="s">
        <v>259</v>
      </c>
      <c r="U105" s="1" t="s">
        <v>590</v>
      </c>
      <c r="V105" s="1" t="s">
        <v>1152</v>
      </c>
      <c r="X105" s="1" t="s">
        <v>254</v>
      </c>
      <c r="Y105" s="1" t="s">
        <v>262</v>
      </c>
      <c r="Z105" s="1">
        <v>1.0</v>
      </c>
      <c r="AA105" s="1" t="s">
        <v>908</v>
      </c>
      <c r="AB105" s="1">
        <v>0.0</v>
      </c>
      <c r="AC105" s="1">
        <v>0.0</v>
      </c>
      <c r="AD105" s="1">
        <v>0.0</v>
      </c>
      <c r="AE105" s="1">
        <v>0.0</v>
      </c>
      <c r="AF105" s="1" t="s">
        <v>254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 t="s">
        <v>700</v>
      </c>
      <c r="AM105" s="1" t="s">
        <v>610</v>
      </c>
      <c r="AN105" s="1" t="s">
        <v>269</v>
      </c>
      <c r="AO105" s="1" t="s">
        <v>270</v>
      </c>
      <c r="AP105" s="1" t="s">
        <v>342</v>
      </c>
      <c r="AQ105" s="1" t="s">
        <v>443</v>
      </c>
      <c r="AR105" s="1">
        <v>3.0</v>
      </c>
      <c r="AS105" s="1" t="s">
        <v>273</v>
      </c>
      <c r="AT105" s="1" t="s">
        <v>274</v>
      </c>
      <c r="AU105" s="1" t="s">
        <v>275</v>
      </c>
      <c r="AV105" s="1" t="s">
        <v>317</v>
      </c>
      <c r="AW105" s="1" t="s">
        <v>544</v>
      </c>
      <c r="AX105" s="1" t="s">
        <v>254</v>
      </c>
      <c r="AY105" s="1">
        <v>0.0</v>
      </c>
      <c r="AZ105" s="1" t="s">
        <v>254</v>
      </c>
      <c r="BA105" s="1" t="s">
        <v>319</v>
      </c>
      <c r="BB105" s="1" t="s">
        <v>255</v>
      </c>
      <c r="BC105" s="1" t="s">
        <v>279</v>
      </c>
      <c r="BD105" s="1">
        <v>1.0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 t="s">
        <v>466</v>
      </c>
      <c r="BM105" s="1" t="s">
        <v>700</v>
      </c>
      <c r="BN105" s="1" t="s">
        <v>610</v>
      </c>
      <c r="BO105" s="1" t="s">
        <v>269</v>
      </c>
      <c r="BP105" s="1" t="s">
        <v>270</v>
      </c>
      <c r="BQ105" s="1" t="s">
        <v>342</v>
      </c>
      <c r="BR105" s="1" t="s">
        <v>254</v>
      </c>
      <c r="BS105" s="1" t="s">
        <v>254</v>
      </c>
      <c r="BT105" s="1" t="s">
        <v>254</v>
      </c>
      <c r="BU105" s="1" t="s">
        <v>254</v>
      </c>
      <c r="BV105" s="1" t="s">
        <v>254</v>
      </c>
      <c r="BW105" s="1" t="s">
        <v>254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 t="s">
        <v>254</v>
      </c>
      <c r="CN105" s="1">
        <v>0.0</v>
      </c>
      <c r="CO105" s="1" t="s">
        <v>254</v>
      </c>
      <c r="CP105" s="1">
        <v>0.0</v>
      </c>
      <c r="CQ105" s="1">
        <v>3.0</v>
      </c>
      <c r="CR105" s="1">
        <v>1.0</v>
      </c>
      <c r="CS105" s="1">
        <v>2.0</v>
      </c>
      <c r="CT105" s="1" t="s">
        <v>596</v>
      </c>
      <c r="CU105" s="1" t="s">
        <v>474</v>
      </c>
      <c r="CV105" s="1" t="s">
        <v>254</v>
      </c>
      <c r="CW105" s="1" t="s">
        <v>254</v>
      </c>
      <c r="CX105" s="1" t="s">
        <v>254</v>
      </c>
      <c r="CY105" s="1" t="s">
        <v>254</v>
      </c>
      <c r="CZ105" s="1" t="s">
        <v>254</v>
      </c>
      <c r="DA105" s="1" t="s">
        <v>254</v>
      </c>
      <c r="DB105" s="1" t="s">
        <v>254</v>
      </c>
      <c r="DC105" s="1" t="s">
        <v>255</v>
      </c>
      <c r="DD105" s="1" t="s">
        <v>255</v>
      </c>
      <c r="DE105" s="1" t="s">
        <v>388</v>
      </c>
      <c r="DF105" s="1" t="s">
        <v>293</v>
      </c>
      <c r="DG105" s="1" t="s">
        <v>450</v>
      </c>
      <c r="DH105" s="1" t="s">
        <v>293</v>
      </c>
      <c r="DI105" s="1" t="s">
        <v>293</v>
      </c>
      <c r="DJ105" s="1" t="s">
        <v>293</v>
      </c>
      <c r="DK105" s="1" t="s">
        <v>293</v>
      </c>
      <c r="DL105" s="1" t="s">
        <v>353</v>
      </c>
      <c r="DM105" s="1" t="s">
        <v>293</v>
      </c>
      <c r="DN105" s="1" t="s">
        <v>293</v>
      </c>
      <c r="DO105" s="1" t="s">
        <v>293</v>
      </c>
      <c r="DP105" s="1" t="s">
        <v>293</v>
      </c>
      <c r="DQ105" s="1" t="s">
        <v>293</v>
      </c>
      <c r="DR105" s="1" t="s">
        <v>293</v>
      </c>
      <c r="DS105" s="1" t="s">
        <v>293</v>
      </c>
      <c r="DT105" s="1" t="s">
        <v>293</v>
      </c>
      <c r="DU105" s="1" t="s">
        <v>293</v>
      </c>
      <c r="DV105" s="1" t="s">
        <v>293</v>
      </c>
      <c r="DW105" s="1" t="s">
        <v>293</v>
      </c>
      <c r="DX105" s="1" t="s">
        <v>293</v>
      </c>
      <c r="DY105" s="1" t="s">
        <v>293</v>
      </c>
      <c r="DZ105" s="1" t="s">
        <v>293</v>
      </c>
      <c r="EA105" s="1" t="s">
        <v>254</v>
      </c>
      <c r="EB105" s="1" t="s">
        <v>254</v>
      </c>
      <c r="EC105" s="1" t="s">
        <v>254</v>
      </c>
      <c r="ED105" s="1">
        <v>0.0</v>
      </c>
      <c r="EE105" s="1" t="s">
        <v>255</v>
      </c>
      <c r="EF105" s="1" t="s">
        <v>294</v>
      </c>
      <c r="EG105" s="1" t="s">
        <v>295</v>
      </c>
      <c r="EI105" s="31" t="s">
        <v>383</v>
      </c>
      <c r="EJ105" s="1" t="s">
        <v>293</v>
      </c>
      <c r="EK105" s="1" t="s">
        <v>293</v>
      </c>
      <c r="EL105" s="1" t="s">
        <v>293</v>
      </c>
      <c r="EM105" s="1" t="s">
        <v>293</v>
      </c>
      <c r="EN105" s="1" t="s">
        <v>293</v>
      </c>
      <c r="EO105" s="1" t="s">
        <v>293</v>
      </c>
      <c r="EP105" s="1" t="s">
        <v>293</v>
      </c>
      <c r="EQ105" s="1" t="s">
        <v>293</v>
      </c>
      <c r="ER105" s="1" t="s">
        <v>293</v>
      </c>
      <c r="ES105" s="1" t="s">
        <v>293</v>
      </c>
      <c r="ET105" s="1" t="s">
        <v>293</v>
      </c>
      <c r="EU105" s="1" t="s">
        <v>293</v>
      </c>
      <c r="EV105" s="1" t="s">
        <v>387</v>
      </c>
      <c r="EW105" s="1" t="s">
        <v>254</v>
      </c>
      <c r="EX105" s="1" t="s">
        <v>254</v>
      </c>
      <c r="EY105" s="1">
        <v>0.0</v>
      </c>
      <c r="EZ105" s="1">
        <v>0.0</v>
      </c>
      <c r="FA105" s="1">
        <v>0.0</v>
      </c>
      <c r="FB105" s="1" t="s">
        <v>254</v>
      </c>
      <c r="FC105" s="1">
        <v>0.0</v>
      </c>
      <c r="FD105" s="1">
        <v>0.0</v>
      </c>
      <c r="FE105" s="1">
        <v>0.0</v>
      </c>
      <c r="FF105" s="1" t="s">
        <v>293</v>
      </c>
      <c r="FG105" s="1">
        <v>0.0</v>
      </c>
      <c r="FH105" s="1">
        <v>0.0</v>
      </c>
      <c r="FI105" s="1">
        <v>0.0</v>
      </c>
      <c r="FJ105" s="1" t="s">
        <v>293</v>
      </c>
      <c r="FK105" s="1">
        <v>0.0</v>
      </c>
      <c r="FL105" s="1">
        <v>0.0</v>
      </c>
      <c r="FM105" s="1">
        <v>0.0</v>
      </c>
      <c r="FN105" s="1" t="s">
        <v>293</v>
      </c>
      <c r="FO105" s="1">
        <v>0.0</v>
      </c>
      <c r="FP105" s="1">
        <v>0.0</v>
      </c>
      <c r="FQ105" s="1">
        <v>0.0</v>
      </c>
      <c r="FR105" s="28" t="s">
        <v>357</v>
      </c>
      <c r="FS105" s="28" t="s">
        <v>298</v>
      </c>
      <c r="FT105" s="28" t="s">
        <v>298</v>
      </c>
      <c r="FU105" s="28" t="s">
        <v>298</v>
      </c>
      <c r="FV105" s="34"/>
      <c r="FW105" s="34"/>
      <c r="FX105" s="34"/>
      <c r="FY105" s="34"/>
      <c r="FZ105" s="34"/>
      <c r="GA105" s="34"/>
      <c r="GB105" s="34"/>
      <c r="GC105" s="34"/>
      <c r="GD105" s="34"/>
      <c r="GE105" s="34"/>
      <c r="GF105" s="34"/>
      <c r="GG105" s="34"/>
      <c r="GH105" s="34"/>
      <c r="GI105" s="34"/>
      <c r="GJ105" s="34"/>
      <c r="GK105" s="34"/>
      <c r="GL105" s="34"/>
      <c r="GM105" s="34"/>
      <c r="GN105" s="34"/>
      <c r="GO105" s="34"/>
      <c r="GP105" s="34"/>
      <c r="GQ105" s="34"/>
      <c r="GR105" s="34"/>
      <c r="GS105" s="34"/>
      <c r="GT105" s="34"/>
      <c r="GU105" s="34"/>
      <c r="GV105" s="34"/>
      <c r="GW105" s="34"/>
      <c r="GX105" s="34"/>
      <c r="GY105" s="34"/>
      <c r="GZ105" s="34"/>
      <c r="HA105" s="34"/>
      <c r="HB105" s="34"/>
      <c r="HC105" s="34"/>
      <c r="HD105" s="34"/>
      <c r="HE105" s="34"/>
      <c r="HF105" s="34"/>
      <c r="HG105" s="34"/>
      <c r="HH105" s="34"/>
      <c r="HI105" s="34"/>
      <c r="HJ105" s="34"/>
      <c r="HK105" s="34"/>
    </row>
    <row r="106">
      <c r="A106" s="44" t="s">
        <v>1156</v>
      </c>
      <c r="B106" s="3">
        <v>101.0</v>
      </c>
      <c r="C106" s="3" t="s">
        <v>1157</v>
      </c>
      <c r="D106" s="30">
        <v>18114.0</v>
      </c>
      <c r="E106" s="1">
        <v>76.0</v>
      </c>
      <c r="F106" s="3" t="s">
        <v>252</v>
      </c>
      <c r="G106" s="3" t="s">
        <v>253</v>
      </c>
      <c r="H106" s="3" t="s">
        <v>253</v>
      </c>
      <c r="I106" s="3" t="s">
        <v>252</v>
      </c>
      <c r="J106" s="3" t="s">
        <v>253</v>
      </c>
      <c r="K106" s="3" t="s">
        <v>253</v>
      </c>
      <c r="L106" s="3" t="s">
        <v>254</v>
      </c>
      <c r="M106" s="3" t="s">
        <v>255</v>
      </c>
      <c r="N106" s="3" t="s">
        <v>254</v>
      </c>
      <c r="O106" s="3" t="s">
        <v>255</v>
      </c>
      <c r="P106" s="3" t="s">
        <v>254</v>
      </c>
      <c r="Q106" s="3" t="s">
        <v>548</v>
      </c>
      <c r="R106" s="7" t="s">
        <v>888</v>
      </c>
      <c r="S106" s="7" t="s">
        <v>889</v>
      </c>
      <c r="T106" s="1" t="s">
        <v>305</v>
      </c>
      <c r="U106" s="1" t="s">
        <v>306</v>
      </c>
      <c r="V106" s="1" t="s">
        <v>698</v>
      </c>
      <c r="W106" s="1" t="s">
        <v>1160</v>
      </c>
      <c r="X106" s="1" t="s">
        <v>254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 t="s">
        <v>255</v>
      </c>
      <c r="AG106" s="1" t="s">
        <v>917</v>
      </c>
      <c r="AH106" s="1" t="s">
        <v>917</v>
      </c>
      <c r="AI106" s="30">
        <v>45844.0</v>
      </c>
      <c r="AJ106" s="1" t="s">
        <v>366</v>
      </c>
      <c r="AK106" s="1" t="s">
        <v>313</v>
      </c>
      <c r="AL106" s="1" t="s">
        <v>626</v>
      </c>
      <c r="AM106" s="1" t="s">
        <v>610</v>
      </c>
      <c r="AN106" s="1" t="s">
        <v>269</v>
      </c>
      <c r="AO106" s="1" t="s">
        <v>270</v>
      </c>
      <c r="AP106" s="1" t="s">
        <v>284</v>
      </c>
      <c r="AQ106" s="1" t="s">
        <v>443</v>
      </c>
      <c r="AR106" s="1">
        <v>5.0</v>
      </c>
      <c r="AS106" s="1" t="s">
        <v>273</v>
      </c>
      <c r="AT106" s="1" t="s">
        <v>274</v>
      </c>
      <c r="AU106" s="1" t="s">
        <v>275</v>
      </c>
      <c r="AV106" s="1" t="s">
        <v>276</v>
      </c>
      <c r="AW106" s="1" t="s">
        <v>402</v>
      </c>
      <c r="AX106" s="1" t="s">
        <v>254</v>
      </c>
      <c r="AY106" s="1">
        <v>0.0</v>
      </c>
      <c r="AZ106" s="1" t="s">
        <v>255</v>
      </c>
      <c r="BA106" s="1" t="s">
        <v>278</v>
      </c>
      <c r="BB106" s="1" t="s">
        <v>255</v>
      </c>
      <c r="BC106" s="1" t="s">
        <v>279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 t="s">
        <v>466</v>
      </c>
      <c r="BM106" s="1" t="s">
        <v>626</v>
      </c>
      <c r="BN106" s="1" t="s">
        <v>610</v>
      </c>
      <c r="BO106" s="1" t="s">
        <v>269</v>
      </c>
      <c r="BP106" s="1" t="s">
        <v>270</v>
      </c>
      <c r="BQ106" s="1" t="s">
        <v>284</v>
      </c>
      <c r="BR106" s="1" t="s">
        <v>254</v>
      </c>
      <c r="BS106" s="1" t="s">
        <v>254</v>
      </c>
      <c r="BT106" s="1" t="s">
        <v>254</v>
      </c>
      <c r="BU106" s="1" t="s">
        <v>254</v>
      </c>
      <c r="BV106" s="1" t="s">
        <v>254</v>
      </c>
      <c r="BW106" s="1" t="s">
        <v>254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 t="s">
        <v>254</v>
      </c>
      <c r="CN106" s="1">
        <v>0.0</v>
      </c>
      <c r="CO106" s="1" t="s">
        <v>254</v>
      </c>
      <c r="CP106" s="1">
        <v>0.0</v>
      </c>
      <c r="CQ106" s="1">
        <v>6.0</v>
      </c>
      <c r="CR106" s="1">
        <v>2.0</v>
      </c>
      <c r="CS106" s="1">
        <v>4.0</v>
      </c>
      <c r="CT106" s="1" t="s">
        <v>623</v>
      </c>
      <c r="CU106" s="1" t="s">
        <v>597</v>
      </c>
      <c r="CV106" s="1" t="s">
        <v>254</v>
      </c>
      <c r="CW106" s="1" t="s">
        <v>254</v>
      </c>
      <c r="CX106" s="1" t="s">
        <v>254</v>
      </c>
      <c r="CY106" s="1" t="s">
        <v>254</v>
      </c>
      <c r="CZ106" s="1" t="s">
        <v>254</v>
      </c>
      <c r="DA106" s="1" t="s">
        <v>255</v>
      </c>
      <c r="DB106" s="1" t="s">
        <v>255</v>
      </c>
      <c r="DC106" s="1" t="s">
        <v>254</v>
      </c>
      <c r="DD106" s="1" t="s">
        <v>255</v>
      </c>
      <c r="DE106" s="1" t="s">
        <v>293</v>
      </c>
      <c r="DF106" s="1" t="s">
        <v>293</v>
      </c>
      <c r="DG106" s="1" t="s">
        <v>323</v>
      </c>
      <c r="DH106" s="1" t="s">
        <v>291</v>
      </c>
      <c r="DI106" s="1" t="s">
        <v>324</v>
      </c>
      <c r="DJ106" s="1" t="s">
        <v>293</v>
      </c>
      <c r="DK106" s="1" t="s">
        <v>293</v>
      </c>
      <c r="DL106" s="1" t="s">
        <v>323</v>
      </c>
      <c r="DM106" s="1" t="s">
        <v>293</v>
      </c>
      <c r="DN106" s="1" t="s">
        <v>291</v>
      </c>
      <c r="DO106" s="1" t="s">
        <v>293</v>
      </c>
      <c r="DP106" s="1" t="s">
        <v>293</v>
      </c>
      <c r="DQ106" s="1" t="s">
        <v>293</v>
      </c>
      <c r="DR106" s="1" t="s">
        <v>293</v>
      </c>
      <c r="DS106" s="1" t="s">
        <v>293</v>
      </c>
      <c r="DT106" s="1" t="s">
        <v>293</v>
      </c>
      <c r="DU106" s="1" t="s">
        <v>293</v>
      </c>
      <c r="DV106" s="1" t="s">
        <v>293</v>
      </c>
      <c r="DW106" s="1" t="s">
        <v>293</v>
      </c>
      <c r="DX106" s="1" t="s">
        <v>293</v>
      </c>
      <c r="DY106" s="1" t="s">
        <v>293</v>
      </c>
      <c r="DZ106" s="1" t="s">
        <v>293</v>
      </c>
      <c r="EA106" s="1" t="s">
        <v>254</v>
      </c>
      <c r="EB106" s="1" t="s">
        <v>254</v>
      </c>
      <c r="EC106" s="1" t="s">
        <v>254</v>
      </c>
      <c r="ED106" s="1">
        <v>0.0</v>
      </c>
      <c r="EE106" s="1" t="s">
        <v>255</v>
      </c>
      <c r="EF106" s="1" t="s">
        <v>354</v>
      </c>
      <c r="EG106" s="1" t="s">
        <v>295</v>
      </c>
      <c r="EI106" s="1" t="s">
        <v>293</v>
      </c>
      <c r="EJ106" s="1" t="s">
        <v>293</v>
      </c>
      <c r="EK106" s="1" t="s">
        <v>293</v>
      </c>
      <c r="EL106" s="1" t="s">
        <v>293</v>
      </c>
      <c r="EM106" s="1" t="s">
        <v>293</v>
      </c>
      <c r="EN106" s="1" t="s">
        <v>296</v>
      </c>
      <c r="EO106" s="1" t="s">
        <v>293</v>
      </c>
      <c r="EP106" s="1" t="s">
        <v>293</v>
      </c>
      <c r="EQ106" s="1" t="s">
        <v>293</v>
      </c>
      <c r="ER106" s="1" t="s">
        <v>293</v>
      </c>
      <c r="ES106" s="1" t="s">
        <v>293</v>
      </c>
      <c r="ET106" s="1" t="s">
        <v>293</v>
      </c>
      <c r="EU106" s="1" t="s">
        <v>293</v>
      </c>
      <c r="EV106" s="1" t="s">
        <v>297</v>
      </c>
      <c r="EW106" s="1" t="s">
        <v>254</v>
      </c>
      <c r="EX106" s="1" t="s">
        <v>254</v>
      </c>
      <c r="EY106" s="1">
        <v>0.0</v>
      </c>
      <c r="EZ106" s="1">
        <v>0.0</v>
      </c>
      <c r="FA106" s="1">
        <v>0.0</v>
      </c>
      <c r="FB106" s="1" t="s">
        <v>254</v>
      </c>
      <c r="FC106" s="1">
        <v>0.0</v>
      </c>
      <c r="FD106" s="1">
        <v>0.0</v>
      </c>
      <c r="FE106" s="1">
        <v>0.0</v>
      </c>
      <c r="FF106" s="1" t="s">
        <v>293</v>
      </c>
      <c r="FG106" s="1">
        <v>0.0</v>
      </c>
      <c r="FH106" s="1">
        <v>0.0</v>
      </c>
      <c r="FI106" s="1">
        <v>0.0</v>
      </c>
      <c r="FJ106" s="1" t="s">
        <v>293</v>
      </c>
      <c r="FK106" s="1">
        <v>0.0</v>
      </c>
      <c r="FL106" s="1">
        <v>0.0</v>
      </c>
      <c r="FM106" s="1">
        <v>0.0</v>
      </c>
      <c r="FN106" s="1" t="s">
        <v>293</v>
      </c>
      <c r="FO106" s="1">
        <v>0.0</v>
      </c>
      <c r="FP106" s="1">
        <v>0.0</v>
      </c>
      <c r="FQ106" s="1">
        <v>0.0</v>
      </c>
      <c r="FR106" s="28" t="s">
        <v>1163</v>
      </c>
      <c r="FS106" s="28" t="s">
        <v>298</v>
      </c>
      <c r="FT106" s="28" t="s">
        <v>298</v>
      </c>
      <c r="FU106" s="28" t="s">
        <v>298</v>
      </c>
      <c r="FV106" s="1">
        <v>27.0</v>
      </c>
      <c r="FW106" s="1" t="s">
        <v>300</v>
      </c>
      <c r="FX106" s="1">
        <v>23.0</v>
      </c>
      <c r="FY106" s="1" t="s">
        <v>300</v>
      </c>
      <c r="FZ106" s="1">
        <v>24.0</v>
      </c>
      <c r="GA106" s="1" t="s">
        <v>300</v>
      </c>
      <c r="GB106" s="1">
        <v>19.0</v>
      </c>
      <c r="GC106" s="1" t="s">
        <v>300</v>
      </c>
      <c r="GD106" s="1">
        <v>30.0</v>
      </c>
      <c r="GE106" s="1" t="s">
        <v>300</v>
      </c>
      <c r="GF106" s="1">
        <v>30.0</v>
      </c>
      <c r="GG106" s="1" t="s">
        <v>300</v>
      </c>
      <c r="GH106" s="1">
        <v>34.0</v>
      </c>
      <c r="GI106" s="1" t="s">
        <v>300</v>
      </c>
      <c r="GJ106" s="1">
        <v>30.0</v>
      </c>
      <c r="GK106" s="1" t="s">
        <v>300</v>
      </c>
      <c r="GL106" s="1">
        <v>32.0</v>
      </c>
      <c r="GM106" s="1" t="s">
        <v>300</v>
      </c>
      <c r="GN106" s="1">
        <v>28.0</v>
      </c>
      <c r="GO106" s="1" t="s">
        <v>300</v>
      </c>
      <c r="GP106" s="1">
        <v>16.0</v>
      </c>
      <c r="GQ106" s="1" t="s">
        <v>299</v>
      </c>
      <c r="GR106" s="1">
        <v>30.0</v>
      </c>
      <c r="GS106" s="1" t="s">
        <v>300</v>
      </c>
      <c r="GT106" s="1">
        <v>25.0</v>
      </c>
      <c r="GU106" s="1" t="s">
        <v>300</v>
      </c>
      <c r="GV106" s="1">
        <v>15.0</v>
      </c>
      <c r="GW106" s="1" t="s">
        <v>299</v>
      </c>
      <c r="GX106" s="1">
        <v>17.0</v>
      </c>
      <c r="GY106" s="1" t="s">
        <v>300</v>
      </c>
      <c r="GZ106" s="1">
        <v>26.0</v>
      </c>
      <c r="HA106" s="1" t="s">
        <v>299</v>
      </c>
      <c r="HB106" s="1">
        <v>6.0</v>
      </c>
      <c r="HC106" s="1" t="s">
        <v>299</v>
      </c>
      <c r="HD106" s="1">
        <v>32.0</v>
      </c>
      <c r="HE106" s="1" t="s">
        <v>300</v>
      </c>
      <c r="HF106" s="1">
        <v>38.0</v>
      </c>
      <c r="HG106" s="1" t="s">
        <v>300</v>
      </c>
      <c r="HH106" s="1">
        <v>6.0</v>
      </c>
      <c r="HI106" s="1" t="s">
        <v>299</v>
      </c>
      <c r="HJ106" s="1">
        <v>34.0</v>
      </c>
      <c r="HK106" s="1" t="s">
        <v>300</v>
      </c>
    </row>
    <row r="107">
      <c r="A107" s="44" t="s">
        <v>1166</v>
      </c>
      <c r="B107" s="3">
        <v>102.0</v>
      </c>
      <c r="C107" s="3" t="s">
        <v>1167</v>
      </c>
      <c r="D107" s="30">
        <v>18760.0</v>
      </c>
      <c r="E107" s="1">
        <v>75.0</v>
      </c>
      <c r="F107" s="3" t="s">
        <v>252</v>
      </c>
      <c r="G107" s="3" t="s">
        <v>253</v>
      </c>
      <c r="H107" s="3" t="s">
        <v>253</v>
      </c>
      <c r="I107" s="3" t="s">
        <v>252</v>
      </c>
      <c r="J107" s="3" t="s">
        <v>253</v>
      </c>
      <c r="K107" s="3" t="s">
        <v>253</v>
      </c>
      <c r="L107" s="3" t="s">
        <v>254</v>
      </c>
      <c r="M107" s="3" t="s">
        <v>255</v>
      </c>
      <c r="N107" s="3" t="s">
        <v>254</v>
      </c>
      <c r="O107" s="3" t="s">
        <v>255</v>
      </c>
      <c r="P107" s="3" t="s">
        <v>254</v>
      </c>
      <c r="Q107" s="3" t="s">
        <v>548</v>
      </c>
      <c r="R107" s="7" t="s">
        <v>888</v>
      </c>
      <c r="S107" s="7" t="s">
        <v>889</v>
      </c>
      <c r="T107" s="1" t="s">
        <v>259</v>
      </c>
      <c r="U107" s="1" t="s">
        <v>306</v>
      </c>
      <c r="V107" s="1" t="s">
        <v>698</v>
      </c>
      <c r="W107" s="1" t="s">
        <v>613</v>
      </c>
      <c r="X107" s="1" t="s">
        <v>254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 t="s">
        <v>254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 t="s">
        <v>911</v>
      </c>
      <c r="AM107" s="1" t="s">
        <v>610</v>
      </c>
      <c r="AN107" s="1" t="s">
        <v>269</v>
      </c>
      <c r="AO107" s="1" t="s">
        <v>270</v>
      </c>
      <c r="AP107" s="1" t="s">
        <v>284</v>
      </c>
      <c r="AQ107" s="1">
        <v>5.0</v>
      </c>
      <c r="AR107" s="1" t="s">
        <v>273</v>
      </c>
      <c r="AS107" s="1" t="s">
        <v>274</v>
      </c>
      <c r="AT107" s="1" t="s">
        <v>275</v>
      </c>
      <c r="AU107" s="1" t="s">
        <v>276</v>
      </c>
      <c r="AV107" s="1" t="s">
        <v>402</v>
      </c>
      <c r="AW107" s="1">
        <v>0.0</v>
      </c>
      <c r="AX107" s="1" t="s">
        <v>254</v>
      </c>
      <c r="AY107" s="1">
        <v>1.0</v>
      </c>
      <c r="AZ107" s="1" t="s">
        <v>278</v>
      </c>
      <c r="BA107" s="1">
        <v>1.0</v>
      </c>
      <c r="BB107" s="1" t="s">
        <v>279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 t="s">
        <v>466</v>
      </c>
      <c r="BL107" s="34"/>
      <c r="BM107" s="1" t="s">
        <v>911</v>
      </c>
      <c r="BN107" s="1" t="s">
        <v>610</v>
      </c>
      <c r="BO107" s="1" t="s">
        <v>269</v>
      </c>
      <c r="BP107" s="1" t="s">
        <v>270</v>
      </c>
      <c r="BQ107" s="1" t="s">
        <v>284</v>
      </c>
      <c r="BR107" s="1" t="s">
        <v>255</v>
      </c>
      <c r="BS107" s="1" t="s">
        <v>447</v>
      </c>
      <c r="BT107" s="1" t="s">
        <v>414</v>
      </c>
      <c r="BU107" s="1" t="s">
        <v>254</v>
      </c>
      <c r="BV107" s="1" t="s">
        <v>254</v>
      </c>
      <c r="BW107" s="1" t="s">
        <v>254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  <c r="CL107" s="1">
        <v>0.0</v>
      </c>
      <c r="CM107" s="1" t="s">
        <v>254</v>
      </c>
      <c r="CN107" s="1">
        <v>0.0</v>
      </c>
      <c r="CO107" s="1" t="s">
        <v>254</v>
      </c>
      <c r="CP107" s="1">
        <v>0.0</v>
      </c>
      <c r="CQ107" s="1">
        <v>0.0</v>
      </c>
      <c r="CR107" s="1">
        <v>4.0</v>
      </c>
      <c r="CS107" s="1">
        <v>1.0</v>
      </c>
      <c r="CT107" s="1">
        <v>3.0</v>
      </c>
      <c r="CU107" s="1">
        <v>0.0</v>
      </c>
      <c r="CV107" s="1" t="s">
        <v>255</v>
      </c>
      <c r="CW107" s="1" t="s">
        <v>254</v>
      </c>
      <c r="CX107" s="1" t="s">
        <v>254</v>
      </c>
      <c r="CY107" s="1" t="s">
        <v>254</v>
      </c>
      <c r="CZ107" s="1" t="s">
        <v>254</v>
      </c>
      <c r="DA107" s="1" t="s">
        <v>255</v>
      </c>
      <c r="DB107" s="1" t="s">
        <v>254</v>
      </c>
      <c r="DC107" s="1" t="s">
        <v>255</v>
      </c>
      <c r="DD107" s="1" t="s">
        <v>255</v>
      </c>
      <c r="DE107" s="1" t="s">
        <v>388</v>
      </c>
      <c r="DF107" s="1" t="s">
        <v>293</v>
      </c>
      <c r="DG107" s="1" t="s">
        <v>450</v>
      </c>
      <c r="DH107" s="1" t="s">
        <v>293</v>
      </c>
      <c r="DI107" s="1" t="s">
        <v>293</v>
      </c>
      <c r="DJ107" s="1" t="s">
        <v>293</v>
      </c>
      <c r="DK107" s="1" t="s">
        <v>293</v>
      </c>
      <c r="DL107" s="1" t="s">
        <v>353</v>
      </c>
      <c r="DM107" s="1" t="s">
        <v>293</v>
      </c>
      <c r="DN107" s="1" t="s">
        <v>293</v>
      </c>
      <c r="DO107" s="1" t="s">
        <v>293</v>
      </c>
      <c r="DP107" s="1" t="s">
        <v>451</v>
      </c>
      <c r="DQ107" s="1" t="s">
        <v>293</v>
      </c>
      <c r="DR107" s="1" t="s">
        <v>293</v>
      </c>
      <c r="DS107" s="1" t="s">
        <v>293</v>
      </c>
      <c r="DT107" s="1" t="s">
        <v>293</v>
      </c>
      <c r="DU107" s="1" t="s">
        <v>293</v>
      </c>
      <c r="DV107" s="1" t="s">
        <v>293</v>
      </c>
      <c r="DW107" s="1" t="s">
        <v>293</v>
      </c>
      <c r="DX107" s="1" t="s">
        <v>293</v>
      </c>
      <c r="DY107" s="1" t="s">
        <v>293</v>
      </c>
      <c r="DZ107" s="1" t="s">
        <v>293</v>
      </c>
      <c r="EA107" s="1" t="s">
        <v>254</v>
      </c>
      <c r="EB107" s="1" t="s">
        <v>254</v>
      </c>
      <c r="EC107" s="1" t="s">
        <v>254</v>
      </c>
      <c r="ED107" s="1">
        <v>0.0</v>
      </c>
      <c r="EE107" s="1" t="s">
        <v>255</v>
      </c>
      <c r="EF107" s="1" t="s">
        <v>452</v>
      </c>
      <c r="EG107" s="1" t="s">
        <v>389</v>
      </c>
      <c r="EI107" s="1" t="s">
        <v>390</v>
      </c>
      <c r="EJ107" s="1" t="s">
        <v>293</v>
      </c>
      <c r="EK107" s="1" t="s">
        <v>293</v>
      </c>
      <c r="EL107" s="1" t="s">
        <v>293</v>
      </c>
      <c r="EM107" s="1" t="s">
        <v>293</v>
      </c>
      <c r="EN107" s="1" t="s">
        <v>353</v>
      </c>
      <c r="EO107" s="1" t="s">
        <v>293</v>
      </c>
      <c r="EP107" s="1" t="s">
        <v>293</v>
      </c>
      <c r="EQ107" s="1" t="s">
        <v>293</v>
      </c>
      <c r="ER107" s="1" t="s">
        <v>293</v>
      </c>
      <c r="ES107" s="1" t="s">
        <v>293</v>
      </c>
      <c r="ET107" s="1" t="s">
        <v>293</v>
      </c>
      <c r="EU107" s="1" t="s">
        <v>293</v>
      </c>
      <c r="EV107" s="1" t="s">
        <v>387</v>
      </c>
      <c r="EW107" s="1" t="s">
        <v>254</v>
      </c>
      <c r="EX107" s="1" t="s">
        <v>254</v>
      </c>
      <c r="EY107" s="1">
        <v>0.0</v>
      </c>
      <c r="EZ107" s="1" t="s">
        <v>427</v>
      </c>
      <c r="FA107" s="1" t="s">
        <v>453</v>
      </c>
      <c r="FB107" s="1" t="s">
        <v>454</v>
      </c>
      <c r="FC107" s="1">
        <v>0.0</v>
      </c>
      <c r="FD107" s="1">
        <v>0.0</v>
      </c>
      <c r="FE107" s="1">
        <v>0.0</v>
      </c>
      <c r="FF107" s="1" t="s">
        <v>454</v>
      </c>
      <c r="FG107" s="1">
        <v>0.0</v>
      </c>
      <c r="FH107" s="1">
        <v>0.0</v>
      </c>
      <c r="FI107" s="1">
        <v>0.0</v>
      </c>
      <c r="FJ107" s="1" t="s">
        <v>454</v>
      </c>
      <c r="FK107" s="1">
        <v>0.0</v>
      </c>
      <c r="FL107" s="1">
        <v>0.0</v>
      </c>
      <c r="FM107" s="1">
        <v>0.0</v>
      </c>
      <c r="FN107" s="1" t="s">
        <v>454</v>
      </c>
      <c r="FO107" s="1">
        <v>0.0</v>
      </c>
      <c r="FP107" s="1">
        <v>0.0</v>
      </c>
      <c r="FQ107" s="1">
        <v>0.0</v>
      </c>
      <c r="FR107" s="26" t="s">
        <v>198</v>
      </c>
      <c r="FS107" s="28" t="s">
        <v>298</v>
      </c>
      <c r="FT107" s="28" t="s">
        <v>298</v>
      </c>
      <c r="FU107" s="28" t="s">
        <v>298</v>
      </c>
      <c r="FV107" s="1">
        <v>6.0</v>
      </c>
      <c r="FW107" s="1" t="s">
        <v>299</v>
      </c>
      <c r="FX107" s="1">
        <v>19.0</v>
      </c>
      <c r="FY107" s="1" t="s">
        <v>300</v>
      </c>
      <c r="FZ107" s="1">
        <v>13.0</v>
      </c>
      <c r="GA107" s="1" t="s">
        <v>299</v>
      </c>
      <c r="GB107" s="1">
        <v>6.0</v>
      </c>
      <c r="GC107" s="1" t="s">
        <v>299</v>
      </c>
      <c r="GD107" s="1">
        <v>21.0</v>
      </c>
      <c r="GE107" s="1" t="s">
        <v>300</v>
      </c>
      <c r="GF107" s="1">
        <v>22.0</v>
      </c>
      <c r="GG107" s="1" t="s">
        <v>300</v>
      </c>
      <c r="GH107" s="1">
        <v>24.0</v>
      </c>
      <c r="GI107" s="1" t="s">
        <v>300</v>
      </c>
      <c r="GJ107" s="1">
        <v>6.0</v>
      </c>
      <c r="GK107" s="1" t="s">
        <v>299</v>
      </c>
      <c r="GL107" s="1">
        <v>6.0</v>
      </c>
      <c r="GM107" s="1" t="s">
        <v>299</v>
      </c>
      <c r="GN107" s="1">
        <v>27.0</v>
      </c>
      <c r="GO107" s="1" t="s">
        <v>300</v>
      </c>
      <c r="GP107" s="1">
        <v>20.0</v>
      </c>
      <c r="GQ107" s="1" t="s">
        <v>300</v>
      </c>
      <c r="GR107" s="1">
        <v>27.0</v>
      </c>
      <c r="GS107" s="1" t="s">
        <v>300</v>
      </c>
      <c r="GT107" s="1">
        <v>6.0</v>
      </c>
      <c r="GU107" s="1" t="s">
        <v>299</v>
      </c>
      <c r="GV107" s="1">
        <v>18.0</v>
      </c>
      <c r="GW107" s="1" t="s">
        <v>300</v>
      </c>
      <c r="GX107" s="1">
        <v>18.0</v>
      </c>
      <c r="GY107" s="1" t="s">
        <v>300</v>
      </c>
      <c r="GZ107" s="1">
        <v>18.0</v>
      </c>
      <c r="HA107" s="1" t="s">
        <v>299</v>
      </c>
      <c r="HB107" s="1">
        <v>6.0</v>
      </c>
      <c r="HC107" s="1" t="s">
        <v>299</v>
      </c>
      <c r="HD107" s="1">
        <v>28.0</v>
      </c>
      <c r="HE107" s="1" t="s">
        <v>300</v>
      </c>
      <c r="HF107" s="1">
        <v>28.0</v>
      </c>
      <c r="HG107" s="1" t="s">
        <v>300</v>
      </c>
      <c r="HH107" s="1">
        <v>23.0</v>
      </c>
      <c r="HI107" s="1" t="s">
        <v>299</v>
      </c>
      <c r="HJ107" s="1">
        <v>18.0</v>
      </c>
      <c r="HK107" s="1" t="s">
        <v>299</v>
      </c>
    </row>
    <row r="108">
      <c r="A108" s="44" t="s">
        <v>693</v>
      </c>
      <c r="B108" s="3">
        <v>103.0</v>
      </c>
      <c r="C108" s="3" t="s">
        <v>695</v>
      </c>
      <c r="D108" s="30">
        <v>23255.0</v>
      </c>
      <c r="E108" s="1">
        <v>62.0</v>
      </c>
      <c r="F108" s="3" t="s">
        <v>252</v>
      </c>
      <c r="G108" s="3" t="s">
        <v>253</v>
      </c>
      <c r="H108" s="3" t="s">
        <v>253</v>
      </c>
      <c r="I108" s="3" t="s">
        <v>252</v>
      </c>
      <c r="J108" s="3" t="s">
        <v>253</v>
      </c>
      <c r="K108" s="3" t="s">
        <v>253</v>
      </c>
      <c r="L108" s="3" t="s">
        <v>254</v>
      </c>
      <c r="M108" s="3" t="s">
        <v>255</v>
      </c>
      <c r="N108" s="3" t="s">
        <v>254</v>
      </c>
      <c r="O108" s="3" t="s">
        <v>255</v>
      </c>
      <c r="P108" s="3" t="s">
        <v>254</v>
      </c>
      <c r="Q108" s="3" t="s">
        <v>548</v>
      </c>
      <c r="R108" s="7" t="s">
        <v>257</v>
      </c>
      <c r="S108" s="7" t="s">
        <v>258</v>
      </c>
      <c r="T108" s="1" t="s">
        <v>259</v>
      </c>
      <c r="U108" s="1" t="s">
        <v>550</v>
      </c>
      <c r="V108" s="1" t="s">
        <v>698</v>
      </c>
      <c r="W108" s="1" t="s">
        <v>699</v>
      </c>
      <c r="X108" s="1" t="s">
        <v>254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 t="s">
        <v>254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 t="s">
        <v>700</v>
      </c>
      <c r="AM108" s="1" t="s">
        <v>610</v>
      </c>
      <c r="AN108" s="1" t="s">
        <v>269</v>
      </c>
      <c r="AO108" s="1" t="s">
        <v>270</v>
      </c>
      <c r="AP108" s="1" t="s">
        <v>284</v>
      </c>
      <c r="AQ108" s="1">
        <v>2.0</v>
      </c>
      <c r="AR108" s="1" t="s">
        <v>273</v>
      </c>
      <c r="AS108" s="1" t="s">
        <v>274</v>
      </c>
      <c r="AT108" s="1" t="s">
        <v>465</v>
      </c>
      <c r="AU108" s="1" t="s">
        <v>317</v>
      </c>
      <c r="AV108" s="1" t="s">
        <v>402</v>
      </c>
      <c r="AW108" s="1">
        <v>0.0</v>
      </c>
      <c r="AX108" s="1" t="s">
        <v>254</v>
      </c>
      <c r="AY108" s="1">
        <v>1.0</v>
      </c>
      <c r="AZ108" s="1" t="s">
        <v>319</v>
      </c>
      <c r="BA108" s="1">
        <v>0.0</v>
      </c>
      <c r="BB108" s="1" t="s">
        <v>279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 t="s">
        <v>382</v>
      </c>
      <c r="BL108" s="34"/>
      <c r="BM108" s="1" t="s">
        <v>700</v>
      </c>
      <c r="BN108" s="1" t="s">
        <v>610</v>
      </c>
      <c r="BO108" s="1" t="s">
        <v>269</v>
      </c>
      <c r="BP108" s="1" t="s">
        <v>270</v>
      </c>
      <c r="BQ108" s="1" t="s">
        <v>284</v>
      </c>
      <c r="BR108" s="1" t="s">
        <v>254</v>
      </c>
      <c r="BS108" s="1" t="s">
        <v>254</v>
      </c>
      <c r="BT108" s="1" t="s">
        <v>254</v>
      </c>
      <c r="BU108" s="1" t="s">
        <v>254</v>
      </c>
      <c r="BV108" s="1" t="s">
        <v>254</v>
      </c>
      <c r="BW108" s="1" t="s">
        <v>254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1" t="s">
        <v>254</v>
      </c>
      <c r="CN108" s="1">
        <v>0.0</v>
      </c>
      <c r="CO108" s="1" t="s">
        <v>254</v>
      </c>
      <c r="CP108" s="1">
        <v>0.0</v>
      </c>
      <c r="CQ108" s="1">
        <v>2.0</v>
      </c>
      <c r="CR108" s="1">
        <v>0.0</v>
      </c>
      <c r="CS108" s="1">
        <v>2.0</v>
      </c>
      <c r="CT108" s="1" t="s">
        <v>675</v>
      </c>
      <c r="CU108" s="1" t="s">
        <v>676</v>
      </c>
      <c r="CV108" s="1" t="s">
        <v>255</v>
      </c>
      <c r="CW108" s="1" t="s">
        <v>254</v>
      </c>
      <c r="CX108" s="1" t="s">
        <v>254</v>
      </c>
      <c r="CY108" s="1" t="s">
        <v>254</v>
      </c>
      <c r="CZ108" s="1" t="s">
        <v>254</v>
      </c>
      <c r="DA108" s="1" t="s">
        <v>255</v>
      </c>
      <c r="DB108" s="1" t="s">
        <v>254</v>
      </c>
      <c r="DC108" s="1" t="s">
        <v>255</v>
      </c>
      <c r="DD108" s="1" t="s">
        <v>255</v>
      </c>
      <c r="DE108" s="1" t="s">
        <v>388</v>
      </c>
      <c r="DF108" s="1" t="s">
        <v>293</v>
      </c>
      <c r="DG108" s="1" t="s">
        <v>450</v>
      </c>
      <c r="DH108" s="1" t="s">
        <v>293</v>
      </c>
      <c r="DI108" s="1" t="s">
        <v>293</v>
      </c>
      <c r="DJ108" s="1" t="s">
        <v>293</v>
      </c>
      <c r="DK108" s="1" t="s">
        <v>293</v>
      </c>
      <c r="DL108" s="1" t="s">
        <v>353</v>
      </c>
      <c r="DM108" s="1" t="s">
        <v>293</v>
      </c>
      <c r="DN108" s="1" t="s">
        <v>293</v>
      </c>
      <c r="DO108" s="1" t="s">
        <v>293</v>
      </c>
      <c r="DP108" s="1" t="s">
        <v>451</v>
      </c>
      <c r="DQ108" s="1" t="s">
        <v>293</v>
      </c>
      <c r="DR108" s="1" t="s">
        <v>293</v>
      </c>
      <c r="DS108" s="1" t="s">
        <v>293</v>
      </c>
      <c r="DT108" s="1" t="s">
        <v>293</v>
      </c>
      <c r="DU108" s="1" t="s">
        <v>293</v>
      </c>
      <c r="DV108" s="1" t="s">
        <v>293</v>
      </c>
      <c r="DW108" s="1" t="s">
        <v>293</v>
      </c>
      <c r="DX108" s="1" t="s">
        <v>293</v>
      </c>
      <c r="DY108" s="1" t="s">
        <v>293</v>
      </c>
      <c r="DZ108" s="1" t="s">
        <v>293</v>
      </c>
      <c r="EA108" s="1" t="s">
        <v>254</v>
      </c>
      <c r="EB108" s="1" t="s">
        <v>254</v>
      </c>
      <c r="EC108" s="1" t="s">
        <v>254</v>
      </c>
      <c r="ED108" s="1">
        <v>0.0</v>
      </c>
      <c r="EE108" s="1" t="s">
        <v>255</v>
      </c>
      <c r="EF108" s="1" t="s">
        <v>452</v>
      </c>
      <c r="EG108" s="1" t="s">
        <v>389</v>
      </c>
      <c r="EI108" s="1" t="s">
        <v>390</v>
      </c>
      <c r="EJ108" s="1" t="s">
        <v>293</v>
      </c>
      <c r="EK108" s="1" t="s">
        <v>293</v>
      </c>
      <c r="EL108" s="1" t="s">
        <v>293</v>
      </c>
      <c r="EM108" s="1" t="s">
        <v>293</v>
      </c>
      <c r="EN108" s="1" t="s">
        <v>353</v>
      </c>
      <c r="EO108" s="1" t="s">
        <v>293</v>
      </c>
      <c r="EP108" s="1" t="s">
        <v>293</v>
      </c>
      <c r="EQ108" s="1" t="s">
        <v>293</v>
      </c>
      <c r="ER108" s="1" t="s">
        <v>293</v>
      </c>
      <c r="ES108" s="1" t="s">
        <v>293</v>
      </c>
      <c r="ET108" s="1" t="s">
        <v>293</v>
      </c>
      <c r="EU108" s="1" t="s">
        <v>293</v>
      </c>
      <c r="EV108" s="1" t="s">
        <v>387</v>
      </c>
      <c r="EW108" s="1" t="s">
        <v>254</v>
      </c>
      <c r="EX108" s="1" t="s">
        <v>254</v>
      </c>
      <c r="EY108" s="1">
        <v>0.0</v>
      </c>
      <c r="EZ108" s="1" t="s">
        <v>427</v>
      </c>
      <c r="FA108" s="1" t="s">
        <v>453</v>
      </c>
      <c r="FB108" s="1" t="s">
        <v>454</v>
      </c>
      <c r="FC108" s="1">
        <v>0.0</v>
      </c>
      <c r="FD108" s="1">
        <v>0.0</v>
      </c>
      <c r="FE108" s="1">
        <v>0.0</v>
      </c>
      <c r="FF108" s="1" t="s">
        <v>454</v>
      </c>
      <c r="FG108" s="1">
        <v>0.0</v>
      </c>
      <c r="FH108" s="1">
        <v>0.0</v>
      </c>
      <c r="FI108" s="1">
        <v>0.0</v>
      </c>
      <c r="FJ108" s="1" t="s">
        <v>454</v>
      </c>
      <c r="FK108" s="1">
        <v>0.0</v>
      </c>
      <c r="FL108" s="1">
        <v>0.0</v>
      </c>
      <c r="FM108" s="1">
        <v>0.0</v>
      </c>
      <c r="FN108" s="1" t="s">
        <v>454</v>
      </c>
      <c r="FO108" s="1">
        <v>0.0</v>
      </c>
      <c r="FP108" s="1">
        <v>0.0</v>
      </c>
      <c r="FQ108" s="1">
        <v>0.0</v>
      </c>
      <c r="FR108" s="45" t="s">
        <v>198</v>
      </c>
      <c r="FS108" s="28" t="s">
        <v>205</v>
      </c>
      <c r="FT108" s="28" t="s">
        <v>205</v>
      </c>
      <c r="FU108" s="28" t="s">
        <v>298</v>
      </c>
      <c r="FV108" s="1">
        <v>6.0</v>
      </c>
      <c r="FW108" s="1" t="s">
        <v>299</v>
      </c>
      <c r="FX108" s="1">
        <v>18.0</v>
      </c>
      <c r="FY108" s="1" t="s">
        <v>300</v>
      </c>
      <c r="FZ108" s="1">
        <v>19.0</v>
      </c>
      <c r="GA108" s="1" t="s">
        <v>300</v>
      </c>
      <c r="GB108" s="1">
        <v>6.0</v>
      </c>
      <c r="GC108" s="1" t="s">
        <v>299</v>
      </c>
      <c r="GD108" s="1">
        <v>6.0</v>
      </c>
      <c r="GE108" s="1" t="s">
        <v>299</v>
      </c>
      <c r="GF108" s="1">
        <v>21.0</v>
      </c>
      <c r="GG108" s="1" t="s">
        <v>300</v>
      </c>
      <c r="GH108" s="1">
        <v>16.0</v>
      </c>
      <c r="GI108" s="1" t="s">
        <v>299</v>
      </c>
      <c r="GJ108" s="1">
        <v>6.0</v>
      </c>
      <c r="GK108" s="1" t="s">
        <v>299</v>
      </c>
      <c r="GL108" s="1">
        <v>6.0</v>
      </c>
      <c r="GM108" s="1" t="s">
        <v>299</v>
      </c>
      <c r="GN108" s="1">
        <v>24.0</v>
      </c>
      <c r="GO108" s="1" t="s">
        <v>299</v>
      </c>
      <c r="GP108" s="1">
        <v>18.0</v>
      </c>
      <c r="GQ108" s="1" t="s">
        <v>300</v>
      </c>
      <c r="GR108" s="1">
        <v>25.0</v>
      </c>
      <c r="GS108" s="1" t="s">
        <v>300</v>
      </c>
      <c r="GT108" s="1">
        <v>6.0</v>
      </c>
      <c r="GU108" s="1" t="s">
        <v>299</v>
      </c>
      <c r="GV108" s="1">
        <v>18.0</v>
      </c>
      <c r="GW108" s="1" t="s">
        <v>300</v>
      </c>
      <c r="GX108" s="1">
        <v>15.0</v>
      </c>
      <c r="GY108" s="1" t="s">
        <v>300</v>
      </c>
      <c r="GZ108" s="1">
        <v>26.0</v>
      </c>
      <c r="HA108" s="1" t="s">
        <v>300</v>
      </c>
      <c r="HB108" s="1">
        <v>6.0</v>
      </c>
      <c r="HC108" s="1" t="s">
        <v>299</v>
      </c>
      <c r="HD108" s="1">
        <v>17.0</v>
      </c>
      <c r="HE108" s="1" t="s">
        <v>299</v>
      </c>
      <c r="HF108" s="1">
        <v>17.0</v>
      </c>
      <c r="HG108" s="1" t="s">
        <v>299</v>
      </c>
      <c r="HH108" s="1">
        <v>26.0</v>
      </c>
      <c r="HI108" s="1" t="s">
        <v>300</v>
      </c>
      <c r="HJ108" s="1">
        <v>18.0</v>
      </c>
      <c r="HK108" s="1" t="s">
        <v>299</v>
      </c>
    </row>
    <row r="109">
      <c r="A109" s="44" t="s">
        <v>1177</v>
      </c>
      <c r="B109" s="3">
        <v>104.0</v>
      </c>
      <c r="C109" s="3" t="s">
        <v>1178</v>
      </c>
      <c r="D109" s="30">
        <v>27059.0</v>
      </c>
      <c r="E109" s="1">
        <v>52.0</v>
      </c>
      <c r="F109" s="3" t="s">
        <v>253</v>
      </c>
      <c r="G109" s="3" t="s">
        <v>252</v>
      </c>
      <c r="H109" s="3" t="s">
        <v>253</v>
      </c>
      <c r="I109" s="3" t="s">
        <v>253</v>
      </c>
      <c r="J109" s="3" t="s">
        <v>252</v>
      </c>
      <c r="K109" s="3" t="s">
        <v>252</v>
      </c>
      <c r="L109" s="3" t="s">
        <v>254</v>
      </c>
      <c r="M109" s="3" t="s">
        <v>254</v>
      </c>
      <c r="N109" s="3" t="s">
        <v>254</v>
      </c>
      <c r="O109" s="3" t="s">
        <v>254</v>
      </c>
      <c r="P109" s="3" t="s">
        <v>255</v>
      </c>
      <c r="Q109" s="3" t="s">
        <v>548</v>
      </c>
      <c r="R109" s="7" t="s">
        <v>897</v>
      </c>
      <c r="S109" s="7" t="s">
        <v>898</v>
      </c>
      <c r="T109" s="1" t="s">
        <v>305</v>
      </c>
      <c r="U109" s="1" t="s">
        <v>1179</v>
      </c>
      <c r="V109" s="1" t="s">
        <v>1180</v>
      </c>
      <c r="W109" s="1" t="s">
        <v>357</v>
      </c>
      <c r="X109" s="1" t="s">
        <v>254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 t="s">
        <v>254</v>
      </c>
      <c r="AG109" s="1">
        <v>0.0</v>
      </c>
      <c r="AH109" s="1">
        <v>0.0</v>
      </c>
      <c r="AI109" s="1">
        <v>0.0</v>
      </c>
      <c r="AJ109" s="1">
        <v>0.0</v>
      </c>
      <c r="AK109" s="1" t="s">
        <v>357</v>
      </c>
      <c r="AL109" s="1" t="s">
        <v>1181</v>
      </c>
      <c r="AM109" s="1" t="s">
        <v>269</v>
      </c>
      <c r="AN109" s="1" t="s">
        <v>269</v>
      </c>
      <c r="AO109" s="1" t="s">
        <v>270</v>
      </c>
      <c r="AP109" s="1" t="s">
        <v>284</v>
      </c>
      <c r="AQ109" s="1">
        <v>2.0</v>
      </c>
      <c r="AR109" s="1" t="s">
        <v>273</v>
      </c>
      <c r="AS109" s="1" t="s">
        <v>274</v>
      </c>
      <c r="AT109" s="1" t="s">
        <v>275</v>
      </c>
      <c r="AU109" s="1" t="s">
        <v>379</v>
      </c>
      <c r="AV109" s="1" t="s">
        <v>402</v>
      </c>
      <c r="AW109" s="1">
        <v>0.0</v>
      </c>
      <c r="AX109" s="1" t="s">
        <v>254</v>
      </c>
      <c r="AY109" s="1">
        <v>1.0</v>
      </c>
      <c r="AZ109" s="1" t="s">
        <v>446</v>
      </c>
      <c r="BA109" s="1">
        <v>1.0</v>
      </c>
      <c r="BB109" s="1" t="s">
        <v>279</v>
      </c>
      <c r="BC109" s="1">
        <v>1.0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 t="s">
        <v>382</v>
      </c>
      <c r="BL109" s="1" t="s">
        <v>357</v>
      </c>
      <c r="BM109" s="1" t="s">
        <v>1181</v>
      </c>
      <c r="BN109" s="1" t="s">
        <v>610</v>
      </c>
      <c r="BO109" s="1" t="s">
        <v>269</v>
      </c>
      <c r="BP109" s="1" t="s">
        <v>270</v>
      </c>
      <c r="BQ109" s="1" t="s">
        <v>284</v>
      </c>
      <c r="BR109" s="1" t="s">
        <v>254</v>
      </c>
      <c r="BS109" s="1" t="s">
        <v>254</v>
      </c>
      <c r="BT109" s="1" t="s">
        <v>254</v>
      </c>
      <c r="BU109" s="1" t="s">
        <v>254</v>
      </c>
      <c r="BV109" s="1" t="s">
        <v>254</v>
      </c>
      <c r="BW109" s="1" t="s">
        <v>254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 t="s">
        <v>254</v>
      </c>
      <c r="CN109" s="1">
        <v>0.0</v>
      </c>
      <c r="CO109" s="1" t="s">
        <v>254</v>
      </c>
      <c r="CP109" s="1">
        <v>0.0</v>
      </c>
      <c r="CQ109" s="1">
        <v>0.0</v>
      </c>
      <c r="CR109" s="1">
        <v>0.0</v>
      </c>
      <c r="CS109" s="1">
        <v>3.0</v>
      </c>
      <c r="CT109" s="1" t="s">
        <v>652</v>
      </c>
      <c r="CU109" s="34"/>
      <c r="CV109" s="1" t="s">
        <v>254</v>
      </c>
      <c r="CW109" s="1" t="s">
        <v>254</v>
      </c>
      <c r="CX109" s="1" t="s">
        <v>254</v>
      </c>
      <c r="CY109" s="1" t="s">
        <v>254</v>
      </c>
      <c r="CZ109" s="1" t="s">
        <v>254</v>
      </c>
      <c r="DA109" s="1" t="s">
        <v>254</v>
      </c>
      <c r="DB109" s="1" t="s">
        <v>255</v>
      </c>
      <c r="DC109" s="1" t="s">
        <v>254</v>
      </c>
      <c r="DD109" s="1" t="s">
        <v>255</v>
      </c>
      <c r="DE109" s="1" t="s">
        <v>323</v>
      </c>
      <c r="DF109" s="1" t="s">
        <v>293</v>
      </c>
      <c r="DG109" s="1" t="s">
        <v>323</v>
      </c>
      <c r="DH109" s="1" t="s">
        <v>323</v>
      </c>
      <c r="DI109" s="1" t="s">
        <v>291</v>
      </c>
      <c r="DJ109" s="1" t="s">
        <v>293</v>
      </c>
      <c r="DK109" s="1" t="s">
        <v>293</v>
      </c>
      <c r="DL109" s="1" t="s">
        <v>290</v>
      </c>
      <c r="DM109" s="1" t="s">
        <v>323</v>
      </c>
      <c r="DN109" s="1" t="s">
        <v>293</v>
      </c>
      <c r="DO109" s="1" t="s">
        <v>293</v>
      </c>
      <c r="DP109" s="1" t="s">
        <v>293</v>
      </c>
      <c r="DQ109" s="1" t="s">
        <v>293</v>
      </c>
      <c r="DR109" s="1" t="s">
        <v>293</v>
      </c>
      <c r="DS109" s="1" t="s">
        <v>293</v>
      </c>
      <c r="DT109" s="1" t="s">
        <v>293</v>
      </c>
      <c r="DU109" s="1" t="s">
        <v>293</v>
      </c>
      <c r="DV109" s="1" t="s">
        <v>293</v>
      </c>
      <c r="DW109" s="1" t="s">
        <v>293</v>
      </c>
      <c r="DX109" s="1" t="s">
        <v>293</v>
      </c>
      <c r="DY109" s="1" t="s">
        <v>293</v>
      </c>
      <c r="DZ109" s="1" t="s">
        <v>293</v>
      </c>
      <c r="EA109" s="1" t="s">
        <v>254</v>
      </c>
      <c r="EB109" s="1" t="s">
        <v>254</v>
      </c>
      <c r="EC109" s="1" t="s">
        <v>254</v>
      </c>
      <c r="ED109" s="1">
        <v>0.0</v>
      </c>
      <c r="EE109" s="1" t="s">
        <v>254</v>
      </c>
      <c r="EF109" s="31">
        <v>0.0</v>
      </c>
      <c r="EG109" s="1">
        <v>0.0</v>
      </c>
      <c r="EH109" s="34"/>
      <c r="EI109" s="1" t="s">
        <v>293</v>
      </c>
      <c r="EJ109" s="1" t="s">
        <v>293</v>
      </c>
      <c r="EK109" s="1" t="s">
        <v>293</v>
      </c>
      <c r="EL109" s="1" t="s">
        <v>293</v>
      </c>
      <c r="EM109" s="1" t="s">
        <v>293</v>
      </c>
      <c r="EN109" s="1" t="s">
        <v>293</v>
      </c>
      <c r="EO109" s="1" t="s">
        <v>293</v>
      </c>
      <c r="EP109" s="1" t="s">
        <v>293</v>
      </c>
      <c r="EQ109" s="1" t="s">
        <v>293</v>
      </c>
      <c r="ER109" s="1" t="s">
        <v>293</v>
      </c>
      <c r="ES109" s="1" t="s">
        <v>293</v>
      </c>
      <c r="ET109" s="1" t="s">
        <v>293</v>
      </c>
      <c r="EU109" s="1" t="s">
        <v>422</v>
      </c>
      <c r="EV109" s="1" t="s">
        <v>423</v>
      </c>
      <c r="EW109" s="1" t="s">
        <v>255</v>
      </c>
      <c r="EX109" s="1" t="s">
        <v>254</v>
      </c>
      <c r="EY109" s="1" t="s">
        <v>425</v>
      </c>
      <c r="EZ109" s="1" t="s">
        <v>427</v>
      </c>
      <c r="FA109" s="1" t="s">
        <v>428</v>
      </c>
      <c r="FB109" s="1" t="s">
        <v>255</v>
      </c>
      <c r="FC109" s="1" t="s">
        <v>425</v>
      </c>
      <c r="FD109" s="1" t="s">
        <v>429</v>
      </c>
      <c r="FE109" s="1" t="s">
        <v>428</v>
      </c>
      <c r="FF109" s="1" t="s">
        <v>430</v>
      </c>
      <c r="FG109" s="1" t="s">
        <v>425</v>
      </c>
      <c r="FH109" s="1" t="s">
        <v>427</v>
      </c>
      <c r="FI109" s="1">
        <v>0.0</v>
      </c>
      <c r="FJ109" s="1" t="s">
        <v>430</v>
      </c>
      <c r="FK109" s="1" t="s">
        <v>425</v>
      </c>
      <c r="FL109" s="1" t="s">
        <v>427</v>
      </c>
      <c r="FM109" s="1">
        <v>0.0</v>
      </c>
      <c r="FN109" s="1" t="s">
        <v>293</v>
      </c>
      <c r="FO109" s="1">
        <v>0.0</v>
      </c>
      <c r="FP109" s="1">
        <v>0.0</v>
      </c>
      <c r="FQ109" s="1">
        <v>0.0</v>
      </c>
      <c r="FR109" s="28" t="s">
        <v>905</v>
      </c>
      <c r="FS109" s="28" t="s">
        <v>298</v>
      </c>
      <c r="FT109" s="28" t="s">
        <v>298</v>
      </c>
      <c r="FU109" s="28" t="s">
        <v>298</v>
      </c>
      <c r="FV109" s="34"/>
      <c r="FW109" s="34"/>
      <c r="FX109" s="34"/>
      <c r="FY109" s="34"/>
      <c r="FZ109" s="34"/>
      <c r="GA109" s="34"/>
      <c r="GB109" s="34"/>
      <c r="GC109" s="34"/>
      <c r="GD109" s="34"/>
      <c r="GE109" s="34"/>
      <c r="GF109" s="34"/>
      <c r="GG109" s="34"/>
      <c r="GH109" s="34"/>
      <c r="GI109" s="34"/>
      <c r="GJ109" s="34"/>
      <c r="GK109" s="34"/>
      <c r="GL109" s="34"/>
      <c r="GM109" s="34"/>
      <c r="GN109" s="34"/>
      <c r="GO109" s="34"/>
      <c r="GP109" s="34"/>
      <c r="GQ109" s="34"/>
      <c r="GR109" s="34"/>
      <c r="GS109" s="34"/>
      <c r="GT109" s="34"/>
      <c r="GU109" s="34"/>
      <c r="GV109" s="34"/>
      <c r="GW109" s="34"/>
      <c r="GX109" s="34"/>
      <c r="GY109" s="34"/>
      <c r="GZ109" s="34"/>
      <c r="HA109" s="34"/>
      <c r="HB109" s="34"/>
      <c r="HC109" s="34"/>
      <c r="HD109" s="34"/>
      <c r="HE109" s="34"/>
      <c r="HF109" s="34"/>
      <c r="HG109" s="34"/>
      <c r="HH109" s="34"/>
      <c r="HI109" s="34"/>
      <c r="HJ109" s="34"/>
      <c r="HK109" s="34"/>
    </row>
  </sheetData>
  <mergeCells count="178">
    <mergeCell ref="BO23:BP23"/>
    <mergeCell ref="BO27:BP27"/>
    <mergeCell ref="BO22:BP22"/>
    <mergeCell ref="BO29:BP29"/>
    <mergeCell ref="BO30:BP30"/>
    <mergeCell ref="AN21:AO21"/>
    <mergeCell ref="AN22:AO22"/>
    <mergeCell ref="AN23:AO23"/>
    <mergeCell ref="AN25:AO25"/>
    <mergeCell ref="AN26:AO26"/>
    <mergeCell ref="AN27:AO27"/>
    <mergeCell ref="AN29:AO29"/>
    <mergeCell ref="AN30:AO30"/>
    <mergeCell ref="EG29:EH29"/>
    <mergeCell ref="EG30:EH30"/>
    <mergeCell ref="CQ31:CT31"/>
    <mergeCell ref="CQ32:CT32"/>
    <mergeCell ref="EG32:EH32"/>
    <mergeCell ref="EG23:EH23"/>
    <mergeCell ref="EG24:EH24"/>
    <mergeCell ref="EG25:EH25"/>
    <mergeCell ref="EG26:EH26"/>
    <mergeCell ref="EG28:EH28"/>
    <mergeCell ref="DM29:DN29"/>
    <mergeCell ref="DM30:DN30"/>
    <mergeCell ref="BO31:BP31"/>
    <mergeCell ref="BO37:BP37"/>
    <mergeCell ref="BO25:BP25"/>
    <mergeCell ref="BO26:BP26"/>
    <mergeCell ref="V31:W31"/>
    <mergeCell ref="AN31:AO31"/>
    <mergeCell ref="AN35:AO35"/>
    <mergeCell ref="AN36:AO36"/>
    <mergeCell ref="AN37:AO37"/>
    <mergeCell ref="BO35:BP35"/>
    <mergeCell ref="BO36:BP36"/>
    <mergeCell ref="AN40:AO40"/>
    <mergeCell ref="BO40:BP40"/>
    <mergeCell ref="V48:W48"/>
    <mergeCell ref="AB50:AC50"/>
    <mergeCell ref="U52:V52"/>
    <mergeCell ref="BM56:BN56"/>
    <mergeCell ref="BO56:BP56"/>
    <mergeCell ref="BM57:BN57"/>
    <mergeCell ref="BO57:BP57"/>
    <mergeCell ref="BA68:BB68"/>
    <mergeCell ref="BK68:BL68"/>
    <mergeCell ref="BO45:BP45"/>
    <mergeCell ref="BM51:BN51"/>
    <mergeCell ref="BO51:BP51"/>
    <mergeCell ref="BM54:BN54"/>
    <mergeCell ref="BO54:BP54"/>
    <mergeCell ref="BM55:BN55"/>
    <mergeCell ref="BO55:BP55"/>
    <mergeCell ref="AL51:AM51"/>
    <mergeCell ref="AL54:AM54"/>
    <mergeCell ref="AN54:AO54"/>
    <mergeCell ref="AL55:AM55"/>
    <mergeCell ref="AN55:AO55"/>
    <mergeCell ref="AL56:AM56"/>
    <mergeCell ref="AN56:AO56"/>
    <mergeCell ref="AL57:AM57"/>
    <mergeCell ref="AN57:AO57"/>
    <mergeCell ref="V63:W63"/>
    <mergeCell ref="V64:W64"/>
    <mergeCell ref="U69:V69"/>
    <mergeCell ref="U76:V76"/>
    <mergeCell ref="U77:V77"/>
    <mergeCell ref="U92:V92"/>
    <mergeCell ref="U96:V96"/>
    <mergeCell ref="BA99:BB99"/>
    <mergeCell ref="BK99:BL99"/>
    <mergeCell ref="U100:V100"/>
    <mergeCell ref="U101:V101"/>
    <mergeCell ref="U80:V80"/>
    <mergeCell ref="U82:V82"/>
    <mergeCell ref="AB82:AC82"/>
    <mergeCell ref="U83:V83"/>
    <mergeCell ref="U84:V84"/>
    <mergeCell ref="U87:V87"/>
    <mergeCell ref="U88:V88"/>
    <mergeCell ref="V105:W105"/>
    <mergeCell ref="EG52:EH52"/>
    <mergeCell ref="EG54:EH54"/>
    <mergeCell ref="EG55:EH55"/>
    <mergeCell ref="EG56:EH56"/>
    <mergeCell ref="EG57:EH57"/>
    <mergeCell ref="EG58:EH58"/>
    <mergeCell ref="EG60:EH60"/>
    <mergeCell ref="EG61:EH61"/>
    <mergeCell ref="EG62:EH62"/>
    <mergeCell ref="EG63:EH63"/>
    <mergeCell ref="EG64:EH64"/>
    <mergeCell ref="EG65:EH65"/>
    <mergeCell ref="EG66:EH66"/>
    <mergeCell ref="EG68:EH68"/>
    <mergeCell ref="EG78:EH78"/>
    <mergeCell ref="EG79:EH79"/>
    <mergeCell ref="EG81:EH81"/>
    <mergeCell ref="CQ82:CT82"/>
    <mergeCell ref="EG82:EH82"/>
    <mergeCell ref="EG69:EH69"/>
    <mergeCell ref="EG70:EH70"/>
    <mergeCell ref="EG72:EH72"/>
    <mergeCell ref="EG73:EH73"/>
    <mergeCell ref="EG74:EH74"/>
    <mergeCell ref="EG75:EH75"/>
    <mergeCell ref="EG76:EH76"/>
    <mergeCell ref="EG84:EH84"/>
    <mergeCell ref="EG85:EH85"/>
    <mergeCell ref="EG86:EH86"/>
    <mergeCell ref="EG87:EH87"/>
    <mergeCell ref="EG88:EH88"/>
    <mergeCell ref="EG90:EH90"/>
    <mergeCell ref="EG91:EH91"/>
    <mergeCell ref="EG101:EH101"/>
    <mergeCell ref="EG103:EH103"/>
    <mergeCell ref="EG104:EH104"/>
    <mergeCell ref="EG105:EH105"/>
    <mergeCell ref="EG106:EH106"/>
    <mergeCell ref="EG107:EH107"/>
    <mergeCell ref="EG108:EH108"/>
    <mergeCell ref="EG92:EH92"/>
    <mergeCell ref="EG93:EH93"/>
    <mergeCell ref="EG94:EH94"/>
    <mergeCell ref="EG95:EH95"/>
    <mergeCell ref="EG96:EH96"/>
    <mergeCell ref="EG99:EH99"/>
    <mergeCell ref="EG100:EH100"/>
    <mergeCell ref="EG2:EH2"/>
    <mergeCell ref="EG3:EH3"/>
    <mergeCell ref="V4:W4"/>
    <mergeCell ref="EG4:EH4"/>
    <mergeCell ref="AB6:AC6"/>
    <mergeCell ref="AL7:AM7"/>
    <mergeCell ref="BO7:BP7"/>
    <mergeCell ref="EG5:EH5"/>
    <mergeCell ref="EG7:EH7"/>
    <mergeCell ref="EG8:EH8"/>
    <mergeCell ref="EG9:EH9"/>
    <mergeCell ref="EG10:EH10"/>
    <mergeCell ref="FC10:FD10"/>
    <mergeCell ref="EG11:EH11"/>
    <mergeCell ref="EG12:EH12"/>
    <mergeCell ref="EG13:EH13"/>
    <mergeCell ref="EG14:EH14"/>
    <mergeCell ref="EG15:EH15"/>
    <mergeCell ref="EG16:EH16"/>
    <mergeCell ref="EG17:EH17"/>
    <mergeCell ref="EV18:EW18"/>
    <mergeCell ref="AN7:AO7"/>
    <mergeCell ref="BM7:BN7"/>
    <mergeCell ref="U11:V11"/>
    <mergeCell ref="CQ11:CT11"/>
    <mergeCell ref="V18:W18"/>
    <mergeCell ref="CQ18:CT18"/>
    <mergeCell ref="BO21:BP21"/>
    <mergeCell ref="EG18:EH18"/>
    <mergeCell ref="EG19:EH19"/>
    <mergeCell ref="CQ20:CT20"/>
    <mergeCell ref="EG20:EH20"/>
    <mergeCell ref="EG21:EH21"/>
    <mergeCell ref="EG22:EH22"/>
    <mergeCell ref="CQ24:CT24"/>
    <mergeCell ref="EG34:EH34"/>
    <mergeCell ref="EG35:EH35"/>
    <mergeCell ref="EG36:EH36"/>
    <mergeCell ref="EG37:EH37"/>
    <mergeCell ref="EG38:EH38"/>
    <mergeCell ref="DM39:DN39"/>
    <mergeCell ref="EG39:EH39"/>
    <mergeCell ref="EG41:EH41"/>
    <mergeCell ref="EG43:EH43"/>
    <mergeCell ref="EG46:EH46"/>
    <mergeCell ref="EG47:EH47"/>
    <mergeCell ref="EG49:EH49"/>
    <mergeCell ref="EG51:EH51"/>
    <mergeCell ref="CQ52:CT5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3" t="s">
        <v>5</v>
      </c>
      <c r="D1" s="1" t="s">
        <v>7</v>
      </c>
      <c r="E1" s="1" t="s">
        <v>9</v>
      </c>
      <c r="F1" s="3" t="s">
        <v>10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23</v>
      </c>
      <c r="Q1" s="3" t="s">
        <v>24</v>
      </c>
      <c r="R1" s="7" t="s">
        <v>25</v>
      </c>
      <c r="S1" s="7" t="s">
        <v>27</v>
      </c>
      <c r="T1" s="1" t="s">
        <v>28</v>
      </c>
      <c r="U1" s="1" t="s">
        <v>30</v>
      </c>
      <c r="V1" s="1" t="s">
        <v>31</v>
      </c>
      <c r="W1" s="1" t="s">
        <v>32</v>
      </c>
      <c r="X1" s="1" t="s">
        <v>35</v>
      </c>
      <c r="Y1" s="1" t="s">
        <v>36</v>
      </c>
      <c r="Z1" s="1" t="s">
        <v>39</v>
      </c>
      <c r="AA1" s="1" t="s">
        <v>40</v>
      </c>
      <c r="AB1" s="1" t="s">
        <v>42</v>
      </c>
      <c r="AC1" s="1" t="s">
        <v>44</v>
      </c>
      <c r="AD1" s="1" t="s">
        <v>45</v>
      </c>
      <c r="AE1" s="1" t="s">
        <v>47</v>
      </c>
      <c r="AF1" s="1" t="s">
        <v>48</v>
      </c>
      <c r="AG1" s="1" t="s">
        <v>51</v>
      </c>
      <c r="AH1" s="1" t="s">
        <v>52</v>
      </c>
      <c r="AI1" s="1" t="s">
        <v>45</v>
      </c>
      <c r="AJ1" s="1" t="s">
        <v>54</v>
      </c>
      <c r="AK1" s="1" t="s">
        <v>55</v>
      </c>
      <c r="AL1" s="1" t="s">
        <v>57</v>
      </c>
      <c r="AM1" s="1" t="s">
        <v>58</v>
      </c>
      <c r="AN1" s="1" t="s">
        <v>60</v>
      </c>
      <c r="AO1" s="1" t="s">
        <v>61</v>
      </c>
      <c r="AP1" s="1" t="s">
        <v>62</v>
      </c>
      <c r="AQ1" s="1" t="s">
        <v>64</v>
      </c>
      <c r="AR1" s="1" t="s">
        <v>66</v>
      </c>
      <c r="AS1" s="1" t="s">
        <v>67</v>
      </c>
      <c r="AT1" s="1" t="s">
        <v>68</v>
      </c>
      <c r="AU1" s="1" t="s">
        <v>70</v>
      </c>
      <c r="AV1" s="1" t="s">
        <v>71</v>
      </c>
      <c r="AW1" s="1" t="s">
        <v>73</v>
      </c>
      <c r="AX1" s="1" t="s">
        <v>74</v>
      </c>
      <c r="AY1" s="1" t="s">
        <v>75</v>
      </c>
      <c r="AZ1" s="1" t="s">
        <v>76</v>
      </c>
      <c r="BA1" s="1" t="s">
        <v>78</v>
      </c>
      <c r="BB1" s="1" t="s">
        <v>79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85</v>
      </c>
      <c r="BH1" s="1" t="s">
        <v>86</v>
      </c>
      <c r="BI1" s="1" t="s">
        <v>87</v>
      </c>
      <c r="BJ1" s="1" t="s">
        <v>88</v>
      </c>
      <c r="BK1" s="1" t="s">
        <v>89</v>
      </c>
      <c r="BL1" s="1" t="s">
        <v>91</v>
      </c>
      <c r="BM1" s="1" t="s">
        <v>57</v>
      </c>
      <c r="BN1" s="1" t="s">
        <v>58</v>
      </c>
      <c r="BO1" s="1" t="s">
        <v>60</v>
      </c>
      <c r="BP1" s="1" t="s">
        <v>61</v>
      </c>
      <c r="BQ1" s="1" t="s">
        <v>62</v>
      </c>
      <c r="BR1" s="1" t="s">
        <v>94</v>
      </c>
      <c r="BS1" s="1" t="s">
        <v>96</v>
      </c>
      <c r="BT1" s="1" t="s">
        <v>98</v>
      </c>
      <c r="BU1" s="12"/>
      <c r="BV1" s="1" t="s">
        <v>101</v>
      </c>
      <c r="BW1" s="1" t="s">
        <v>103</v>
      </c>
      <c r="BX1" s="1" t="s">
        <v>105</v>
      </c>
      <c r="BY1" s="1" t="s">
        <v>107</v>
      </c>
      <c r="BZ1" s="1" t="s">
        <v>108</v>
      </c>
      <c r="CA1" s="1" t="s">
        <v>110</v>
      </c>
      <c r="CB1" s="1" t="s">
        <v>111</v>
      </c>
      <c r="CC1" s="1" t="s">
        <v>112</v>
      </c>
      <c r="CD1" s="1" t="s">
        <v>113</v>
      </c>
      <c r="CE1" s="1" t="s">
        <v>115</v>
      </c>
      <c r="CF1" s="1" t="s">
        <v>116</v>
      </c>
      <c r="CG1" s="1" t="s">
        <v>117</v>
      </c>
      <c r="CH1" s="1" t="s">
        <v>118</v>
      </c>
      <c r="CI1" s="1" t="s">
        <v>120</v>
      </c>
      <c r="CJ1" s="1" t="s">
        <v>122</v>
      </c>
      <c r="CK1" s="1" t="s">
        <v>124</v>
      </c>
      <c r="CL1" s="1" t="s">
        <v>125</v>
      </c>
      <c r="CM1" s="1" t="s">
        <v>127</v>
      </c>
      <c r="CN1" s="1" t="s">
        <v>129</v>
      </c>
      <c r="CO1" s="1" t="s">
        <v>131</v>
      </c>
      <c r="CP1" s="1" t="s">
        <v>101</v>
      </c>
      <c r="CQ1" s="1" t="s">
        <v>133</v>
      </c>
      <c r="CR1" s="1" t="s">
        <v>134</v>
      </c>
      <c r="CS1" s="1" t="s">
        <v>135</v>
      </c>
      <c r="CT1" s="1" t="s">
        <v>137</v>
      </c>
      <c r="CU1" s="1" t="s">
        <v>139</v>
      </c>
      <c r="CV1" s="1" t="s">
        <v>140</v>
      </c>
      <c r="CW1" s="1" t="s">
        <v>142</v>
      </c>
      <c r="CX1" s="1" t="s">
        <v>144</v>
      </c>
      <c r="CY1" s="1" t="s">
        <v>145</v>
      </c>
      <c r="CZ1" s="1" t="s">
        <v>101</v>
      </c>
      <c r="DA1" s="1" t="s">
        <v>147</v>
      </c>
      <c r="DB1" s="1" t="s">
        <v>148</v>
      </c>
      <c r="DC1" s="1" t="s">
        <v>150</v>
      </c>
      <c r="DD1" s="1" t="s">
        <v>152</v>
      </c>
      <c r="DE1" s="1" t="s">
        <v>153</v>
      </c>
      <c r="DF1" s="1" t="s">
        <v>154</v>
      </c>
      <c r="DG1" s="1" t="s">
        <v>156</v>
      </c>
      <c r="DH1" s="1" t="s">
        <v>157</v>
      </c>
      <c r="DI1" s="1" t="s">
        <v>159</v>
      </c>
      <c r="DJ1" s="1" t="s">
        <v>160</v>
      </c>
      <c r="DK1" s="1" t="s">
        <v>162</v>
      </c>
      <c r="DL1" s="1" t="s">
        <v>164</v>
      </c>
      <c r="DM1" s="1" t="s">
        <v>165</v>
      </c>
      <c r="DN1" s="1" t="s">
        <v>167</v>
      </c>
      <c r="DO1" s="1" t="s">
        <v>169</v>
      </c>
      <c r="DP1" s="1" t="s">
        <v>153</v>
      </c>
      <c r="DQ1" s="1" t="s">
        <v>154</v>
      </c>
      <c r="DR1" s="1" t="s">
        <v>156</v>
      </c>
      <c r="DS1" s="1" t="s">
        <v>157</v>
      </c>
      <c r="DT1" s="1" t="s">
        <v>159</v>
      </c>
      <c r="DU1" s="1" t="s">
        <v>160</v>
      </c>
      <c r="DV1" s="1" t="s">
        <v>162</v>
      </c>
      <c r="DW1" s="1" t="s">
        <v>164</v>
      </c>
      <c r="DX1" s="1" t="s">
        <v>165</v>
      </c>
      <c r="DY1" s="1" t="s">
        <v>167</v>
      </c>
      <c r="DZ1" s="1" t="s">
        <v>169</v>
      </c>
      <c r="EA1" s="1" t="s">
        <v>174</v>
      </c>
      <c r="EB1" s="1" t="s">
        <v>101</v>
      </c>
      <c r="EC1" s="1" t="s">
        <v>176</v>
      </c>
      <c r="ED1" s="1" t="s">
        <v>101</v>
      </c>
      <c r="EE1" s="1" t="s">
        <v>177</v>
      </c>
      <c r="EF1" s="1" t="s">
        <v>178</v>
      </c>
      <c r="EG1" s="1" t="s">
        <v>179</v>
      </c>
      <c r="EH1" s="1" t="s">
        <v>178</v>
      </c>
      <c r="EI1" s="1" t="s">
        <v>181</v>
      </c>
      <c r="EJ1" s="1" t="s">
        <v>182</v>
      </c>
      <c r="EK1" s="1" t="s">
        <v>183</v>
      </c>
      <c r="EL1" s="1" t="s">
        <v>184</v>
      </c>
      <c r="EM1" s="1" t="s">
        <v>185</v>
      </c>
      <c r="EN1" s="1" t="s">
        <v>186</v>
      </c>
      <c r="EO1" s="1" t="s">
        <v>187</v>
      </c>
      <c r="EP1" s="1" t="s">
        <v>189</v>
      </c>
      <c r="EQ1" s="1" t="s">
        <v>191</v>
      </c>
      <c r="ER1" s="1" t="s">
        <v>193</v>
      </c>
      <c r="ES1" s="1" t="s">
        <v>194</v>
      </c>
      <c r="ET1" s="1" t="s">
        <v>196</v>
      </c>
      <c r="EU1" s="1" t="s">
        <v>122</v>
      </c>
      <c r="EV1" s="1" t="s">
        <v>197</v>
      </c>
      <c r="EW1" s="1" t="s">
        <v>199</v>
      </c>
      <c r="EX1" s="1" t="s">
        <v>200</v>
      </c>
      <c r="EY1" s="1" t="s">
        <v>201</v>
      </c>
      <c r="EZ1" s="1" t="s">
        <v>178</v>
      </c>
      <c r="FA1" s="1" t="s">
        <v>202</v>
      </c>
      <c r="FB1" s="1" t="s">
        <v>203</v>
      </c>
      <c r="FC1" s="1" t="s">
        <v>201</v>
      </c>
      <c r="FD1" s="1" t="s">
        <v>178</v>
      </c>
      <c r="FE1" s="1" t="s">
        <v>202</v>
      </c>
      <c r="FF1" s="1" t="s">
        <v>204</v>
      </c>
      <c r="FG1" s="1" t="s">
        <v>201</v>
      </c>
      <c r="FH1" s="1" t="s">
        <v>178</v>
      </c>
      <c r="FI1" s="1" t="s">
        <v>202</v>
      </c>
      <c r="FJ1" s="1" t="s">
        <v>206</v>
      </c>
      <c r="FK1" s="1" t="s">
        <v>201</v>
      </c>
      <c r="FL1" s="1" t="s">
        <v>178</v>
      </c>
      <c r="FM1" s="1" t="s">
        <v>202</v>
      </c>
      <c r="FN1" s="1" t="s">
        <v>207</v>
      </c>
      <c r="FO1" s="1" t="s">
        <v>201</v>
      </c>
      <c r="FP1" s="1" t="s">
        <v>178</v>
      </c>
      <c r="FQ1" s="1" t="s">
        <v>202</v>
      </c>
      <c r="FR1" s="27" t="s">
        <v>209</v>
      </c>
      <c r="FS1" s="28" t="s">
        <v>34</v>
      </c>
      <c r="FT1" s="28" t="s">
        <v>37</v>
      </c>
      <c r="FU1" s="28" t="s">
        <v>41</v>
      </c>
      <c r="FV1" s="1" t="s">
        <v>210</v>
      </c>
      <c r="FW1" s="1" t="s">
        <v>211</v>
      </c>
      <c r="FX1" s="1" t="s">
        <v>212</v>
      </c>
      <c r="FY1" s="1" t="s">
        <v>213</v>
      </c>
      <c r="FZ1" s="1" t="s">
        <v>214</v>
      </c>
      <c r="GA1" s="1" t="s">
        <v>215</v>
      </c>
      <c r="GB1" s="1" t="s">
        <v>216</v>
      </c>
      <c r="GC1" s="1" t="s">
        <v>217</v>
      </c>
      <c r="GD1" s="1" t="s">
        <v>218</v>
      </c>
      <c r="GE1" s="1" t="s">
        <v>219</v>
      </c>
      <c r="GF1" s="1" t="s">
        <v>220</v>
      </c>
      <c r="GG1" s="1" t="s">
        <v>221</v>
      </c>
      <c r="GH1" s="1" t="s">
        <v>222</v>
      </c>
      <c r="GI1" s="1" t="s">
        <v>223</v>
      </c>
      <c r="GJ1" s="1" t="s">
        <v>224</v>
      </c>
      <c r="GK1" s="1" t="s">
        <v>225</v>
      </c>
      <c r="GL1" s="1" t="s">
        <v>226</v>
      </c>
      <c r="GM1" s="1" t="s">
        <v>227</v>
      </c>
      <c r="GN1" s="1" t="s">
        <v>228</v>
      </c>
      <c r="GO1" s="1" t="s">
        <v>229</v>
      </c>
      <c r="GP1" s="1" t="s">
        <v>230</v>
      </c>
      <c r="GQ1" s="1" t="s">
        <v>231</v>
      </c>
      <c r="GR1" s="1" t="s">
        <v>232</v>
      </c>
      <c r="GS1" s="1" t="s">
        <v>233</v>
      </c>
      <c r="GT1" s="1" t="s">
        <v>234</v>
      </c>
      <c r="GU1" s="1" t="s">
        <v>235</v>
      </c>
      <c r="GV1" s="1" t="s">
        <v>236</v>
      </c>
      <c r="GW1" s="1" t="s">
        <v>237</v>
      </c>
      <c r="GX1" s="1" t="s">
        <v>238</v>
      </c>
      <c r="GY1" s="1" t="s">
        <v>239</v>
      </c>
      <c r="GZ1" s="1" t="s">
        <v>240</v>
      </c>
      <c r="HA1" s="1" t="s">
        <v>241</v>
      </c>
      <c r="HB1" s="1" t="s">
        <v>242</v>
      </c>
      <c r="HC1" s="1" t="s">
        <v>243</v>
      </c>
      <c r="HD1" s="1" t="s">
        <v>244</v>
      </c>
      <c r="HE1" s="1" t="s">
        <v>245</v>
      </c>
      <c r="HF1" s="1" t="s">
        <v>246</v>
      </c>
      <c r="HG1" s="1" t="s">
        <v>247</v>
      </c>
      <c r="HH1" s="1" t="s">
        <v>248</v>
      </c>
      <c r="HI1" s="1" t="s">
        <v>249</v>
      </c>
      <c r="HJ1" s="1" t="s">
        <v>250</v>
      </c>
      <c r="HK1" s="1" t="s">
        <v>251</v>
      </c>
    </row>
    <row r="2">
      <c r="A2" s="29" t="s">
        <v>180</v>
      </c>
      <c r="B2" s="3">
        <v>1.0</v>
      </c>
      <c r="C2" s="3" t="s">
        <v>188</v>
      </c>
      <c r="D2" s="30">
        <v>23124.0</v>
      </c>
      <c r="E2" s="1">
        <v>63.0</v>
      </c>
      <c r="F2" s="3" t="s">
        <v>252</v>
      </c>
      <c r="G2" s="3" t="s">
        <v>253</v>
      </c>
      <c r="H2" s="3" t="s">
        <v>253</v>
      </c>
      <c r="I2" s="3" t="s">
        <v>252</v>
      </c>
      <c r="J2" s="3" t="s">
        <v>253</v>
      </c>
      <c r="K2" s="3" t="s">
        <v>253</v>
      </c>
      <c r="L2" s="3" t="s">
        <v>254</v>
      </c>
      <c r="M2" s="3" t="s">
        <v>255</v>
      </c>
      <c r="N2" s="3" t="s">
        <v>254</v>
      </c>
      <c r="O2" s="3" t="s">
        <v>255</v>
      </c>
      <c r="P2" s="3" t="s">
        <v>254</v>
      </c>
      <c r="Q2" s="3" t="s">
        <v>256</v>
      </c>
      <c r="R2" s="7" t="s">
        <v>257</v>
      </c>
      <c r="S2" s="7" t="s">
        <v>258</v>
      </c>
      <c r="T2" s="1" t="s">
        <v>259</v>
      </c>
      <c r="U2" s="1" t="s">
        <v>260</v>
      </c>
      <c r="V2" s="1" t="s">
        <v>261</v>
      </c>
      <c r="W2" s="1" t="s">
        <v>254</v>
      </c>
      <c r="X2" s="1" t="s">
        <v>254</v>
      </c>
      <c r="Y2" s="1" t="s">
        <v>262</v>
      </c>
      <c r="Z2" s="1">
        <v>1.0</v>
      </c>
      <c r="AA2" s="1" t="s">
        <v>263</v>
      </c>
      <c r="AB2" s="1" t="s">
        <v>264</v>
      </c>
      <c r="AC2" s="1">
        <v>0.0</v>
      </c>
      <c r="AD2" s="1">
        <v>2021.0</v>
      </c>
      <c r="AE2" s="1" t="s">
        <v>265</v>
      </c>
      <c r="AF2" s="1" t="s">
        <v>255</v>
      </c>
      <c r="AG2" s="1" t="s">
        <v>266</v>
      </c>
      <c r="AH2" s="1" t="s">
        <v>266</v>
      </c>
      <c r="AI2" s="30">
        <v>45539.0</v>
      </c>
      <c r="AJ2" s="30">
        <v>45398.0</v>
      </c>
      <c r="AK2" s="1" t="s">
        <v>267</v>
      </c>
      <c r="AL2" s="1" t="s">
        <v>268</v>
      </c>
      <c r="AM2" s="1" t="s">
        <v>269</v>
      </c>
      <c r="AN2" s="1" t="s">
        <v>269</v>
      </c>
      <c r="AO2" s="1" t="s">
        <v>270</v>
      </c>
      <c r="AP2" s="1" t="s">
        <v>271</v>
      </c>
      <c r="AQ2" s="1" t="s">
        <v>272</v>
      </c>
      <c r="AR2" s="1">
        <v>2.0</v>
      </c>
      <c r="AS2" s="1" t="s">
        <v>273</v>
      </c>
      <c r="AT2" s="1" t="s">
        <v>274</v>
      </c>
      <c r="AU2" s="1" t="s">
        <v>275</v>
      </c>
      <c r="AV2" s="1" t="s">
        <v>276</v>
      </c>
      <c r="AW2" s="1" t="s">
        <v>277</v>
      </c>
      <c r="AX2" s="1" t="s">
        <v>254</v>
      </c>
      <c r="AY2" s="1">
        <v>0.0</v>
      </c>
      <c r="AZ2" s="1" t="s">
        <v>255</v>
      </c>
      <c r="BA2" s="1" t="s">
        <v>278</v>
      </c>
      <c r="BB2" s="1" t="s">
        <v>254</v>
      </c>
      <c r="BC2" s="1" t="s">
        <v>279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 t="s">
        <v>280</v>
      </c>
      <c r="BM2" s="1" t="s">
        <v>268</v>
      </c>
      <c r="BN2" s="1" t="s">
        <v>281</v>
      </c>
      <c r="BO2" s="1" t="s">
        <v>282</v>
      </c>
      <c r="BP2" s="1" t="s">
        <v>283</v>
      </c>
      <c r="BQ2" s="1" t="s">
        <v>284</v>
      </c>
      <c r="BR2" s="1" t="s">
        <v>254</v>
      </c>
      <c r="BS2" s="1" t="s">
        <v>254</v>
      </c>
      <c r="BT2" s="1" t="s">
        <v>254</v>
      </c>
      <c r="BU2" s="1" t="s">
        <v>254</v>
      </c>
      <c r="BV2" s="1" t="s">
        <v>254</v>
      </c>
      <c r="BW2" s="1" t="s">
        <v>255</v>
      </c>
      <c r="BX2" s="12"/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1.0</v>
      </c>
      <c r="CH2" s="1">
        <v>0.0</v>
      </c>
      <c r="CI2" s="1">
        <v>0.0</v>
      </c>
      <c r="CJ2" s="1" t="s">
        <v>285</v>
      </c>
      <c r="CK2" s="1" t="s">
        <v>286</v>
      </c>
      <c r="CL2" s="1" t="s">
        <v>287</v>
      </c>
      <c r="CM2" s="1" t="s">
        <v>254</v>
      </c>
      <c r="CN2" s="1">
        <v>0.0</v>
      </c>
      <c r="CO2" s="1" t="s">
        <v>254</v>
      </c>
      <c r="CP2" s="1">
        <v>0.0</v>
      </c>
      <c r="CQ2" s="1">
        <v>4.0</v>
      </c>
      <c r="CR2" s="1">
        <v>2.0</v>
      </c>
      <c r="CS2" s="1">
        <v>2.0</v>
      </c>
      <c r="CT2" s="1" t="s">
        <v>288</v>
      </c>
      <c r="CU2" s="1" t="s">
        <v>289</v>
      </c>
      <c r="CV2" s="1" t="s">
        <v>254</v>
      </c>
      <c r="CW2" s="1" t="s">
        <v>254</v>
      </c>
      <c r="CX2" s="1" t="s">
        <v>254</v>
      </c>
      <c r="CY2" s="1" t="s">
        <v>255</v>
      </c>
      <c r="CZ2" s="1" t="s">
        <v>254</v>
      </c>
      <c r="DA2" s="1" t="s">
        <v>255</v>
      </c>
      <c r="DB2" s="1" t="s">
        <v>254</v>
      </c>
      <c r="DC2" s="1" t="s">
        <v>254</v>
      </c>
      <c r="DD2" s="1" t="s">
        <v>255</v>
      </c>
      <c r="DE2" s="1" t="s">
        <v>290</v>
      </c>
      <c r="DF2" s="1" t="s">
        <v>291</v>
      </c>
      <c r="DG2" s="1" t="s">
        <v>292</v>
      </c>
      <c r="DH2" s="1" t="s">
        <v>292</v>
      </c>
      <c r="DI2" s="1" t="s">
        <v>290</v>
      </c>
      <c r="DJ2" s="1" t="s">
        <v>293</v>
      </c>
      <c r="DK2" s="1" t="s">
        <v>293</v>
      </c>
      <c r="DL2" s="1" t="s">
        <v>290</v>
      </c>
      <c r="DM2" s="1" t="s">
        <v>291</v>
      </c>
      <c r="DN2" s="1" t="s">
        <v>293</v>
      </c>
      <c r="DO2" s="1" t="s">
        <v>293</v>
      </c>
      <c r="DP2" s="1" t="s">
        <v>293</v>
      </c>
      <c r="DQ2" s="1" t="s">
        <v>293</v>
      </c>
      <c r="DR2" s="1" t="s">
        <v>293</v>
      </c>
      <c r="DS2" s="1" t="s">
        <v>293</v>
      </c>
      <c r="DT2" s="1" t="s">
        <v>293</v>
      </c>
      <c r="DU2" s="1" t="s">
        <v>293</v>
      </c>
      <c r="DV2" s="1" t="s">
        <v>293</v>
      </c>
      <c r="DW2" s="1" t="s">
        <v>293</v>
      </c>
      <c r="DX2" s="1" t="s">
        <v>293</v>
      </c>
      <c r="DY2" s="1" t="s">
        <v>293</v>
      </c>
      <c r="DZ2" s="1" t="s">
        <v>293</v>
      </c>
      <c r="EA2" s="1" t="s">
        <v>254</v>
      </c>
      <c r="EB2" s="1" t="s">
        <v>254</v>
      </c>
      <c r="EC2" s="1" t="s">
        <v>254</v>
      </c>
      <c r="ED2" s="1">
        <v>0.0</v>
      </c>
      <c r="EE2" s="1" t="s">
        <v>255</v>
      </c>
      <c r="EF2" s="1" t="s">
        <v>294</v>
      </c>
      <c r="EG2" s="1" t="s">
        <v>295</v>
      </c>
      <c r="EI2" s="1" t="s">
        <v>293</v>
      </c>
      <c r="EJ2" s="1" t="s">
        <v>293</v>
      </c>
      <c r="EK2" s="1" t="s">
        <v>293</v>
      </c>
      <c r="EL2" s="1" t="s">
        <v>293</v>
      </c>
      <c r="EM2" s="1" t="s">
        <v>293</v>
      </c>
      <c r="EN2" s="1" t="s">
        <v>296</v>
      </c>
      <c r="EO2" s="1" t="s">
        <v>293</v>
      </c>
      <c r="EP2" s="1" t="s">
        <v>293</v>
      </c>
      <c r="EQ2" s="1" t="s">
        <v>293</v>
      </c>
      <c r="ER2" s="1" t="s">
        <v>293</v>
      </c>
      <c r="ES2" s="1" t="s">
        <v>293</v>
      </c>
      <c r="ET2" s="1" t="s">
        <v>293</v>
      </c>
      <c r="EU2" s="1" t="s">
        <v>293</v>
      </c>
      <c r="EV2" s="1" t="s">
        <v>297</v>
      </c>
      <c r="EW2" s="1" t="s">
        <v>254</v>
      </c>
      <c r="EX2" s="1" t="s">
        <v>254</v>
      </c>
      <c r="EY2" s="1">
        <v>0.0</v>
      </c>
      <c r="EZ2" s="1">
        <v>0.0</v>
      </c>
      <c r="FA2" s="1">
        <v>0.0</v>
      </c>
      <c r="FB2" s="1" t="s">
        <v>254</v>
      </c>
      <c r="FC2" s="1">
        <v>0.0</v>
      </c>
      <c r="FD2" s="1">
        <v>0.0</v>
      </c>
      <c r="FE2" s="1">
        <v>0.0</v>
      </c>
      <c r="FF2" s="1" t="s">
        <v>293</v>
      </c>
      <c r="FG2" s="1">
        <v>0.0</v>
      </c>
      <c r="FH2" s="1">
        <v>0.0</v>
      </c>
      <c r="FI2" s="1">
        <v>0.0</v>
      </c>
      <c r="FJ2" s="1" t="s">
        <v>293</v>
      </c>
      <c r="FK2" s="1">
        <v>0.0</v>
      </c>
      <c r="FL2" s="1">
        <v>0.0</v>
      </c>
      <c r="FM2" s="1">
        <v>0.0</v>
      </c>
      <c r="FN2" s="1" t="s">
        <v>293</v>
      </c>
      <c r="FO2" s="1">
        <v>0.0</v>
      </c>
      <c r="FP2" s="1">
        <v>0.0</v>
      </c>
      <c r="FQ2" s="1">
        <v>0.0</v>
      </c>
      <c r="FR2" s="27" t="s">
        <v>198</v>
      </c>
      <c r="FS2" s="28" t="s">
        <v>205</v>
      </c>
      <c r="FT2" s="28" t="s">
        <v>205</v>
      </c>
      <c r="FU2" s="28" t="s">
        <v>298</v>
      </c>
      <c r="FV2" s="1">
        <v>6.0</v>
      </c>
      <c r="FW2" s="1" t="s">
        <v>299</v>
      </c>
      <c r="FX2" s="1">
        <v>6.0</v>
      </c>
      <c r="FY2" s="1" t="s">
        <v>299</v>
      </c>
      <c r="FZ2" s="1">
        <v>24.0</v>
      </c>
      <c r="GA2" s="1" t="s">
        <v>300</v>
      </c>
      <c r="GB2" s="1" t="s">
        <v>301</v>
      </c>
      <c r="GC2" s="1" t="s">
        <v>301</v>
      </c>
      <c r="GD2" s="1">
        <v>6.0</v>
      </c>
      <c r="GE2" s="1" t="s">
        <v>299</v>
      </c>
      <c r="GF2" s="1" t="s">
        <v>301</v>
      </c>
      <c r="GG2" s="1" t="s">
        <v>301</v>
      </c>
      <c r="GH2" s="1">
        <v>30.0</v>
      </c>
      <c r="GI2" s="1" t="s">
        <v>300</v>
      </c>
      <c r="GJ2" s="1">
        <v>24.0</v>
      </c>
      <c r="GK2" s="1" t="s">
        <v>300</v>
      </c>
      <c r="GL2" s="1">
        <v>6.0</v>
      </c>
      <c r="GM2" s="1" t="s">
        <v>299</v>
      </c>
      <c r="GN2" s="1">
        <v>18.0</v>
      </c>
      <c r="GO2" s="1" t="s">
        <v>299</v>
      </c>
      <c r="GP2" s="1">
        <v>10.0</v>
      </c>
      <c r="GQ2" s="1" t="s">
        <v>299</v>
      </c>
      <c r="GR2" s="1">
        <v>22.0</v>
      </c>
      <c r="GS2" s="1" t="s">
        <v>300</v>
      </c>
      <c r="GT2" s="1">
        <v>24.0</v>
      </c>
      <c r="GU2" s="1" t="s">
        <v>300</v>
      </c>
      <c r="GV2" s="1" t="s">
        <v>301</v>
      </c>
      <c r="GW2" s="1" t="s">
        <v>301</v>
      </c>
      <c r="GX2" s="1" t="s">
        <v>301</v>
      </c>
      <c r="GY2" s="1" t="s">
        <v>301</v>
      </c>
      <c r="GZ2" s="1">
        <v>30.0</v>
      </c>
      <c r="HA2" s="1" t="s">
        <v>300</v>
      </c>
      <c r="HB2" s="1" t="s">
        <v>301</v>
      </c>
      <c r="HC2" s="1" t="s">
        <v>301</v>
      </c>
      <c r="HD2" s="1" t="s">
        <v>301</v>
      </c>
      <c r="HE2" s="1" t="s">
        <v>301</v>
      </c>
      <c r="HF2" s="1">
        <v>6.0</v>
      </c>
      <c r="HG2" s="1" t="s">
        <v>299</v>
      </c>
      <c r="HH2" s="1">
        <v>6.0</v>
      </c>
      <c r="HI2" s="1" t="s">
        <v>299</v>
      </c>
      <c r="HJ2" s="1" t="s">
        <v>301</v>
      </c>
      <c r="HK2" s="1" t="s">
        <v>301</v>
      </c>
    </row>
    <row r="3">
      <c r="A3" s="29" t="s">
        <v>302</v>
      </c>
      <c r="B3" s="3">
        <v>2.0</v>
      </c>
      <c r="C3" s="3" t="s">
        <v>303</v>
      </c>
      <c r="D3" s="30">
        <v>22594.0</v>
      </c>
      <c r="E3" s="1">
        <v>64.0</v>
      </c>
      <c r="F3" s="3" t="s">
        <v>253</v>
      </c>
      <c r="G3" s="3" t="s">
        <v>252</v>
      </c>
      <c r="H3" s="3" t="s">
        <v>253</v>
      </c>
      <c r="I3" s="3" t="s">
        <v>253</v>
      </c>
      <c r="J3" s="3" t="s">
        <v>252</v>
      </c>
      <c r="K3" s="3" t="s">
        <v>252</v>
      </c>
      <c r="L3" s="3" t="s">
        <v>254</v>
      </c>
      <c r="M3" s="3" t="s">
        <v>254</v>
      </c>
      <c r="N3" s="3" t="s">
        <v>254</v>
      </c>
      <c r="O3" s="3" t="s">
        <v>254</v>
      </c>
      <c r="P3" s="3" t="s">
        <v>255</v>
      </c>
      <c r="Q3" s="3" t="s">
        <v>256</v>
      </c>
      <c r="R3" s="7" t="s">
        <v>37</v>
      </c>
      <c r="S3" s="7" t="s">
        <v>304</v>
      </c>
      <c r="T3" s="1" t="s">
        <v>305</v>
      </c>
      <c r="U3" s="1" t="s">
        <v>306</v>
      </c>
      <c r="V3" s="1" t="s">
        <v>307</v>
      </c>
      <c r="W3" s="1" t="s">
        <v>254</v>
      </c>
      <c r="X3" s="1" t="s">
        <v>254</v>
      </c>
      <c r="Y3" s="1">
        <v>0.0</v>
      </c>
      <c r="Z3" s="1">
        <v>0.0</v>
      </c>
      <c r="AA3" s="1">
        <v>0.0</v>
      </c>
      <c r="AB3" s="1" t="s">
        <v>308</v>
      </c>
      <c r="AC3" s="1">
        <v>0.0</v>
      </c>
      <c r="AD3" s="1">
        <v>0.0</v>
      </c>
      <c r="AE3" s="1" t="s">
        <v>265</v>
      </c>
      <c r="AF3" s="1" t="s">
        <v>255</v>
      </c>
      <c r="AG3" s="1" t="s">
        <v>309</v>
      </c>
      <c r="AH3" s="1" t="s">
        <v>310</v>
      </c>
      <c r="AI3" s="1" t="s">
        <v>311</v>
      </c>
      <c r="AJ3" s="1" t="s">
        <v>312</v>
      </c>
      <c r="AK3" s="1" t="s">
        <v>313</v>
      </c>
      <c r="AL3" s="1" t="s">
        <v>314</v>
      </c>
      <c r="AM3" s="1" t="s">
        <v>269</v>
      </c>
      <c r="AN3" s="1" t="s">
        <v>269</v>
      </c>
      <c r="AO3" s="1" t="s">
        <v>270</v>
      </c>
      <c r="AP3" s="1" t="s">
        <v>271</v>
      </c>
      <c r="AQ3" s="1" t="s">
        <v>315</v>
      </c>
      <c r="AR3" s="1">
        <v>3.0</v>
      </c>
      <c r="AS3" s="1" t="s">
        <v>273</v>
      </c>
      <c r="AT3" s="1" t="s">
        <v>274</v>
      </c>
      <c r="AU3" s="1" t="s">
        <v>316</v>
      </c>
      <c r="AV3" s="1" t="s">
        <v>317</v>
      </c>
      <c r="AW3" s="1" t="s">
        <v>318</v>
      </c>
      <c r="AX3" s="1" t="s">
        <v>254</v>
      </c>
      <c r="AY3" s="1">
        <v>0.0</v>
      </c>
      <c r="AZ3" s="1" t="s">
        <v>255</v>
      </c>
      <c r="BA3" s="31" t="s">
        <v>319</v>
      </c>
      <c r="BB3" s="1" t="s">
        <v>255</v>
      </c>
      <c r="BC3" s="1" t="s">
        <v>279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 t="s">
        <v>320</v>
      </c>
      <c r="BM3" s="1" t="s">
        <v>314</v>
      </c>
      <c r="BN3" s="1" t="s">
        <v>281</v>
      </c>
      <c r="BO3" s="1" t="s">
        <v>282</v>
      </c>
      <c r="BP3" s="1" t="s">
        <v>283</v>
      </c>
      <c r="BQ3" s="1" t="s">
        <v>284</v>
      </c>
      <c r="BR3" s="1" t="s">
        <v>254</v>
      </c>
      <c r="BS3" s="1" t="s">
        <v>254</v>
      </c>
      <c r="BT3" s="1" t="s">
        <v>254</v>
      </c>
      <c r="BU3" s="1" t="s">
        <v>254</v>
      </c>
      <c r="BV3" s="1" t="s">
        <v>254</v>
      </c>
      <c r="BW3" s="1" t="s">
        <v>254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 t="s">
        <v>254</v>
      </c>
      <c r="CN3" s="1">
        <v>0.0</v>
      </c>
      <c r="CO3" s="1" t="s">
        <v>254</v>
      </c>
      <c r="CP3" s="1">
        <v>0.0</v>
      </c>
      <c r="CQ3" s="1">
        <v>6.0</v>
      </c>
      <c r="CR3" s="1">
        <v>3.0</v>
      </c>
      <c r="CS3" s="1">
        <v>3.0</v>
      </c>
      <c r="CT3" s="1" t="s">
        <v>321</v>
      </c>
      <c r="CU3" s="1" t="s">
        <v>322</v>
      </c>
      <c r="CV3" s="1" t="s">
        <v>254</v>
      </c>
      <c r="CW3" s="1" t="s">
        <v>254</v>
      </c>
      <c r="CX3" s="1" t="s">
        <v>254</v>
      </c>
      <c r="CY3" s="1" t="s">
        <v>254</v>
      </c>
      <c r="CZ3" s="1" t="s">
        <v>254</v>
      </c>
      <c r="DA3" s="1" t="s">
        <v>255</v>
      </c>
      <c r="DB3" s="1" t="s">
        <v>255</v>
      </c>
      <c r="DC3" s="1" t="s">
        <v>254</v>
      </c>
      <c r="DD3" s="1" t="s">
        <v>255</v>
      </c>
      <c r="DE3" s="1" t="s">
        <v>293</v>
      </c>
      <c r="DF3" s="1" t="s">
        <v>293</v>
      </c>
      <c r="DG3" s="1" t="s">
        <v>323</v>
      </c>
      <c r="DH3" s="1" t="s">
        <v>291</v>
      </c>
      <c r="DI3" s="1" t="s">
        <v>324</v>
      </c>
      <c r="DJ3" s="1" t="s">
        <v>293</v>
      </c>
      <c r="DK3" s="1" t="s">
        <v>293</v>
      </c>
      <c r="DL3" s="1" t="s">
        <v>323</v>
      </c>
      <c r="DM3" s="1" t="s">
        <v>293</v>
      </c>
      <c r="DN3" s="1" t="s">
        <v>291</v>
      </c>
      <c r="DO3" s="1" t="s">
        <v>293</v>
      </c>
      <c r="DP3" s="1" t="s">
        <v>293</v>
      </c>
      <c r="DQ3" s="1" t="s">
        <v>293</v>
      </c>
      <c r="DR3" s="1" t="s">
        <v>293</v>
      </c>
      <c r="DS3" s="1" t="s">
        <v>293</v>
      </c>
      <c r="DT3" s="1" t="s">
        <v>293</v>
      </c>
      <c r="DU3" s="1" t="s">
        <v>293</v>
      </c>
      <c r="DV3" s="1" t="s">
        <v>293</v>
      </c>
      <c r="DW3" s="1" t="s">
        <v>293</v>
      </c>
      <c r="DX3" s="1" t="s">
        <v>293</v>
      </c>
      <c r="DY3" s="1" t="s">
        <v>293</v>
      </c>
      <c r="DZ3" s="1" t="s">
        <v>293</v>
      </c>
      <c r="EA3" s="1" t="s">
        <v>254</v>
      </c>
      <c r="EB3" s="1" t="s">
        <v>254</v>
      </c>
      <c r="EC3" s="1" t="s">
        <v>254</v>
      </c>
      <c r="ED3" s="1">
        <v>0.0</v>
      </c>
      <c r="EE3" s="1" t="s">
        <v>255</v>
      </c>
      <c r="EF3" s="1" t="s">
        <v>325</v>
      </c>
      <c r="EG3" s="1" t="s">
        <v>295</v>
      </c>
      <c r="EI3" s="1" t="s">
        <v>293</v>
      </c>
      <c r="EJ3" s="1" t="s">
        <v>293</v>
      </c>
      <c r="EK3" s="1" t="s">
        <v>293</v>
      </c>
      <c r="EL3" s="1" t="s">
        <v>293</v>
      </c>
      <c r="EM3" s="1" t="s">
        <v>326</v>
      </c>
      <c r="EN3" s="1" t="s">
        <v>296</v>
      </c>
      <c r="EO3" s="1" t="s">
        <v>293</v>
      </c>
      <c r="EP3" s="1" t="s">
        <v>293</v>
      </c>
      <c r="EQ3" s="1" t="s">
        <v>293</v>
      </c>
      <c r="ER3" s="1" t="s">
        <v>293</v>
      </c>
      <c r="ES3" s="1" t="s">
        <v>293</v>
      </c>
      <c r="ET3" s="1" t="s">
        <v>293</v>
      </c>
      <c r="EU3" s="1" t="s">
        <v>293</v>
      </c>
      <c r="EV3" s="1" t="s">
        <v>327</v>
      </c>
      <c r="EW3" s="1" t="s">
        <v>254</v>
      </c>
      <c r="EX3" s="1" t="s">
        <v>254</v>
      </c>
      <c r="EY3" s="1">
        <v>0.0</v>
      </c>
      <c r="EZ3" s="1">
        <v>0.0</v>
      </c>
      <c r="FA3" s="1">
        <v>0.0</v>
      </c>
      <c r="FB3" s="1" t="s">
        <v>255</v>
      </c>
      <c r="FC3" s="1" t="s">
        <v>328</v>
      </c>
      <c r="FD3" s="1" t="s">
        <v>329</v>
      </c>
      <c r="FE3" s="1" t="s">
        <v>330</v>
      </c>
      <c r="FF3" s="1" t="s">
        <v>293</v>
      </c>
      <c r="FG3" s="1">
        <v>0.0</v>
      </c>
      <c r="FH3" s="1">
        <v>0.0</v>
      </c>
      <c r="FI3" s="1">
        <v>0.0</v>
      </c>
      <c r="FJ3" s="1" t="s">
        <v>293</v>
      </c>
      <c r="FK3" s="1">
        <v>0.0</v>
      </c>
      <c r="FL3" s="1">
        <v>0.0</v>
      </c>
      <c r="FM3" s="1">
        <v>0.0</v>
      </c>
      <c r="FN3" s="1" t="s">
        <v>293</v>
      </c>
      <c r="FO3" s="1">
        <v>0.0</v>
      </c>
      <c r="FP3" s="1">
        <v>0.0</v>
      </c>
      <c r="FQ3" s="1">
        <v>0.0</v>
      </c>
      <c r="FR3" s="27" t="s">
        <v>198</v>
      </c>
      <c r="FS3" s="28" t="s">
        <v>205</v>
      </c>
      <c r="FT3" s="28" t="s">
        <v>205</v>
      </c>
      <c r="FU3" s="28" t="s">
        <v>298</v>
      </c>
      <c r="FV3" s="1">
        <v>6.0</v>
      </c>
      <c r="FW3" s="1" t="s">
        <v>299</v>
      </c>
      <c r="FX3" s="1">
        <v>18.0</v>
      </c>
      <c r="FY3" s="1" t="s">
        <v>300</v>
      </c>
      <c r="FZ3" s="1">
        <v>16.0</v>
      </c>
      <c r="GA3" s="1" t="s">
        <v>299</v>
      </c>
      <c r="GB3" s="1" t="s">
        <v>301</v>
      </c>
      <c r="GC3" s="1" t="s">
        <v>301</v>
      </c>
      <c r="GD3" s="1">
        <v>12.0</v>
      </c>
      <c r="GE3" s="1" t="s">
        <v>299</v>
      </c>
      <c r="GF3" s="1" t="s">
        <v>301</v>
      </c>
      <c r="GG3" s="1" t="s">
        <v>301</v>
      </c>
      <c r="GH3" s="1">
        <v>19.0</v>
      </c>
      <c r="GI3" s="1" t="s">
        <v>331</v>
      </c>
      <c r="GJ3" s="1">
        <v>6.0</v>
      </c>
      <c r="GK3" s="1" t="s">
        <v>299</v>
      </c>
      <c r="GL3" s="1">
        <v>6.0</v>
      </c>
      <c r="GM3" s="1" t="s">
        <v>299</v>
      </c>
      <c r="GN3" s="1">
        <v>22.0</v>
      </c>
      <c r="GO3" s="1" t="s">
        <v>299</v>
      </c>
      <c r="GP3" s="1">
        <v>6.0</v>
      </c>
      <c r="GQ3" s="1" t="s">
        <v>299</v>
      </c>
      <c r="GR3" s="1">
        <v>28.0</v>
      </c>
      <c r="GS3" s="1" t="s">
        <v>300</v>
      </c>
      <c r="GT3" s="1">
        <v>6.0</v>
      </c>
      <c r="GU3" s="1" t="s">
        <v>299</v>
      </c>
      <c r="GV3" s="1" t="s">
        <v>301</v>
      </c>
      <c r="GW3" s="1" t="s">
        <v>301</v>
      </c>
      <c r="GX3" s="1" t="s">
        <v>301</v>
      </c>
      <c r="GY3" s="1" t="s">
        <v>301</v>
      </c>
      <c r="GZ3" s="1">
        <v>25.0</v>
      </c>
      <c r="HA3" s="1" t="s">
        <v>300</v>
      </c>
      <c r="HB3" s="1" t="s">
        <v>301</v>
      </c>
      <c r="HC3" s="1" t="s">
        <v>301</v>
      </c>
      <c r="HD3" s="1" t="s">
        <v>301</v>
      </c>
      <c r="HE3" s="1" t="s">
        <v>301</v>
      </c>
      <c r="HF3" s="1">
        <v>18.0</v>
      </c>
      <c r="HG3" s="1" t="s">
        <v>299</v>
      </c>
      <c r="HH3" s="1">
        <v>26.0</v>
      </c>
      <c r="HI3" s="1" t="s">
        <v>300</v>
      </c>
      <c r="HJ3" s="1" t="s">
        <v>301</v>
      </c>
      <c r="HK3" s="1" t="s">
        <v>301</v>
      </c>
    </row>
    <row r="4">
      <c r="A4" s="29" t="s">
        <v>332</v>
      </c>
      <c r="B4" s="3">
        <v>3.0</v>
      </c>
      <c r="C4" s="3" t="s">
        <v>333</v>
      </c>
      <c r="D4" s="30">
        <v>23322.0</v>
      </c>
      <c r="E4" s="1">
        <v>62.0</v>
      </c>
      <c r="F4" s="3" t="s">
        <v>253</v>
      </c>
      <c r="G4" s="3" t="s">
        <v>252</v>
      </c>
      <c r="H4" s="3" t="s">
        <v>252</v>
      </c>
      <c r="I4" s="3" t="s">
        <v>253</v>
      </c>
      <c r="J4" s="3" t="s">
        <v>252</v>
      </c>
      <c r="K4" s="3" t="s">
        <v>252</v>
      </c>
      <c r="L4" s="3" t="s">
        <v>254</v>
      </c>
      <c r="M4" s="3" t="s">
        <v>254</v>
      </c>
      <c r="N4" s="3" t="s">
        <v>254</v>
      </c>
      <c r="O4" s="3" t="s">
        <v>254</v>
      </c>
      <c r="P4" s="3" t="s">
        <v>255</v>
      </c>
      <c r="Q4" s="3" t="s">
        <v>256</v>
      </c>
      <c r="R4" s="7" t="s">
        <v>334</v>
      </c>
      <c r="S4" s="7" t="s">
        <v>258</v>
      </c>
      <c r="T4" s="1" t="s">
        <v>305</v>
      </c>
      <c r="U4" s="1" t="s">
        <v>260</v>
      </c>
      <c r="V4" s="1" t="s">
        <v>335</v>
      </c>
      <c r="X4" s="1" t="s">
        <v>254</v>
      </c>
      <c r="Y4" s="1">
        <v>0.0</v>
      </c>
      <c r="Z4" s="1">
        <v>0.0</v>
      </c>
      <c r="AA4" s="1">
        <v>0.0</v>
      </c>
      <c r="AB4" s="1" t="s">
        <v>336</v>
      </c>
      <c r="AC4" s="1">
        <v>0.0</v>
      </c>
      <c r="AD4" s="1">
        <v>2024.0</v>
      </c>
      <c r="AE4" s="1" t="s">
        <v>265</v>
      </c>
      <c r="AF4" s="1" t="s">
        <v>255</v>
      </c>
      <c r="AG4" s="1" t="s">
        <v>337</v>
      </c>
      <c r="AH4" s="1" t="s">
        <v>338</v>
      </c>
      <c r="AI4" s="1" t="s">
        <v>339</v>
      </c>
      <c r="AJ4" s="1" t="s">
        <v>340</v>
      </c>
      <c r="AK4" s="1" t="s">
        <v>313</v>
      </c>
      <c r="AL4" s="1" t="s">
        <v>341</v>
      </c>
      <c r="AM4" s="1" t="s">
        <v>341</v>
      </c>
      <c r="AN4" s="1" t="s">
        <v>341</v>
      </c>
      <c r="AO4" s="1" t="s">
        <v>270</v>
      </c>
      <c r="AP4" s="1" t="s">
        <v>342</v>
      </c>
      <c r="AQ4" s="1" t="s">
        <v>343</v>
      </c>
      <c r="AR4" s="1">
        <v>4.0</v>
      </c>
      <c r="AS4" s="1" t="s">
        <v>273</v>
      </c>
      <c r="AT4" s="1" t="s">
        <v>274</v>
      </c>
      <c r="AU4" s="1" t="s">
        <v>344</v>
      </c>
      <c r="AV4" s="1" t="s">
        <v>345</v>
      </c>
      <c r="AW4" s="31" t="s">
        <v>346</v>
      </c>
      <c r="AX4" s="1" t="s">
        <v>254</v>
      </c>
      <c r="AY4" s="1">
        <v>0.0</v>
      </c>
      <c r="AZ4" s="1" t="s">
        <v>255</v>
      </c>
      <c r="BA4" s="1" t="s">
        <v>347</v>
      </c>
      <c r="BB4" s="1" t="s">
        <v>254</v>
      </c>
      <c r="BC4" s="1" t="s">
        <v>348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34"/>
      <c r="BK4" s="12"/>
      <c r="BL4" s="1" t="s">
        <v>320</v>
      </c>
      <c r="BM4" s="1" t="s">
        <v>341</v>
      </c>
      <c r="BN4" s="1" t="s">
        <v>341</v>
      </c>
      <c r="BO4" s="1" t="s">
        <v>341</v>
      </c>
      <c r="BP4" s="1" t="s">
        <v>283</v>
      </c>
      <c r="BQ4" s="1" t="s">
        <v>349</v>
      </c>
      <c r="BR4" s="1" t="s">
        <v>254</v>
      </c>
      <c r="BS4" s="1" t="s">
        <v>254</v>
      </c>
      <c r="BT4" s="1" t="s">
        <v>254</v>
      </c>
      <c r="BU4" s="1" t="s">
        <v>254</v>
      </c>
      <c r="BV4" s="1" t="s">
        <v>254</v>
      </c>
      <c r="BW4" s="1" t="s">
        <v>255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1.0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 t="s">
        <v>350</v>
      </c>
      <c r="CM4" s="1" t="s">
        <v>254</v>
      </c>
      <c r="CN4" s="1">
        <v>0.0</v>
      </c>
      <c r="CO4" s="1" t="s">
        <v>254</v>
      </c>
      <c r="CP4" s="1">
        <v>0.0</v>
      </c>
      <c r="CQ4" s="1">
        <v>4.0</v>
      </c>
      <c r="CR4" s="1">
        <v>2.0</v>
      </c>
      <c r="CS4" s="1">
        <v>2.0</v>
      </c>
      <c r="CT4" s="1" t="s">
        <v>351</v>
      </c>
      <c r="CU4" s="1" t="s">
        <v>352</v>
      </c>
      <c r="CV4" s="1" t="s">
        <v>254</v>
      </c>
      <c r="CW4" s="1" t="s">
        <v>254</v>
      </c>
      <c r="CX4" s="1" t="s">
        <v>254</v>
      </c>
      <c r="CY4" s="1" t="s">
        <v>254</v>
      </c>
      <c r="CZ4" s="1" t="s">
        <v>254</v>
      </c>
      <c r="DA4" s="1" t="s">
        <v>255</v>
      </c>
      <c r="DB4" s="1" t="s">
        <v>254</v>
      </c>
      <c r="DC4" s="1" t="s">
        <v>254</v>
      </c>
      <c r="DD4" s="1" t="s">
        <v>255</v>
      </c>
      <c r="DE4" s="1" t="s">
        <v>353</v>
      </c>
      <c r="DF4" s="1" t="s">
        <v>293</v>
      </c>
      <c r="DG4" s="1" t="s">
        <v>293</v>
      </c>
      <c r="DH4" s="1" t="s">
        <v>293</v>
      </c>
      <c r="DI4" s="1" t="s">
        <v>323</v>
      </c>
      <c r="DJ4" s="1" t="s">
        <v>293</v>
      </c>
      <c r="DK4" s="1" t="s">
        <v>293</v>
      </c>
      <c r="DL4" s="1" t="s">
        <v>323</v>
      </c>
      <c r="DM4" s="1" t="s">
        <v>293</v>
      </c>
      <c r="DN4" s="1" t="s">
        <v>293</v>
      </c>
      <c r="DO4" s="1" t="s">
        <v>293</v>
      </c>
      <c r="DP4" s="1" t="s">
        <v>293</v>
      </c>
      <c r="DQ4" s="1" t="s">
        <v>293</v>
      </c>
      <c r="DR4" s="1" t="s">
        <v>293</v>
      </c>
      <c r="DS4" s="1" t="s">
        <v>293</v>
      </c>
      <c r="DT4" s="1" t="s">
        <v>293</v>
      </c>
      <c r="DU4" s="1" t="s">
        <v>293</v>
      </c>
      <c r="DV4" s="1" t="s">
        <v>293</v>
      </c>
      <c r="DW4" s="1" t="s">
        <v>293</v>
      </c>
      <c r="DX4" s="1" t="s">
        <v>293</v>
      </c>
      <c r="DY4" s="1" t="s">
        <v>293</v>
      </c>
      <c r="DZ4" s="1" t="s">
        <v>293</v>
      </c>
      <c r="EA4" s="1" t="s">
        <v>254</v>
      </c>
      <c r="EB4" s="1" t="s">
        <v>254</v>
      </c>
      <c r="EC4" s="1" t="s">
        <v>254</v>
      </c>
      <c r="ED4" s="12"/>
      <c r="EE4" s="1" t="s">
        <v>255</v>
      </c>
      <c r="EF4" s="1" t="s">
        <v>354</v>
      </c>
      <c r="EG4" s="1" t="s">
        <v>295</v>
      </c>
      <c r="EI4" s="1" t="s">
        <v>293</v>
      </c>
      <c r="EJ4" s="1" t="s">
        <v>293</v>
      </c>
      <c r="EK4" s="1" t="s">
        <v>293</v>
      </c>
      <c r="EL4" s="1" t="s">
        <v>293</v>
      </c>
      <c r="EM4" s="1" t="s">
        <v>293</v>
      </c>
      <c r="EN4" s="1" t="s">
        <v>296</v>
      </c>
      <c r="EO4" s="1" t="s">
        <v>293</v>
      </c>
      <c r="EP4" s="1" t="s">
        <v>293</v>
      </c>
      <c r="EQ4" s="1" t="s">
        <v>293</v>
      </c>
      <c r="ER4" s="1" t="s">
        <v>293</v>
      </c>
      <c r="ES4" s="1" t="s">
        <v>293</v>
      </c>
      <c r="ET4" s="1" t="s">
        <v>293</v>
      </c>
      <c r="EU4" s="1" t="s">
        <v>293</v>
      </c>
      <c r="EV4" s="1" t="s">
        <v>297</v>
      </c>
      <c r="EW4" s="1" t="s">
        <v>254</v>
      </c>
      <c r="EX4" s="1" t="s">
        <v>254</v>
      </c>
      <c r="EY4" s="1">
        <v>0.0</v>
      </c>
      <c r="EZ4" s="1">
        <v>0.0</v>
      </c>
      <c r="FA4" s="1">
        <v>0.0</v>
      </c>
      <c r="FB4" s="1" t="s">
        <v>254</v>
      </c>
      <c r="FC4" s="1">
        <v>0.0</v>
      </c>
      <c r="FD4" s="1">
        <v>0.0</v>
      </c>
      <c r="FE4" s="1">
        <v>0.0</v>
      </c>
      <c r="FF4" s="1" t="s">
        <v>293</v>
      </c>
      <c r="FG4" s="1">
        <v>0.0</v>
      </c>
      <c r="FH4" s="1">
        <v>0.0</v>
      </c>
      <c r="FI4" s="12"/>
      <c r="FJ4" s="1" t="s">
        <v>293</v>
      </c>
      <c r="FK4" s="1">
        <v>0.0</v>
      </c>
      <c r="FL4" s="1">
        <v>0.0</v>
      </c>
      <c r="FM4" s="1">
        <v>0.0</v>
      </c>
      <c r="FN4" s="1" t="s">
        <v>293</v>
      </c>
      <c r="FO4" s="1">
        <v>0.0</v>
      </c>
      <c r="FP4" s="1">
        <v>0.0</v>
      </c>
      <c r="FQ4" s="1">
        <v>0.0</v>
      </c>
      <c r="FR4" s="27" t="s">
        <v>198</v>
      </c>
      <c r="FS4" s="28" t="s">
        <v>205</v>
      </c>
      <c r="FT4" s="28" t="s">
        <v>205</v>
      </c>
      <c r="FU4" s="28" t="s">
        <v>205</v>
      </c>
      <c r="FV4" s="1">
        <v>6.0</v>
      </c>
      <c r="FW4" s="1" t="s">
        <v>299</v>
      </c>
      <c r="FX4" s="1">
        <v>15.0</v>
      </c>
      <c r="FY4" s="1" t="s">
        <v>299</v>
      </c>
      <c r="FZ4" s="1">
        <v>6.0</v>
      </c>
      <c r="GA4" s="1" t="s">
        <v>299</v>
      </c>
      <c r="GB4" s="1" t="s">
        <v>301</v>
      </c>
      <c r="GC4" s="1" t="s">
        <v>301</v>
      </c>
      <c r="GD4" s="1">
        <v>6.0</v>
      </c>
      <c r="GE4" s="1" t="s">
        <v>299</v>
      </c>
      <c r="GF4" s="1" t="s">
        <v>301</v>
      </c>
      <c r="GG4" s="1" t="s">
        <v>301</v>
      </c>
      <c r="GH4" s="1">
        <v>6.0</v>
      </c>
      <c r="GI4" s="1" t="s">
        <v>299</v>
      </c>
      <c r="GJ4" s="1">
        <v>6.0</v>
      </c>
      <c r="GK4" s="1" t="s">
        <v>299</v>
      </c>
      <c r="GL4" s="1">
        <v>6.0</v>
      </c>
      <c r="GM4" s="1" t="s">
        <v>299</v>
      </c>
      <c r="GN4" s="1">
        <v>12.0</v>
      </c>
      <c r="GO4" s="1" t="s">
        <v>299</v>
      </c>
      <c r="GP4" s="1">
        <v>16.0</v>
      </c>
      <c r="GQ4" s="1" t="s">
        <v>299</v>
      </c>
      <c r="GR4" s="1">
        <v>20.0</v>
      </c>
      <c r="GS4" s="1" t="s">
        <v>331</v>
      </c>
      <c r="GT4" s="1">
        <v>6.0</v>
      </c>
      <c r="GU4" s="1" t="s">
        <v>299</v>
      </c>
      <c r="GV4" s="1" t="s">
        <v>301</v>
      </c>
      <c r="GW4" s="1" t="s">
        <v>301</v>
      </c>
      <c r="GX4" s="1" t="s">
        <v>301</v>
      </c>
      <c r="GY4" s="1" t="s">
        <v>301</v>
      </c>
      <c r="GZ4" s="1">
        <v>20.0</v>
      </c>
      <c r="HA4" s="1" t="s">
        <v>299</v>
      </c>
      <c r="HB4" s="1" t="s">
        <v>301</v>
      </c>
      <c r="HC4" s="1" t="s">
        <v>301</v>
      </c>
      <c r="HD4" s="1" t="s">
        <v>301</v>
      </c>
      <c r="HE4" s="1" t="s">
        <v>301</v>
      </c>
      <c r="HF4" s="1">
        <v>6.0</v>
      </c>
      <c r="HG4" s="1" t="s">
        <v>299</v>
      </c>
      <c r="HH4" s="1">
        <v>18.0</v>
      </c>
      <c r="HI4" s="1" t="s">
        <v>299</v>
      </c>
      <c r="HJ4" s="1" t="s">
        <v>301</v>
      </c>
      <c r="HK4" s="1" t="s">
        <v>301</v>
      </c>
    </row>
    <row r="5">
      <c r="A5" s="29" t="s">
        <v>369</v>
      </c>
      <c r="B5" s="3">
        <v>12.0</v>
      </c>
      <c r="C5" s="3" t="s">
        <v>371</v>
      </c>
      <c r="D5" s="35">
        <v>27665.0</v>
      </c>
      <c r="E5" s="1">
        <v>50.0</v>
      </c>
      <c r="F5" s="3" t="s">
        <v>252</v>
      </c>
      <c r="G5" s="3" t="s">
        <v>253</v>
      </c>
      <c r="H5" s="3" t="s">
        <v>253</v>
      </c>
      <c r="I5" s="3" t="s">
        <v>252</v>
      </c>
      <c r="J5" s="3" t="s">
        <v>253</v>
      </c>
      <c r="K5" s="3" t="s">
        <v>253</v>
      </c>
      <c r="L5" s="3" t="s">
        <v>254</v>
      </c>
      <c r="M5" s="3" t="s">
        <v>255</v>
      </c>
      <c r="N5" s="3" t="s">
        <v>254</v>
      </c>
      <c r="O5" s="3" t="s">
        <v>255</v>
      </c>
      <c r="P5" s="3" t="s">
        <v>254</v>
      </c>
      <c r="Q5" s="3" t="s">
        <v>256</v>
      </c>
      <c r="R5" s="7" t="s">
        <v>257</v>
      </c>
      <c r="S5" s="7" t="s">
        <v>304</v>
      </c>
      <c r="T5" s="1" t="s">
        <v>259</v>
      </c>
      <c r="U5" s="1" t="s">
        <v>372</v>
      </c>
      <c r="V5" s="1" t="s">
        <v>373</v>
      </c>
      <c r="W5" s="1" t="s">
        <v>374</v>
      </c>
      <c r="X5" s="1" t="s">
        <v>254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 t="s">
        <v>255</v>
      </c>
      <c r="AG5" s="1" t="s">
        <v>375</v>
      </c>
      <c r="AH5" s="1" t="s">
        <v>266</v>
      </c>
      <c r="AI5" s="30">
        <v>45479.0</v>
      </c>
      <c r="AJ5" s="30">
        <v>45483.0</v>
      </c>
      <c r="AK5" s="1" t="s">
        <v>313</v>
      </c>
      <c r="AL5" s="1" t="s">
        <v>341</v>
      </c>
      <c r="AM5" s="1" t="s">
        <v>269</v>
      </c>
      <c r="AN5" s="1" t="s">
        <v>269</v>
      </c>
      <c r="AO5" s="1" t="s">
        <v>283</v>
      </c>
      <c r="AP5" s="1" t="s">
        <v>271</v>
      </c>
      <c r="AQ5" s="1" t="s">
        <v>378</v>
      </c>
      <c r="AR5" s="1">
        <v>2.0</v>
      </c>
      <c r="AS5" s="1" t="s">
        <v>273</v>
      </c>
      <c r="AT5" s="1" t="s">
        <v>274</v>
      </c>
      <c r="AU5" s="1" t="s">
        <v>316</v>
      </c>
      <c r="AV5" s="1" t="s">
        <v>379</v>
      </c>
      <c r="AW5" s="1" t="s">
        <v>380</v>
      </c>
      <c r="AX5" s="1" t="s">
        <v>255</v>
      </c>
      <c r="AY5" s="1" t="s">
        <v>381</v>
      </c>
      <c r="AZ5" s="1" t="s">
        <v>255</v>
      </c>
      <c r="BA5" s="31" t="s">
        <v>319</v>
      </c>
      <c r="BB5" s="12"/>
      <c r="BC5" s="1" t="s">
        <v>279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 t="s">
        <v>382</v>
      </c>
      <c r="BM5" s="1" t="s">
        <v>341</v>
      </c>
      <c r="BN5" s="1" t="s">
        <v>269</v>
      </c>
      <c r="BO5" s="1" t="s">
        <v>269</v>
      </c>
      <c r="BP5" s="1" t="s">
        <v>283</v>
      </c>
      <c r="BQ5" s="1" t="s">
        <v>271</v>
      </c>
      <c r="BR5" s="1" t="s">
        <v>254</v>
      </c>
      <c r="BS5" s="1" t="s">
        <v>254</v>
      </c>
      <c r="BT5" s="1" t="s">
        <v>254</v>
      </c>
      <c r="BU5" s="1" t="s">
        <v>254</v>
      </c>
      <c r="BV5" s="1" t="s">
        <v>254</v>
      </c>
      <c r="BW5" s="1" t="s">
        <v>255</v>
      </c>
      <c r="BX5" s="1">
        <v>0.0</v>
      </c>
      <c r="BY5" s="1">
        <v>1.0</v>
      </c>
      <c r="BZ5" s="1">
        <v>0.0</v>
      </c>
      <c r="CA5" s="1">
        <v>4.0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 t="s">
        <v>384</v>
      </c>
      <c r="CL5" s="1" t="s">
        <v>350</v>
      </c>
      <c r="CM5" s="1" t="s">
        <v>254</v>
      </c>
      <c r="CN5" s="1">
        <v>0.0</v>
      </c>
      <c r="CO5" s="1" t="s">
        <v>254</v>
      </c>
      <c r="CP5" s="1">
        <v>0.0</v>
      </c>
      <c r="CQ5" s="1">
        <v>5.0</v>
      </c>
      <c r="CR5" s="1">
        <v>3.0</v>
      </c>
      <c r="CS5" s="1">
        <v>2.0</v>
      </c>
      <c r="CT5" s="1" t="s">
        <v>385</v>
      </c>
      <c r="CU5" s="1" t="s">
        <v>386</v>
      </c>
      <c r="CV5" s="1" t="s">
        <v>254</v>
      </c>
      <c r="CW5" s="1" t="s">
        <v>254</v>
      </c>
      <c r="CX5" s="1" t="s">
        <v>254</v>
      </c>
      <c r="CY5" s="1" t="s">
        <v>254</v>
      </c>
      <c r="CZ5" s="1" t="s">
        <v>254</v>
      </c>
      <c r="DA5" s="12"/>
      <c r="DB5" s="1" t="s">
        <v>255</v>
      </c>
      <c r="DC5" s="1" t="s">
        <v>255</v>
      </c>
      <c r="DD5" s="1" t="s">
        <v>255</v>
      </c>
      <c r="DE5" s="1" t="s">
        <v>388</v>
      </c>
      <c r="DF5" s="1" t="s">
        <v>293</v>
      </c>
      <c r="DG5" s="1" t="s">
        <v>293</v>
      </c>
      <c r="DH5" s="1" t="s">
        <v>324</v>
      </c>
      <c r="DI5" s="1" t="s">
        <v>291</v>
      </c>
      <c r="DJ5" s="1" t="s">
        <v>293</v>
      </c>
      <c r="DK5" s="1" t="s">
        <v>293</v>
      </c>
      <c r="DL5" s="1" t="s">
        <v>324</v>
      </c>
      <c r="DM5" s="1" t="s">
        <v>293</v>
      </c>
      <c r="DN5" s="1" t="s">
        <v>293</v>
      </c>
      <c r="DO5" s="1" t="s">
        <v>293</v>
      </c>
      <c r="DP5" s="1" t="s">
        <v>293</v>
      </c>
      <c r="DQ5" s="1" t="s">
        <v>293</v>
      </c>
      <c r="DR5" s="1" t="s">
        <v>293</v>
      </c>
      <c r="DS5" s="1" t="s">
        <v>293</v>
      </c>
      <c r="DT5" s="1" t="s">
        <v>293</v>
      </c>
      <c r="DU5" s="1" t="s">
        <v>293</v>
      </c>
      <c r="DV5" s="1" t="s">
        <v>293</v>
      </c>
      <c r="DW5" s="1" t="s">
        <v>293</v>
      </c>
      <c r="DX5" s="1" t="s">
        <v>293</v>
      </c>
      <c r="DY5" s="1" t="s">
        <v>293</v>
      </c>
      <c r="DZ5" s="1" t="s">
        <v>293</v>
      </c>
      <c r="EA5" s="1" t="s">
        <v>254</v>
      </c>
      <c r="EB5" s="1" t="s">
        <v>254</v>
      </c>
      <c r="EC5" s="1" t="s">
        <v>254</v>
      </c>
      <c r="ED5" s="1">
        <v>0.0</v>
      </c>
      <c r="EE5" s="1" t="s">
        <v>255</v>
      </c>
      <c r="EF5" s="1" t="s">
        <v>325</v>
      </c>
      <c r="EG5" s="1" t="s">
        <v>389</v>
      </c>
      <c r="EI5" s="1" t="s">
        <v>390</v>
      </c>
      <c r="EJ5" s="1" t="s">
        <v>390</v>
      </c>
      <c r="EK5" s="12"/>
      <c r="EL5" s="1" t="s">
        <v>390</v>
      </c>
      <c r="EM5" s="1" t="s">
        <v>293</v>
      </c>
      <c r="EN5" s="1" t="s">
        <v>293</v>
      </c>
      <c r="EO5" s="1" t="s">
        <v>293</v>
      </c>
      <c r="EP5" s="1" t="s">
        <v>293</v>
      </c>
      <c r="EQ5" s="1" t="s">
        <v>293</v>
      </c>
      <c r="ER5" s="1" t="s">
        <v>293</v>
      </c>
      <c r="ES5" s="1" t="s">
        <v>293</v>
      </c>
      <c r="ET5" s="1" t="s">
        <v>293</v>
      </c>
      <c r="EU5" s="1" t="s">
        <v>293</v>
      </c>
      <c r="EV5" s="1" t="s">
        <v>387</v>
      </c>
      <c r="EW5" s="1" t="s">
        <v>254</v>
      </c>
      <c r="EX5" s="1" t="s">
        <v>254</v>
      </c>
      <c r="EY5" s="12"/>
      <c r="EZ5" s="1" t="s">
        <v>293</v>
      </c>
      <c r="FA5" s="1">
        <v>0.0</v>
      </c>
      <c r="FB5" s="1" t="s">
        <v>254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1">
        <v>0.0</v>
      </c>
      <c r="FI5" s="1">
        <v>0.0</v>
      </c>
      <c r="FJ5" s="1" t="s">
        <v>293</v>
      </c>
      <c r="FK5" s="12"/>
      <c r="FL5" s="1">
        <v>0.0</v>
      </c>
      <c r="FM5" s="12"/>
      <c r="FN5" s="1">
        <v>0.0</v>
      </c>
      <c r="FO5" s="1">
        <v>0.0</v>
      </c>
      <c r="FP5" s="1">
        <v>0.0</v>
      </c>
      <c r="FQ5" s="1">
        <v>0.0</v>
      </c>
      <c r="FR5" s="27" t="s">
        <v>198</v>
      </c>
      <c r="FS5" s="28" t="s">
        <v>205</v>
      </c>
      <c r="FT5" s="28" t="s">
        <v>205</v>
      </c>
      <c r="FU5" s="28" t="s">
        <v>298</v>
      </c>
      <c r="FV5" s="1">
        <v>6.0</v>
      </c>
      <c r="FW5" s="1" t="s">
        <v>299</v>
      </c>
      <c r="FX5" s="1">
        <v>18.0</v>
      </c>
      <c r="FY5" s="1" t="s">
        <v>300</v>
      </c>
      <c r="FZ5" s="1">
        <v>6.0</v>
      </c>
      <c r="GA5" s="1" t="s">
        <v>299</v>
      </c>
      <c r="GB5" s="1" t="s">
        <v>301</v>
      </c>
      <c r="GC5" s="1" t="s">
        <v>301</v>
      </c>
      <c r="GD5" s="1">
        <v>6.0</v>
      </c>
      <c r="GE5" s="1" t="s">
        <v>299</v>
      </c>
      <c r="GF5" s="1" t="s">
        <v>301</v>
      </c>
      <c r="GG5" s="1" t="s">
        <v>301</v>
      </c>
      <c r="GH5" s="1">
        <v>7.0</v>
      </c>
      <c r="GI5" s="1" t="s">
        <v>299</v>
      </c>
      <c r="GJ5" s="1">
        <v>6.0</v>
      </c>
      <c r="GK5" s="1" t="s">
        <v>299</v>
      </c>
      <c r="GL5" s="1">
        <v>6.0</v>
      </c>
      <c r="GM5" s="1" t="s">
        <v>299</v>
      </c>
      <c r="GN5" s="1">
        <v>16.0</v>
      </c>
      <c r="GO5" s="1" t="s">
        <v>299</v>
      </c>
      <c r="GP5" s="1">
        <v>17.0</v>
      </c>
      <c r="GQ5" s="1" t="s">
        <v>331</v>
      </c>
      <c r="GR5" s="1">
        <v>18.0</v>
      </c>
      <c r="GS5" s="1" t="s">
        <v>299</v>
      </c>
      <c r="GT5" s="1">
        <v>6.0</v>
      </c>
      <c r="GU5" s="1" t="s">
        <v>299</v>
      </c>
      <c r="GV5" s="1" t="s">
        <v>301</v>
      </c>
      <c r="GW5" s="1" t="s">
        <v>301</v>
      </c>
      <c r="GX5" s="1" t="s">
        <v>301</v>
      </c>
      <c r="GY5" s="1" t="s">
        <v>301</v>
      </c>
      <c r="GZ5" s="1">
        <v>19.0</v>
      </c>
      <c r="HA5" s="1" t="s">
        <v>299</v>
      </c>
      <c r="HB5" s="1" t="s">
        <v>301</v>
      </c>
      <c r="HC5" s="1" t="s">
        <v>301</v>
      </c>
      <c r="HD5" s="1" t="s">
        <v>301</v>
      </c>
      <c r="HE5" s="1" t="s">
        <v>301</v>
      </c>
      <c r="HF5" s="1">
        <v>6.0</v>
      </c>
      <c r="HG5" s="1" t="s">
        <v>299</v>
      </c>
      <c r="HH5" s="1">
        <v>21.0</v>
      </c>
      <c r="HI5" s="1" t="s">
        <v>299</v>
      </c>
      <c r="HJ5" s="1" t="s">
        <v>301</v>
      </c>
      <c r="HK5" s="1" t="s">
        <v>301</v>
      </c>
    </row>
    <row r="6">
      <c r="A6" s="29" t="s">
        <v>403</v>
      </c>
      <c r="B6" s="3">
        <v>28.0</v>
      </c>
      <c r="C6" s="3" t="s">
        <v>404</v>
      </c>
      <c r="D6" s="30">
        <v>16296.0</v>
      </c>
      <c r="E6" s="1">
        <v>81.0</v>
      </c>
      <c r="F6" s="3" t="s">
        <v>252</v>
      </c>
      <c r="G6" s="3" t="s">
        <v>252</v>
      </c>
      <c r="H6" s="3" t="s">
        <v>253</v>
      </c>
      <c r="I6" s="3" t="s">
        <v>252</v>
      </c>
      <c r="J6" s="3" t="s">
        <v>252</v>
      </c>
      <c r="K6" s="3" t="s">
        <v>252</v>
      </c>
      <c r="L6" s="3" t="s">
        <v>254</v>
      </c>
      <c r="M6" s="3" t="s">
        <v>254</v>
      </c>
      <c r="N6" s="3" t="s">
        <v>406</v>
      </c>
      <c r="O6" s="3" t="s">
        <v>255</v>
      </c>
      <c r="P6" s="3" t="s">
        <v>255</v>
      </c>
      <c r="Q6" s="3" t="s">
        <v>358</v>
      </c>
      <c r="R6" s="7" t="s">
        <v>257</v>
      </c>
      <c r="S6" s="7" t="s">
        <v>258</v>
      </c>
      <c r="T6" s="1" t="s">
        <v>259</v>
      </c>
      <c r="U6" s="1" t="s">
        <v>372</v>
      </c>
      <c r="V6" s="1" t="s">
        <v>410</v>
      </c>
      <c r="W6" s="1" t="s">
        <v>412</v>
      </c>
      <c r="X6" s="1" t="s">
        <v>254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 t="s">
        <v>254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 t="s">
        <v>415</v>
      </c>
      <c r="AM6" s="1" t="s">
        <v>269</v>
      </c>
      <c r="AN6" s="1" t="s">
        <v>269</v>
      </c>
      <c r="AP6" s="1" t="s">
        <v>342</v>
      </c>
      <c r="AQ6" s="1" t="s">
        <v>378</v>
      </c>
      <c r="AR6" s="1">
        <v>2.0</v>
      </c>
      <c r="AS6" s="1" t="s">
        <v>273</v>
      </c>
      <c r="AT6" s="1" t="s">
        <v>274</v>
      </c>
      <c r="AU6" s="1" t="s">
        <v>419</v>
      </c>
      <c r="AV6" s="1" t="s">
        <v>379</v>
      </c>
      <c r="AW6" s="1" t="s">
        <v>380</v>
      </c>
      <c r="AX6" s="1" t="s">
        <v>254</v>
      </c>
      <c r="AY6" s="1">
        <v>0.0</v>
      </c>
      <c r="AZ6" s="1" t="s">
        <v>255</v>
      </c>
      <c r="BA6" s="1" t="s">
        <v>420</v>
      </c>
      <c r="BB6" s="1" t="s">
        <v>254</v>
      </c>
      <c r="BC6" s="1" t="s">
        <v>279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 t="s">
        <v>320</v>
      </c>
      <c r="BM6" s="1" t="s">
        <v>415</v>
      </c>
      <c r="BN6" s="1" t="s">
        <v>269</v>
      </c>
      <c r="BO6" s="1" t="s">
        <v>269</v>
      </c>
      <c r="BQ6" s="1" t="s">
        <v>342</v>
      </c>
      <c r="BR6" s="1" t="s">
        <v>254</v>
      </c>
      <c r="BS6" s="1" t="s">
        <v>254</v>
      </c>
      <c r="BT6" s="1" t="s">
        <v>254</v>
      </c>
      <c r="BU6" s="1" t="s">
        <v>254</v>
      </c>
      <c r="BV6" s="1" t="s">
        <v>254</v>
      </c>
      <c r="BW6" s="1" t="s">
        <v>254</v>
      </c>
      <c r="BX6" s="12"/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 t="s">
        <v>254</v>
      </c>
      <c r="CN6" s="1">
        <v>0.0</v>
      </c>
      <c r="CO6" s="1" t="s">
        <v>254</v>
      </c>
      <c r="CP6" s="1">
        <v>0.0</v>
      </c>
      <c r="CQ6" s="1">
        <v>1.0</v>
      </c>
      <c r="CR6" s="1">
        <v>0.0</v>
      </c>
      <c r="CS6" s="1">
        <v>1.0</v>
      </c>
      <c r="CT6" s="1">
        <v>1968.0</v>
      </c>
      <c r="CU6" s="1" t="s">
        <v>421</v>
      </c>
      <c r="CV6" s="1" t="s">
        <v>254</v>
      </c>
      <c r="CW6" s="1" t="s">
        <v>254</v>
      </c>
      <c r="CX6" s="1" t="s">
        <v>254</v>
      </c>
      <c r="CY6" s="1" t="s">
        <v>254</v>
      </c>
      <c r="CZ6" s="1" t="s">
        <v>254</v>
      </c>
      <c r="DA6" s="1" t="s">
        <v>255</v>
      </c>
      <c r="DB6" s="1" t="s">
        <v>255</v>
      </c>
      <c r="DC6" s="1" t="s">
        <v>254</v>
      </c>
      <c r="DD6" s="1" t="s">
        <v>255</v>
      </c>
      <c r="DE6" s="1" t="s">
        <v>424</v>
      </c>
      <c r="DF6" s="1" t="s">
        <v>426</v>
      </c>
      <c r="DG6" s="1" t="s">
        <v>324</v>
      </c>
      <c r="DH6" s="1" t="s">
        <v>424</v>
      </c>
      <c r="DI6" s="1" t="s">
        <v>293</v>
      </c>
      <c r="DJ6" s="1" t="s">
        <v>293</v>
      </c>
      <c r="DK6" s="1" t="s">
        <v>293</v>
      </c>
      <c r="DL6" s="1" t="s">
        <v>293</v>
      </c>
      <c r="DM6" s="1" t="s">
        <v>388</v>
      </c>
      <c r="DO6" s="1" t="s">
        <v>293</v>
      </c>
      <c r="DP6" s="1" t="s">
        <v>293</v>
      </c>
      <c r="DQ6" s="1" t="s">
        <v>293</v>
      </c>
      <c r="DR6" s="1" t="s">
        <v>293</v>
      </c>
      <c r="DS6" s="1" t="s">
        <v>293</v>
      </c>
      <c r="DT6" s="1" t="s">
        <v>293</v>
      </c>
      <c r="DU6" s="1" t="s">
        <v>293</v>
      </c>
      <c r="DV6" s="1" t="s">
        <v>293</v>
      </c>
      <c r="DW6" s="1" t="s">
        <v>293</v>
      </c>
      <c r="DX6" s="1" t="s">
        <v>293</v>
      </c>
      <c r="DY6" s="1" t="s">
        <v>293</v>
      </c>
      <c r="DZ6" s="1" t="s">
        <v>293</v>
      </c>
      <c r="EA6" s="1" t="s">
        <v>254</v>
      </c>
      <c r="EB6" s="1" t="s">
        <v>254</v>
      </c>
      <c r="EC6" s="1" t="s">
        <v>254</v>
      </c>
      <c r="ED6" s="1">
        <v>0.0</v>
      </c>
      <c r="EE6" s="1" t="s">
        <v>255</v>
      </c>
      <c r="EF6" s="1" t="s">
        <v>294</v>
      </c>
      <c r="EG6" s="1" t="s">
        <v>389</v>
      </c>
      <c r="EI6" s="1" t="s">
        <v>426</v>
      </c>
      <c r="EJ6" s="1" t="s">
        <v>293</v>
      </c>
      <c r="EK6" s="1" t="s">
        <v>293</v>
      </c>
      <c r="EL6" s="1" t="s">
        <v>293</v>
      </c>
      <c r="EM6" s="1" t="s">
        <v>293</v>
      </c>
      <c r="EN6" s="1" t="s">
        <v>293</v>
      </c>
      <c r="EO6" s="1" t="s">
        <v>293</v>
      </c>
      <c r="EP6" s="1" t="s">
        <v>293</v>
      </c>
      <c r="EQ6" s="1" t="s">
        <v>293</v>
      </c>
      <c r="ER6" s="1" t="s">
        <v>293</v>
      </c>
      <c r="ES6" s="1" t="s">
        <v>293</v>
      </c>
      <c r="ET6" s="1" t="s">
        <v>293</v>
      </c>
      <c r="EU6" s="1" t="s">
        <v>293</v>
      </c>
      <c r="EV6" s="1" t="s">
        <v>431</v>
      </c>
      <c r="EW6" s="1" t="s">
        <v>254</v>
      </c>
      <c r="EX6" s="1" t="s">
        <v>254</v>
      </c>
      <c r="EY6" s="1" t="s">
        <v>432</v>
      </c>
      <c r="EZ6" s="1" t="s">
        <v>427</v>
      </c>
      <c r="FA6" s="1" t="s">
        <v>428</v>
      </c>
      <c r="FB6" s="1" t="s">
        <v>254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0.0</v>
      </c>
      <c r="FP6" s="1">
        <v>0.0</v>
      </c>
      <c r="FQ6" s="1">
        <v>0.0</v>
      </c>
      <c r="FR6" s="27" t="s">
        <v>198</v>
      </c>
      <c r="FS6" s="28" t="s">
        <v>205</v>
      </c>
      <c r="FT6" s="28" t="s">
        <v>205</v>
      </c>
      <c r="FU6" s="28" t="s">
        <v>298</v>
      </c>
      <c r="FV6" s="1">
        <v>20.0</v>
      </c>
      <c r="FW6" s="1" t="s">
        <v>300</v>
      </c>
      <c r="FX6" s="1">
        <v>18.0</v>
      </c>
      <c r="FY6" s="1" t="s">
        <v>300</v>
      </c>
      <c r="FZ6" s="1">
        <v>20.0</v>
      </c>
      <c r="GA6" s="1" t="s">
        <v>300</v>
      </c>
      <c r="GB6" s="1" t="s">
        <v>301</v>
      </c>
      <c r="GC6" s="1" t="s">
        <v>301</v>
      </c>
      <c r="GD6" s="1">
        <v>6.0</v>
      </c>
      <c r="GE6" s="1" t="s">
        <v>299</v>
      </c>
      <c r="GF6" s="1" t="s">
        <v>301</v>
      </c>
      <c r="GG6" s="1" t="s">
        <v>301</v>
      </c>
      <c r="GH6" s="1">
        <v>20.0</v>
      </c>
      <c r="GI6" s="1" t="s">
        <v>331</v>
      </c>
      <c r="GJ6" s="1">
        <v>26.0</v>
      </c>
      <c r="GK6" s="1" t="s">
        <v>300</v>
      </c>
      <c r="GL6" s="1">
        <v>6.0</v>
      </c>
      <c r="GM6" s="1" t="s">
        <v>299</v>
      </c>
      <c r="GN6" s="1">
        <v>26.0</v>
      </c>
      <c r="GO6" s="1" t="s">
        <v>300</v>
      </c>
      <c r="GP6" s="1">
        <v>16.0</v>
      </c>
      <c r="GQ6" s="1" t="s">
        <v>299</v>
      </c>
      <c r="GR6" s="1">
        <v>28.0</v>
      </c>
      <c r="GS6" s="1" t="s">
        <v>300</v>
      </c>
      <c r="GT6" s="1">
        <v>26.0</v>
      </c>
      <c r="GU6" s="1" t="s">
        <v>300</v>
      </c>
      <c r="GV6" s="1" t="s">
        <v>301</v>
      </c>
      <c r="GW6" s="1" t="s">
        <v>301</v>
      </c>
      <c r="GX6" s="1" t="s">
        <v>301</v>
      </c>
      <c r="GY6" s="1" t="s">
        <v>301</v>
      </c>
      <c r="GZ6" s="1">
        <v>26.0</v>
      </c>
      <c r="HA6" s="1" t="s">
        <v>300</v>
      </c>
      <c r="HB6" s="1" t="s">
        <v>301</v>
      </c>
      <c r="HC6" s="1" t="s">
        <v>301</v>
      </c>
      <c r="HD6" s="1" t="s">
        <v>301</v>
      </c>
      <c r="HE6" s="1" t="s">
        <v>301</v>
      </c>
      <c r="HF6" s="1">
        <v>13.0</v>
      </c>
      <c r="HG6" s="1" t="s">
        <v>299</v>
      </c>
      <c r="HH6" s="1">
        <v>22.0</v>
      </c>
      <c r="HI6" s="1" t="s">
        <v>299</v>
      </c>
      <c r="HJ6" s="1" t="s">
        <v>301</v>
      </c>
      <c r="HK6" s="1" t="s">
        <v>301</v>
      </c>
    </row>
    <row r="7">
      <c r="A7" s="29" t="s">
        <v>403</v>
      </c>
      <c r="B7" s="3" t="s">
        <v>444</v>
      </c>
      <c r="C7" s="3" t="s">
        <v>445</v>
      </c>
      <c r="D7" s="30">
        <v>16296.0</v>
      </c>
      <c r="E7" s="1">
        <v>81.0</v>
      </c>
      <c r="F7" s="3" t="s">
        <v>252</v>
      </c>
      <c r="G7" s="3" t="s">
        <v>252</v>
      </c>
      <c r="H7" s="3" t="s">
        <v>253</v>
      </c>
      <c r="I7" s="3" t="s">
        <v>252</v>
      </c>
      <c r="J7" s="3" t="s">
        <v>252</v>
      </c>
      <c r="K7" s="3" t="s">
        <v>252</v>
      </c>
      <c r="L7" s="3" t="s">
        <v>254</v>
      </c>
      <c r="M7" s="3" t="s">
        <v>254</v>
      </c>
      <c r="N7" s="3" t="s">
        <v>406</v>
      </c>
      <c r="O7" s="3" t="s">
        <v>255</v>
      </c>
      <c r="P7" s="3" t="s">
        <v>255</v>
      </c>
      <c r="Q7" s="3" t="s">
        <v>358</v>
      </c>
      <c r="R7" s="7" t="s">
        <v>334</v>
      </c>
      <c r="S7" s="7" t="s">
        <v>258</v>
      </c>
      <c r="T7" s="1" t="s">
        <v>259</v>
      </c>
      <c r="U7" s="1" t="s">
        <v>372</v>
      </c>
      <c r="V7" s="1" t="s">
        <v>410</v>
      </c>
      <c r="W7" s="1" t="s">
        <v>412</v>
      </c>
      <c r="X7" s="1" t="s">
        <v>254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 t="s">
        <v>254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 t="s">
        <v>415</v>
      </c>
      <c r="AM7" s="1" t="s">
        <v>269</v>
      </c>
      <c r="AN7" s="1" t="s">
        <v>269</v>
      </c>
      <c r="AP7" s="1" t="s">
        <v>342</v>
      </c>
      <c r="AQ7" s="1" t="s">
        <v>378</v>
      </c>
      <c r="AR7" s="1">
        <v>2.0</v>
      </c>
      <c r="AS7" s="1" t="s">
        <v>273</v>
      </c>
      <c r="AT7" s="1" t="s">
        <v>274</v>
      </c>
      <c r="AU7" s="1" t="s">
        <v>419</v>
      </c>
      <c r="AV7" s="1" t="s">
        <v>379</v>
      </c>
      <c r="AW7" s="1" t="s">
        <v>380</v>
      </c>
      <c r="AX7" s="1" t="s">
        <v>254</v>
      </c>
      <c r="AY7" s="1">
        <v>0.0</v>
      </c>
      <c r="AZ7" s="1" t="s">
        <v>255</v>
      </c>
      <c r="BA7" s="1" t="s">
        <v>420</v>
      </c>
      <c r="BB7" s="1" t="s">
        <v>254</v>
      </c>
      <c r="BC7" s="1" t="s">
        <v>279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 t="s">
        <v>320</v>
      </c>
      <c r="BM7" s="1" t="s">
        <v>415</v>
      </c>
      <c r="BN7" s="1" t="s">
        <v>269</v>
      </c>
      <c r="BO7" s="1" t="s">
        <v>269</v>
      </c>
      <c r="BQ7" s="1" t="s">
        <v>342</v>
      </c>
      <c r="BR7" s="1" t="s">
        <v>254</v>
      </c>
      <c r="BS7" s="1" t="s">
        <v>254</v>
      </c>
      <c r="BT7" s="1" t="s">
        <v>254</v>
      </c>
      <c r="BU7" s="1" t="s">
        <v>254</v>
      </c>
      <c r="BV7" s="1" t="s">
        <v>254</v>
      </c>
      <c r="BW7" s="1" t="s">
        <v>254</v>
      </c>
      <c r="BX7" s="12"/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 t="s">
        <v>254</v>
      </c>
      <c r="CN7" s="1">
        <v>0.0</v>
      </c>
      <c r="CO7" s="1" t="s">
        <v>254</v>
      </c>
      <c r="CP7" s="1">
        <v>0.0</v>
      </c>
      <c r="CQ7" s="1">
        <v>1.0</v>
      </c>
      <c r="CR7" s="1">
        <v>0.0</v>
      </c>
      <c r="CS7" s="1">
        <v>1.0</v>
      </c>
      <c r="CT7" s="1">
        <v>1968.0</v>
      </c>
      <c r="CU7" s="1" t="s">
        <v>421</v>
      </c>
      <c r="CV7" s="1" t="s">
        <v>254</v>
      </c>
      <c r="CW7" s="1" t="s">
        <v>254</v>
      </c>
      <c r="CX7" s="1" t="s">
        <v>254</v>
      </c>
      <c r="CY7" s="1" t="s">
        <v>254</v>
      </c>
      <c r="CZ7" s="1" t="s">
        <v>254</v>
      </c>
      <c r="DA7" s="1" t="s">
        <v>255</v>
      </c>
      <c r="DB7" s="1" t="s">
        <v>255</v>
      </c>
      <c r="DC7" s="1" t="s">
        <v>254</v>
      </c>
      <c r="DD7" s="1" t="s">
        <v>255</v>
      </c>
      <c r="DE7" s="1" t="s">
        <v>424</v>
      </c>
      <c r="DF7" s="1" t="s">
        <v>426</v>
      </c>
      <c r="DG7" s="1" t="s">
        <v>324</v>
      </c>
      <c r="DH7" s="1" t="s">
        <v>424</v>
      </c>
      <c r="DI7" s="1" t="s">
        <v>293</v>
      </c>
      <c r="DJ7" s="1" t="s">
        <v>293</v>
      </c>
      <c r="DK7" s="1" t="s">
        <v>293</v>
      </c>
      <c r="DL7" s="1" t="s">
        <v>293</v>
      </c>
      <c r="DM7" s="1" t="s">
        <v>388</v>
      </c>
      <c r="DO7" s="1" t="s">
        <v>293</v>
      </c>
      <c r="DP7" s="1" t="s">
        <v>293</v>
      </c>
      <c r="DQ7" s="1" t="s">
        <v>293</v>
      </c>
      <c r="DR7" s="1" t="s">
        <v>293</v>
      </c>
      <c r="DS7" s="1" t="s">
        <v>293</v>
      </c>
      <c r="DT7" s="1" t="s">
        <v>293</v>
      </c>
      <c r="DU7" s="1" t="s">
        <v>293</v>
      </c>
      <c r="DV7" s="1" t="s">
        <v>293</v>
      </c>
      <c r="DW7" s="1" t="s">
        <v>293</v>
      </c>
      <c r="DX7" s="1" t="s">
        <v>293</v>
      </c>
      <c r="DY7" s="1" t="s">
        <v>293</v>
      </c>
      <c r="DZ7" s="1" t="s">
        <v>293</v>
      </c>
      <c r="EA7" s="1" t="s">
        <v>254</v>
      </c>
      <c r="EB7" s="1" t="s">
        <v>254</v>
      </c>
      <c r="EC7" s="1" t="s">
        <v>254</v>
      </c>
      <c r="ED7" s="1">
        <v>0.0</v>
      </c>
      <c r="EE7" s="1" t="s">
        <v>255</v>
      </c>
      <c r="EF7" s="1" t="s">
        <v>294</v>
      </c>
      <c r="EG7" s="1" t="s">
        <v>389</v>
      </c>
      <c r="EI7" s="1" t="s">
        <v>426</v>
      </c>
      <c r="EJ7" s="1" t="s">
        <v>293</v>
      </c>
      <c r="EK7" s="1" t="s">
        <v>293</v>
      </c>
      <c r="EL7" s="1" t="s">
        <v>293</v>
      </c>
      <c r="EM7" s="1" t="s">
        <v>293</v>
      </c>
      <c r="EN7" s="1" t="s">
        <v>293</v>
      </c>
      <c r="EO7" s="1" t="s">
        <v>293</v>
      </c>
      <c r="EP7" s="1" t="s">
        <v>293</v>
      </c>
      <c r="EQ7" s="1" t="s">
        <v>293</v>
      </c>
      <c r="ER7" s="1" t="s">
        <v>293</v>
      </c>
      <c r="ES7" s="1" t="s">
        <v>293</v>
      </c>
      <c r="ET7" s="1" t="s">
        <v>293</v>
      </c>
      <c r="EU7" s="1" t="s">
        <v>293</v>
      </c>
      <c r="EV7" s="1" t="s">
        <v>431</v>
      </c>
      <c r="EW7" s="1" t="s">
        <v>254</v>
      </c>
      <c r="EX7" s="1" t="s">
        <v>254</v>
      </c>
      <c r="EY7" s="1" t="s">
        <v>432</v>
      </c>
      <c r="EZ7" s="1" t="s">
        <v>427</v>
      </c>
      <c r="FA7" s="1" t="s">
        <v>428</v>
      </c>
      <c r="FB7" s="1" t="s">
        <v>254</v>
      </c>
      <c r="FC7" s="1">
        <v>0.0</v>
      </c>
      <c r="FD7" s="1">
        <v>0.0</v>
      </c>
      <c r="FE7" s="1">
        <v>0.0</v>
      </c>
      <c r="FF7" s="1">
        <v>0.0</v>
      </c>
      <c r="FG7" s="1">
        <v>0.0</v>
      </c>
      <c r="FH7" s="1">
        <v>0.0</v>
      </c>
      <c r="FI7" s="1">
        <v>0.0</v>
      </c>
      <c r="FJ7" s="1">
        <v>0.0</v>
      </c>
      <c r="FK7" s="1">
        <v>0.0</v>
      </c>
      <c r="FL7" s="1">
        <v>0.0</v>
      </c>
      <c r="FM7" s="1">
        <v>0.0</v>
      </c>
      <c r="FN7" s="1">
        <v>0.0</v>
      </c>
      <c r="FO7" s="1">
        <v>0.0</v>
      </c>
      <c r="FP7" s="1">
        <v>0.0</v>
      </c>
      <c r="FQ7" s="1">
        <v>0.0</v>
      </c>
      <c r="FR7" s="27" t="s">
        <v>198</v>
      </c>
      <c r="FS7" s="28" t="s">
        <v>205</v>
      </c>
      <c r="FT7" s="28" t="s">
        <v>205</v>
      </c>
      <c r="FU7" s="28" t="s">
        <v>205</v>
      </c>
      <c r="FV7" s="1">
        <v>6.0</v>
      </c>
      <c r="FW7" s="1" t="s">
        <v>299</v>
      </c>
      <c r="FX7" s="1">
        <v>13.0</v>
      </c>
      <c r="FY7" s="1" t="s">
        <v>299</v>
      </c>
      <c r="FZ7" s="1">
        <v>6.0</v>
      </c>
      <c r="GA7" s="1" t="s">
        <v>299</v>
      </c>
      <c r="GB7" s="1" t="s">
        <v>301</v>
      </c>
      <c r="GC7" s="1" t="s">
        <v>301</v>
      </c>
      <c r="GD7" s="1">
        <v>6.0</v>
      </c>
      <c r="GE7" s="1" t="s">
        <v>299</v>
      </c>
      <c r="GF7" s="1" t="s">
        <v>301</v>
      </c>
      <c r="GG7" s="1" t="s">
        <v>301</v>
      </c>
      <c r="GH7" s="1">
        <v>6.0</v>
      </c>
      <c r="GI7" s="1" t="s">
        <v>299</v>
      </c>
      <c r="GJ7" s="1">
        <v>6.0</v>
      </c>
      <c r="GK7" s="1" t="s">
        <v>299</v>
      </c>
      <c r="GL7" s="1">
        <v>6.0</v>
      </c>
      <c r="GM7" s="1" t="s">
        <v>299</v>
      </c>
      <c r="GN7" s="1">
        <v>22.0</v>
      </c>
      <c r="GO7" s="1" t="s">
        <v>299</v>
      </c>
      <c r="GP7" s="1">
        <v>16.0</v>
      </c>
      <c r="GQ7" s="1" t="s">
        <v>299</v>
      </c>
      <c r="GR7" s="1">
        <v>18.0</v>
      </c>
      <c r="GS7" s="1" t="s">
        <v>299</v>
      </c>
      <c r="GT7" s="1">
        <v>6.0</v>
      </c>
      <c r="GU7" s="1" t="s">
        <v>299</v>
      </c>
      <c r="GV7" s="1" t="s">
        <v>301</v>
      </c>
      <c r="GW7" s="1" t="s">
        <v>301</v>
      </c>
      <c r="GX7" s="1" t="s">
        <v>301</v>
      </c>
      <c r="GY7" s="1" t="s">
        <v>301</v>
      </c>
      <c r="GZ7" s="1">
        <v>22.0</v>
      </c>
      <c r="HA7" s="1" t="s">
        <v>299</v>
      </c>
      <c r="HB7" s="1" t="s">
        <v>301</v>
      </c>
      <c r="HC7" s="1" t="s">
        <v>301</v>
      </c>
      <c r="HD7" s="1" t="s">
        <v>301</v>
      </c>
      <c r="HE7" s="1" t="s">
        <v>301</v>
      </c>
      <c r="HF7" s="1">
        <v>10.0</v>
      </c>
      <c r="HG7" s="1" t="s">
        <v>299</v>
      </c>
      <c r="HH7" s="1">
        <v>26.0</v>
      </c>
      <c r="HI7" s="1" t="s">
        <v>300</v>
      </c>
      <c r="HJ7" s="1" t="s">
        <v>301</v>
      </c>
      <c r="HK7" s="1" t="s">
        <v>301</v>
      </c>
    </row>
    <row r="8">
      <c r="A8" s="29" t="s">
        <v>467</v>
      </c>
      <c r="B8" s="3">
        <v>32.0</v>
      </c>
      <c r="C8" s="3" t="s">
        <v>468</v>
      </c>
      <c r="D8" s="30">
        <v>22020.0</v>
      </c>
      <c r="E8" s="1">
        <v>66.0</v>
      </c>
      <c r="F8" s="3" t="s">
        <v>253</v>
      </c>
      <c r="G8" s="3" t="s">
        <v>252</v>
      </c>
      <c r="H8" s="3" t="s">
        <v>253</v>
      </c>
      <c r="I8" s="3" t="s">
        <v>253</v>
      </c>
      <c r="J8" s="3" t="s">
        <v>252</v>
      </c>
      <c r="K8" s="3" t="s">
        <v>252</v>
      </c>
      <c r="L8" s="3" t="s">
        <v>254</v>
      </c>
      <c r="M8" s="3" t="s">
        <v>254</v>
      </c>
      <c r="N8" s="3" t="s">
        <v>254</v>
      </c>
      <c r="O8" s="3" t="s">
        <v>254</v>
      </c>
      <c r="P8" s="3" t="s">
        <v>255</v>
      </c>
      <c r="Q8" s="3" t="s">
        <v>358</v>
      </c>
      <c r="R8" s="7" t="s">
        <v>257</v>
      </c>
      <c r="S8" s="7" t="s">
        <v>258</v>
      </c>
      <c r="T8" s="1" t="s">
        <v>305</v>
      </c>
      <c r="U8" s="1" t="s">
        <v>469</v>
      </c>
      <c r="V8" s="1" t="s">
        <v>410</v>
      </c>
      <c r="W8" s="1" t="s">
        <v>470</v>
      </c>
      <c r="X8" s="1" t="s">
        <v>254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 t="s">
        <v>255</v>
      </c>
      <c r="AG8" s="1" t="s">
        <v>471</v>
      </c>
      <c r="AH8" s="1" t="s">
        <v>472</v>
      </c>
      <c r="AI8" s="30">
        <v>45603.0</v>
      </c>
      <c r="AJ8" s="1" t="s">
        <v>366</v>
      </c>
      <c r="AK8" s="1" t="s">
        <v>267</v>
      </c>
      <c r="AL8" s="1" t="s">
        <v>475</v>
      </c>
      <c r="AM8" s="1" t="s">
        <v>475</v>
      </c>
      <c r="AN8" s="1" t="s">
        <v>269</v>
      </c>
      <c r="AO8" s="1" t="s">
        <v>269</v>
      </c>
      <c r="AP8" s="1" t="s">
        <v>271</v>
      </c>
      <c r="AQ8" s="1" t="s">
        <v>476</v>
      </c>
      <c r="AR8" s="1">
        <v>2.0</v>
      </c>
      <c r="AS8" s="1" t="s">
        <v>273</v>
      </c>
      <c r="AT8" s="1" t="s">
        <v>274</v>
      </c>
      <c r="AU8" s="1" t="s">
        <v>419</v>
      </c>
      <c r="AV8" s="1" t="s">
        <v>317</v>
      </c>
      <c r="AW8" s="1" t="s">
        <v>380</v>
      </c>
      <c r="AX8" s="1" t="s">
        <v>254</v>
      </c>
      <c r="AY8" s="1">
        <v>0.0</v>
      </c>
      <c r="AZ8" s="1" t="s">
        <v>255</v>
      </c>
      <c r="BA8" s="1" t="s">
        <v>420</v>
      </c>
      <c r="BB8" s="1" t="s">
        <v>255</v>
      </c>
      <c r="BC8" s="1" t="s">
        <v>279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 t="s">
        <v>320</v>
      </c>
      <c r="BM8" s="1" t="s">
        <v>475</v>
      </c>
      <c r="BN8" s="1" t="s">
        <v>475</v>
      </c>
      <c r="BO8" s="1" t="s">
        <v>269</v>
      </c>
      <c r="BP8" s="1" t="s">
        <v>269</v>
      </c>
      <c r="BQ8" s="1" t="s">
        <v>271</v>
      </c>
      <c r="BR8" s="1" t="s">
        <v>255</v>
      </c>
      <c r="BS8" s="1" t="s">
        <v>447</v>
      </c>
      <c r="BT8" s="1" t="s">
        <v>414</v>
      </c>
      <c r="BU8" s="1" t="s">
        <v>480</v>
      </c>
      <c r="BV8" s="1" t="s">
        <v>254</v>
      </c>
      <c r="BW8" s="1" t="s">
        <v>255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2.0</v>
      </c>
      <c r="CG8" s="1">
        <v>7.0</v>
      </c>
      <c r="CH8" s="1">
        <v>0.0</v>
      </c>
      <c r="CI8" s="1">
        <v>0.0</v>
      </c>
      <c r="CJ8" s="1" t="s">
        <v>482</v>
      </c>
      <c r="CK8" s="1" t="s">
        <v>384</v>
      </c>
      <c r="CL8" s="1" t="s">
        <v>483</v>
      </c>
      <c r="CM8" s="1" t="s">
        <v>255</v>
      </c>
      <c r="CN8" s="1">
        <v>0.0</v>
      </c>
      <c r="CO8" s="1" t="s">
        <v>254</v>
      </c>
      <c r="CP8" s="1">
        <v>0.0</v>
      </c>
      <c r="CQ8" s="1">
        <v>3.0</v>
      </c>
      <c r="CR8" s="1">
        <v>2.0</v>
      </c>
      <c r="CS8" s="1">
        <v>1.0</v>
      </c>
      <c r="CT8" s="1" t="s">
        <v>485</v>
      </c>
      <c r="CU8" s="1" t="s">
        <v>487</v>
      </c>
      <c r="CV8" s="1" t="s">
        <v>254</v>
      </c>
      <c r="CW8" s="1" t="s">
        <v>254</v>
      </c>
      <c r="CX8" s="1" t="s">
        <v>254</v>
      </c>
      <c r="CY8" s="1" t="s">
        <v>254</v>
      </c>
      <c r="CZ8" s="1" t="s">
        <v>254</v>
      </c>
      <c r="DA8" s="1" t="s">
        <v>255</v>
      </c>
      <c r="DB8" s="1" t="s">
        <v>255</v>
      </c>
      <c r="DC8" s="1" t="s">
        <v>254</v>
      </c>
      <c r="DD8" s="1" t="s">
        <v>255</v>
      </c>
      <c r="DE8" s="1" t="s">
        <v>388</v>
      </c>
      <c r="DF8" s="1" t="s">
        <v>293</v>
      </c>
      <c r="DG8" s="1" t="s">
        <v>324</v>
      </c>
      <c r="DH8" s="1" t="s">
        <v>388</v>
      </c>
      <c r="DI8" s="1" t="s">
        <v>324</v>
      </c>
      <c r="DJ8" s="1" t="s">
        <v>293</v>
      </c>
      <c r="DK8" s="1" t="s">
        <v>293</v>
      </c>
      <c r="DL8" s="1" t="s">
        <v>293</v>
      </c>
      <c r="DM8" s="1" t="s">
        <v>293</v>
      </c>
      <c r="DN8" s="1" t="s">
        <v>293</v>
      </c>
      <c r="DO8" s="1" t="s">
        <v>293</v>
      </c>
      <c r="DP8" s="1" t="s">
        <v>293</v>
      </c>
      <c r="DQ8" s="1" t="s">
        <v>293</v>
      </c>
      <c r="DR8" s="1" t="s">
        <v>293</v>
      </c>
      <c r="DS8" s="1" t="s">
        <v>293</v>
      </c>
      <c r="DT8" s="1" t="s">
        <v>293</v>
      </c>
      <c r="DU8" s="1" t="s">
        <v>293</v>
      </c>
      <c r="DV8" s="1" t="s">
        <v>293</v>
      </c>
      <c r="DW8" s="1" t="s">
        <v>293</v>
      </c>
      <c r="DX8" s="1" t="s">
        <v>293</v>
      </c>
      <c r="DY8" s="1" t="s">
        <v>293</v>
      </c>
      <c r="DZ8" s="1" t="s">
        <v>293</v>
      </c>
      <c r="EA8" s="1" t="s">
        <v>254</v>
      </c>
      <c r="EB8" s="1" t="s">
        <v>254</v>
      </c>
      <c r="EC8" s="1" t="s">
        <v>254</v>
      </c>
      <c r="ED8" s="1">
        <v>0.0</v>
      </c>
      <c r="EE8" s="1" t="s">
        <v>255</v>
      </c>
      <c r="EF8" s="1" t="s">
        <v>325</v>
      </c>
      <c r="EG8" s="1" t="s">
        <v>389</v>
      </c>
      <c r="EI8" s="1" t="s">
        <v>293</v>
      </c>
      <c r="EJ8" s="1" t="s">
        <v>293</v>
      </c>
      <c r="EK8" s="1" t="s">
        <v>293</v>
      </c>
      <c r="EL8" s="1" t="s">
        <v>293</v>
      </c>
      <c r="EM8" s="1" t="s">
        <v>293</v>
      </c>
      <c r="EN8" s="1" t="s">
        <v>293</v>
      </c>
      <c r="EO8" s="1" t="s">
        <v>293</v>
      </c>
      <c r="EP8" s="1" t="s">
        <v>293</v>
      </c>
      <c r="EQ8" s="1" t="s">
        <v>293</v>
      </c>
      <c r="ER8" s="1" t="s">
        <v>293</v>
      </c>
      <c r="ES8" s="1" t="s">
        <v>293</v>
      </c>
      <c r="ET8" s="1" t="s">
        <v>293</v>
      </c>
      <c r="EU8" s="1" t="s">
        <v>293</v>
      </c>
      <c r="EV8" s="1" t="s">
        <v>423</v>
      </c>
      <c r="EW8" s="1" t="s">
        <v>254</v>
      </c>
      <c r="EX8" s="1" t="s">
        <v>254</v>
      </c>
      <c r="EY8" s="1">
        <v>0.0</v>
      </c>
      <c r="EZ8" s="1">
        <v>0.0</v>
      </c>
      <c r="FA8" s="1">
        <v>0.0</v>
      </c>
      <c r="FB8" s="1" t="s">
        <v>254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0.0</v>
      </c>
      <c r="FP8" s="1">
        <v>0.0</v>
      </c>
      <c r="FQ8" s="1">
        <v>0.0</v>
      </c>
      <c r="FR8" s="27" t="s">
        <v>198</v>
      </c>
      <c r="FS8" s="28" t="s">
        <v>205</v>
      </c>
      <c r="FT8" s="28" t="s">
        <v>205</v>
      </c>
      <c r="FU8" s="28" t="s">
        <v>298</v>
      </c>
      <c r="FV8" s="1">
        <v>6.0</v>
      </c>
      <c r="FW8" s="1" t="s">
        <v>299</v>
      </c>
      <c r="FX8" s="1">
        <v>17.0</v>
      </c>
      <c r="FY8" s="1" t="s">
        <v>299</v>
      </c>
      <c r="FZ8" s="1">
        <v>6.0</v>
      </c>
      <c r="GA8" s="1" t="s">
        <v>299</v>
      </c>
      <c r="GB8" s="1" t="s">
        <v>301</v>
      </c>
      <c r="GC8" s="1" t="s">
        <v>301</v>
      </c>
      <c r="GD8" s="1">
        <v>6.0</v>
      </c>
      <c r="GE8" s="1" t="s">
        <v>299</v>
      </c>
      <c r="GF8" s="1" t="s">
        <v>301</v>
      </c>
      <c r="GG8" s="1" t="s">
        <v>301</v>
      </c>
      <c r="GH8" s="1">
        <v>8.0</v>
      </c>
      <c r="GI8" s="1" t="s">
        <v>299</v>
      </c>
      <c r="GJ8" s="1">
        <v>6.0</v>
      </c>
      <c r="GK8" s="1" t="s">
        <v>299</v>
      </c>
      <c r="GL8" s="1">
        <v>6.0</v>
      </c>
      <c r="GM8" s="1" t="s">
        <v>299</v>
      </c>
      <c r="GN8" s="1">
        <v>16.0</v>
      </c>
      <c r="GO8" s="1" t="s">
        <v>299</v>
      </c>
      <c r="GP8" s="1">
        <v>16.0</v>
      </c>
      <c r="GQ8" s="1" t="s">
        <v>299</v>
      </c>
      <c r="GR8" s="1">
        <v>22.0</v>
      </c>
      <c r="GS8" s="1" t="s">
        <v>300</v>
      </c>
      <c r="GT8" s="1">
        <v>8.0</v>
      </c>
      <c r="GU8" s="1" t="s">
        <v>299</v>
      </c>
      <c r="GV8" s="1" t="s">
        <v>301</v>
      </c>
      <c r="GW8" s="1" t="s">
        <v>301</v>
      </c>
      <c r="GX8" s="1" t="s">
        <v>301</v>
      </c>
      <c r="GY8" s="1" t="s">
        <v>301</v>
      </c>
      <c r="GZ8" s="1">
        <v>18.0</v>
      </c>
      <c r="HA8" s="1" t="s">
        <v>299</v>
      </c>
      <c r="HB8" s="1" t="s">
        <v>301</v>
      </c>
      <c r="HC8" s="1" t="s">
        <v>301</v>
      </c>
      <c r="HD8" s="1" t="s">
        <v>301</v>
      </c>
      <c r="HE8" s="1" t="s">
        <v>301</v>
      </c>
      <c r="HF8" s="1">
        <v>6.0</v>
      </c>
      <c r="HG8" s="1" t="s">
        <v>299</v>
      </c>
      <c r="HH8" s="1">
        <v>22.0</v>
      </c>
      <c r="HI8" s="1" t="s">
        <v>299</v>
      </c>
      <c r="HJ8" s="1" t="s">
        <v>301</v>
      </c>
      <c r="HK8" s="1" t="s">
        <v>301</v>
      </c>
    </row>
    <row r="9">
      <c r="A9" s="29" t="s">
        <v>495</v>
      </c>
      <c r="B9" s="3">
        <v>35.0</v>
      </c>
      <c r="C9" s="3" t="s">
        <v>496</v>
      </c>
      <c r="D9" s="30">
        <v>45625.0</v>
      </c>
      <c r="E9" s="1">
        <v>1.0</v>
      </c>
      <c r="F9" s="3" t="s">
        <v>253</v>
      </c>
      <c r="G9" s="3" t="s">
        <v>252</v>
      </c>
      <c r="H9" s="3" t="s">
        <v>253</v>
      </c>
      <c r="I9" s="3" t="s">
        <v>253</v>
      </c>
      <c r="J9" s="3" t="s">
        <v>252</v>
      </c>
      <c r="K9" s="3" t="s">
        <v>252</v>
      </c>
      <c r="L9" s="3" t="s">
        <v>254</v>
      </c>
      <c r="M9" s="3" t="s">
        <v>254</v>
      </c>
      <c r="N9" s="3" t="s">
        <v>254</v>
      </c>
      <c r="O9" s="3" t="s">
        <v>254</v>
      </c>
      <c r="P9" s="3" t="s">
        <v>255</v>
      </c>
      <c r="Q9" s="3" t="s">
        <v>358</v>
      </c>
      <c r="R9" s="7" t="s">
        <v>334</v>
      </c>
      <c r="S9" s="7" t="s">
        <v>304</v>
      </c>
      <c r="T9" s="1" t="s">
        <v>259</v>
      </c>
      <c r="U9" s="1" t="s">
        <v>372</v>
      </c>
      <c r="V9" s="1" t="s">
        <v>410</v>
      </c>
      <c r="W9" s="1" t="s">
        <v>412</v>
      </c>
      <c r="X9" s="1" t="s">
        <v>254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 t="s">
        <v>255</v>
      </c>
      <c r="AG9" s="1" t="s">
        <v>498</v>
      </c>
      <c r="AH9" s="1" t="s">
        <v>499</v>
      </c>
      <c r="AI9" s="1" t="s">
        <v>500</v>
      </c>
      <c r="AJ9" s="1" t="s">
        <v>501</v>
      </c>
      <c r="AK9" s="1" t="s">
        <v>267</v>
      </c>
      <c r="AL9" s="1" t="s">
        <v>502</v>
      </c>
      <c r="AM9" s="1" t="s">
        <v>269</v>
      </c>
      <c r="AN9" s="1" t="s">
        <v>269</v>
      </c>
      <c r="AP9" s="1" t="s">
        <v>271</v>
      </c>
      <c r="AQ9" s="1" t="s">
        <v>476</v>
      </c>
      <c r="AR9" s="1">
        <v>1.0</v>
      </c>
      <c r="AS9" s="1" t="s">
        <v>273</v>
      </c>
      <c r="AT9" s="1" t="s">
        <v>274</v>
      </c>
      <c r="AU9" s="1" t="s">
        <v>274</v>
      </c>
      <c r="AV9" s="1" t="s">
        <v>317</v>
      </c>
      <c r="AW9" s="1" t="s">
        <v>402</v>
      </c>
      <c r="AX9" s="1" t="s">
        <v>254</v>
      </c>
      <c r="AY9" s="1">
        <v>0.0</v>
      </c>
      <c r="AZ9" s="1" t="s">
        <v>255</v>
      </c>
      <c r="BA9" s="31" t="s">
        <v>319</v>
      </c>
      <c r="BB9" s="1" t="s">
        <v>255</v>
      </c>
      <c r="BC9" s="1" t="s">
        <v>279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 t="s">
        <v>320</v>
      </c>
      <c r="BM9" s="1" t="s">
        <v>502</v>
      </c>
      <c r="BN9" s="1" t="s">
        <v>269</v>
      </c>
      <c r="BO9" s="1" t="s">
        <v>269</v>
      </c>
      <c r="BQ9" s="1" t="s">
        <v>271</v>
      </c>
      <c r="BR9" s="1" t="s">
        <v>254</v>
      </c>
      <c r="BS9" s="1" t="s">
        <v>254</v>
      </c>
      <c r="BT9" s="1" t="s">
        <v>254</v>
      </c>
      <c r="BU9" s="1" t="s">
        <v>254</v>
      </c>
      <c r="BV9" s="1" t="s">
        <v>254</v>
      </c>
      <c r="BW9" s="1" t="s">
        <v>254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 t="s">
        <v>254</v>
      </c>
      <c r="CN9" s="1">
        <v>0.0</v>
      </c>
      <c r="CO9" s="1" t="s">
        <v>254</v>
      </c>
      <c r="CP9" s="1">
        <v>0.0</v>
      </c>
      <c r="CQ9" s="1">
        <v>1.0</v>
      </c>
      <c r="CR9" s="1">
        <v>1.0</v>
      </c>
      <c r="CS9" s="1">
        <v>0.0</v>
      </c>
      <c r="CT9" s="1">
        <v>1978.0</v>
      </c>
      <c r="CU9" s="1" t="s">
        <v>505</v>
      </c>
      <c r="CV9" s="1" t="s">
        <v>254</v>
      </c>
      <c r="CW9" s="1" t="s">
        <v>254</v>
      </c>
      <c r="CX9" s="1" t="s">
        <v>254</v>
      </c>
      <c r="CY9" s="1" t="s">
        <v>254</v>
      </c>
      <c r="CZ9" s="1" t="s">
        <v>254</v>
      </c>
      <c r="DA9" s="1" t="s">
        <v>254</v>
      </c>
      <c r="DB9" s="1" t="s">
        <v>254</v>
      </c>
      <c r="DC9" s="1" t="s">
        <v>254</v>
      </c>
      <c r="DD9" s="1" t="s">
        <v>255</v>
      </c>
      <c r="DE9" s="1" t="s">
        <v>324</v>
      </c>
      <c r="DF9" s="1" t="s">
        <v>324</v>
      </c>
      <c r="DG9" s="1" t="s">
        <v>293</v>
      </c>
      <c r="DH9" s="1" t="s">
        <v>293</v>
      </c>
      <c r="DI9" s="1" t="s">
        <v>424</v>
      </c>
      <c r="DJ9" s="1" t="s">
        <v>293</v>
      </c>
      <c r="DK9" s="1" t="s">
        <v>293</v>
      </c>
      <c r="DL9" s="1" t="s">
        <v>324</v>
      </c>
      <c r="DM9" s="1" t="s">
        <v>388</v>
      </c>
      <c r="DN9" s="1" t="s">
        <v>388</v>
      </c>
      <c r="DO9" s="1" t="s">
        <v>293</v>
      </c>
      <c r="DP9" s="1" t="s">
        <v>451</v>
      </c>
      <c r="DQ9" s="1" t="s">
        <v>293</v>
      </c>
      <c r="DR9" s="1" t="s">
        <v>293</v>
      </c>
      <c r="DS9" s="1" t="s">
        <v>293</v>
      </c>
      <c r="DT9" s="1" t="s">
        <v>506</v>
      </c>
      <c r="DU9" s="1" t="s">
        <v>293</v>
      </c>
      <c r="DV9" s="1" t="s">
        <v>293</v>
      </c>
      <c r="DW9" s="1" t="s">
        <v>293</v>
      </c>
      <c r="DX9" s="1" t="s">
        <v>293</v>
      </c>
      <c r="DY9" s="1" t="s">
        <v>293</v>
      </c>
      <c r="DZ9" s="1" t="s">
        <v>293</v>
      </c>
      <c r="EA9" s="1" t="s">
        <v>254</v>
      </c>
      <c r="EB9" s="1" t="s">
        <v>254</v>
      </c>
      <c r="EC9" s="1" t="s">
        <v>254</v>
      </c>
      <c r="ED9" s="1">
        <v>0.0</v>
      </c>
      <c r="EE9" s="1" t="s">
        <v>255</v>
      </c>
      <c r="EF9" s="1" t="s">
        <v>294</v>
      </c>
      <c r="EG9" s="1" t="s">
        <v>389</v>
      </c>
      <c r="EI9" s="1" t="s">
        <v>424</v>
      </c>
      <c r="EJ9" s="1" t="s">
        <v>293</v>
      </c>
      <c r="EK9" s="1" t="s">
        <v>293</v>
      </c>
      <c r="EL9" s="1" t="s">
        <v>293</v>
      </c>
      <c r="EM9" s="1" t="s">
        <v>293</v>
      </c>
      <c r="EN9" s="1" t="s">
        <v>503</v>
      </c>
      <c r="EO9" s="1" t="s">
        <v>293</v>
      </c>
      <c r="EP9" s="1" t="s">
        <v>293</v>
      </c>
      <c r="EQ9" s="1" t="s">
        <v>293</v>
      </c>
      <c r="ER9" s="1" t="s">
        <v>293</v>
      </c>
      <c r="ES9" s="1" t="s">
        <v>293</v>
      </c>
      <c r="ET9" s="1" t="s">
        <v>293</v>
      </c>
      <c r="EU9" s="1" t="s">
        <v>293</v>
      </c>
      <c r="EV9" s="1" t="s">
        <v>387</v>
      </c>
      <c r="EW9" s="1" t="s">
        <v>255</v>
      </c>
      <c r="EX9" s="1" t="s">
        <v>254</v>
      </c>
      <c r="EY9" s="1" t="s">
        <v>484</v>
      </c>
      <c r="EZ9" s="1" t="s">
        <v>509</v>
      </c>
      <c r="FA9" s="1">
        <v>0.0</v>
      </c>
      <c r="FB9" s="1" t="s">
        <v>254</v>
      </c>
      <c r="FC9" s="1">
        <v>0.0</v>
      </c>
      <c r="FD9" s="1">
        <v>0.0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0.0</v>
      </c>
      <c r="FL9" s="1">
        <v>0.0</v>
      </c>
      <c r="FM9" s="1">
        <v>0.0</v>
      </c>
      <c r="FN9" s="1">
        <v>0.0</v>
      </c>
      <c r="FO9" s="1">
        <v>0.0</v>
      </c>
      <c r="FP9" s="1">
        <v>0.0</v>
      </c>
      <c r="FQ9" s="1">
        <v>0.0</v>
      </c>
      <c r="FR9" s="27" t="s">
        <v>514</v>
      </c>
      <c r="FS9" s="28" t="s">
        <v>205</v>
      </c>
      <c r="FT9" s="28" t="s">
        <v>205</v>
      </c>
      <c r="FU9" s="28" t="s">
        <v>205</v>
      </c>
      <c r="FV9" s="1">
        <v>20.0</v>
      </c>
      <c r="FW9" s="1" t="s">
        <v>300</v>
      </c>
      <c r="FX9" s="1">
        <v>18.0</v>
      </c>
      <c r="FY9" s="1" t="s">
        <v>300</v>
      </c>
      <c r="FZ9" s="1">
        <v>20.0</v>
      </c>
      <c r="GA9" s="1" t="s">
        <v>300</v>
      </c>
      <c r="GB9" s="1" t="s">
        <v>301</v>
      </c>
      <c r="GC9" s="1" t="s">
        <v>301</v>
      </c>
      <c r="GD9" s="1">
        <v>8.0</v>
      </c>
      <c r="GE9" s="1" t="s">
        <v>299</v>
      </c>
      <c r="GF9" s="1" t="s">
        <v>301</v>
      </c>
      <c r="GG9" s="1" t="s">
        <v>301</v>
      </c>
      <c r="GH9" s="1">
        <v>18.0</v>
      </c>
      <c r="GI9" s="1" t="s">
        <v>299</v>
      </c>
      <c r="GJ9" s="1">
        <v>20.0</v>
      </c>
      <c r="GK9" s="1" t="s">
        <v>299</v>
      </c>
      <c r="GL9" s="1">
        <v>6.0</v>
      </c>
      <c r="GM9" s="1" t="s">
        <v>299</v>
      </c>
      <c r="GN9" s="1">
        <v>22.0</v>
      </c>
      <c r="GO9" s="1" t="s">
        <v>299</v>
      </c>
      <c r="GP9" s="1">
        <v>16.0</v>
      </c>
      <c r="GQ9" s="1" t="s">
        <v>299</v>
      </c>
      <c r="GR9" s="1">
        <v>6.0</v>
      </c>
      <c r="GS9" s="1" t="s">
        <v>299</v>
      </c>
      <c r="GT9" s="1">
        <v>20.0</v>
      </c>
      <c r="GU9" s="1" t="s">
        <v>331</v>
      </c>
      <c r="GV9" s="1" t="s">
        <v>301</v>
      </c>
      <c r="GW9" s="1" t="s">
        <v>301</v>
      </c>
      <c r="GX9" s="1" t="s">
        <v>301</v>
      </c>
      <c r="GY9" s="1" t="s">
        <v>301</v>
      </c>
      <c r="GZ9" s="1">
        <v>26.0</v>
      </c>
      <c r="HA9" s="1" t="s">
        <v>300</v>
      </c>
      <c r="HB9" s="1" t="s">
        <v>301</v>
      </c>
      <c r="HC9" s="1" t="s">
        <v>301</v>
      </c>
      <c r="HD9" s="1" t="s">
        <v>301</v>
      </c>
      <c r="HE9" s="1" t="s">
        <v>301</v>
      </c>
      <c r="HF9" s="1">
        <v>18.0</v>
      </c>
      <c r="HG9" s="1" t="s">
        <v>299</v>
      </c>
      <c r="HH9" s="1">
        <v>20.0</v>
      </c>
      <c r="HI9" s="1" t="s">
        <v>299</v>
      </c>
      <c r="HJ9" s="1" t="s">
        <v>301</v>
      </c>
      <c r="HK9" s="1" t="s">
        <v>301</v>
      </c>
    </row>
    <row r="10">
      <c r="A10" s="44" t="s">
        <v>522</v>
      </c>
      <c r="B10" s="3">
        <v>43.0</v>
      </c>
      <c r="C10" s="3" t="s">
        <v>523</v>
      </c>
      <c r="D10" s="30">
        <v>34834.0</v>
      </c>
      <c r="E10" s="1">
        <v>31.0</v>
      </c>
      <c r="F10" s="3" t="s">
        <v>252</v>
      </c>
      <c r="G10" s="3" t="s">
        <v>253</v>
      </c>
      <c r="H10" s="3" t="s">
        <v>253</v>
      </c>
      <c r="I10" s="3" t="s">
        <v>252</v>
      </c>
      <c r="J10" s="3" t="s">
        <v>253</v>
      </c>
      <c r="K10" s="3" t="s">
        <v>253</v>
      </c>
      <c r="L10" s="3" t="s">
        <v>254</v>
      </c>
      <c r="M10" s="3" t="s">
        <v>255</v>
      </c>
      <c r="N10" s="3" t="s">
        <v>254</v>
      </c>
      <c r="O10" s="3" t="s">
        <v>255</v>
      </c>
      <c r="P10" s="3" t="s">
        <v>254</v>
      </c>
      <c r="Q10" s="3" t="s">
        <v>256</v>
      </c>
      <c r="R10" s="7" t="s">
        <v>257</v>
      </c>
      <c r="S10" s="7" t="s">
        <v>258</v>
      </c>
      <c r="T10" s="1" t="s">
        <v>134</v>
      </c>
      <c r="U10" s="1" t="s">
        <v>469</v>
      </c>
      <c r="V10" s="1" t="s">
        <v>529</v>
      </c>
      <c r="W10" s="1" t="s">
        <v>254</v>
      </c>
      <c r="X10" s="1" t="s">
        <v>254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 t="s">
        <v>254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 t="s">
        <v>530</v>
      </c>
      <c r="AM10" s="1" t="s">
        <v>269</v>
      </c>
      <c r="AN10" s="1" t="s">
        <v>269</v>
      </c>
      <c r="AO10" s="1" t="s">
        <v>283</v>
      </c>
      <c r="AP10" s="1" t="s">
        <v>271</v>
      </c>
      <c r="AQ10" s="1" t="s">
        <v>378</v>
      </c>
      <c r="AR10" s="1">
        <v>3.0</v>
      </c>
      <c r="AS10" s="1" t="s">
        <v>273</v>
      </c>
      <c r="AT10" s="1" t="s">
        <v>274</v>
      </c>
      <c r="AU10" s="1" t="s">
        <v>316</v>
      </c>
      <c r="AV10" s="1" t="s">
        <v>276</v>
      </c>
      <c r="AW10" s="1" t="s">
        <v>380</v>
      </c>
      <c r="AX10" s="1" t="s">
        <v>254</v>
      </c>
      <c r="AY10" s="1">
        <v>0.0</v>
      </c>
      <c r="AZ10" s="1" t="s">
        <v>255</v>
      </c>
      <c r="BA10" s="1" t="s">
        <v>278</v>
      </c>
      <c r="BB10" s="1" t="s">
        <v>255</v>
      </c>
      <c r="BC10" s="1" t="s">
        <v>279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 t="s">
        <v>320</v>
      </c>
      <c r="BM10" s="1" t="s">
        <v>530</v>
      </c>
      <c r="BN10" s="1" t="s">
        <v>269</v>
      </c>
      <c r="BO10" s="1" t="s">
        <v>269</v>
      </c>
      <c r="BQ10" s="1" t="s">
        <v>271</v>
      </c>
      <c r="BR10" s="1" t="s">
        <v>254</v>
      </c>
      <c r="BS10" s="1" t="s">
        <v>254</v>
      </c>
      <c r="BT10" s="1" t="s">
        <v>254</v>
      </c>
      <c r="BU10" s="1" t="s">
        <v>254</v>
      </c>
      <c r="BV10" s="1" t="s">
        <v>254</v>
      </c>
      <c r="BW10" s="1" t="s">
        <v>254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 t="s">
        <v>254</v>
      </c>
      <c r="CN10" s="1">
        <v>0.0</v>
      </c>
      <c r="CO10" s="1" t="s">
        <v>254</v>
      </c>
      <c r="CP10" s="1">
        <v>0.0</v>
      </c>
      <c r="CQ10" s="1">
        <v>3.0</v>
      </c>
      <c r="CR10" s="1">
        <v>1.0</v>
      </c>
      <c r="CS10" s="1">
        <v>2.0</v>
      </c>
      <c r="CT10" s="1" t="s">
        <v>534</v>
      </c>
      <c r="CU10" s="1" t="s">
        <v>535</v>
      </c>
      <c r="CV10" s="1" t="s">
        <v>254</v>
      </c>
      <c r="CW10" s="1" t="s">
        <v>254</v>
      </c>
      <c r="CX10" s="1" t="s">
        <v>254</v>
      </c>
      <c r="CY10" s="1" t="s">
        <v>254</v>
      </c>
      <c r="CZ10" s="1" t="s">
        <v>254</v>
      </c>
      <c r="DA10" s="1" t="s">
        <v>254</v>
      </c>
      <c r="DB10" s="1" t="s">
        <v>254</v>
      </c>
      <c r="DC10" s="1" t="s">
        <v>254</v>
      </c>
      <c r="DD10" s="1" t="s">
        <v>255</v>
      </c>
      <c r="DE10" s="1" t="s">
        <v>424</v>
      </c>
      <c r="DF10" s="1" t="s">
        <v>426</v>
      </c>
      <c r="DG10" s="1" t="s">
        <v>426</v>
      </c>
      <c r="DH10" s="1" t="s">
        <v>426</v>
      </c>
      <c r="DI10" s="1" t="s">
        <v>424</v>
      </c>
      <c r="DJ10" s="1" t="s">
        <v>426</v>
      </c>
      <c r="DK10" s="1" t="s">
        <v>293</v>
      </c>
      <c r="DL10" s="1" t="s">
        <v>293</v>
      </c>
      <c r="DM10" s="1" t="s">
        <v>324</v>
      </c>
      <c r="DN10" s="1" t="s">
        <v>293</v>
      </c>
      <c r="DO10" s="1" t="s">
        <v>293</v>
      </c>
      <c r="DP10" s="1" t="s">
        <v>293</v>
      </c>
      <c r="DQ10" s="1" t="s">
        <v>293</v>
      </c>
      <c r="DR10" s="1" t="s">
        <v>293</v>
      </c>
      <c r="DS10" s="1" t="s">
        <v>293</v>
      </c>
      <c r="DT10" s="1" t="s">
        <v>293</v>
      </c>
      <c r="DU10" s="1" t="s">
        <v>293</v>
      </c>
      <c r="DV10" s="1" t="s">
        <v>293</v>
      </c>
      <c r="DW10" s="1" t="s">
        <v>293</v>
      </c>
      <c r="DX10" s="1" t="s">
        <v>293</v>
      </c>
      <c r="DY10" s="1" t="s">
        <v>293</v>
      </c>
      <c r="DZ10" s="1" t="s">
        <v>293</v>
      </c>
      <c r="EA10" s="1" t="s">
        <v>254</v>
      </c>
      <c r="EB10" s="1" t="s">
        <v>254</v>
      </c>
      <c r="EC10" s="1" t="s">
        <v>254</v>
      </c>
      <c r="ED10" s="1">
        <v>0.0</v>
      </c>
      <c r="EE10" s="1" t="s">
        <v>254</v>
      </c>
      <c r="EF10" s="1" t="s">
        <v>426</v>
      </c>
      <c r="EG10" s="1" t="s">
        <v>426</v>
      </c>
      <c r="EH10" s="1" t="s">
        <v>426</v>
      </c>
      <c r="EI10" s="1" t="s">
        <v>426</v>
      </c>
      <c r="EJ10" s="1" t="s">
        <v>426</v>
      </c>
      <c r="EK10" s="1" t="s">
        <v>426</v>
      </c>
      <c r="EL10" s="1" t="s">
        <v>426</v>
      </c>
      <c r="EM10" s="1" t="s">
        <v>426</v>
      </c>
      <c r="EN10" s="1" t="s">
        <v>426</v>
      </c>
      <c r="EO10" s="1" t="s">
        <v>426</v>
      </c>
      <c r="EP10" s="1" t="s">
        <v>426</v>
      </c>
      <c r="EQ10" s="1" t="s">
        <v>426</v>
      </c>
      <c r="ER10" s="1" t="s">
        <v>426</v>
      </c>
      <c r="ES10" s="1" t="s">
        <v>426</v>
      </c>
      <c r="ET10" s="1" t="s">
        <v>426</v>
      </c>
      <c r="EU10" s="1" t="s">
        <v>426</v>
      </c>
      <c r="EV10" s="1" t="s">
        <v>387</v>
      </c>
      <c r="EW10" s="1" t="s">
        <v>254</v>
      </c>
      <c r="EX10" s="1" t="s">
        <v>254</v>
      </c>
      <c r="EY10" s="1" t="s">
        <v>538</v>
      </c>
      <c r="EZ10" s="1" t="s">
        <v>509</v>
      </c>
      <c r="FA10" s="1" t="s">
        <v>453</v>
      </c>
      <c r="FB10" s="1" t="s">
        <v>254</v>
      </c>
      <c r="FC10" s="1">
        <v>0.0</v>
      </c>
      <c r="FD10" s="1">
        <v>0.0</v>
      </c>
      <c r="FE10" s="1">
        <v>0.0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">
        <v>0.0</v>
      </c>
      <c r="FP10" s="1">
        <v>0.0</v>
      </c>
      <c r="FQ10" s="1">
        <v>0.0</v>
      </c>
      <c r="FR10" s="45" t="s">
        <v>198</v>
      </c>
      <c r="FS10" s="28" t="s">
        <v>205</v>
      </c>
      <c r="FT10" s="28" t="s">
        <v>205</v>
      </c>
      <c r="FU10" s="28" t="s">
        <v>298</v>
      </c>
      <c r="FV10" s="1">
        <v>6.0</v>
      </c>
      <c r="FW10" s="1" t="s">
        <v>299</v>
      </c>
      <c r="FX10" s="1">
        <v>18.0</v>
      </c>
      <c r="FY10" s="1" t="s">
        <v>300</v>
      </c>
      <c r="FZ10" s="1">
        <v>20.0</v>
      </c>
      <c r="GA10" s="1" t="s">
        <v>300</v>
      </c>
      <c r="GB10" s="1">
        <v>6.0</v>
      </c>
      <c r="GC10" s="1" t="s">
        <v>299</v>
      </c>
      <c r="GD10" s="1">
        <v>17.0</v>
      </c>
      <c r="GE10" s="1" t="s">
        <v>331</v>
      </c>
      <c r="GF10" s="1">
        <v>22.0</v>
      </c>
      <c r="GG10" s="1" t="s">
        <v>300</v>
      </c>
      <c r="GH10" s="1">
        <v>22.0</v>
      </c>
      <c r="GI10" s="1" t="s">
        <v>300</v>
      </c>
      <c r="GJ10" s="1">
        <v>25.0</v>
      </c>
      <c r="GK10" s="1" t="s">
        <v>300</v>
      </c>
      <c r="GL10" s="1">
        <v>6.0</v>
      </c>
      <c r="GM10" s="1" t="s">
        <v>299</v>
      </c>
      <c r="GN10" s="1">
        <v>26.0</v>
      </c>
      <c r="GO10" s="1" t="s">
        <v>300</v>
      </c>
      <c r="GP10" s="1">
        <v>6.0</v>
      </c>
      <c r="GQ10" s="1" t="s">
        <v>299</v>
      </c>
      <c r="GR10" s="1">
        <v>19.0</v>
      </c>
      <c r="GS10" s="1" t="s">
        <v>331</v>
      </c>
      <c r="GT10" s="1">
        <v>16.0</v>
      </c>
      <c r="GU10" s="1" t="s">
        <v>299</v>
      </c>
      <c r="GV10" s="1">
        <v>6.0</v>
      </c>
      <c r="GW10" s="1" t="s">
        <v>299</v>
      </c>
      <c r="GX10" s="1">
        <v>16.0</v>
      </c>
      <c r="GY10" s="1" t="s">
        <v>300</v>
      </c>
      <c r="GZ10" s="1">
        <v>19.0</v>
      </c>
      <c r="HA10" s="1" t="s">
        <v>299</v>
      </c>
      <c r="HB10" s="1">
        <v>6.0</v>
      </c>
      <c r="HC10" s="1" t="s">
        <v>299</v>
      </c>
      <c r="HD10" s="1">
        <v>20.0</v>
      </c>
      <c r="HE10" s="1" t="s">
        <v>300</v>
      </c>
      <c r="HF10" s="1">
        <v>24.0</v>
      </c>
      <c r="HG10" s="1" t="s">
        <v>331</v>
      </c>
      <c r="HH10" s="1">
        <v>29.0</v>
      </c>
      <c r="HI10" s="1" t="s">
        <v>300</v>
      </c>
      <c r="HJ10" s="1">
        <v>16.0</v>
      </c>
      <c r="HK10" s="1" t="s">
        <v>299</v>
      </c>
    </row>
    <row r="11">
      <c r="A11" s="44" t="s">
        <v>522</v>
      </c>
      <c r="B11" s="3" t="s">
        <v>444</v>
      </c>
      <c r="C11" s="3" t="s">
        <v>546</v>
      </c>
      <c r="D11" s="30">
        <v>16915.0</v>
      </c>
      <c r="E11" s="1">
        <v>80.0</v>
      </c>
      <c r="F11" s="3" t="s">
        <v>252</v>
      </c>
      <c r="G11" s="3" t="s">
        <v>253</v>
      </c>
      <c r="H11" s="3" t="s">
        <v>253</v>
      </c>
      <c r="I11" s="3" t="s">
        <v>252</v>
      </c>
      <c r="J11" s="3" t="s">
        <v>253</v>
      </c>
      <c r="K11" s="3" t="s">
        <v>253</v>
      </c>
      <c r="L11" s="3" t="s">
        <v>254</v>
      </c>
      <c r="M11" s="3" t="s">
        <v>255</v>
      </c>
      <c r="N11" s="3" t="s">
        <v>254</v>
      </c>
      <c r="O11" s="3" t="s">
        <v>255</v>
      </c>
      <c r="P11" s="3" t="s">
        <v>254</v>
      </c>
      <c r="Q11" s="3" t="s">
        <v>548</v>
      </c>
      <c r="R11" s="7" t="s">
        <v>257</v>
      </c>
      <c r="S11" s="7" t="s">
        <v>258</v>
      </c>
      <c r="T11" s="1" t="s">
        <v>305</v>
      </c>
      <c r="U11" s="1" t="s">
        <v>550</v>
      </c>
      <c r="V11" s="1" t="s">
        <v>261</v>
      </c>
      <c r="W11" s="1" t="s">
        <v>254</v>
      </c>
      <c r="X11" s="1" t="s">
        <v>254</v>
      </c>
      <c r="Y11" s="1" t="s">
        <v>262</v>
      </c>
      <c r="Z11" s="1">
        <v>0.0</v>
      </c>
      <c r="AA11" s="34"/>
      <c r="AB11" s="34"/>
      <c r="AC11" s="1">
        <v>0.0</v>
      </c>
      <c r="AD11" s="1">
        <v>0.0</v>
      </c>
      <c r="AE11" s="1">
        <v>0.0</v>
      </c>
      <c r="AF11" s="1" t="s">
        <v>255</v>
      </c>
      <c r="AG11" s="1" t="s">
        <v>266</v>
      </c>
      <c r="AH11" s="1" t="s">
        <v>266</v>
      </c>
      <c r="AI11" s="1" t="s">
        <v>552</v>
      </c>
      <c r="AJ11" s="30">
        <v>45794.0</v>
      </c>
      <c r="AK11" s="1" t="s">
        <v>267</v>
      </c>
      <c r="AL11" s="1" t="s">
        <v>553</v>
      </c>
      <c r="AM11" s="1" t="s">
        <v>269</v>
      </c>
      <c r="AN11" s="1" t="s">
        <v>269</v>
      </c>
      <c r="AO11" s="1" t="s">
        <v>270</v>
      </c>
      <c r="AP11" s="1" t="s">
        <v>271</v>
      </c>
      <c r="AQ11" s="1" t="s">
        <v>272</v>
      </c>
      <c r="AR11" s="1">
        <v>3.0</v>
      </c>
      <c r="AS11" s="1" t="s">
        <v>273</v>
      </c>
      <c r="AT11" s="1" t="s">
        <v>274</v>
      </c>
      <c r="AU11" s="1" t="s">
        <v>275</v>
      </c>
      <c r="AV11" s="1" t="s">
        <v>276</v>
      </c>
      <c r="AW11" s="1" t="s">
        <v>277</v>
      </c>
      <c r="AX11" s="1" t="s">
        <v>254</v>
      </c>
      <c r="AY11" s="1">
        <v>0.0</v>
      </c>
      <c r="AZ11" s="1" t="s">
        <v>255</v>
      </c>
      <c r="BA11" s="1" t="s">
        <v>278</v>
      </c>
      <c r="BB11" s="1" t="s">
        <v>254</v>
      </c>
      <c r="BC11" s="1" t="s">
        <v>279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 t="s">
        <v>554</v>
      </c>
      <c r="BM11" s="1" t="s">
        <v>268</v>
      </c>
      <c r="BN11" s="1" t="s">
        <v>281</v>
      </c>
      <c r="BO11" s="1" t="s">
        <v>282</v>
      </c>
      <c r="BP11" s="1" t="s">
        <v>283</v>
      </c>
      <c r="BQ11" s="1" t="s">
        <v>284</v>
      </c>
      <c r="BR11" s="1" t="s">
        <v>254</v>
      </c>
      <c r="BS11" s="1" t="s">
        <v>254</v>
      </c>
      <c r="BT11" s="1" t="s">
        <v>254</v>
      </c>
      <c r="BU11" s="1" t="s">
        <v>254</v>
      </c>
      <c r="BV11" s="1" t="s">
        <v>254</v>
      </c>
      <c r="BW11" s="1" t="s">
        <v>255</v>
      </c>
      <c r="BX11" s="34"/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1.0</v>
      </c>
      <c r="CH11" s="1">
        <v>0.0</v>
      </c>
      <c r="CI11" s="1">
        <v>0.0</v>
      </c>
      <c r="CJ11" s="1" t="s">
        <v>285</v>
      </c>
      <c r="CK11" s="1" t="s">
        <v>286</v>
      </c>
      <c r="CL11" s="1" t="s">
        <v>287</v>
      </c>
      <c r="CM11" s="1" t="s">
        <v>254</v>
      </c>
      <c r="CN11" s="1">
        <v>0.0</v>
      </c>
      <c r="CO11" s="1" t="s">
        <v>254</v>
      </c>
      <c r="CP11" s="1">
        <v>0.0</v>
      </c>
      <c r="CQ11" s="1">
        <v>1.0</v>
      </c>
      <c r="CR11" s="1">
        <v>0.0</v>
      </c>
      <c r="CS11" s="1">
        <v>1.0</v>
      </c>
      <c r="CT11" s="34"/>
      <c r="CU11" s="1">
        <v>0.0</v>
      </c>
      <c r="CV11" s="1" t="s">
        <v>254</v>
      </c>
      <c r="CW11" s="1" t="s">
        <v>254</v>
      </c>
      <c r="CX11" s="1" t="s">
        <v>254</v>
      </c>
      <c r="CY11" s="1" t="s">
        <v>254</v>
      </c>
      <c r="CZ11" s="1" t="s">
        <v>254</v>
      </c>
      <c r="DA11" s="1" t="s">
        <v>255</v>
      </c>
      <c r="DB11" s="1" t="s">
        <v>254</v>
      </c>
      <c r="DC11" s="1" t="s">
        <v>254</v>
      </c>
      <c r="DD11" s="1" t="s">
        <v>255</v>
      </c>
      <c r="DE11" s="1" t="s">
        <v>290</v>
      </c>
      <c r="DF11" s="1" t="s">
        <v>291</v>
      </c>
      <c r="DG11" s="1" t="s">
        <v>292</v>
      </c>
      <c r="DH11" s="1" t="s">
        <v>292</v>
      </c>
      <c r="DI11" s="1" t="s">
        <v>290</v>
      </c>
      <c r="DJ11" s="1" t="s">
        <v>293</v>
      </c>
      <c r="DK11" s="1" t="s">
        <v>293</v>
      </c>
      <c r="DL11" s="1" t="s">
        <v>290</v>
      </c>
      <c r="DM11" s="1" t="s">
        <v>291</v>
      </c>
      <c r="DN11" s="1" t="s">
        <v>293</v>
      </c>
      <c r="DO11" s="1" t="s">
        <v>293</v>
      </c>
      <c r="DP11" s="1" t="s">
        <v>293</v>
      </c>
      <c r="DQ11" s="1" t="s">
        <v>293</v>
      </c>
      <c r="DR11" s="1" t="s">
        <v>293</v>
      </c>
      <c r="DS11" s="1" t="s">
        <v>293</v>
      </c>
      <c r="DT11" s="1" t="s">
        <v>293</v>
      </c>
      <c r="DU11" s="1" t="s">
        <v>293</v>
      </c>
      <c r="DV11" s="1" t="s">
        <v>293</v>
      </c>
      <c r="DW11" s="1" t="s">
        <v>293</v>
      </c>
      <c r="DX11" s="1" t="s">
        <v>293</v>
      </c>
      <c r="DY11" s="1" t="s">
        <v>293</v>
      </c>
      <c r="DZ11" s="1" t="s">
        <v>293</v>
      </c>
      <c r="EA11" s="1" t="s">
        <v>254</v>
      </c>
      <c r="EB11" s="1" t="s">
        <v>254</v>
      </c>
      <c r="EC11" s="1" t="s">
        <v>254</v>
      </c>
      <c r="ED11" s="1">
        <v>0.0</v>
      </c>
      <c r="EE11" s="1" t="s">
        <v>255</v>
      </c>
      <c r="EF11" s="1" t="s">
        <v>294</v>
      </c>
      <c r="EG11" s="1" t="s">
        <v>295</v>
      </c>
      <c r="EI11" s="1" t="s">
        <v>293</v>
      </c>
      <c r="EJ11" s="1" t="s">
        <v>293</v>
      </c>
      <c r="EK11" s="1" t="s">
        <v>293</v>
      </c>
      <c r="EL11" s="1" t="s">
        <v>293</v>
      </c>
      <c r="EM11" s="1" t="s">
        <v>293</v>
      </c>
      <c r="EN11" s="1" t="s">
        <v>296</v>
      </c>
      <c r="EO11" s="1" t="s">
        <v>293</v>
      </c>
      <c r="EP11" s="1" t="s">
        <v>293</v>
      </c>
      <c r="EQ11" s="1" t="s">
        <v>293</v>
      </c>
      <c r="ER11" s="1" t="s">
        <v>293</v>
      </c>
      <c r="ES11" s="1" t="s">
        <v>293</v>
      </c>
      <c r="ET11" s="1" t="s">
        <v>293</v>
      </c>
      <c r="EU11" s="1" t="s">
        <v>293</v>
      </c>
      <c r="EV11" s="1" t="s">
        <v>297</v>
      </c>
      <c r="EW11" s="1" t="s">
        <v>254</v>
      </c>
      <c r="EX11" s="1" t="s">
        <v>254</v>
      </c>
      <c r="EY11" s="1">
        <v>0.0</v>
      </c>
      <c r="EZ11" s="1">
        <v>0.0</v>
      </c>
      <c r="FA11" s="1">
        <v>0.0</v>
      </c>
      <c r="FB11" s="1" t="s">
        <v>254</v>
      </c>
      <c r="FC11" s="1">
        <v>0.0</v>
      </c>
      <c r="FD11" s="1">
        <v>0.0</v>
      </c>
      <c r="FE11" s="1">
        <v>0.0</v>
      </c>
      <c r="FF11" s="1" t="s">
        <v>293</v>
      </c>
      <c r="FG11" s="1">
        <v>0.0</v>
      </c>
      <c r="FH11" s="1">
        <v>0.0</v>
      </c>
      <c r="FI11" s="1">
        <v>0.0</v>
      </c>
      <c r="FJ11" s="1" t="s">
        <v>293</v>
      </c>
      <c r="FK11" s="1">
        <v>0.0</v>
      </c>
      <c r="FL11" s="1">
        <v>0.0</v>
      </c>
      <c r="FM11" s="1">
        <v>0.0</v>
      </c>
      <c r="FN11" s="1" t="s">
        <v>293</v>
      </c>
      <c r="FO11" s="1">
        <v>0.0</v>
      </c>
      <c r="FP11" s="1">
        <v>0.0</v>
      </c>
      <c r="FQ11" s="1">
        <v>0.0</v>
      </c>
      <c r="FR11" s="45" t="s">
        <v>198</v>
      </c>
      <c r="FS11" s="28" t="s">
        <v>205</v>
      </c>
      <c r="FT11" s="28" t="s">
        <v>205</v>
      </c>
      <c r="FU11" s="28" t="s">
        <v>298</v>
      </c>
      <c r="FV11" s="1">
        <v>6.0</v>
      </c>
      <c r="FW11" s="1" t="s">
        <v>299</v>
      </c>
      <c r="FX11" s="1">
        <v>18.0</v>
      </c>
      <c r="FY11" s="1" t="s">
        <v>300</v>
      </c>
      <c r="FZ11" s="1">
        <v>20.0</v>
      </c>
      <c r="GA11" s="1" t="s">
        <v>300</v>
      </c>
      <c r="GB11" s="1">
        <v>6.0</v>
      </c>
      <c r="GC11" s="1" t="s">
        <v>299</v>
      </c>
      <c r="GD11" s="1">
        <v>17.0</v>
      </c>
      <c r="GE11" s="1" t="s">
        <v>331</v>
      </c>
      <c r="GF11" s="1">
        <v>22.0</v>
      </c>
      <c r="GG11" s="1" t="s">
        <v>300</v>
      </c>
      <c r="GH11" s="1">
        <v>22.0</v>
      </c>
      <c r="GI11" s="1" t="s">
        <v>300</v>
      </c>
      <c r="GJ11" s="1">
        <v>25.0</v>
      </c>
      <c r="GK11" s="1" t="s">
        <v>300</v>
      </c>
      <c r="GL11" s="1">
        <v>6.0</v>
      </c>
      <c r="GM11" s="1" t="s">
        <v>299</v>
      </c>
      <c r="GN11" s="1">
        <v>26.0</v>
      </c>
      <c r="GO11" s="1" t="s">
        <v>300</v>
      </c>
      <c r="GP11" s="1">
        <v>6.0</v>
      </c>
      <c r="GQ11" s="1" t="s">
        <v>299</v>
      </c>
      <c r="GR11" s="1">
        <v>19.0</v>
      </c>
      <c r="GS11" s="1" t="s">
        <v>331</v>
      </c>
      <c r="GT11" s="1">
        <v>16.0</v>
      </c>
      <c r="GU11" s="1" t="s">
        <v>299</v>
      </c>
      <c r="GV11" s="1">
        <v>6.0</v>
      </c>
      <c r="GW11" s="1" t="s">
        <v>299</v>
      </c>
      <c r="GX11" s="1">
        <v>16.0</v>
      </c>
      <c r="GY11" s="1" t="s">
        <v>300</v>
      </c>
      <c r="GZ11" s="1">
        <v>19.0</v>
      </c>
      <c r="HA11" s="1" t="s">
        <v>299</v>
      </c>
      <c r="HB11" s="1">
        <v>6.0</v>
      </c>
      <c r="HC11" s="1" t="s">
        <v>299</v>
      </c>
      <c r="HD11" s="1">
        <v>20.0</v>
      </c>
      <c r="HE11" s="1" t="s">
        <v>300</v>
      </c>
      <c r="HF11" s="1">
        <v>24.0</v>
      </c>
      <c r="HG11" s="1" t="s">
        <v>331</v>
      </c>
      <c r="HH11" s="1">
        <v>29.0</v>
      </c>
      <c r="HI11" s="1" t="s">
        <v>300</v>
      </c>
      <c r="HJ11" s="1">
        <v>16.0</v>
      </c>
      <c r="HK11" s="1" t="s">
        <v>299</v>
      </c>
    </row>
    <row r="12">
      <c r="A12" s="44" t="s">
        <v>567</v>
      </c>
      <c r="B12" s="3">
        <v>51.0</v>
      </c>
      <c r="C12" s="3" t="s">
        <v>568</v>
      </c>
      <c r="D12" s="30">
        <v>28975.0</v>
      </c>
      <c r="E12" s="1">
        <v>47.0</v>
      </c>
      <c r="F12" s="3" t="s">
        <v>252</v>
      </c>
      <c r="G12" s="3" t="s">
        <v>253</v>
      </c>
      <c r="H12" s="3" t="s">
        <v>253</v>
      </c>
      <c r="I12" s="3" t="s">
        <v>252</v>
      </c>
      <c r="J12" s="3" t="s">
        <v>253</v>
      </c>
      <c r="K12" s="3" t="s">
        <v>253</v>
      </c>
      <c r="L12" s="3" t="s">
        <v>254</v>
      </c>
      <c r="M12" s="3" t="s">
        <v>255</v>
      </c>
      <c r="N12" s="3" t="s">
        <v>254</v>
      </c>
      <c r="O12" s="3" t="s">
        <v>255</v>
      </c>
      <c r="P12" s="3" t="s">
        <v>254</v>
      </c>
      <c r="Q12" s="3" t="s">
        <v>548</v>
      </c>
      <c r="R12" s="7" t="s">
        <v>257</v>
      </c>
      <c r="S12" s="7" t="s">
        <v>258</v>
      </c>
      <c r="T12" s="1" t="s">
        <v>259</v>
      </c>
      <c r="U12" s="1" t="s">
        <v>306</v>
      </c>
      <c r="V12" s="1" t="s">
        <v>435</v>
      </c>
      <c r="W12" s="1" t="s">
        <v>436</v>
      </c>
      <c r="X12" s="1" t="s">
        <v>254</v>
      </c>
      <c r="Y12" s="34"/>
      <c r="Z12" s="1">
        <v>0.0</v>
      </c>
      <c r="AA12" s="1">
        <v>0.0</v>
      </c>
      <c r="AB12" s="1" t="s">
        <v>437</v>
      </c>
      <c r="AC12" s="1">
        <v>0.0</v>
      </c>
      <c r="AD12" s="1" t="s">
        <v>438</v>
      </c>
      <c r="AE12" s="1" t="s">
        <v>265</v>
      </c>
      <c r="AF12" s="1" t="s">
        <v>255</v>
      </c>
      <c r="AG12" s="1" t="s">
        <v>439</v>
      </c>
      <c r="AH12" s="1" t="s">
        <v>440</v>
      </c>
      <c r="AI12" s="46">
        <v>45358.0</v>
      </c>
      <c r="AJ12" s="30">
        <v>45474.0</v>
      </c>
      <c r="AK12" s="1" t="s">
        <v>267</v>
      </c>
      <c r="AL12" s="1" t="s">
        <v>442</v>
      </c>
      <c r="AN12" s="1" t="s">
        <v>269</v>
      </c>
      <c r="AP12" s="1" t="s">
        <v>342</v>
      </c>
      <c r="AQ12" s="1" t="s">
        <v>443</v>
      </c>
      <c r="AR12" s="1">
        <v>2.0</v>
      </c>
      <c r="AS12" s="1" t="s">
        <v>273</v>
      </c>
      <c r="AT12" s="1" t="s">
        <v>274</v>
      </c>
      <c r="AU12" s="1" t="s">
        <v>316</v>
      </c>
      <c r="AV12" s="1" t="s">
        <v>379</v>
      </c>
      <c r="AW12" s="1" t="s">
        <v>402</v>
      </c>
      <c r="AX12" s="1" t="s">
        <v>254</v>
      </c>
      <c r="AY12" s="1">
        <v>0.0</v>
      </c>
      <c r="AZ12" s="1" t="s">
        <v>255</v>
      </c>
      <c r="BA12" s="1" t="s">
        <v>446</v>
      </c>
      <c r="BB12" s="1" t="s">
        <v>255</v>
      </c>
      <c r="BC12" s="1" t="s">
        <v>279</v>
      </c>
      <c r="BD12" s="1">
        <v>1.0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 t="s">
        <v>382</v>
      </c>
      <c r="BM12" s="1" t="s">
        <v>442</v>
      </c>
      <c r="BO12" s="1" t="s">
        <v>269</v>
      </c>
      <c r="BQ12" s="1" t="s">
        <v>342</v>
      </c>
      <c r="BR12" s="1" t="s">
        <v>255</v>
      </c>
      <c r="BS12" s="1" t="s">
        <v>447</v>
      </c>
      <c r="BT12" s="1" t="s">
        <v>414</v>
      </c>
      <c r="BU12" s="1" t="s">
        <v>254</v>
      </c>
      <c r="BV12" s="1" t="s">
        <v>254</v>
      </c>
      <c r="BW12" s="1" t="s">
        <v>254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0.0</v>
      </c>
      <c r="CL12" s="1">
        <v>0.0</v>
      </c>
      <c r="CM12" s="1" t="s">
        <v>254</v>
      </c>
      <c r="CN12" s="1">
        <v>0.0</v>
      </c>
      <c r="CO12" s="1" t="s">
        <v>254</v>
      </c>
      <c r="CP12" s="1">
        <v>0.0</v>
      </c>
      <c r="CQ12" s="1">
        <v>0.0</v>
      </c>
      <c r="CR12" s="1">
        <v>4.0</v>
      </c>
      <c r="CS12" s="1">
        <v>1.0</v>
      </c>
      <c r="CT12" s="1">
        <v>3.0</v>
      </c>
      <c r="CU12" s="1">
        <v>0.0</v>
      </c>
      <c r="CV12" s="1" t="s">
        <v>254</v>
      </c>
      <c r="CW12" s="1" t="s">
        <v>254</v>
      </c>
      <c r="CX12" s="1" t="s">
        <v>254</v>
      </c>
      <c r="CY12" s="1" t="s">
        <v>254</v>
      </c>
      <c r="CZ12" s="1" t="s">
        <v>254</v>
      </c>
      <c r="DA12" s="1" t="s">
        <v>255</v>
      </c>
      <c r="DB12" s="1" t="s">
        <v>254</v>
      </c>
      <c r="DC12" s="1" t="s">
        <v>255</v>
      </c>
      <c r="DD12" s="1" t="s">
        <v>255</v>
      </c>
      <c r="DE12" s="1" t="s">
        <v>388</v>
      </c>
      <c r="DF12" s="1" t="s">
        <v>293</v>
      </c>
      <c r="DG12" s="1" t="s">
        <v>450</v>
      </c>
      <c r="DH12" s="1" t="s">
        <v>293</v>
      </c>
      <c r="DI12" s="1" t="s">
        <v>293</v>
      </c>
      <c r="DJ12" s="1" t="s">
        <v>293</v>
      </c>
      <c r="DK12" s="1" t="s">
        <v>293</v>
      </c>
      <c r="DL12" s="1" t="s">
        <v>353</v>
      </c>
      <c r="DM12" s="1" t="s">
        <v>293</v>
      </c>
      <c r="DN12" s="1" t="s">
        <v>293</v>
      </c>
      <c r="DO12" s="1" t="s">
        <v>293</v>
      </c>
      <c r="DP12" s="1" t="s">
        <v>451</v>
      </c>
      <c r="DQ12" s="1" t="s">
        <v>293</v>
      </c>
      <c r="DR12" s="1" t="s">
        <v>293</v>
      </c>
      <c r="DS12" s="1" t="s">
        <v>293</v>
      </c>
      <c r="DT12" s="1" t="s">
        <v>293</v>
      </c>
      <c r="DU12" s="1" t="s">
        <v>293</v>
      </c>
      <c r="DV12" s="1" t="s">
        <v>293</v>
      </c>
      <c r="DW12" s="1" t="s">
        <v>293</v>
      </c>
      <c r="DX12" s="1" t="s">
        <v>293</v>
      </c>
      <c r="DY12" s="1" t="s">
        <v>293</v>
      </c>
      <c r="DZ12" s="1" t="s">
        <v>293</v>
      </c>
      <c r="EA12" s="1" t="s">
        <v>254</v>
      </c>
      <c r="EB12" s="1" t="s">
        <v>254</v>
      </c>
      <c r="EC12" s="1" t="s">
        <v>254</v>
      </c>
      <c r="ED12" s="1">
        <v>0.0</v>
      </c>
      <c r="EE12" s="1" t="s">
        <v>255</v>
      </c>
      <c r="EF12" s="1" t="s">
        <v>452</v>
      </c>
      <c r="EG12" s="1" t="s">
        <v>389</v>
      </c>
      <c r="EI12" s="1" t="s">
        <v>390</v>
      </c>
      <c r="EJ12" s="1" t="s">
        <v>293</v>
      </c>
      <c r="EK12" s="1" t="s">
        <v>293</v>
      </c>
      <c r="EL12" s="1" t="s">
        <v>293</v>
      </c>
      <c r="EM12" s="1" t="s">
        <v>293</v>
      </c>
      <c r="EN12" s="1" t="s">
        <v>353</v>
      </c>
      <c r="EO12" s="1" t="s">
        <v>293</v>
      </c>
      <c r="EP12" s="1" t="s">
        <v>293</v>
      </c>
      <c r="EQ12" s="1" t="s">
        <v>293</v>
      </c>
      <c r="ER12" s="1" t="s">
        <v>293</v>
      </c>
      <c r="ES12" s="1" t="s">
        <v>293</v>
      </c>
      <c r="ET12" s="1" t="s">
        <v>293</v>
      </c>
      <c r="EU12" s="1" t="s">
        <v>293</v>
      </c>
      <c r="EV12" s="1" t="s">
        <v>387</v>
      </c>
      <c r="EW12" s="1" t="s">
        <v>254</v>
      </c>
      <c r="EX12" s="1" t="s">
        <v>254</v>
      </c>
      <c r="EY12" s="1">
        <v>0.0</v>
      </c>
      <c r="EZ12" s="1" t="s">
        <v>427</v>
      </c>
      <c r="FA12" s="1" t="s">
        <v>453</v>
      </c>
      <c r="FB12" s="1" t="s">
        <v>454</v>
      </c>
      <c r="FC12" s="1">
        <v>0.0</v>
      </c>
      <c r="FD12" s="1">
        <v>0.0</v>
      </c>
      <c r="FE12" s="1">
        <v>0.0</v>
      </c>
      <c r="FF12" s="1" t="s">
        <v>454</v>
      </c>
      <c r="FG12" s="1">
        <v>0.0</v>
      </c>
      <c r="FH12" s="1">
        <v>0.0</v>
      </c>
      <c r="FI12" s="1">
        <v>0.0</v>
      </c>
      <c r="FJ12" s="1" t="s">
        <v>454</v>
      </c>
      <c r="FK12" s="1">
        <v>0.0</v>
      </c>
      <c r="FL12" s="1">
        <v>0.0</v>
      </c>
      <c r="FM12" s="1">
        <v>0.0</v>
      </c>
      <c r="FN12" s="1" t="s">
        <v>454</v>
      </c>
      <c r="FO12" s="1">
        <v>0.0</v>
      </c>
      <c r="FP12" s="1">
        <v>0.0</v>
      </c>
      <c r="FQ12" s="1">
        <v>0.0</v>
      </c>
      <c r="FR12" s="45" t="s">
        <v>198</v>
      </c>
      <c r="FS12" s="28" t="s">
        <v>205</v>
      </c>
      <c r="FT12" s="28" t="s">
        <v>205</v>
      </c>
      <c r="FU12" s="28" t="s">
        <v>298</v>
      </c>
      <c r="FV12" s="1">
        <v>6.0</v>
      </c>
      <c r="FW12" s="1" t="s">
        <v>299</v>
      </c>
      <c r="FX12" s="1">
        <v>15.0</v>
      </c>
      <c r="FY12" s="1" t="s">
        <v>299</v>
      </c>
      <c r="FZ12" s="1">
        <v>15.0</v>
      </c>
      <c r="GA12" s="1" t="s">
        <v>299</v>
      </c>
      <c r="GB12" s="1">
        <v>6.0</v>
      </c>
      <c r="GC12" s="1" t="s">
        <v>299</v>
      </c>
      <c r="GD12" s="1">
        <v>6.0</v>
      </c>
      <c r="GE12" s="1" t="s">
        <v>299</v>
      </c>
      <c r="GF12" s="1">
        <v>22.0</v>
      </c>
      <c r="GG12" s="1" t="s">
        <v>300</v>
      </c>
      <c r="GH12" s="1">
        <v>15.0</v>
      </c>
      <c r="GI12" s="1" t="s">
        <v>299</v>
      </c>
      <c r="GJ12" s="1">
        <v>6.0</v>
      </c>
      <c r="GK12" s="1" t="s">
        <v>299</v>
      </c>
      <c r="GL12" s="1">
        <v>21.0</v>
      </c>
      <c r="GM12" s="1" t="s">
        <v>300</v>
      </c>
      <c r="GN12" s="1">
        <v>34.0</v>
      </c>
      <c r="GO12" s="1" t="s">
        <v>300</v>
      </c>
      <c r="GP12" s="1">
        <v>6.0</v>
      </c>
      <c r="GQ12" s="1" t="s">
        <v>299</v>
      </c>
      <c r="GR12" s="1">
        <v>30.0</v>
      </c>
      <c r="GS12" s="1" t="s">
        <v>300</v>
      </c>
      <c r="GT12" s="1">
        <v>6.0</v>
      </c>
      <c r="GU12" s="1" t="s">
        <v>299</v>
      </c>
      <c r="GV12" s="1">
        <v>6.0</v>
      </c>
      <c r="GW12" s="1" t="s">
        <v>299</v>
      </c>
      <c r="GX12" s="1">
        <v>17.0</v>
      </c>
      <c r="GY12" s="1" t="s">
        <v>300</v>
      </c>
      <c r="GZ12" s="1">
        <v>19.0</v>
      </c>
      <c r="HA12" s="1" t="s">
        <v>299</v>
      </c>
      <c r="HB12" s="1">
        <v>6.0</v>
      </c>
      <c r="HC12" s="1" t="s">
        <v>299</v>
      </c>
      <c r="HD12" s="1">
        <v>13.0</v>
      </c>
      <c r="HE12" s="1" t="s">
        <v>299</v>
      </c>
      <c r="HF12" s="1">
        <v>15.0</v>
      </c>
      <c r="HG12" s="1" t="s">
        <v>299</v>
      </c>
      <c r="HH12" s="1">
        <v>22.0</v>
      </c>
      <c r="HI12" s="1" t="s">
        <v>299</v>
      </c>
      <c r="HJ12" s="1">
        <v>13.0</v>
      </c>
      <c r="HK12" s="1" t="s">
        <v>299</v>
      </c>
    </row>
    <row r="13">
      <c r="A13" s="44" t="s">
        <v>576</v>
      </c>
      <c r="B13" s="3">
        <v>62.0</v>
      </c>
      <c r="C13" s="3" t="s">
        <v>577</v>
      </c>
      <c r="D13" s="30">
        <v>32692.0</v>
      </c>
      <c r="E13" s="1">
        <v>37.0</v>
      </c>
      <c r="F13" s="3" t="s">
        <v>252</v>
      </c>
      <c r="G13" s="3" t="s">
        <v>253</v>
      </c>
      <c r="H13" s="3" t="s">
        <v>253</v>
      </c>
      <c r="I13" s="3" t="s">
        <v>252</v>
      </c>
      <c r="J13" s="3" t="s">
        <v>253</v>
      </c>
      <c r="K13" s="3" t="s">
        <v>253</v>
      </c>
      <c r="L13" s="3" t="s">
        <v>254</v>
      </c>
      <c r="M13" s="3" t="s">
        <v>255</v>
      </c>
      <c r="N13" s="3" t="s">
        <v>254</v>
      </c>
      <c r="O13" s="3" t="s">
        <v>255</v>
      </c>
      <c r="P13" s="3" t="s">
        <v>254</v>
      </c>
      <c r="Q13" s="3" t="s">
        <v>548</v>
      </c>
      <c r="R13" s="7" t="s">
        <v>334</v>
      </c>
      <c r="S13" s="7" t="s">
        <v>258</v>
      </c>
      <c r="T13" s="1" t="s">
        <v>259</v>
      </c>
      <c r="U13" s="1" t="s">
        <v>306</v>
      </c>
      <c r="V13" s="1" t="s">
        <v>435</v>
      </c>
      <c r="W13" s="1" t="s">
        <v>254</v>
      </c>
      <c r="X13" s="1" t="s">
        <v>254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 t="s">
        <v>254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 t="s">
        <v>578</v>
      </c>
      <c r="AM13" s="1" t="s">
        <v>269</v>
      </c>
      <c r="AN13" s="1" t="s">
        <v>269</v>
      </c>
      <c r="AO13" s="1" t="s">
        <v>270</v>
      </c>
      <c r="AP13" s="1" t="s">
        <v>284</v>
      </c>
      <c r="AQ13" s="1" t="s">
        <v>579</v>
      </c>
      <c r="AR13" s="1">
        <v>2.0</v>
      </c>
      <c r="AS13" s="1" t="s">
        <v>273</v>
      </c>
      <c r="AT13" s="1" t="s">
        <v>274</v>
      </c>
      <c r="AU13" s="1" t="s">
        <v>275</v>
      </c>
      <c r="AV13" s="1" t="s">
        <v>379</v>
      </c>
      <c r="AW13" s="1" t="s">
        <v>402</v>
      </c>
      <c r="AX13" s="1" t="s">
        <v>254</v>
      </c>
      <c r="AY13" s="1">
        <v>0.0</v>
      </c>
      <c r="AZ13" s="1" t="s">
        <v>255</v>
      </c>
      <c r="BA13" s="1" t="s">
        <v>446</v>
      </c>
      <c r="BB13" s="1" t="s">
        <v>255</v>
      </c>
      <c r="BC13" s="1" t="s">
        <v>279</v>
      </c>
      <c r="BD13" s="1">
        <v>1.0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 t="s">
        <v>382</v>
      </c>
      <c r="BM13" s="1" t="s">
        <v>578</v>
      </c>
      <c r="BN13" s="1" t="s">
        <v>269</v>
      </c>
      <c r="BO13" s="1" t="s">
        <v>269</v>
      </c>
      <c r="BP13" s="1" t="s">
        <v>270</v>
      </c>
      <c r="BQ13" s="1" t="s">
        <v>284</v>
      </c>
      <c r="BR13" s="1" t="s">
        <v>255</v>
      </c>
      <c r="BS13" s="1" t="s">
        <v>447</v>
      </c>
      <c r="BT13" s="1" t="s">
        <v>414</v>
      </c>
      <c r="BU13" s="1" t="s">
        <v>254</v>
      </c>
      <c r="BV13" s="1" t="s">
        <v>254</v>
      </c>
      <c r="BW13" s="1" t="s">
        <v>254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  <c r="CL13" s="1">
        <v>0.0</v>
      </c>
      <c r="CM13" s="1" t="s">
        <v>254</v>
      </c>
      <c r="CN13" s="1">
        <v>0.0</v>
      </c>
      <c r="CO13" s="1" t="s">
        <v>254</v>
      </c>
      <c r="CP13" s="1">
        <v>0.0</v>
      </c>
      <c r="CQ13" s="1">
        <v>0.0</v>
      </c>
      <c r="CR13" s="1">
        <v>4.0</v>
      </c>
      <c r="CS13" s="1">
        <v>1.0</v>
      </c>
      <c r="CT13" s="1">
        <v>3.0</v>
      </c>
      <c r="CU13" s="1">
        <v>0.0</v>
      </c>
      <c r="CV13" s="1" t="s">
        <v>255</v>
      </c>
      <c r="CW13" s="1" t="s">
        <v>254</v>
      </c>
      <c r="CX13" s="1" t="s">
        <v>254</v>
      </c>
      <c r="CY13" s="1" t="s">
        <v>254</v>
      </c>
      <c r="CZ13" s="1" t="s">
        <v>254</v>
      </c>
      <c r="DA13" s="1" t="s">
        <v>255</v>
      </c>
      <c r="DB13" s="1" t="s">
        <v>254</v>
      </c>
      <c r="DC13" s="1" t="s">
        <v>255</v>
      </c>
      <c r="DD13" s="1" t="s">
        <v>255</v>
      </c>
      <c r="DE13" s="1" t="s">
        <v>388</v>
      </c>
      <c r="DF13" s="1" t="s">
        <v>293</v>
      </c>
      <c r="DG13" s="1" t="s">
        <v>450</v>
      </c>
      <c r="DH13" s="1" t="s">
        <v>293</v>
      </c>
      <c r="DI13" s="1" t="s">
        <v>293</v>
      </c>
      <c r="DJ13" s="1" t="s">
        <v>293</v>
      </c>
      <c r="DK13" s="1" t="s">
        <v>293</v>
      </c>
      <c r="DL13" s="1" t="s">
        <v>353</v>
      </c>
      <c r="DM13" s="1" t="s">
        <v>293</v>
      </c>
      <c r="DN13" s="1" t="s">
        <v>293</v>
      </c>
      <c r="DO13" s="1" t="s">
        <v>293</v>
      </c>
      <c r="DP13" s="1" t="s">
        <v>451</v>
      </c>
      <c r="DQ13" s="1" t="s">
        <v>293</v>
      </c>
      <c r="DR13" s="1" t="s">
        <v>293</v>
      </c>
      <c r="DS13" s="1" t="s">
        <v>293</v>
      </c>
      <c r="DT13" s="1" t="s">
        <v>293</v>
      </c>
      <c r="DU13" s="1" t="s">
        <v>293</v>
      </c>
      <c r="DV13" s="1" t="s">
        <v>293</v>
      </c>
      <c r="DW13" s="1" t="s">
        <v>293</v>
      </c>
      <c r="DX13" s="1" t="s">
        <v>293</v>
      </c>
      <c r="DY13" s="1" t="s">
        <v>293</v>
      </c>
      <c r="DZ13" s="1" t="s">
        <v>293</v>
      </c>
      <c r="EA13" s="1" t="s">
        <v>254</v>
      </c>
      <c r="EB13" s="1" t="s">
        <v>254</v>
      </c>
      <c r="EC13" s="1" t="s">
        <v>254</v>
      </c>
      <c r="ED13" s="1">
        <v>0.0</v>
      </c>
      <c r="EE13" s="1" t="s">
        <v>255</v>
      </c>
      <c r="EF13" s="1" t="s">
        <v>452</v>
      </c>
      <c r="EG13" s="1" t="s">
        <v>389</v>
      </c>
      <c r="EI13" s="1" t="s">
        <v>390</v>
      </c>
      <c r="EJ13" s="1" t="s">
        <v>293</v>
      </c>
      <c r="EK13" s="1" t="s">
        <v>293</v>
      </c>
      <c r="EL13" s="1" t="s">
        <v>293</v>
      </c>
      <c r="EM13" s="1" t="s">
        <v>293</v>
      </c>
      <c r="EN13" s="1" t="s">
        <v>353</v>
      </c>
      <c r="EO13" s="1" t="s">
        <v>293</v>
      </c>
      <c r="EP13" s="1" t="s">
        <v>293</v>
      </c>
      <c r="EQ13" s="1" t="s">
        <v>293</v>
      </c>
      <c r="ER13" s="1" t="s">
        <v>293</v>
      </c>
      <c r="ES13" s="1" t="s">
        <v>293</v>
      </c>
      <c r="ET13" s="1" t="s">
        <v>293</v>
      </c>
      <c r="EU13" s="1" t="s">
        <v>293</v>
      </c>
      <c r="EV13" s="1" t="s">
        <v>387</v>
      </c>
      <c r="EW13" s="1" t="s">
        <v>254</v>
      </c>
      <c r="EX13" s="1" t="s">
        <v>254</v>
      </c>
      <c r="EY13" s="1">
        <v>0.0</v>
      </c>
      <c r="EZ13" s="1" t="s">
        <v>427</v>
      </c>
      <c r="FA13" s="1" t="s">
        <v>453</v>
      </c>
      <c r="FB13" s="1" t="s">
        <v>454</v>
      </c>
      <c r="FC13" s="1">
        <v>0.0</v>
      </c>
      <c r="FD13" s="1">
        <v>0.0</v>
      </c>
      <c r="FE13" s="1">
        <v>0.0</v>
      </c>
      <c r="FF13" s="1" t="s">
        <v>454</v>
      </c>
      <c r="FG13" s="1">
        <v>0.0</v>
      </c>
      <c r="FH13" s="1">
        <v>0.0</v>
      </c>
      <c r="FI13" s="1">
        <v>0.0</v>
      </c>
      <c r="FJ13" s="1" t="s">
        <v>454</v>
      </c>
      <c r="FK13" s="1">
        <v>0.0</v>
      </c>
      <c r="FL13" s="1">
        <v>0.0</v>
      </c>
      <c r="FM13" s="1">
        <v>0.0</v>
      </c>
      <c r="FN13" s="1" t="s">
        <v>454</v>
      </c>
      <c r="FO13" s="1">
        <v>0.0</v>
      </c>
      <c r="FP13" s="1">
        <v>0.0</v>
      </c>
      <c r="FQ13" s="1">
        <v>0.0</v>
      </c>
      <c r="FR13" s="45" t="s">
        <v>198</v>
      </c>
      <c r="FS13" s="28" t="s">
        <v>205</v>
      </c>
      <c r="FT13" s="28" t="s">
        <v>205</v>
      </c>
      <c r="FU13" s="28" t="s">
        <v>205</v>
      </c>
      <c r="FV13" s="1">
        <v>6.0</v>
      </c>
      <c r="FW13" s="1" t="s">
        <v>299</v>
      </c>
      <c r="FX13" s="1">
        <v>18.0</v>
      </c>
      <c r="FY13" s="1" t="s">
        <v>300</v>
      </c>
      <c r="FZ13" s="1">
        <v>18.0</v>
      </c>
      <c r="GA13" s="1" t="s">
        <v>300</v>
      </c>
      <c r="GB13" s="1">
        <v>6.0</v>
      </c>
      <c r="GC13" s="1" t="s">
        <v>299</v>
      </c>
      <c r="GD13" s="1">
        <v>6.0</v>
      </c>
      <c r="GE13" s="1" t="s">
        <v>299</v>
      </c>
      <c r="GF13" s="1">
        <v>25.0</v>
      </c>
      <c r="GG13" s="1" t="s">
        <v>300</v>
      </c>
      <c r="GH13" s="1">
        <v>6.0</v>
      </c>
      <c r="GI13" s="1" t="s">
        <v>299</v>
      </c>
      <c r="GJ13" s="1">
        <v>6.0</v>
      </c>
      <c r="GK13" s="1" t="s">
        <v>299</v>
      </c>
      <c r="GL13" s="1">
        <v>20.0</v>
      </c>
      <c r="GM13" s="1" t="s">
        <v>300</v>
      </c>
      <c r="GN13" s="1">
        <v>18.0</v>
      </c>
      <c r="GO13" s="1" t="s">
        <v>299</v>
      </c>
      <c r="GP13" s="1">
        <v>6.0</v>
      </c>
      <c r="GQ13" s="1" t="s">
        <v>299</v>
      </c>
      <c r="GR13" s="1">
        <v>20.0</v>
      </c>
      <c r="GS13" s="1" t="s">
        <v>331</v>
      </c>
      <c r="GT13" s="1">
        <v>10.0</v>
      </c>
      <c r="GU13" s="1" t="s">
        <v>299</v>
      </c>
      <c r="GV13" s="1">
        <v>6.0</v>
      </c>
      <c r="GW13" s="1" t="s">
        <v>299</v>
      </c>
      <c r="GX13" s="1">
        <v>18.0</v>
      </c>
      <c r="GY13" s="1" t="s">
        <v>300</v>
      </c>
      <c r="GZ13" s="1">
        <v>20.0</v>
      </c>
      <c r="HA13" s="1" t="s">
        <v>299</v>
      </c>
      <c r="HB13" s="1">
        <v>6.0</v>
      </c>
      <c r="HC13" s="1" t="s">
        <v>299</v>
      </c>
      <c r="HD13" s="1">
        <v>6.0</v>
      </c>
      <c r="HE13" s="1" t="s">
        <v>299</v>
      </c>
      <c r="HF13" s="1">
        <v>12.0</v>
      </c>
      <c r="HG13" s="1" t="s">
        <v>299</v>
      </c>
      <c r="HH13" s="1">
        <v>18.0</v>
      </c>
      <c r="HI13" s="1" t="s">
        <v>299</v>
      </c>
      <c r="HJ13" s="1">
        <v>17.0</v>
      </c>
      <c r="HK13" s="1" t="s">
        <v>299</v>
      </c>
    </row>
    <row r="14">
      <c r="A14" s="44" t="s">
        <v>588</v>
      </c>
      <c r="B14" s="3">
        <v>66.0</v>
      </c>
      <c r="C14" s="3" t="s">
        <v>589</v>
      </c>
      <c r="D14" s="30">
        <v>31433.0</v>
      </c>
      <c r="E14" s="1">
        <v>40.0</v>
      </c>
      <c r="F14" s="3" t="s">
        <v>252</v>
      </c>
      <c r="G14" s="3" t="s">
        <v>253</v>
      </c>
      <c r="H14" s="3" t="s">
        <v>253</v>
      </c>
      <c r="I14" s="3" t="s">
        <v>252</v>
      </c>
      <c r="J14" s="3" t="s">
        <v>253</v>
      </c>
      <c r="K14" s="3" t="s">
        <v>253</v>
      </c>
      <c r="L14" s="3" t="s">
        <v>254</v>
      </c>
      <c r="M14" s="3" t="s">
        <v>255</v>
      </c>
      <c r="N14" s="3" t="s">
        <v>254</v>
      </c>
      <c r="O14" s="3" t="s">
        <v>255</v>
      </c>
      <c r="P14" s="3" t="s">
        <v>254</v>
      </c>
      <c r="Q14" s="3" t="s">
        <v>548</v>
      </c>
      <c r="R14" s="7" t="s">
        <v>334</v>
      </c>
      <c r="S14" s="7" t="s">
        <v>258</v>
      </c>
      <c r="T14" s="1" t="s">
        <v>259</v>
      </c>
      <c r="U14" s="1" t="s">
        <v>590</v>
      </c>
      <c r="W14" s="1" t="s">
        <v>254</v>
      </c>
      <c r="X14" s="1" t="s">
        <v>254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 t="s">
        <v>254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 t="s">
        <v>594</v>
      </c>
      <c r="AM14" s="1" t="s">
        <v>269</v>
      </c>
      <c r="AN14" s="1" t="s">
        <v>269</v>
      </c>
      <c r="AO14" s="1" t="s">
        <v>270</v>
      </c>
      <c r="AP14" s="1" t="s">
        <v>284</v>
      </c>
      <c r="AQ14" s="1" t="s">
        <v>595</v>
      </c>
      <c r="AR14" s="1">
        <v>2.0</v>
      </c>
      <c r="AS14" s="1" t="s">
        <v>273</v>
      </c>
      <c r="AT14" s="1" t="s">
        <v>274</v>
      </c>
      <c r="AU14" s="1" t="s">
        <v>465</v>
      </c>
      <c r="AV14" s="1" t="s">
        <v>317</v>
      </c>
      <c r="AW14" s="1" t="s">
        <v>402</v>
      </c>
      <c r="AX14" s="1" t="s">
        <v>254</v>
      </c>
      <c r="AY14" s="1">
        <v>0.0</v>
      </c>
      <c r="AZ14" s="1" t="s">
        <v>255</v>
      </c>
      <c r="BA14" s="1" t="s">
        <v>319</v>
      </c>
      <c r="BB14" s="1" t="s">
        <v>254</v>
      </c>
      <c r="BC14" s="1" t="s">
        <v>279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 t="s">
        <v>382</v>
      </c>
      <c r="BM14" s="1" t="s">
        <v>594</v>
      </c>
      <c r="BN14" s="1" t="s">
        <v>269</v>
      </c>
      <c r="BO14" s="1" t="s">
        <v>269</v>
      </c>
      <c r="BP14" s="1" t="s">
        <v>270</v>
      </c>
      <c r="BQ14" s="1" t="s">
        <v>284</v>
      </c>
      <c r="BR14" s="1" t="s">
        <v>254</v>
      </c>
      <c r="BS14" s="1" t="s">
        <v>254</v>
      </c>
      <c r="BT14" s="1" t="s">
        <v>254</v>
      </c>
      <c r="BU14" s="1" t="s">
        <v>254</v>
      </c>
      <c r="BV14" s="1" t="s">
        <v>254</v>
      </c>
      <c r="BW14" s="1" t="s">
        <v>254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" t="s">
        <v>254</v>
      </c>
      <c r="CN14" s="1">
        <v>0.0</v>
      </c>
      <c r="CO14" s="1" t="s">
        <v>254</v>
      </c>
      <c r="CP14" s="1">
        <v>0.0</v>
      </c>
      <c r="CQ14" s="1">
        <v>3.0</v>
      </c>
      <c r="CR14" s="1">
        <v>1.0</v>
      </c>
      <c r="CS14" s="1">
        <v>2.0</v>
      </c>
      <c r="CT14" s="1" t="s">
        <v>596</v>
      </c>
      <c r="CU14" s="1" t="s">
        <v>597</v>
      </c>
      <c r="CV14" s="1" t="s">
        <v>255</v>
      </c>
      <c r="CW14" s="1" t="s">
        <v>254</v>
      </c>
      <c r="CX14" s="1" t="s">
        <v>254</v>
      </c>
      <c r="CY14" s="1" t="s">
        <v>254</v>
      </c>
      <c r="CZ14" s="1" t="s">
        <v>254</v>
      </c>
      <c r="DA14" s="1" t="s">
        <v>255</v>
      </c>
      <c r="DB14" s="1" t="s">
        <v>255</v>
      </c>
      <c r="DC14" s="1" t="s">
        <v>254</v>
      </c>
      <c r="DD14" s="1" t="s">
        <v>255</v>
      </c>
      <c r="DE14" s="1" t="s">
        <v>477</v>
      </c>
      <c r="DF14" s="1" t="s">
        <v>293</v>
      </c>
      <c r="DG14" s="1" t="s">
        <v>353</v>
      </c>
      <c r="DH14" s="31" t="s">
        <v>383</v>
      </c>
      <c r="DI14" s="1" t="s">
        <v>450</v>
      </c>
      <c r="DJ14" s="1" t="s">
        <v>293</v>
      </c>
      <c r="DK14" s="1" t="s">
        <v>293</v>
      </c>
      <c r="DL14" s="1" t="s">
        <v>388</v>
      </c>
      <c r="DM14" s="1" t="s">
        <v>293</v>
      </c>
      <c r="DN14" s="1" t="s">
        <v>450</v>
      </c>
      <c r="DO14" s="1" t="s">
        <v>293</v>
      </c>
      <c r="DP14" s="34"/>
      <c r="DQ14" s="1" t="s">
        <v>293</v>
      </c>
      <c r="DR14" s="1" t="s">
        <v>293</v>
      </c>
      <c r="DS14" s="1" t="s">
        <v>293</v>
      </c>
      <c r="DT14" s="1" t="s">
        <v>293</v>
      </c>
      <c r="DU14" s="1" t="s">
        <v>293</v>
      </c>
      <c r="DV14" s="1" t="s">
        <v>293</v>
      </c>
      <c r="DW14" s="1" t="s">
        <v>293</v>
      </c>
      <c r="DX14" s="1" t="s">
        <v>293</v>
      </c>
      <c r="DY14" s="1" t="s">
        <v>293</v>
      </c>
      <c r="DZ14" s="1" t="s">
        <v>293</v>
      </c>
      <c r="EA14" s="1" t="s">
        <v>254</v>
      </c>
      <c r="EB14" s="1" t="s">
        <v>254</v>
      </c>
      <c r="EC14" s="1" t="s">
        <v>254</v>
      </c>
      <c r="ED14" s="1">
        <v>0.0</v>
      </c>
      <c r="EE14" s="1" t="s">
        <v>255</v>
      </c>
      <c r="EF14" s="1" t="s">
        <v>325</v>
      </c>
      <c r="EG14" s="1" t="s">
        <v>389</v>
      </c>
      <c r="EI14" s="1" t="s">
        <v>293</v>
      </c>
      <c r="EJ14" s="1" t="s">
        <v>293</v>
      </c>
      <c r="EK14" s="1" t="s">
        <v>293</v>
      </c>
      <c r="EL14" s="1" t="s">
        <v>293</v>
      </c>
      <c r="EM14" s="1" t="s">
        <v>293</v>
      </c>
      <c r="EN14" s="1" t="s">
        <v>293</v>
      </c>
      <c r="EO14" s="1" t="s">
        <v>293</v>
      </c>
      <c r="EP14" s="1" t="s">
        <v>293</v>
      </c>
      <c r="EQ14" s="1" t="s">
        <v>293</v>
      </c>
      <c r="ER14" s="1" t="s">
        <v>293</v>
      </c>
      <c r="ES14" s="1" t="s">
        <v>293</v>
      </c>
      <c r="ET14" s="1" t="s">
        <v>293</v>
      </c>
      <c r="EU14" s="1" t="s">
        <v>293</v>
      </c>
      <c r="EV14" s="1" t="s">
        <v>387</v>
      </c>
      <c r="EW14" s="1" t="s">
        <v>255</v>
      </c>
      <c r="EX14" s="1" t="s">
        <v>254</v>
      </c>
      <c r="EY14" s="1" t="s">
        <v>484</v>
      </c>
      <c r="EZ14" s="1">
        <v>0.0</v>
      </c>
      <c r="FA14" s="1">
        <v>0.0</v>
      </c>
      <c r="FB14" s="1" t="s">
        <v>255</v>
      </c>
      <c r="FC14" s="1" t="s">
        <v>454</v>
      </c>
      <c r="FD14" s="1" t="s">
        <v>486</v>
      </c>
      <c r="FE14" s="1" t="s">
        <v>488</v>
      </c>
      <c r="FF14" s="1" t="s">
        <v>454</v>
      </c>
      <c r="FG14" s="1">
        <v>0.0</v>
      </c>
      <c r="FH14" s="1">
        <v>0.0</v>
      </c>
      <c r="FI14" s="1" t="s">
        <v>453</v>
      </c>
      <c r="FJ14" s="1" t="s">
        <v>454</v>
      </c>
      <c r="FK14" s="1">
        <v>0.0</v>
      </c>
      <c r="FL14" s="1">
        <v>0.0</v>
      </c>
      <c r="FM14" s="1">
        <v>0.0</v>
      </c>
      <c r="FN14" s="1" t="s">
        <v>293</v>
      </c>
      <c r="FO14" s="1">
        <v>0.0</v>
      </c>
      <c r="FP14" s="1">
        <v>0.0</v>
      </c>
      <c r="FQ14" s="1">
        <v>0.0</v>
      </c>
      <c r="FR14" s="45" t="s">
        <v>198</v>
      </c>
      <c r="FS14" s="28" t="s">
        <v>205</v>
      </c>
      <c r="FT14" s="28" t="s">
        <v>205</v>
      </c>
      <c r="FU14" s="28" t="s">
        <v>205</v>
      </c>
      <c r="FV14" s="1">
        <v>6.0</v>
      </c>
      <c r="FW14" s="1" t="s">
        <v>299</v>
      </c>
      <c r="FX14" s="1">
        <v>20.0</v>
      </c>
      <c r="FY14" s="1" t="s">
        <v>300</v>
      </c>
      <c r="FZ14" s="1">
        <v>6.0</v>
      </c>
      <c r="GA14" s="1" t="s">
        <v>299</v>
      </c>
      <c r="GB14" s="1">
        <v>6.0</v>
      </c>
      <c r="GC14" s="1" t="s">
        <v>299</v>
      </c>
      <c r="GD14" s="1">
        <v>6.0</v>
      </c>
      <c r="GE14" s="1" t="s">
        <v>299</v>
      </c>
      <c r="GF14" s="1">
        <v>7.0</v>
      </c>
      <c r="GG14" s="1" t="s">
        <v>299</v>
      </c>
      <c r="GH14" s="1">
        <v>13.0</v>
      </c>
      <c r="GI14" s="1" t="s">
        <v>299</v>
      </c>
      <c r="GJ14" s="1">
        <v>6.0</v>
      </c>
      <c r="GK14" s="1" t="s">
        <v>299</v>
      </c>
      <c r="GL14" s="1">
        <v>6.0</v>
      </c>
      <c r="GM14" s="1" t="s">
        <v>299</v>
      </c>
      <c r="GN14" s="1">
        <v>22.0</v>
      </c>
      <c r="GO14" s="1" t="s">
        <v>299</v>
      </c>
      <c r="GP14" s="1">
        <v>18.0</v>
      </c>
      <c r="GQ14" s="1" t="s">
        <v>300</v>
      </c>
      <c r="GR14" s="1">
        <v>18.0</v>
      </c>
      <c r="GS14" s="1" t="s">
        <v>299</v>
      </c>
      <c r="GT14" s="1">
        <v>6.0</v>
      </c>
      <c r="GU14" s="1" t="s">
        <v>299</v>
      </c>
      <c r="GV14" s="1">
        <v>16.0</v>
      </c>
      <c r="GW14" s="1" t="s">
        <v>300</v>
      </c>
      <c r="GX14" s="1">
        <v>12.0</v>
      </c>
      <c r="GY14" s="1" t="s">
        <v>300</v>
      </c>
      <c r="GZ14" s="1">
        <v>19.0</v>
      </c>
      <c r="HA14" s="1" t="s">
        <v>299</v>
      </c>
      <c r="HB14" s="1">
        <v>6.0</v>
      </c>
      <c r="HC14" s="1" t="s">
        <v>299</v>
      </c>
      <c r="HD14" s="1">
        <v>13.0</v>
      </c>
      <c r="HE14" s="1" t="s">
        <v>299</v>
      </c>
      <c r="HF14" s="1">
        <v>15.0</v>
      </c>
      <c r="HG14" s="1" t="s">
        <v>299</v>
      </c>
      <c r="HH14" s="1">
        <v>20.0</v>
      </c>
      <c r="HI14" s="1" t="s">
        <v>299</v>
      </c>
      <c r="HJ14" s="1">
        <v>16.0</v>
      </c>
      <c r="HK14" s="1" t="s">
        <v>299</v>
      </c>
    </row>
    <row r="15">
      <c r="A15" s="44" t="s">
        <v>603</v>
      </c>
      <c r="B15" s="3">
        <v>71.0</v>
      </c>
      <c r="C15" s="3" t="s">
        <v>605</v>
      </c>
      <c r="D15" s="30">
        <v>39343.0</v>
      </c>
      <c r="E15" s="1">
        <v>18.0</v>
      </c>
      <c r="F15" s="3" t="s">
        <v>252</v>
      </c>
      <c r="G15" s="3" t="s">
        <v>253</v>
      </c>
      <c r="H15" s="3" t="s">
        <v>253</v>
      </c>
      <c r="I15" s="3" t="s">
        <v>252</v>
      </c>
      <c r="J15" s="3" t="s">
        <v>253</v>
      </c>
      <c r="K15" s="3" t="s">
        <v>253</v>
      </c>
      <c r="L15" s="3" t="s">
        <v>254</v>
      </c>
      <c r="M15" s="3" t="s">
        <v>255</v>
      </c>
      <c r="N15" s="3" t="s">
        <v>254</v>
      </c>
      <c r="O15" s="3" t="s">
        <v>255</v>
      </c>
      <c r="P15" s="3" t="s">
        <v>254</v>
      </c>
      <c r="Q15" s="3" t="s">
        <v>548</v>
      </c>
      <c r="R15" s="7" t="s">
        <v>257</v>
      </c>
      <c r="S15" s="7" t="s">
        <v>304</v>
      </c>
      <c r="T15" s="1" t="s">
        <v>259</v>
      </c>
      <c r="U15" s="1" t="s">
        <v>360</v>
      </c>
      <c r="V15" s="1" t="s">
        <v>606</v>
      </c>
      <c r="W15" s="1" t="s">
        <v>254</v>
      </c>
      <c r="X15" s="1" t="s">
        <v>254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 t="s">
        <v>254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 t="s">
        <v>609</v>
      </c>
      <c r="AM15" s="1" t="s">
        <v>269</v>
      </c>
      <c r="AN15" s="1" t="s">
        <v>269</v>
      </c>
      <c r="AO15" s="1" t="s">
        <v>270</v>
      </c>
      <c r="AP15" s="1" t="s">
        <v>284</v>
      </c>
      <c r="AQ15" s="1" t="s">
        <v>443</v>
      </c>
      <c r="AR15" s="1">
        <v>3.0</v>
      </c>
      <c r="AS15" s="1" t="s">
        <v>273</v>
      </c>
      <c r="AT15" s="1" t="s">
        <v>274</v>
      </c>
      <c r="AU15" s="1" t="s">
        <v>275</v>
      </c>
      <c r="AV15" s="1" t="s">
        <v>317</v>
      </c>
      <c r="AW15" s="1" t="s">
        <v>544</v>
      </c>
      <c r="AX15" s="1" t="s">
        <v>254</v>
      </c>
      <c r="AY15" s="1">
        <v>0.0</v>
      </c>
      <c r="AZ15" s="1" t="s">
        <v>254</v>
      </c>
      <c r="BA15" s="1" t="s">
        <v>319</v>
      </c>
      <c r="BB15" s="1" t="s">
        <v>255</v>
      </c>
      <c r="BC15" s="1" t="s">
        <v>279</v>
      </c>
      <c r="BD15" s="1">
        <v>1.0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 t="s">
        <v>466</v>
      </c>
      <c r="BM15" s="1" t="s">
        <v>609</v>
      </c>
      <c r="BN15" s="1" t="s">
        <v>610</v>
      </c>
      <c r="BO15" s="1" t="s">
        <v>269</v>
      </c>
      <c r="BP15" s="1" t="s">
        <v>270</v>
      </c>
      <c r="BQ15" s="1" t="s">
        <v>284</v>
      </c>
      <c r="BR15" s="1" t="s">
        <v>254</v>
      </c>
      <c r="BS15" s="1" t="s">
        <v>254</v>
      </c>
      <c r="BT15" s="1" t="s">
        <v>254</v>
      </c>
      <c r="BU15" s="1" t="s">
        <v>254</v>
      </c>
      <c r="BV15" s="1" t="s">
        <v>254</v>
      </c>
      <c r="BW15" s="1" t="s">
        <v>254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 t="s">
        <v>254</v>
      </c>
      <c r="CN15" s="1">
        <v>0.0</v>
      </c>
      <c r="CO15" s="1" t="s">
        <v>254</v>
      </c>
      <c r="CP15" s="1">
        <v>0.0</v>
      </c>
      <c r="CQ15" s="1">
        <v>3.0</v>
      </c>
      <c r="CR15" s="1">
        <v>1.0</v>
      </c>
      <c r="CS15" s="1">
        <v>2.0</v>
      </c>
      <c r="CT15" s="1" t="s">
        <v>596</v>
      </c>
      <c r="CU15" s="1" t="s">
        <v>474</v>
      </c>
      <c r="CV15" s="1" t="s">
        <v>254</v>
      </c>
      <c r="CW15" s="1" t="s">
        <v>254</v>
      </c>
      <c r="CX15" s="1" t="s">
        <v>254</v>
      </c>
      <c r="CY15" s="1" t="s">
        <v>254</v>
      </c>
      <c r="CZ15" s="1" t="s">
        <v>254</v>
      </c>
      <c r="DA15" s="1" t="s">
        <v>254</v>
      </c>
      <c r="DB15" s="1" t="s">
        <v>254</v>
      </c>
      <c r="DC15" s="1" t="s">
        <v>255</v>
      </c>
      <c r="DD15" s="1" t="s">
        <v>255</v>
      </c>
      <c r="DE15" s="1" t="s">
        <v>388</v>
      </c>
      <c r="DF15" s="1" t="s">
        <v>293</v>
      </c>
      <c r="DG15" s="1" t="s">
        <v>450</v>
      </c>
      <c r="DH15" s="1" t="s">
        <v>293</v>
      </c>
      <c r="DI15" s="1" t="s">
        <v>293</v>
      </c>
      <c r="DJ15" s="1" t="s">
        <v>293</v>
      </c>
      <c r="DK15" s="1" t="s">
        <v>293</v>
      </c>
      <c r="DL15" s="1" t="s">
        <v>353</v>
      </c>
      <c r="DM15" s="1" t="s">
        <v>293</v>
      </c>
      <c r="DN15" s="1" t="s">
        <v>293</v>
      </c>
      <c r="DO15" s="1" t="s">
        <v>293</v>
      </c>
      <c r="DP15" s="1" t="s">
        <v>293</v>
      </c>
      <c r="DQ15" s="1" t="s">
        <v>293</v>
      </c>
      <c r="DR15" s="1" t="s">
        <v>293</v>
      </c>
      <c r="DS15" s="1" t="s">
        <v>293</v>
      </c>
      <c r="DT15" s="1" t="s">
        <v>293</v>
      </c>
      <c r="DU15" s="1" t="s">
        <v>293</v>
      </c>
      <c r="DV15" s="1" t="s">
        <v>293</v>
      </c>
      <c r="DW15" s="1" t="s">
        <v>293</v>
      </c>
      <c r="DX15" s="1" t="s">
        <v>293</v>
      </c>
      <c r="DY15" s="1" t="s">
        <v>293</v>
      </c>
      <c r="DZ15" s="1" t="s">
        <v>293</v>
      </c>
      <c r="EA15" s="1" t="s">
        <v>254</v>
      </c>
      <c r="EB15" s="1" t="s">
        <v>254</v>
      </c>
      <c r="EC15" s="1" t="s">
        <v>254</v>
      </c>
      <c r="ED15" s="1">
        <v>0.0</v>
      </c>
      <c r="EE15" s="1" t="s">
        <v>255</v>
      </c>
      <c r="EF15" s="1" t="s">
        <v>294</v>
      </c>
      <c r="EG15" s="1" t="s">
        <v>295</v>
      </c>
      <c r="EI15" s="31" t="s">
        <v>383</v>
      </c>
      <c r="EJ15" s="1" t="s">
        <v>293</v>
      </c>
      <c r="EK15" s="1" t="s">
        <v>293</v>
      </c>
      <c r="EL15" s="1" t="s">
        <v>293</v>
      </c>
      <c r="EM15" s="1" t="s">
        <v>293</v>
      </c>
      <c r="EN15" s="1" t="s">
        <v>293</v>
      </c>
      <c r="EO15" s="1" t="s">
        <v>293</v>
      </c>
      <c r="EP15" s="1" t="s">
        <v>293</v>
      </c>
      <c r="EQ15" s="1" t="s">
        <v>293</v>
      </c>
      <c r="ER15" s="1" t="s">
        <v>293</v>
      </c>
      <c r="ES15" s="1" t="s">
        <v>293</v>
      </c>
      <c r="ET15" s="1" t="s">
        <v>293</v>
      </c>
      <c r="EU15" s="1" t="s">
        <v>293</v>
      </c>
      <c r="EV15" s="1" t="s">
        <v>387</v>
      </c>
      <c r="EW15" s="1" t="s">
        <v>254</v>
      </c>
      <c r="EX15" s="1" t="s">
        <v>254</v>
      </c>
      <c r="EY15" s="1">
        <v>0.0</v>
      </c>
      <c r="EZ15" s="1">
        <v>0.0</v>
      </c>
      <c r="FA15" s="1">
        <v>0.0</v>
      </c>
      <c r="FB15" s="1" t="s">
        <v>254</v>
      </c>
      <c r="FC15" s="1">
        <v>0.0</v>
      </c>
      <c r="FD15" s="1">
        <v>0.0</v>
      </c>
      <c r="FE15" s="1">
        <v>0.0</v>
      </c>
      <c r="FF15" s="1" t="s">
        <v>293</v>
      </c>
      <c r="FG15" s="1">
        <v>0.0</v>
      </c>
      <c r="FH15" s="1">
        <v>0.0</v>
      </c>
      <c r="FI15" s="1">
        <v>0.0</v>
      </c>
      <c r="FJ15" s="1" t="s">
        <v>293</v>
      </c>
      <c r="FK15" s="1">
        <v>0.0</v>
      </c>
      <c r="FL15" s="1">
        <v>0.0</v>
      </c>
      <c r="FM15" s="1">
        <v>0.0</v>
      </c>
      <c r="FN15" s="1" t="s">
        <v>293</v>
      </c>
      <c r="FO15" s="1">
        <v>0.0</v>
      </c>
      <c r="FP15" s="1">
        <v>0.0</v>
      </c>
      <c r="FQ15" s="1">
        <v>0.0</v>
      </c>
      <c r="FR15" s="27" t="s">
        <v>514</v>
      </c>
      <c r="FS15" s="28" t="s">
        <v>205</v>
      </c>
      <c r="FT15" s="28" t="s">
        <v>205</v>
      </c>
      <c r="FU15" s="28" t="s">
        <v>298</v>
      </c>
      <c r="FV15" s="1">
        <v>6.0</v>
      </c>
      <c r="FW15" s="1" t="s">
        <v>299</v>
      </c>
      <c r="FX15" s="1">
        <v>19.0</v>
      </c>
      <c r="FY15" s="1" t="s">
        <v>300</v>
      </c>
      <c r="FZ15" s="1">
        <v>18.0</v>
      </c>
      <c r="GA15" s="1" t="s">
        <v>300</v>
      </c>
      <c r="GB15" s="1">
        <v>6.0</v>
      </c>
      <c r="GC15" s="1" t="s">
        <v>299</v>
      </c>
      <c r="GD15" s="1">
        <v>6.0</v>
      </c>
      <c r="GE15" s="1" t="s">
        <v>299</v>
      </c>
      <c r="GF15" s="1">
        <v>24.0</v>
      </c>
      <c r="GG15" s="1" t="s">
        <v>300</v>
      </c>
      <c r="GH15" s="1">
        <v>16.0</v>
      </c>
      <c r="GI15" s="1" t="s">
        <v>299</v>
      </c>
      <c r="GJ15" s="1">
        <v>6.0</v>
      </c>
      <c r="GK15" s="1" t="s">
        <v>299</v>
      </c>
      <c r="GL15" s="1">
        <v>6.0</v>
      </c>
      <c r="GM15" s="1" t="s">
        <v>299</v>
      </c>
      <c r="GN15" s="1">
        <v>26.0</v>
      </c>
      <c r="GO15" s="1" t="s">
        <v>300</v>
      </c>
      <c r="GP15" s="1">
        <v>6.0</v>
      </c>
      <c r="GQ15" s="1" t="s">
        <v>299</v>
      </c>
      <c r="GR15" s="1">
        <v>26.0</v>
      </c>
      <c r="GS15" s="1" t="s">
        <v>300</v>
      </c>
      <c r="GT15" s="1">
        <v>6.0</v>
      </c>
      <c r="GU15" s="1" t="s">
        <v>299</v>
      </c>
      <c r="GV15" s="1">
        <v>11.0</v>
      </c>
      <c r="GW15" s="1" t="s">
        <v>299</v>
      </c>
      <c r="GX15" s="1">
        <v>18.0</v>
      </c>
      <c r="GY15" s="1" t="s">
        <v>300</v>
      </c>
      <c r="GZ15" s="1">
        <v>28.0</v>
      </c>
      <c r="HA15" s="1" t="s">
        <v>300</v>
      </c>
      <c r="HB15" s="1">
        <v>6.0</v>
      </c>
      <c r="HC15" s="1" t="s">
        <v>299</v>
      </c>
      <c r="HD15" s="1">
        <v>13.0</v>
      </c>
      <c r="HE15" s="1" t="s">
        <v>299</v>
      </c>
      <c r="HF15" s="1">
        <v>19.0</v>
      </c>
      <c r="HG15" s="1" t="s">
        <v>299</v>
      </c>
      <c r="HH15" s="1">
        <v>22.0</v>
      </c>
      <c r="HI15" s="1" t="s">
        <v>299</v>
      </c>
      <c r="HJ15" s="1">
        <v>19.0</v>
      </c>
      <c r="HK15" s="1" t="s">
        <v>299</v>
      </c>
    </row>
    <row r="16">
      <c r="A16" s="44" t="s">
        <v>618</v>
      </c>
      <c r="B16" s="3">
        <v>72.0</v>
      </c>
      <c r="C16" s="3" t="s">
        <v>619</v>
      </c>
      <c r="D16" s="30">
        <v>18629.0</v>
      </c>
      <c r="E16" s="1">
        <v>75.0</v>
      </c>
      <c r="F16" s="3" t="s">
        <v>252</v>
      </c>
      <c r="G16" s="3" t="s">
        <v>253</v>
      </c>
      <c r="H16" s="3" t="s">
        <v>253</v>
      </c>
      <c r="I16" s="3" t="s">
        <v>252</v>
      </c>
      <c r="J16" s="3" t="s">
        <v>253</v>
      </c>
      <c r="K16" s="3" t="s">
        <v>253</v>
      </c>
      <c r="L16" s="3" t="s">
        <v>254</v>
      </c>
      <c r="M16" s="3" t="s">
        <v>255</v>
      </c>
      <c r="N16" s="3" t="s">
        <v>254</v>
      </c>
      <c r="O16" s="3" t="s">
        <v>255</v>
      </c>
      <c r="P16" s="3" t="s">
        <v>254</v>
      </c>
      <c r="Q16" s="3" t="s">
        <v>548</v>
      </c>
      <c r="R16" s="7" t="s">
        <v>257</v>
      </c>
      <c r="S16" s="7" t="s">
        <v>258</v>
      </c>
      <c r="T16" s="1" t="s">
        <v>305</v>
      </c>
      <c r="U16" s="1" t="s">
        <v>360</v>
      </c>
      <c r="V16" s="1" t="s">
        <v>620</v>
      </c>
      <c r="W16" s="34"/>
      <c r="X16" s="1" t="s">
        <v>254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 t="s">
        <v>254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 t="s">
        <v>621</v>
      </c>
      <c r="AM16" s="1" t="s">
        <v>269</v>
      </c>
      <c r="AN16" s="1" t="s">
        <v>269</v>
      </c>
      <c r="AO16" s="1" t="s">
        <v>270</v>
      </c>
      <c r="AP16" s="1" t="s">
        <v>284</v>
      </c>
      <c r="AQ16" s="1" t="s">
        <v>443</v>
      </c>
      <c r="AR16" s="1">
        <v>5.0</v>
      </c>
      <c r="AS16" s="1" t="s">
        <v>273</v>
      </c>
      <c r="AT16" s="1" t="s">
        <v>274</v>
      </c>
      <c r="AU16" s="1" t="s">
        <v>275</v>
      </c>
      <c r="AV16" s="1" t="s">
        <v>276</v>
      </c>
      <c r="AW16" s="1" t="s">
        <v>402</v>
      </c>
      <c r="AX16" s="1" t="s">
        <v>254</v>
      </c>
      <c r="AY16" s="1">
        <v>0.0</v>
      </c>
      <c r="AZ16" s="1" t="s">
        <v>255</v>
      </c>
      <c r="BA16" s="1" t="s">
        <v>278</v>
      </c>
      <c r="BB16" s="1" t="s">
        <v>255</v>
      </c>
      <c r="BC16" s="1" t="s">
        <v>279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 t="s">
        <v>466</v>
      </c>
      <c r="BM16" s="1" t="s">
        <v>622</v>
      </c>
      <c r="BN16" s="1" t="s">
        <v>610</v>
      </c>
      <c r="BO16" s="1" t="s">
        <v>269</v>
      </c>
      <c r="BP16" s="1" t="s">
        <v>270</v>
      </c>
      <c r="BQ16" s="1" t="s">
        <v>284</v>
      </c>
      <c r="BR16" s="1" t="s">
        <v>254</v>
      </c>
      <c r="BS16" s="1" t="s">
        <v>254</v>
      </c>
      <c r="BT16" s="1" t="s">
        <v>254</v>
      </c>
      <c r="BU16" s="1" t="s">
        <v>254</v>
      </c>
      <c r="BV16" s="1" t="s">
        <v>254</v>
      </c>
      <c r="BW16" s="1" t="s">
        <v>254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 t="s">
        <v>254</v>
      </c>
      <c r="CN16" s="1">
        <v>0.0</v>
      </c>
      <c r="CO16" s="1" t="s">
        <v>254</v>
      </c>
      <c r="CP16" s="1">
        <v>0.0</v>
      </c>
      <c r="CQ16" s="1">
        <v>6.0</v>
      </c>
      <c r="CR16" s="1">
        <v>2.0</v>
      </c>
      <c r="CS16" s="1">
        <v>4.0</v>
      </c>
      <c r="CT16" s="1" t="s">
        <v>623</v>
      </c>
      <c r="CU16" s="1" t="s">
        <v>597</v>
      </c>
      <c r="CV16" s="1" t="s">
        <v>254</v>
      </c>
      <c r="CW16" s="1" t="s">
        <v>254</v>
      </c>
      <c r="CX16" s="1" t="s">
        <v>254</v>
      </c>
      <c r="CY16" s="1" t="s">
        <v>254</v>
      </c>
      <c r="CZ16" s="1" t="s">
        <v>254</v>
      </c>
      <c r="DA16" s="1" t="s">
        <v>255</v>
      </c>
      <c r="DB16" s="1" t="s">
        <v>255</v>
      </c>
      <c r="DC16" s="1" t="s">
        <v>254</v>
      </c>
      <c r="DD16" s="1" t="s">
        <v>255</v>
      </c>
      <c r="DE16" s="1" t="s">
        <v>293</v>
      </c>
      <c r="DF16" s="1" t="s">
        <v>293</v>
      </c>
      <c r="DG16" s="1" t="s">
        <v>323</v>
      </c>
      <c r="DH16" s="1" t="s">
        <v>291</v>
      </c>
      <c r="DI16" s="1" t="s">
        <v>324</v>
      </c>
      <c r="DJ16" s="1" t="s">
        <v>293</v>
      </c>
      <c r="DK16" s="1" t="s">
        <v>293</v>
      </c>
      <c r="DL16" s="1" t="s">
        <v>323</v>
      </c>
      <c r="DM16" s="1" t="s">
        <v>293</v>
      </c>
      <c r="DN16" s="1" t="s">
        <v>291</v>
      </c>
      <c r="DO16" s="1" t="s">
        <v>293</v>
      </c>
      <c r="DP16" s="1" t="s">
        <v>293</v>
      </c>
      <c r="DQ16" s="1" t="s">
        <v>293</v>
      </c>
      <c r="DR16" s="1" t="s">
        <v>293</v>
      </c>
      <c r="DS16" s="1" t="s">
        <v>293</v>
      </c>
      <c r="DT16" s="1" t="s">
        <v>293</v>
      </c>
      <c r="DU16" s="1" t="s">
        <v>293</v>
      </c>
      <c r="DV16" s="1" t="s">
        <v>293</v>
      </c>
      <c r="DW16" s="1" t="s">
        <v>293</v>
      </c>
      <c r="DX16" s="1" t="s">
        <v>293</v>
      </c>
      <c r="DY16" s="1" t="s">
        <v>293</v>
      </c>
      <c r="DZ16" s="1" t="s">
        <v>293</v>
      </c>
      <c r="EA16" s="1" t="s">
        <v>254</v>
      </c>
      <c r="EB16" s="1" t="s">
        <v>254</v>
      </c>
      <c r="EC16" s="1" t="s">
        <v>254</v>
      </c>
      <c r="ED16" s="1">
        <v>0.0</v>
      </c>
      <c r="EE16" s="1" t="s">
        <v>255</v>
      </c>
      <c r="EF16" s="1" t="s">
        <v>354</v>
      </c>
      <c r="EG16" s="1" t="s">
        <v>295</v>
      </c>
      <c r="EI16" s="1" t="s">
        <v>293</v>
      </c>
      <c r="EJ16" s="1" t="s">
        <v>293</v>
      </c>
      <c r="EK16" s="1" t="s">
        <v>293</v>
      </c>
      <c r="EL16" s="1" t="s">
        <v>293</v>
      </c>
      <c r="EM16" s="1" t="s">
        <v>293</v>
      </c>
      <c r="EN16" s="1" t="s">
        <v>296</v>
      </c>
      <c r="EO16" s="1" t="s">
        <v>293</v>
      </c>
      <c r="EP16" s="1" t="s">
        <v>293</v>
      </c>
      <c r="EQ16" s="1" t="s">
        <v>293</v>
      </c>
      <c r="ER16" s="1" t="s">
        <v>293</v>
      </c>
      <c r="ES16" s="1" t="s">
        <v>293</v>
      </c>
      <c r="ET16" s="1" t="s">
        <v>293</v>
      </c>
      <c r="EU16" s="1" t="s">
        <v>293</v>
      </c>
      <c r="EV16" s="1" t="s">
        <v>297</v>
      </c>
      <c r="EW16" s="1" t="s">
        <v>254</v>
      </c>
      <c r="EX16" s="1" t="s">
        <v>254</v>
      </c>
      <c r="EY16" s="1">
        <v>0.0</v>
      </c>
      <c r="EZ16" s="1">
        <v>0.0</v>
      </c>
      <c r="FA16" s="1">
        <v>0.0</v>
      </c>
      <c r="FB16" s="1" t="s">
        <v>254</v>
      </c>
      <c r="FC16" s="1">
        <v>0.0</v>
      </c>
      <c r="FD16" s="1">
        <v>0.0</v>
      </c>
      <c r="FE16" s="1">
        <v>0.0</v>
      </c>
      <c r="FF16" s="1" t="s">
        <v>293</v>
      </c>
      <c r="FG16" s="1">
        <v>0.0</v>
      </c>
      <c r="FH16" s="1">
        <v>0.0</v>
      </c>
      <c r="FI16" s="1">
        <v>0.0</v>
      </c>
      <c r="FJ16" s="1" t="s">
        <v>293</v>
      </c>
      <c r="FK16" s="1">
        <v>0.0</v>
      </c>
      <c r="FL16" s="1">
        <v>0.0</v>
      </c>
      <c r="FM16" s="1">
        <v>0.0</v>
      </c>
      <c r="FN16" s="1" t="s">
        <v>293</v>
      </c>
      <c r="FO16" s="1">
        <v>0.0</v>
      </c>
      <c r="FP16" s="1">
        <v>0.0</v>
      </c>
      <c r="FQ16" s="1">
        <v>0.0</v>
      </c>
      <c r="FR16" s="27" t="s">
        <v>514</v>
      </c>
      <c r="FS16" s="28" t="s">
        <v>205</v>
      </c>
      <c r="FT16" s="28" t="s">
        <v>205</v>
      </c>
      <c r="FU16" s="28" t="s">
        <v>298</v>
      </c>
      <c r="FV16" s="1">
        <v>6.0</v>
      </c>
      <c r="FW16" s="1" t="s">
        <v>299</v>
      </c>
      <c r="FX16" s="1">
        <v>20.0</v>
      </c>
      <c r="FY16" s="1" t="s">
        <v>300</v>
      </c>
      <c r="FZ16" s="1">
        <v>13.0</v>
      </c>
      <c r="GA16" s="1" t="s">
        <v>299</v>
      </c>
      <c r="GB16" s="1">
        <v>6.0</v>
      </c>
      <c r="GC16" s="1" t="s">
        <v>299</v>
      </c>
      <c r="GD16" s="1">
        <v>6.0</v>
      </c>
      <c r="GE16" s="1" t="s">
        <v>299</v>
      </c>
      <c r="GF16" s="1">
        <v>24.0</v>
      </c>
      <c r="GG16" s="1" t="s">
        <v>300</v>
      </c>
      <c r="GH16" s="1">
        <v>8.0</v>
      </c>
      <c r="GI16" s="1" t="s">
        <v>299</v>
      </c>
      <c r="GJ16" s="1">
        <v>9.0</v>
      </c>
      <c r="GK16" s="1" t="s">
        <v>299</v>
      </c>
      <c r="GL16" s="1">
        <v>6.0</v>
      </c>
      <c r="GM16" s="1" t="s">
        <v>299</v>
      </c>
      <c r="GN16" s="1">
        <v>20.0</v>
      </c>
      <c r="GO16" s="1" t="s">
        <v>299</v>
      </c>
      <c r="GP16" s="1">
        <v>6.0</v>
      </c>
      <c r="GQ16" s="1" t="s">
        <v>299</v>
      </c>
      <c r="GR16" s="1">
        <v>16.0</v>
      </c>
      <c r="GS16" s="1" t="s">
        <v>299</v>
      </c>
      <c r="GT16" s="1">
        <v>9.0</v>
      </c>
      <c r="GU16" s="1" t="s">
        <v>299</v>
      </c>
      <c r="GV16" s="1">
        <v>11.0</v>
      </c>
      <c r="GW16" s="1" t="s">
        <v>299</v>
      </c>
      <c r="GX16" s="1">
        <v>14.0</v>
      </c>
      <c r="GY16" s="1" t="s">
        <v>300</v>
      </c>
      <c r="GZ16" s="1">
        <v>24.0</v>
      </c>
      <c r="HA16" s="1" t="s">
        <v>300</v>
      </c>
      <c r="HB16" s="1">
        <v>6.0</v>
      </c>
      <c r="HC16" s="1" t="s">
        <v>299</v>
      </c>
      <c r="HD16" s="1">
        <v>8.0</v>
      </c>
      <c r="HE16" s="1" t="s">
        <v>299</v>
      </c>
      <c r="HF16" s="1">
        <v>15.0</v>
      </c>
      <c r="HG16" s="1" t="s">
        <v>299</v>
      </c>
      <c r="HH16" s="1">
        <v>14.0</v>
      </c>
      <c r="HI16" s="1" t="s">
        <v>299</v>
      </c>
      <c r="HJ16" s="1">
        <v>13.0</v>
      </c>
      <c r="HK16" s="1" t="s">
        <v>299</v>
      </c>
    </row>
    <row r="17">
      <c r="A17" s="44" t="s">
        <v>624</v>
      </c>
      <c r="B17" s="3">
        <v>80.0</v>
      </c>
      <c r="C17" s="3" t="s">
        <v>625</v>
      </c>
      <c r="D17" s="30">
        <v>28551.0</v>
      </c>
      <c r="E17" s="1">
        <v>48.0</v>
      </c>
      <c r="F17" s="3" t="s">
        <v>252</v>
      </c>
      <c r="G17" s="3" t="s">
        <v>253</v>
      </c>
      <c r="H17" s="3" t="s">
        <v>253</v>
      </c>
      <c r="I17" s="3" t="s">
        <v>252</v>
      </c>
      <c r="J17" s="3" t="s">
        <v>253</v>
      </c>
      <c r="K17" s="3" t="s">
        <v>253</v>
      </c>
      <c r="L17" s="3" t="s">
        <v>254</v>
      </c>
      <c r="M17" s="3" t="s">
        <v>255</v>
      </c>
      <c r="N17" s="3" t="s">
        <v>254</v>
      </c>
      <c r="O17" s="3" t="s">
        <v>255</v>
      </c>
      <c r="P17" s="3" t="s">
        <v>254</v>
      </c>
      <c r="Q17" s="3" t="s">
        <v>548</v>
      </c>
      <c r="R17" s="7" t="s">
        <v>334</v>
      </c>
      <c r="S17" s="7" t="s">
        <v>258</v>
      </c>
      <c r="T17" s="1" t="s">
        <v>305</v>
      </c>
      <c r="U17" s="1" t="s">
        <v>306</v>
      </c>
      <c r="W17" s="1" t="s">
        <v>254</v>
      </c>
      <c r="X17" s="1" t="s">
        <v>254</v>
      </c>
      <c r="Y17" s="1">
        <v>0.0</v>
      </c>
      <c r="Z17" s="1">
        <v>0.0</v>
      </c>
      <c r="AA17" s="1">
        <v>0.0</v>
      </c>
      <c r="AB17" s="1" t="s">
        <v>540</v>
      </c>
      <c r="AC17" s="1">
        <v>0.0</v>
      </c>
      <c r="AD17" s="1">
        <v>0.0</v>
      </c>
      <c r="AE17" s="1" t="s">
        <v>265</v>
      </c>
      <c r="AF17" s="1" t="s">
        <v>255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 t="s">
        <v>626</v>
      </c>
      <c r="AM17" s="1" t="s">
        <v>610</v>
      </c>
      <c r="AN17" s="1" t="s">
        <v>269</v>
      </c>
      <c r="AO17" s="1" t="s">
        <v>270</v>
      </c>
      <c r="AP17" s="1" t="s">
        <v>284</v>
      </c>
      <c r="AQ17" s="1" t="s">
        <v>443</v>
      </c>
      <c r="AR17" s="1">
        <v>2.0</v>
      </c>
      <c r="AS17" s="1" t="s">
        <v>273</v>
      </c>
      <c r="AT17" s="1" t="s">
        <v>274</v>
      </c>
      <c r="AU17" s="1" t="s">
        <v>316</v>
      </c>
      <c r="AV17" s="1" t="s">
        <v>379</v>
      </c>
      <c r="AW17" s="1" t="s">
        <v>402</v>
      </c>
      <c r="AX17" s="1" t="s">
        <v>254</v>
      </c>
      <c r="AY17" s="1">
        <v>0.0</v>
      </c>
      <c r="AZ17" s="1" t="s">
        <v>255</v>
      </c>
      <c r="BA17" s="1" t="s">
        <v>446</v>
      </c>
      <c r="BB17" s="1" t="s">
        <v>255</v>
      </c>
      <c r="BC17" s="1" t="s">
        <v>279</v>
      </c>
      <c r="BD17" s="1">
        <v>1.0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 t="s">
        <v>382</v>
      </c>
      <c r="BM17" s="1" t="s">
        <v>626</v>
      </c>
      <c r="BN17" s="1" t="s">
        <v>610</v>
      </c>
      <c r="BO17" s="1" t="s">
        <v>269</v>
      </c>
      <c r="BP17" s="1" t="s">
        <v>270</v>
      </c>
      <c r="BQ17" s="1" t="s">
        <v>284</v>
      </c>
      <c r="BR17" s="1" t="s">
        <v>255</v>
      </c>
      <c r="BS17" s="1" t="s">
        <v>447</v>
      </c>
      <c r="BT17" s="1" t="s">
        <v>414</v>
      </c>
      <c r="BU17" s="1" t="s">
        <v>254</v>
      </c>
      <c r="BV17" s="1" t="s">
        <v>254</v>
      </c>
      <c r="BW17" s="1" t="s">
        <v>254</v>
      </c>
      <c r="BX17" s="1">
        <v>0.0</v>
      </c>
      <c r="BY17" s="1">
        <v>0.0</v>
      </c>
      <c r="BZ17" s="1">
        <v>0.0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0.0</v>
      </c>
      <c r="CM17" s="1" t="s">
        <v>254</v>
      </c>
      <c r="CN17" s="1">
        <v>0.0</v>
      </c>
      <c r="CO17" s="1" t="s">
        <v>254</v>
      </c>
      <c r="CP17" s="1">
        <v>0.0</v>
      </c>
      <c r="CQ17" s="1">
        <v>0.0</v>
      </c>
      <c r="CR17" s="1">
        <v>4.0</v>
      </c>
      <c r="CS17" s="1">
        <v>1.0</v>
      </c>
      <c r="CT17" s="1">
        <v>3.0</v>
      </c>
      <c r="CU17" s="1">
        <v>0.0</v>
      </c>
      <c r="CV17" s="1" t="s">
        <v>254</v>
      </c>
      <c r="CW17" s="1" t="s">
        <v>254</v>
      </c>
      <c r="CX17" s="1" t="s">
        <v>254</v>
      </c>
      <c r="CY17" s="1" t="s">
        <v>254</v>
      </c>
      <c r="CZ17" s="1" t="s">
        <v>254</v>
      </c>
      <c r="DA17" s="1" t="s">
        <v>255</v>
      </c>
      <c r="DB17" s="1" t="s">
        <v>254</v>
      </c>
      <c r="DC17" s="1" t="s">
        <v>255</v>
      </c>
      <c r="DD17" s="1" t="s">
        <v>255</v>
      </c>
      <c r="DE17" s="1" t="s">
        <v>388</v>
      </c>
      <c r="DF17" s="1" t="s">
        <v>293</v>
      </c>
      <c r="DG17" s="1" t="s">
        <v>450</v>
      </c>
      <c r="DH17" s="1" t="s">
        <v>293</v>
      </c>
      <c r="DI17" s="1" t="s">
        <v>293</v>
      </c>
      <c r="DJ17" s="1" t="s">
        <v>293</v>
      </c>
      <c r="DK17" s="1" t="s">
        <v>293</v>
      </c>
      <c r="DL17" s="1" t="s">
        <v>353</v>
      </c>
      <c r="DM17" s="1" t="s">
        <v>293</v>
      </c>
      <c r="DN17" s="1" t="s">
        <v>293</v>
      </c>
      <c r="DO17" s="1" t="s">
        <v>293</v>
      </c>
      <c r="DP17" s="1" t="s">
        <v>451</v>
      </c>
      <c r="DQ17" s="1" t="s">
        <v>293</v>
      </c>
      <c r="DR17" s="1" t="s">
        <v>293</v>
      </c>
      <c r="DS17" s="1" t="s">
        <v>293</v>
      </c>
      <c r="DT17" s="1" t="s">
        <v>293</v>
      </c>
      <c r="DU17" s="1" t="s">
        <v>293</v>
      </c>
      <c r="DV17" s="1" t="s">
        <v>293</v>
      </c>
      <c r="DW17" s="1" t="s">
        <v>293</v>
      </c>
      <c r="DX17" s="1" t="s">
        <v>293</v>
      </c>
      <c r="DY17" s="1" t="s">
        <v>293</v>
      </c>
      <c r="DZ17" s="1" t="s">
        <v>293</v>
      </c>
      <c r="EA17" s="1" t="s">
        <v>254</v>
      </c>
      <c r="EB17" s="1" t="s">
        <v>254</v>
      </c>
      <c r="EC17" s="1" t="s">
        <v>254</v>
      </c>
      <c r="ED17" s="1">
        <v>0.0</v>
      </c>
      <c r="EE17" s="1" t="s">
        <v>255</v>
      </c>
      <c r="EF17" s="1" t="s">
        <v>452</v>
      </c>
      <c r="EG17" s="1" t="s">
        <v>389</v>
      </c>
      <c r="EI17" s="1" t="s">
        <v>390</v>
      </c>
      <c r="EJ17" s="1" t="s">
        <v>293</v>
      </c>
      <c r="EK17" s="1" t="s">
        <v>293</v>
      </c>
      <c r="EL17" s="1" t="s">
        <v>293</v>
      </c>
      <c r="EM17" s="1" t="s">
        <v>293</v>
      </c>
      <c r="EN17" s="1" t="s">
        <v>353</v>
      </c>
      <c r="EO17" s="1" t="s">
        <v>293</v>
      </c>
      <c r="EP17" s="1" t="s">
        <v>293</v>
      </c>
      <c r="EQ17" s="1" t="s">
        <v>293</v>
      </c>
      <c r="ER17" s="1" t="s">
        <v>293</v>
      </c>
      <c r="ES17" s="1" t="s">
        <v>293</v>
      </c>
      <c r="ET17" s="1" t="s">
        <v>293</v>
      </c>
      <c r="EU17" s="1" t="s">
        <v>293</v>
      </c>
      <c r="EV17" s="1" t="s">
        <v>387</v>
      </c>
      <c r="EW17" s="1" t="s">
        <v>254</v>
      </c>
      <c r="EX17" s="1" t="s">
        <v>254</v>
      </c>
      <c r="EY17" s="1">
        <v>0.0</v>
      </c>
      <c r="EZ17" s="1" t="s">
        <v>427</v>
      </c>
      <c r="FA17" s="1" t="s">
        <v>453</v>
      </c>
      <c r="FB17" s="1" t="s">
        <v>454</v>
      </c>
      <c r="FC17" s="1">
        <v>0.0</v>
      </c>
      <c r="FD17" s="1">
        <v>0.0</v>
      </c>
      <c r="FE17" s="1">
        <v>0.0</v>
      </c>
      <c r="FF17" s="1" t="s">
        <v>454</v>
      </c>
      <c r="FG17" s="1">
        <v>0.0</v>
      </c>
      <c r="FH17" s="1">
        <v>0.0</v>
      </c>
      <c r="FI17" s="1">
        <v>0.0</v>
      </c>
      <c r="FJ17" s="1" t="s">
        <v>454</v>
      </c>
      <c r="FK17" s="1">
        <v>0.0</v>
      </c>
      <c r="FL17" s="1">
        <v>0.0</v>
      </c>
      <c r="FM17" s="1">
        <v>0.0</v>
      </c>
      <c r="FN17" s="1" t="s">
        <v>454</v>
      </c>
      <c r="FO17" s="1">
        <v>0.0</v>
      </c>
      <c r="FP17" s="1">
        <v>0.0</v>
      </c>
      <c r="FQ17" s="1">
        <v>0.0</v>
      </c>
      <c r="FR17" s="45" t="s">
        <v>198</v>
      </c>
      <c r="FS17" s="28" t="s">
        <v>205</v>
      </c>
      <c r="FT17" s="28" t="s">
        <v>205</v>
      </c>
      <c r="FU17" s="28" t="s">
        <v>205</v>
      </c>
      <c r="FV17" s="1">
        <v>6.0</v>
      </c>
      <c r="FW17" s="1" t="s">
        <v>299</v>
      </c>
      <c r="FX17" s="1">
        <v>22.0</v>
      </c>
      <c r="FY17" s="1" t="s">
        <v>300</v>
      </c>
      <c r="FZ17" s="1">
        <v>16.0</v>
      </c>
      <c r="GA17" s="1" t="s">
        <v>300</v>
      </c>
      <c r="GB17" s="1">
        <v>6.0</v>
      </c>
      <c r="GC17" s="1" t="s">
        <v>299</v>
      </c>
      <c r="GD17" s="1">
        <v>13.0</v>
      </c>
      <c r="GE17" s="1" t="s">
        <v>299</v>
      </c>
      <c r="GF17" s="1">
        <v>22.0</v>
      </c>
      <c r="GG17" s="1" t="s">
        <v>300</v>
      </c>
      <c r="GH17" s="1">
        <v>18.0</v>
      </c>
      <c r="GI17" s="1" t="s">
        <v>299</v>
      </c>
      <c r="GJ17" s="1">
        <v>6.0</v>
      </c>
      <c r="GK17" s="1" t="s">
        <v>299</v>
      </c>
      <c r="GL17" s="1">
        <v>6.0</v>
      </c>
      <c r="GM17" s="1" t="s">
        <v>299</v>
      </c>
      <c r="GN17" s="1">
        <v>24.0</v>
      </c>
      <c r="GO17" s="1" t="s">
        <v>299</v>
      </c>
      <c r="GP17" s="1">
        <v>17.0</v>
      </c>
      <c r="GQ17" s="1" t="s">
        <v>300</v>
      </c>
      <c r="GR17" s="1">
        <v>26.0</v>
      </c>
      <c r="GS17" s="1" t="s">
        <v>300</v>
      </c>
      <c r="GT17" s="1">
        <v>6.0</v>
      </c>
      <c r="GU17" s="1" t="s">
        <v>299</v>
      </c>
      <c r="GV17" s="1">
        <v>17.0</v>
      </c>
      <c r="GW17" s="1" t="s">
        <v>300</v>
      </c>
      <c r="GX17" s="1">
        <v>10.0</v>
      </c>
      <c r="GY17" s="1" t="s">
        <v>299</v>
      </c>
      <c r="GZ17" s="1">
        <v>23.0</v>
      </c>
      <c r="HA17" s="1" t="s">
        <v>299</v>
      </c>
      <c r="HB17" s="1">
        <v>6.0</v>
      </c>
      <c r="HC17" s="1" t="s">
        <v>299</v>
      </c>
      <c r="HD17" s="1">
        <v>18.0</v>
      </c>
      <c r="HE17" s="1" t="s">
        <v>300</v>
      </c>
      <c r="HF17" s="1">
        <v>22.0</v>
      </c>
      <c r="HG17" s="1" t="s">
        <v>299</v>
      </c>
      <c r="HH17" s="1">
        <v>20.0</v>
      </c>
      <c r="HI17" s="1" t="s">
        <v>299</v>
      </c>
      <c r="HJ17" s="1">
        <v>18.0</v>
      </c>
      <c r="HK17" s="1" t="s">
        <v>299</v>
      </c>
    </row>
    <row r="18">
      <c r="A18" s="44" t="s">
        <v>633</v>
      </c>
      <c r="B18" s="3">
        <v>83.0</v>
      </c>
      <c r="C18" s="3" t="s">
        <v>634</v>
      </c>
      <c r="D18" s="30">
        <v>21312.0</v>
      </c>
      <c r="E18" s="1">
        <v>68.0</v>
      </c>
      <c r="F18" s="3" t="s">
        <v>252</v>
      </c>
      <c r="G18" s="3" t="s">
        <v>253</v>
      </c>
      <c r="H18" s="3" t="s">
        <v>253</v>
      </c>
      <c r="I18" s="3" t="s">
        <v>252</v>
      </c>
      <c r="J18" s="3" t="s">
        <v>253</v>
      </c>
      <c r="K18" s="3" t="s">
        <v>253</v>
      </c>
      <c r="L18" s="3" t="s">
        <v>254</v>
      </c>
      <c r="M18" s="3" t="s">
        <v>255</v>
      </c>
      <c r="N18" s="3" t="s">
        <v>254</v>
      </c>
      <c r="O18" s="3" t="s">
        <v>255</v>
      </c>
      <c r="P18" s="3" t="s">
        <v>254</v>
      </c>
      <c r="Q18" s="3" t="s">
        <v>548</v>
      </c>
      <c r="R18" s="7" t="s">
        <v>334</v>
      </c>
      <c r="S18" s="7" t="s">
        <v>258</v>
      </c>
      <c r="T18" s="1" t="s">
        <v>259</v>
      </c>
      <c r="U18" s="1" t="s">
        <v>306</v>
      </c>
      <c r="W18" s="34"/>
      <c r="X18" s="1" t="s">
        <v>254</v>
      </c>
      <c r="Y18" s="34"/>
      <c r="Z18" s="1">
        <v>0.0</v>
      </c>
      <c r="AA18" s="1">
        <v>0.0</v>
      </c>
      <c r="AB18" s="1" t="s">
        <v>437</v>
      </c>
      <c r="AC18" s="1">
        <v>1.0</v>
      </c>
      <c r="AD18" s="1" t="s">
        <v>635</v>
      </c>
      <c r="AE18" s="1" t="s">
        <v>265</v>
      </c>
      <c r="AF18" s="1" t="s">
        <v>255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 t="s">
        <v>609</v>
      </c>
      <c r="AM18" s="1" t="s">
        <v>610</v>
      </c>
      <c r="AN18" s="1" t="s">
        <v>269</v>
      </c>
      <c r="AO18" s="1" t="s">
        <v>270</v>
      </c>
      <c r="AP18" s="1" t="s">
        <v>284</v>
      </c>
      <c r="AQ18" s="1" t="s">
        <v>443</v>
      </c>
      <c r="AR18" s="1">
        <v>5.0</v>
      </c>
      <c r="AS18" s="1" t="s">
        <v>273</v>
      </c>
      <c r="AT18" s="1" t="s">
        <v>274</v>
      </c>
      <c r="AU18" s="1" t="s">
        <v>316</v>
      </c>
      <c r="AV18" s="1" t="s">
        <v>379</v>
      </c>
      <c r="AW18" s="1" t="s">
        <v>402</v>
      </c>
      <c r="AX18" s="1" t="s">
        <v>254</v>
      </c>
      <c r="AY18" s="1">
        <v>0.0</v>
      </c>
      <c r="AZ18" s="1" t="s">
        <v>254</v>
      </c>
      <c r="BA18" s="1" t="s">
        <v>446</v>
      </c>
      <c r="BB18" s="1" t="s">
        <v>255</v>
      </c>
      <c r="BC18" s="1" t="s">
        <v>279</v>
      </c>
      <c r="BD18" s="1">
        <v>1.0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 t="s">
        <v>382</v>
      </c>
      <c r="BM18" s="1" t="s">
        <v>609</v>
      </c>
      <c r="BN18" s="1" t="s">
        <v>610</v>
      </c>
      <c r="BO18" s="1" t="s">
        <v>269</v>
      </c>
      <c r="BP18" s="1" t="s">
        <v>270</v>
      </c>
      <c r="BQ18" s="1" t="s">
        <v>284</v>
      </c>
      <c r="BR18" s="1" t="s">
        <v>254</v>
      </c>
      <c r="BS18" s="1" t="s">
        <v>254</v>
      </c>
      <c r="BT18" s="1" t="s">
        <v>254</v>
      </c>
      <c r="BU18" s="1" t="s">
        <v>254</v>
      </c>
      <c r="BV18" s="1" t="s">
        <v>254</v>
      </c>
      <c r="BW18" s="1" t="s">
        <v>254</v>
      </c>
      <c r="BX18" s="1">
        <v>0.0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  <c r="CL18" s="1">
        <v>0.0</v>
      </c>
      <c r="CM18" s="1" t="s">
        <v>254</v>
      </c>
      <c r="CN18" s="1">
        <v>0.0</v>
      </c>
      <c r="CO18" s="1" t="s">
        <v>254</v>
      </c>
      <c r="CP18" s="1">
        <v>0.0</v>
      </c>
      <c r="CQ18" s="1">
        <v>0.0</v>
      </c>
      <c r="CR18" s="1">
        <v>0.0</v>
      </c>
      <c r="CS18" s="1">
        <v>4.0</v>
      </c>
      <c r="CT18" s="1">
        <v>3.0</v>
      </c>
      <c r="CU18" s="1">
        <v>1.0</v>
      </c>
      <c r="CV18" s="1" t="s">
        <v>255</v>
      </c>
      <c r="CW18" s="1" t="s">
        <v>254</v>
      </c>
      <c r="CX18" s="1" t="s">
        <v>254</v>
      </c>
      <c r="CY18" s="1" t="s">
        <v>254</v>
      </c>
      <c r="CZ18" s="1" t="s">
        <v>254</v>
      </c>
      <c r="DA18" s="1" t="s">
        <v>255</v>
      </c>
      <c r="DB18" s="1" t="s">
        <v>254</v>
      </c>
      <c r="DC18" s="1" t="s">
        <v>255</v>
      </c>
      <c r="DD18" s="1" t="s">
        <v>255</v>
      </c>
      <c r="DE18" s="1" t="s">
        <v>388</v>
      </c>
      <c r="DF18" s="1" t="s">
        <v>293</v>
      </c>
      <c r="DG18" s="1" t="s">
        <v>450</v>
      </c>
      <c r="DH18" s="1" t="s">
        <v>293</v>
      </c>
      <c r="DI18" s="1" t="s">
        <v>293</v>
      </c>
      <c r="DJ18" s="1" t="s">
        <v>293</v>
      </c>
      <c r="DK18" s="1" t="s">
        <v>293</v>
      </c>
      <c r="DL18" s="1" t="s">
        <v>353</v>
      </c>
      <c r="DM18" s="1" t="s">
        <v>293</v>
      </c>
      <c r="DN18" s="1" t="s">
        <v>293</v>
      </c>
      <c r="DO18" s="1" t="s">
        <v>293</v>
      </c>
      <c r="DP18" s="1" t="s">
        <v>451</v>
      </c>
      <c r="DQ18" s="1" t="s">
        <v>293</v>
      </c>
      <c r="DR18" s="1" t="s">
        <v>293</v>
      </c>
      <c r="DS18" s="1" t="s">
        <v>293</v>
      </c>
      <c r="DT18" s="1" t="s">
        <v>293</v>
      </c>
      <c r="DU18" s="1" t="s">
        <v>293</v>
      </c>
      <c r="DV18" s="1" t="s">
        <v>293</v>
      </c>
      <c r="DW18" s="1" t="s">
        <v>293</v>
      </c>
      <c r="DX18" s="1" t="s">
        <v>293</v>
      </c>
      <c r="DY18" s="1" t="s">
        <v>293</v>
      </c>
      <c r="DZ18" s="1" t="s">
        <v>293</v>
      </c>
      <c r="EA18" s="1" t="s">
        <v>254</v>
      </c>
      <c r="EB18" s="1" t="s">
        <v>254</v>
      </c>
      <c r="EC18" s="1" t="s">
        <v>254</v>
      </c>
      <c r="ED18" s="1">
        <v>0.0</v>
      </c>
      <c r="EE18" s="1" t="s">
        <v>255</v>
      </c>
      <c r="EF18" s="1" t="s">
        <v>452</v>
      </c>
      <c r="EG18" s="1" t="s">
        <v>389</v>
      </c>
      <c r="EI18" s="1" t="s">
        <v>390</v>
      </c>
      <c r="EJ18" s="1" t="s">
        <v>293</v>
      </c>
      <c r="EK18" s="1" t="s">
        <v>293</v>
      </c>
      <c r="EL18" s="1" t="s">
        <v>293</v>
      </c>
      <c r="EM18" s="1" t="s">
        <v>293</v>
      </c>
      <c r="EN18" s="1" t="s">
        <v>353</v>
      </c>
      <c r="EO18" s="1" t="s">
        <v>293</v>
      </c>
      <c r="EP18" s="1" t="s">
        <v>293</v>
      </c>
      <c r="EQ18" s="1" t="s">
        <v>293</v>
      </c>
      <c r="ER18" s="1" t="s">
        <v>293</v>
      </c>
      <c r="ES18" s="1" t="s">
        <v>293</v>
      </c>
      <c r="ET18" s="1" t="s">
        <v>293</v>
      </c>
      <c r="EU18" s="1" t="s">
        <v>293</v>
      </c>
      <c r="EV18" s="1" t="s">
        <v>387</v>
      </c>
      <c r="EW18" s="1" t="s">
        <v>254</v>
      </c>
      <c r="EX18" s="1" t="s">
        <v>254</v>
      </c>
      <c r="EY18" s="1">
        <v>0.0</v>
      </c>
      <c r="EZ18" s="1" t="s">
        <v>427</v>
      </c>
      <c r="FA18" s="1" t="s">
        <v>453</v>
      </c>
      <c r="FB18" s="1" t="s">
        <v>454</v>
      </c>
      <c r="FC18" s="1">
        <v>0.0</v>
      </c>
      <c r="FD18" s="1">
        <v>0.0</v>
      </c>
      <c r="FE18" s="1">
        <v>0.0</v>
      </c>
      <c r="FF18" s="1" t="s">
        <v>454</v>
      </c>
      <c r="FG18" s="1">
        <v>0.0</v>
      </c>
      <c r="FH18" s="1">
        <v>0.0</v>
      </c>
      <c r="FI18" s="1">
        <v>0.0</v>
      </c>
      <c r="FJ18" s="1" t="s">
        <v>454</v>
      </c>
      <c r="FK18" s="1">
        <v>0.0</v>
      </c>
      <c r="FL18" s="1">
        <v>0.0</v>
      </c>
      <c r="FM18" s="1">
        <v>0.0</v>
      </c>
      <c r="FN18" s="1" t="s">
        <v>454</v>
      </c>
      <c r="FO18" s="1">
        <v>0.0</v>
      </c>
      <c r="FP18" s="1">
        <v>0.0</v>
      </c>
      <c r="FQ18" s="1">
        <v>0.0</v>
      </c>
      <c r="FR18" s="45" t="s">
        <v>198</v>
      </c>
      <c r="FS18" s="28" t="s">
        <v>205</v>
      </c>
      <c r="FT18" s="28" t="s">
        <v>205</v>
      </c>
      <c r="FU18" s="28" t="s">
        <v>205</v>
      </c>
      <c r="FV18" s="1">
        <v>6.0</v>
      </c>
      <c r="FW18" s="1" t="s">
        <v>299</v>
      </c>
      <c r="FX18" s="1">
        <v>20.0</v>
      </c>
      <c r="FY18" s="1" t="s">
        <v>300</v>
      </c>
      <c r="FZ18" s="1">
        <v>6.0</v>
      </c>
      <c r="GA18" s="1" t="s">
        <v>299</v>
      </c>
      <c r="GB18" s="1">
        <v>6.0</v>
      </c>
      <c r="GC18" s="1" t="s">
        <v>299</v>
      </c>
      <c r="GD18" s="1">
        <v>6.0</v>
      </c>
      <c r="GE18" s="1" t="s">
        <v>299</v>
      </c>
      <c r="GF18" s="1">
        <v>6.0</v>
      </c>
      <c r="GG18" s="1" t="s">
        <v>299</v>
      </c>
      <c r="GH18" s="1">
        <v>6.0</v>
      </c>
      <c r="GI18" s="1" t="s">
        <v>299</v>
      </c>
      <c r="GJ18" s="1">
        <v>22.0</v>
      </c>
      <c r="GK18" s="1" t="s">
        <v>300</v>
      </c>
      <c r="GL18" s="1">
        <v>6.0</v>
      </c>
      <c r="GM18" s="1" t="s">
        <v>299</v>
      </c>
      <c r="GN18" s="1">
        <v>18.0</v>
      </c>
      <c r="GO18" s="1" t="s">
        <v>299</v>
      </c>
      <c r="GP18" s="1">
        <v>17.0</v>
      </c>
      <c r="GQ18" s="1" t="s">
        <v>300</v>
      </c>
      <c r="GR18" s="1">
        <v>18.0</v>
      </c>
      <c r="GS18" s="1" t="s">
        <v>299</v>
      </c>
      <c r="GT18" s="1">
        <v>13.0</v>
      </c>
      <c r="GU18" s="1" t="s">
        <v>299</v>
      </c>
      <c r="GV18" s="1">
        <v>14.0</v>
      </c>
      <c r="GW18" s="1" t="s">
        <v>299</v>
      </c>
      <c r="GX18" s="1">
        <v>17.0</v>
      </c>
      <c r="GY18" s="1" t="s">
        <v>300</v>
      </c>
      <c r="GZ18" s="1">
        <v>23.0</v>
      </c>
      <c r="HA18" s="1" t="s">
        <v>299</v>
      </c>
      <c r="HB18" s="1">
        <v>6.0</v>
      </c>
      <c r="HC18" s="1" t="s">
        <v>299</v>
      </c>
      <c r="HD18" s="1">
        <v>15.0</v>
      </c>
      <c r="HE18" s="1" t="s">
        <v>299</v>
      </c>
      <c r="HF18" s="1">
        <v>20.0</v>
      </c>
      <c r="HG18" s="1" t="s">
        <v>299</v>
      </c>
      <c r="HH18" s="1">
        <v>25.0</v>
      </c>
      <c r="HI18" s="1" t="s">
        <v>300</v>
      </c>
      <c r="HJ18" s="1">
        <v>14.0</v>
      </c>
      <c r="HK18" s="1" t="s">
        <v>299</v>
      </c>
    </row>
    <row r="19">
      <c r="A19" s="44" t="s">
        <v>637</v>
      </c>
      <c r="B19" s="3">
        <v>84.0</v>
      </c>
      <c r="C19" s="3" t="s">
        <v>638</v>
      </c>
      <c r="D19" s="30">
        <v>22434.0</v>
      </c>
      <c r="E19" s="1">
        <v>65.0</v>
      </c>
      <c r="F19" s="3" t="s">
        <v>252</v>
      </c>
      <c r="G19" s="3" t="s">
        <v>253</v>
      </c>
      <c r="H19" s="3" t="s">
        <v>253</v>
      </c>
      <c r="I19" s="3" t="s">
        <v>252</v>
      </c>
      <c r="J19" s="3" t="s">
        <v>253</v>
      </c>
      <c r="K19" s="3" t="s">
        <v>253</v>
      </c>
      <c r="L19" s="3" t="s">
        <v>254</v>
      </c>
      <c r="M19" s="3" t="s">
        <v>255</v>
      </c>
      <c r="N19" s="3" t="s">
        <v>254</v>
      </c>
      <c r="O19" s="3" t="s">
        <v>255</v>
      </c>
      <c r="P19" s="3" t="s">
        <v>254</v>
      </c>
      <c r="Q19" s="3" t="s">
        <v>548</v>
      </c>
      <c r="R19" s="7" t="s">
        <v>334</v>
      </c>
      <c r="S19" s="7" t="s">
        <v>258</v>
      </c>
      <c r="T19" s="1" t="s">
        <v>259</v>
      </c>
      <c r="U19" s="1" t="s">
        <v>306</v>
      </c>
      <c r="W19" s="34"/>
      <c r="X19" s="1" t="s">
        <v>254</v>
      </c>
      <c r="Y19" s="34"/>
      <c r="Z19" s="1">
        <v>0.0</v>
      </c>
      <c r="AA19" s="1">
        <v>0.0</v>
      </c>
      <c r="AB19" s="1" t="s">
        <v>437</v>
      </c>
      <c r="AC19" s="1">
        <v>2.0</v>
      </c>
      <c r="AD19" s="1" t="s">
        <v>641</v>
      </c>
      <c r="AE19" s="1" t="s">
        <v>265</v>
      </c>
      <c r="AF19" s="1" t="s">
        <v>255</v>
      </c>
      <c r="AG19" s="1" t="s">
        <v>439</v>
      </c>
      <c r="AH19" s="1" t="s">
        <v>440</v>
      </c>
      <c r="AI19" s="46">
        <v>45419.0</v>
      </c>
      <c r="AJ19" s="30">
        <v>45474.0</v>
      </c>
      <c r="AK19" s="1" t="s">
        <v>267</v>
      </c>
      <c r="AL19" s="1" t="s">
        <v>622</v>
      </c>
      <c r="AM19" s="1" t="s">
        <v>610</v>
      </c>
      <c r="AN19" s="1" t="s">
        <v>269</v>
      </c>
      <c r="AO19" s="1" t="s">
        <v>270</v>
      </c>
      <c r="AP19" s="1" t="s">
        <v>284</v>
      </c>
      <c r="AQ19" s="1" t="s">
        <v>464</v>
      </c>
      <c r="AR19" s="1">
        <v>2.0</v>
      </c>
      <c r="AS19" s="1" t="s">
        <v>273</v>
      </c>
      <c r="AT19" s="1" t="s">
        <v>274</v>
      </c>
      <c r="AU19" s="1" t="s">
        <v>465</v>
      </c>
      <c r="AV19" s="1" t="s">
        <v>317</v>
      </c>
      <c r="AW19" s="1" t="s">
        <v>402</v>
      </c>
      <c r="AX19" s="1" t="s">
        <v>254</v>
      </c>
      <c r="AY19" s="1">
        <v>0.0</v>
      </c>
      <c r="AZ19" s="1" t="s">
        <v>255</v>
      </c>
      <c r="BA19" s="1" t="s">
        <v>319</v>
      </c>
      <c r="BB19" s="1" t="s">
        <v>254</v>
      </c>
      <c r="BC19" s="1" t="s">
        <v>279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 t="s">
        <v>466</v>
      </c>
      <c r="BM19" s="1" t="s">
        <v>622</v>
      </c>
      <c r="BN19" s="1" t="s">
        <v>610</v>
      </c>
      <c r="BO19" s="1" t="s">
        <v>269</v>
      </c>
      <c r="BP19" s="1" t="s">
        <v>270</v>
      </c>
      <c r="BQ19" s="1" t="s">
        <v>284</v>
      </c>
      <c r="BR19" s="1" t="s">
        <v>254</v>
      </c>
      <c r="BS19" s="1" t="s">
        <v>254</v>
      </c>
      <c r="BT19" s="1" t="s">
        <v>254</v>
      </c>
      <c r="BU19" s="1" t="s">
        <v>254</v>
      </c>
      <c r="BV19" s="1" t="s">
        <v>254</v>
      </c>
      <c r="BW19" s="1" t="s">
        <v>254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 t="s">
        <v>254</v>
      </c>
      <c r="CN19" s="1">
        <v>0.0</v>
      </c>
      <c r="CO19" s="1" t="s">
        <v>254</v>
      </c>
      <c r="CP19" s="1">
        <v>0.0</v>
      </c>
      <c r="CQ19" s="1">
        <v>0.0</v>
      </c>
      <c r="CR19" s="1">
        <v>0.0</v>
      </c>
      <c r="CS19" s="1">
        <v>3.0</v>
      </c>
      <c r="CT19" s="1" t="s">
        <v>473</v>
      </c>
      <c r="CU19" s="1" t="s">
        <v>474</v>
      </c>
      <c r="CV19" s="1" t="s">
        <v>254</v>
      </c>
      <c r="CW19" s="1" t="s">
        <v>254</v>
      </c>
      <c r="CX19" s="1" t="s">
        <v>254</v>
      </c>
      <c r="CY19" s="1" t="s">
        <v>254</v>
      </c>
      <c r="CZ19" s="1" t="s">
        <v>254</v>
      </c>
      <c r="DA19" s="1" t="s">
        <v>255</v>
      </c>
      <c r="DB19" s="1" t="s">
        <v>255</v>
      </c>
      <c r="DC19" s="1" t="s">
        <v>255</v>
      </c>
      <c r="DD19" s="1" t="s">
        <v>255</v>
      </c>
      <c r="DE19" s="1" t="s">
        <v>477</v>
      </c>
      <c r="DF19" s="1" t="s">
        <v>293</v>
      </c>
      <c r="DG19" s="1" t="s">
        <v>353</v>
      </c>
      <c r="DH19" s="31" t="s">
        <v>383</v>
      </c>
      <c r="DI19" s="1" t="s">
        <v>450</v>
      </c>
      <c r="DJ19" s="1" t="s">
        <v>293</v>
      </c>
      <c r="DK19" s="1" t="s">
        <v>293</v>
      </c>
      <c r="DL19" s="1" t="s">
        <v>388</v>
      </c>
      <c r="DM19" s="1" t="s">
        <v>293</v>
      </c>
      <c r="DN19" s="1" t="s">
        <v>450</v>
      </c>
      <c r="DO19" s="1" t="s">
        <v>293</v>
      </c>
      <c r="DP19" s="34"/>
      <c r="DQ19" s="1" t="s">
        <v>293</v>
      </c>
      <c r="DR19" s="1" t="s">
        <v>293</v>
      </c>
      <c r="DS19" s="1" t="s">
        <v>293</v>
      </c>
      <c r="DT19" s="1" t="s">
        <v>293</v>
      </c>
      <c r="DU19" s="1" t="s">
        <v>293</v>
      </c>
      <c r="DV19" s="1" t="s">
        <v>293</v>
      </c>
      <c r="DW19" s="1" t="s">
        <v>293</v>
      </c>
      <c r="DX19" s="1" t="s">
        <v>293</v>
      </c>
      <c r="DY19" s="1" t="s">
        <v>293</v>
      </c>
      <c r="DZ19" s="1" t="s">
        <v>293</v>
      </c>
      <c r="EA19" s="1" t="s">
        <v>254</v>
      </c>
      <c r="EB19" s="1" t="s">
        <v>254</v>
      </c>
      <c r="EC19" s="1" t="s">
        <v>254</v>
      </c>
      <c r="ED19" s="1">
        <v>0.0</v>
      </c>
      <c r="EE19" s="1" t="s">
        <v>255</v>
      </c>
      <c r="EF19" s="1" t="s">
        <v>325</v>
      </c>
      <c r="EG19" s="1" t="s">
        <v>389</v>
      </c>
      <c r="EI19" s="1" t="s">
        <v>293</v>
      </c>
      <c r="EJ19" s="1" t="s">
        <v>293</v>
      </c>
      <c r="EK19" s="1" t="s">
        <v>293</v>
      </c>
      <c r="EL19" s="1" t="s">
        <v>293</v>
      </c>
      <c r="EM19" s="1" t="s">
        <v>293</v>
      </c>
      <c r="EN19" s="1" t="s">
        <v>293</v>
      </c>
      <c r="EO19" s="1" t="s">
        <v>293</v>
      </c>
      <c r="EP19" s="1" t="s">
        <v>293</v>
      </c>
      <c r="EQ19" s="1" t="s">
        <v>293</v>
      </c>
      <c r="ER19" s="1" t="s">
        <v>293</v>
      </c>
      <c r="ES19" s="1" t="s">
        <v>293</v>
      </c>
      <c r="ET19" s="1" t="s">
        <v>293</v>
      </c>
      <c r="EU19" s="1" t="s">
        <v>293</v>
      </c>
      <c r="EV19" s="1" t="s">
        <v>387</v>
      </c>
      <c r="EW19" s="1" t="s">
        <v>255</v>
      </c>
      <c r="EX19" s="1" t="s">
        <v>254</v>
      </c>
      <c r="EY19" s="1" t="s">
        <v>484</v>
      </c>
      <c r="EZ19" s="1">
        <v>0.0</v>
      </c>
      <c r="FA19" s="1">
        <v>0.0</v>
      </c>
      <c r="FB19" s="1" t="s">
        <v>255</v>
      </c>
      <c r="FC19" s="1" t="s">
        <v>454</v>
      </c>
      <c r="FD19" s="1" t="s">
        <v>486</v>
      </c>
      <c r="FE19" s="1" t="s">
        <v>488</v>
      </c>
      <c r="FF19" s="1" t="s">
        <v>454</v>
      </c>
      <c r="FG19" s="1">
        <v>0.0</v>
      </c>
      <c r="FH19" s="1">
        <v>0.0</v>
      </c>
      <c r="FI19" s="1" t="s">
        <v>453</v>
      </c>
      <c r="FJ19" s="1" t="s">
        <v>454</v>
      </c>
      <c r="FK19" s="1">
        <v>0.0</v>
      </c>
      <c r="FL19" s="1">
        <v>0.0</v>
      </c>
      <c r="FM19" s="1">
        <v>0.0</v>
      </c>
      <c r="FN19" s="1" t="s">
        <v>293</v>
      </c>
      <c r="FO19" s="1">
        <v>0.0</v>
      </c>
      <c r="FP19" s="1">
        <v>0.0</v>
      </c>
      <c r="FQ19" s="1">
        <v>0.0</v>
      </c>
      <c r="FR19" s="45" t="s">
        <v>198</v>
      </c>
      <c r="FS19" s="28" t="s">
        <v>205</v>
      </c>
      <c r="FT19" s="28" t="s">
        <v>205</v>
      </c>
      <c r="FU19" s="28" t="s">
        <v>205</v>
      </c>
      <c r="FV19" s="1">
        <v>6.0</v>
      </c>
      <c r="FW19" s="1" t="s">
        <v>299</v>
      </c>
      <c r="FX19" s="1">
        <v>23.0</v>
      </c>
      <c r="FY19" s="1" t="s">
        <v>300</v>
      </c>
      <c r="FZ19" s="1">
        <v>20.0</v>
      </c>
      <c r="GA19" s="1" t="s">
        <v>300</v>
      </c>
      <c r="GB19" s="1">
        <v>6.0</v>
      </c>
      <c r="GC19" s="1" t="s">
        <v>299</v>
      </c>
      <c r="GD19" s="1">
        <v>6.0</v>
      </c>
      <c r="GE19" s="1" t="s">
        <v>299</v>
      </c>
      <c r="GF19" s="1">
        <v>24.0</v>
      </c>
      <c r="GG19" s="1" t="s">
        <v>300</v>
      </c>
      <c r="GH19" s="1">
        <v>15.0</v>
      </c>
      <c r="GI19" s="1" t="s">
        <v>299</v>
      </c>
      <c r="GJ19" s="1">
        <v>6.0</v>
      </c>
      <c r="GK19" s="1" t="s">
        <v>299</v>
      </c>
      <c r="GL19" s="1">
        <v>6.0</v>
      </c>
      <c r="GM19" s="1" t="s">
        <v>299</v>
      </c>
      <c r="GN19" s="1">
        <v>22.0</v>
      </c>
      <c r="GO19" s="1" t="s">
        <v>299</v>
      </c>
      <c r="GP19" s="1">
        <v>12.0</v>
      </c>
      <c r="GQ19" s="1" t="s">
        <v>299</v>
      </c>
      <c r="GR19" s="1">
        <v>25.0</v>
      </c>
      <c r="GS19" s="1" t="s">
        <v>300</v>
      </c>
      <c r="GT19" s="1">
        <v>6.0</v>
      </c>
      <c r="GU19" s="1" t="s">
        <v>299</v>
      </c>
      <c r="GV19" s="1">
        <v>12.0</v>
      </c>
      <c r="GW19" s="1" t="s">
        <v>299</v>
      </c>
      <c r="GX19" s="1">
        <v>17.0</v>
      </c>
      <c r="GY19" s="1" t="s">
        <v>300</v>
      </c>
      <c r="GZ19" s="1">
        <v>24.0</v>
      </c>
      <c r="HA19" s="1" t="s">
        <v>300</v>
      </c>
      <c r="HB19" s="1">
        <v>6.0</v>
      </c>
      <c r="HC19" s="1" t="s">
        <v>299</v>
      </c>
      <c r="HD19" s="1">
        <v>14.0</v>
      </c>
      <c r="HE19" s="1" t="s">
        <v>299</v>
      </c>
      <c r="HF19" s="1">
        <v>13.0</v>
      </c>
      <c r="HG19" s="1" t="s">
        <v>299</v>
      </c>
      <c r="HH19" s="1">
        <v>28.0</v>
      </c>
      <c r="HI19" s="1" t="s">
        <v>300</v>
      </c>
      <c r="HJ19" s="1">
        <v>16.0</v>
      </c>
      <c r="HK19" s="1" t="s">
        <v>299</v>
      </c>
    </row>
    <row r="20">
      <c r="A20" s="44" t="s">
        <v>647</v>
      </c>
      <c r="B20" s="3">
        <v>85.0</v>
      </c>
      <c r="C20" s="3" t="s">
        <v>648</v>
      </c>
      <c r="D20" s="30">
        <v>14144.0</v>
      </c>
      <c r="E20" s="1">
        <v>87.0</v>
      </c>
      <c r="F20" s="3" t="s">
        <v>252</v>
      </c>
      <c r="G20" s="3" t="s">
        <v>253</v>
      </c>
      <c r="H20" s="3" t="s">
        <v>253</v>
      </c>
      <c r="I20" s="3" t="s">
        <v>252</v>
      </c>
      <c r="J20" s="3" t="s">
        <v>253</v>
      </c>
      <c r="K20" s="3" t="s">
        <v>253</v>
      </c>
      <c r="L20" s="3" t="s">
        <v>254</v>
      </c>
      <c r="M20" s="3" t="s">
        <v>255</v>
      </c>
      <c r="N20" s="3" t="s">
        <v>254</v>
      </c>
      <c r="O20" s="3" t="s">
        <v>255</v>
      </c>
      <c r="P20" s="3" t="s">
        <v>254</v>
      </c>
      <c r="Q20" s="3" t="s">
        <v>548</v>
      </c>
      <c r="R20" s="7" t="s">
        <v>257</v>
      </c>
      <c r="S20" s="7" t="s">
        <v>258</v>
      </c>
      <c r="T20" s="1" t="s">
        <v>305</v>
      </c>
      <c r="U20" s="1" t="s">
        <v>360</v>
      </c>
      <c r="V20" s="34"/>
      <c r="W20" s="34"/>
      <c r="X20" s="1" t="s">
        <v>254</v>
      </c>
      <c r="Y20" s="34"/>
      <c r="Z20" s="1">
        <v>0.0</v>
      </c>
      <c r="AA20" s="1">
        <v>0.0</v>
      </c>
      <c r="AB20" s="1" t="s">
        <v>437</v>
      </c>
      <c r="AC20" s="1">
        <v>3.0</v>
      </c>
      <c r="AD20" s="1" t="s">
        <v>649</v>
      </c>
      <c r="AE20" s="1" t="s">
        <v>265</v>
      </c>
      <c r="AF20" s="1" t="s">
        <v>255</v>
      </c>
      <c r="AG20" s="1" t="s">
        <v>439</v>
      </c>
      <c r="AH20" s="1" t="s">
        <v>440</v>
      </c>
      <c r="AI20" s="46">
        <v>45450.0</v>
      </c>
      <c r="AJ20" s="30">
        <v>45474.0</v>
      </c>
      <c r="AK20" s="1" t="s">
        <v>267</v>
      </c>
      <c r="AL20" s="1" t="s">
        <v>578</v>
      </c>
      <c r="AM20" s="1" t="s">
        <v>610</v>
      </c>
      <c r="AN20" s="1" t="s">
        <v>269</v>
      </c>
      <c r="AO20" s="1" t="s">
        <v>270</v>
      </c>
      <c r="AP20" s="1" t="s">
        <v>284</v>
      </c>
      <c r="AQ20" s="1" t="s">
        <v>443</v>
      </c>
      <c r="AR20" s="1">
        <v>1.0</v>
      </c>
      <c r="AS20" s="1" t="s">
        <v>273</v>
      </c>
      <c r="AT20" s="1" t="s">
        <v>274</v>
      </c>
      <c r="AU20" s="1" t="s">
        <v>275</v>
      </c>
      <c r="AV20" s="1" t="s">
        <v>317</v>
      </c>
      <c r="AW20" s="1" t="s">
        <v>544</v>
      </c>
      <c r="AX20" s="1" t="s">
        <v>254</v>
      </c>
      <c r="AY20" s="1">
        <v>0.0</v>
      </c>
      <c r="AZ20" s="1" t="s">
        <v>254</v>
      </c>
      <c r="BA20" s="1" t="s">
        <v>319</v>
      </c>
      <c r="BB20" s="1" t="s">
        <v>255</v>
      </c>
      <c r="BC20" s="1" t="s">
        <v>279</v>
      </c>
      <c r="BD20" s="1">
        <v>1.0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 t="s">
        <v>382</v>
      </c>
      <c r="BM20" s="1" t="s">
        <v>578</v>
      </c>
      <c r="BN20" s="1" t="s">
        <v>610</v>
      </c>
      <c r="BO20" s="1" t="s">
        <v>269</v>
      </c>
      <c r="BP20" s="1" t="s">
        <v>270</v>
      </c>
      <c r="BQ20" s="1" t="s">
        <v>284</v>
      </c>
      <c r="BR20" s="1" t="s">
        <v>254</v>
      </c>
      <c r="BS20" s="1" t="s">
        <v>254</v>
      </c>
      <c r="BT20" s="1" t="s">
        <v>254</v>
      </c>
      <c r="BU20" s="1" t="s">
        <v>254</v>
      </c>
      <c r="BV20" s="1" t="s">
        <v>254</v>
      </c>
      <c r="BW20" s="1" t="s">
        <v>254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 t="s">
        <v>254</v>
      </c>
      <c r="CN20" s="1">
        <v>0.0</v>
      </c>
      <c r="CO20" s="1" t="s">
        <v>254</v>
      </c>
      <c r="CP20" s="1">
        <v>0.0</v>
      </c>
      <c r="CQ20" s="1">
        <v>0.0</v>
      </c>
      <c r="CR20" s="1">
        <v>0.0</v>
      </c>
      <c r="CS20" s="1">
        <v>3.0</v>
      </c>
      <c r="CT20" s="1" t="s">
        <v>652</v>
      </c>
      <c r="CU20" s="34"/>
      <c r="CV20" s="1" t="s">
        <v>254</v>
      </c>
      <c r="CW20" s="1" t="s">
        <v>254</v>
      </c>
      <c r="CX20" s="1" t="s">
        <v>254</v>
      </c>
      <c r="CY20" s="1" t="s">
        <v>254</v>
      </c>
      <c r="CZ20" s="1" t="s">
        <v>254</v>
      </c>
      <c r="DA20" s="1" t="s">
        <v>254</v>
      </c>
      <c r="DB20" s="1" t="s">
        <v>255</v>
      </c>
      <c r="DC20" s="1" t="s">
        <v>254</v>
      </c>
      <c r="DD20" s="1" t="s">
        <v>255</v>
      </c>
      <c r="DE20" s="1" t="s">
        <v>323</v>
      </c>
      <c r="DF20" s="1" t="s">
        <v>293</v>
      </c>
      <c r="DG20" s="1" t="s">
        <v>323</v>
      </c>
      <c r="DH20" s="1" t="s">
        <v>323</v>
      </c>
      <c r="DI20" s="1" t="s">
        <v>291</v>
      </c>
      <c r="DJ20" s="1" t="s">
        <v>293</v>
      </c>
      <c r="DK20" s="1" t="s">
        <v>293</v>
      </c>
      <c r="DL20" s="1" t="s">
        <v>290</v>
      </c>
      <c r="DM20" s="1" t="s">
        <v>323</v>
      </c>
      <c r="DN20" s="1" t="s">
        <v>293</v>
      </c>
      <c r="DO20" s="1" t="s">
        <v>293</v>
      </c>
      <c r="DP20" s="1" t="s">
        <v>293</v>
      </c>
      <c r="DQ20" s="1" t="s">
        <v>293</v>
      </c>
      <c r="DR20" s="1" t="s">
        <v>293</v>
      </c>
      <c r="DS20" s="1" t="s">
        <v>293</v>
      </c>
      <c r="DT20" s="1" t="s">
        <v>293</v>
      </c>
      <c r="DU20" s="1" t="s">
        <v>293</v>
      </c>
      <c r="DV20" s="1" t="s">
        <v>293</v>
      </c>
      <c r="DW20" s="1" t="s">
        <v>293</v>
      </c>
      <c r="DX20" s="1" t="s">
        <v>293</v>
      </c>
      <c r="DY20" s="1" t="s">
        <v>293</v>
      </c>
      <c r="DZ20" s="1" t="s">
        <v>293</v>
      </c>
      <c r="EA20" s="1" t="s">
        <v>254</v>
      </c>
      <c r="EB20" s="1" t="s">
        <v>254</v>
      </c>
      <c r="EC20" s="1" t="s">
        <v>254</v>
      </c>
      <c r="ED20" s="1">
        <v>0.0</v>
      </c>
      <c r="EE20" s="1" t="s">
        <v>254</v>
      </c>
      <c r="EF20" s="31">
        <v>0.0</v>
      </c>
      <c r="EG20" s="1">
        <v>0.0</v>
      </c>
      <c r="EH20" s="1">
        <v>0.0</v>
      </c>
      <c r="EI20" s="1" t="s">
        <v>293</v>
      </c>
      <c r="EJ20" s="1" t="s">
        <v>293</v>
      </c>
      <c r="EK20" s="1" t="s">
        <v>293</v>
      </c>
      <c r="EL20" s="1" t="s">
        <v>293</v>
      </c>
      <c r="EM20" s="1" t="s">
        <v>293</v>
      </c>
      <c r="EN20" s="1" t="s">
        <v>293</v>
      </c>
      <c r="EO20" s="1" t="s">
        <v>293</v>
      </c>
      <c r="EP20" s="1" t="s">
        <v>293</v>
      </c>
      <c r="EQ20" s="1" t="s">
        <v>293</v>
      </c>
      <c r="ER20" s="1" t="s">
        <v>293</v>
      </c>
      <c r="ES20" s="1" t="s">
        <v>293</v>
      </c>
      <c r="ET20" s="1" t="s">
        <v>293</v>
      </c>
      <c r="EU20" s="1" t="s">
        <v>422</v>
      </c>
      <c r="EV20" s="1" t="s">
        <v>423</v>
      </c>
      <c r="EW20" s="1" t="s">
        <v>255</v>
      </c>
      <c r="EX20" s="1" t="s">
        <v>254</v>
      </c>
      <c r="EY20" s="1" t="s">
        <v>425</v>
      </c>
      <c r="EZ20" s="1" t="s">
        <v>427</v>
      </c>
      <c r="FA20" s="1" t="s">
        <v>428</v>
      </c>
      <c r="FB20" s="1" t="s">
        <v>255</v>
      </c>
      <c r="FC20" s="1" t="s">
        <v>425</v>
      </c>
      <c r="FD20" s="1" t="s">
        <v>429</v>
      </c>
      <c r="FE20" s="1" t="s">
        <v>428</v>
      </c>
      <c r="FF20" s="1" t="s">
        <v>430</v>
      </c>
      <c r="FG20" s="1" t="s">
        <v>425</v>
      </c>
      <c r="FH20" s="1" t="s">
        <v>427</v>
      </c>
      <c r="FI20" s="1">
        <v>0.0</v>
      </c>
      <c r="FJ20" s="1" t="s">
        <v>430</v>
      </c>
      <c r="FK20" s="1" t="s">
        <v>425</v>
      </c>
      <c r="FL20" s="1" t="s">
        <v>427</v>
      </c>
      <c r="FM20" s="34"/>
      <c r="FN20" s="1" t="s">
        <v>293</v>
      </c>
      <c r="FO20" s="1">
        <v>0.0</v>
      </c>
      <c r="FP20" s="34"/>
      <c r="FQ20" s="1">
        <v>0.0</v>
      </c>
      <c r="FR20" s="45" t="s">
        <v>198</v>
      </c>
      <c r="FS20" s="28" t="s">
        <v>205</v>
      </c>
      <c r="FT20" s="28" t="s">
        <v>205</v>
      </c>
      <c r="FU20" s="28" t="s">
        <v>298</v>
      </c>
      <c r="FV20" s="1">
        <v>23.0</v>
      </c>
      <c r="FW20" s="1" t="s">
        <v>300</v>
      </c>
      <c r="FX20" s="1">
        <v>20.0</v>
      </c>
      <c r="FY20" s="1" t="s">
        <v>300</v>
      </c>
      <c r="FZ20" s="1">
        <v>24.0</v>
      </c>
      <c r="GA20" s="1" t="s">
        <v>300</v>
      </c>
      <c r="GB20" s="1">
        <v>6.0</v>
      </c>
      <c r="GC20" s="1" t="s">
        <v>299</v>
      </c>
      <c r="GD20" s="1">
        <v>6.0</v>
      </c>
      <c r="GE20" s="1" t="s">
        <v>299</v>
      </c>
      <c r="GF20" s="1">
        <v>24.0</v>
      </c>
      <c r="GG20" s="1" t="s">
        <v>300</v>
      </c>
      <c r="GH20" s="1">
        <v>18.0</v>
      </c>
      <c r="GI20" s="1" t="s">
        <v>331</v>
      </c>
      <c r="GJ20" s="1">
        <v>32.0</v>
      </c>
      <c r="GK20" s="1" t="s">
        <v>300</v>
      </c>
      <c r="GL20" s="1">
        <v>22.0</v>
      </c>
      <c r="GM20" s="1" t="s">
        <v>300</v>
      </c>
      <c r="GN20" s="1">
        <v>24.0</v>
      </c>
      <c r="GO20" s="1" t="s">
        <v>299</v>
      </c>
      <c r="GP20" s="1">
        <v>12.0</v>
      </c>
      <c r="GQ20" s="1" t="s">
        <v>299</v>
      </c>
      <c r="GR20" s="1">
        <v>24.0</v>
      </c>
      <c r="GS20" s="1" t="s">
        <v>300</v>
      </c>
      <c r="GT20" s="1">
        <v>25.0</v>
      </c>
      <c r="GU20" s="1" t="s">
        <v>300</v>
      </c>
      <c r="GV20" s="1">
        <v>12.0</v>
      </c>
      <c r="GW20" s="1" t="s">
        <v>299</v>
      </c>
      <c r="GX20" s="1">
        <v>18.0</v>
      </c>
      <c r="GY20" s="1" t="s">
        <v>300</v>
      </c>
      <c r="GZ20" s="1">
        <v>29.0</v>
      </c>
      <c r="HA20" s="1" t="s">
        <v>300</v>
      </c>
      <c r="HB20" s="1">
        <v>6.0</v>
      </c>
      <c r="HC20" s="1" t="s">
        <v>299</v>
      </c>
      <c r="HD20" s="1">
        <v>13.0</v>
      </c>
      <c r="HE20" s="1" t="s">
        <v>299</v>
      </c>
      <c r="HF20" s="1">
        <v>6.0</v>
      </c>
      <c r="HG20" s="1" t="s">
        <v>299</v>
      </c>
      <c r="HH20" s="1">
        <v>14.0</v>
      </c>
      <c r="HI20" s="1" t="s">
        <v>299</v>
      </c>
      <c r="HJ20" s="1">
        <v>24.0</v>
      </c>
      <c r="HK20" s="1" t="s">
        <v>300</v>
      </c>
    </row>
    <row r="21">
      <c r="A21" s="44" t="s">
        <v>659</v>
      </c>
      <c r="B21" s="3">
        <v>87.0</v>
      </c>
      <c r="C21" s="3" t="s">
        <v>661</v>
      </c>
      <c r="D21" s="30">
        <v>28526.0</v>
      </c>
      <c r="E21" s="1">
        <v>48.0</v>
      </c>
      <c r="F21" s="3" t="s">
        <v>252</v>
      </c>
      <c r="G21" s="3" t="s">
        <v>253</v>
      </c>
      <c r="H21" s="3" t="s">
        <v>253</v>
      </c>
      <c r="I21" s="3" t="s">
        <v>252</v>
      </c>
      <c r="J21" s="3" t="s">
        <v>253</v>
      </c>
      <c r="K21" s="3" t="s">
        <v>253</v>
      </c>
      <c r="L21" s="3" t="s">
        <v>254</v>
      </c>
      <c r="M21" s="3" t="s">
        <v>255</v>
      </c>
      <c r="N21" s="3" t="s">
        <v>254</v>
      </c>
      <c r="O21" s="3" t="s">
        <v>255</v>
      </c>
      <c r="P21" s="3" t="s">
        <v>254</v>
      </c>
      <c r="Q21" s="3" t="s">
        <v>548</v>
      </c>
      <c r="R21" s="7" t="s">
        <v>257</v>
      </c>
      <c r="S21" s="7" t="s">
        <v>258</v>
      </c>
      <c r="T21" s="1" t="s">
        <v>259</v>
      </c>
      <c r="U21" s="1" t="s">
        <v>360</v>
      </c>
      <c r="V21" s="34"/>
      <c r="W21" s="34"/>
      <c r="X21" s="1" t="s">
        <v>254</v>
      </c>
      <c r="Y21" s="1">
        <v>0.0</v>
      </c>
      <c r="Z21" s="1">
        <v>0.0</v>
      </c>
      <c r="AA21" s="1">
        <v>0.0</v>
      </c>
      <c r="AB21" s="1" t="s">
        <v>665</v>
      </c>
      <c r="AC21" s="1">
        <v>0.0</v>
      </c>
      <c r="AD21" s="1">
        <v>0.0</v>
      </c>
      <c r="AE21" s="1">
        <v>0.0</v>
      </c>
      <c r="AF21" s="1" t="s">
        <v>254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 t="s">
        <v>578</v>
      </c>
      <c r="AM21" s="1" t="s">
        <v>610</v>
      </c>
      <c r="AN21" s="1" t="s">
        <v>269</v>
      </c>
      <c r="AO21" s="1" t="s">
        <v>270</v>
      </c>
      <c r="AP21" s="1" t="s">
        <v>284</v>
      </c>
      <c r="AQ21" s="1" t="s">
        <v>595</v>
      </c>
      <c r="AR21" s="1">
        <v>4.0</v>
      </c>
      <c r="AS21" s="1" t="s">
        <v>273</v>
      </c>
      <c r="AT21" s="1" t="s">
        <v>274</v>
      </c>
      <c r="AU21" s="1" t="s">
        <v>344</v>
      </c>
      <c r="AV21" s="1" t="s">
        <v>345</v>
      </c>
      <c r="AW21" s="1" t="s">
        <v>544</v>
      </c>
      <c r="AX21" s="1" t="s">
        <v>254</v>
      </c>
      <c r="AY21" s="1">
        <v>0.0</v>
      </c>
      <c r="AZ21" s="1" t="s">
        <v>255</v>
      </c>
      <c r="BA21" s="1" t="s">
        <v>319</v>
      </c>
      <c r="BB21" s="1" t="s">
        <v>255</v>
      </c>
      <c r="BC21" s="1" t="s">
        <v>279</v>
      </c>
      <c r="BD21" s="1">
        <v>1.0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 t="s">
        <v>382</v>
      </c>
      <c r="BM21" s="1" t="s">
        <v>578</v>
      </c>
      <c r="BN21" s="1" t="s">
        <v>610</v>
      </c>
      <c r="BO21" s="1" t="s">
        <v>269</v>
      </c>
      <c r="BP21" s="1" t="s">
        <v>270</v>
      </c>
      <c r="BQ21" s="1" t="s">
        <v>284</v>
      </c>
      <c r="BR21" s="1" t="s">
        <v>255</v>
      </c>
      <c r="BS21" s="1" t="s">
        <v>525</v>
      </c>
      <c r="BT21" s="1" t="s">
        <v>254</v>
      </c>
      <c r="BU21" s="1" t="s">
        <v>254</v>
      </c>
      <c r="BV21" s="1" t="s">
        <v>254</v>
      </c>
      <c r="BW21" s="1" t="s">
        <v>255</v>
      </c>
      <c r="BX21" s="1">
        <v>0.0</v>
      </c>
      <c r="BY21" s="1">
        <v>0.0</v>
      </c>
      <c r="BZ21" s="1">
        <v>2.0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</v>
      </c>
      <c r="CK21" s="1" t="s">
        <v>384</v>
      </c>
      <c r="CL21" s="1" t="s">
        <v>317</v>
      </c>
      <c r="CM21" s="1" t="s">
        <v>254</v>
      </c>
      <c r="CN21" s="1">
        <v>0.0</v>
      </c>
      <c r="CO21" s="1" t="s">
        <v>254</v>
      </c>
      <c r="CP21" s="1">
        <v>0.0</v>
      </c>
      <c r="CQ21" s="1">
        <v>4.0</v>
      </c>
      <c r="CR21" s="1">
        <v>2.0</v>
      </c>
      <c r="CS21" s="1">
        <v>2.0</v>
      </c>
      <c r="CT21" s="1" t="s">
        <v>666</v>
      </c>
      <c r="CU21" s="1" t="s">
        <v>667</v>
      </c>
      <c r="CV21" s="1" t="s">
        <v>254</v>
      </c>
      <c r="CW21" s="1" t="s">
        <v>254</v>
      </c>
      <c r="CX21" s="1" t="s">
        <v>254</v>
      </c>
      <c r="CY21" s="1" t="s">
        <v>254</v>
      </c>
      <c r="CZ21" s="1" t="s">
        <v>254</v>
      </c>
      <c r="DA21" s="1" t="s">
        <v>255</v>
      </c>
      <c r="DB21" s="1" t="s">
        <v>255</v>
      </c>
      <c r="DC21" s="1" t="s">
        <v>254</v>
      </c>
      <c r="DD21" s="1" t="s">
        <v>255</v>
      </c>
      <c r="DE21" s="1" t="s">
        <v>290</v>
      </c>
      <c r="DF21" s="1" t="s">
        <v>291</v>
      </c>
      <c r="DG21" s="1" t="s">
        <v>292</v>
      </c>
      <c r="DH21" s="1" t="s">
        <v>292</v>
      </c>
      <c r="DI21" s="1" t="s">
        <v>290</v>
      </c>
      <c r="DJ21" s="1" t="s">
        <v>293</v>
      </c>
      <c r="DK21" s="1" t="s">
        <v>293</v>
      </c>
      <c r="DL21" s="1" t="s">
        <v>290</v>
      </c>
      <c r="DM21" s="1" t="s">
        <v>291</v>
      </c>
      <c r="DN21" s="1" t="s">
        <v>293</v>
      </c>
      <c r="DO21" s="1" t="s">
        <v>293</v>
      </c>
      <c r="DP21" s="1" t="s">
        <v>293</v>
      </c>
      <c r="DQ21" s="1" t="s">
        <v>293</v>
      </c>
      <c r="DR21" s="1" t="s">
        <v>293</v>
      </c>
      <c r="DS21" s="1" t="s">
        <v>293</v>
      </c>
      <c r="DT21" s="1" t="s">
        <v>293</v>
      </c>
      <c r="DU21" s="1" t="s">
        <v>293</v>
      </c>
      <c r="DV21" s="1" t="s">
        <v>293</v>
      </c>
      <c r="DW21" s="1" t="s">
        <v>293</v>
      </c>
      <c r="DX21" s="1" t="s">
        <v>293</v>
      </c>
      <c r="DY21" s="1" t="s">
        <v>293</v>
      </c>
      <c r="DZ21" s="1" t="s">
        <v>293</v>
      </c>
      <c r="EA21" s="1" t="s">
        <v>254</v>
      </c>
      <c r="EB21" s="1" t="s">
        <v>254</v>
      </c>
      <c r="EC21" s="1" t="s">
        <v>254</v>
      </c>
      <c r="ED21" s="1">
        <v>0.0</v>
      </c>
      <c r="EE21" s="1" t="s">
        <v>255</v>
      </c>
      <c r="EF21" s="1" t="s">
        <v>294</v>
      </c>
      <c r="EG21" s="1" t="s">
        <v>295</v>
      </c>
      <c r="EI21" s="1" t="s">
        <v>293</v>
      </c>
      <c r="EJ21" s="1" t="s">
        <v>293</v>
      </c>
      <c r="EK21" s="1" t="s">
        <v>293</v>
      </c>
      <c r="EL21" s="1" t="s">
        <v>293</v>
      </c>
      <c r="EM21" s="1" t="s">
        <v>293</v>
      </c>
      <c r="EN21" s="1" t="s">
        <v>296</v>
      </c>
      <c r="EO21" s="1" t="s">
        <v>293</v>
      </c>
      <c r="EP21" s="1" t="s">
        <v>293</v>
      </c>
      <c r="EQ21" s="1" t="s">
        <v>293</v>
      </c>
      <c r="ER21" s="1" t="s">
        <v>293</v>
      </c>
      <c r="ES21" s="1" t="s">
        <v>293</v>
      </c>
      <c r="ET21" s="1" t="s">
        <v>293</v>
      </c>
      <c r="EU21" s="1" t="s">
        <v>293</v>
      </c>
      <c r="EV21" s="1" t="s">
        <v>297</v>
      </c>
      <c r="EW21" s="1" t="s">
        <v>254</v>
      </c>
      <c r="EX21" s="1" t="s">
        <v>254</v>
      </c>
      <c r="EY21" s="1">
        <v>0.0</v>
      </c>
      <c r="EZ21" s="1">
        <v>0.0</v>
      </c>
      <c r="FA21" s="1">
        <v>0.0</v>
      </c>
      <c r="FB21" s="1" t="s">
        <v>254</v>
      </c>
      <c r="FC21" s="1">
        <v>0.0</v>
      </c>
      <c r="FD21" s="1">
        <v>0.0</v>
      </c>
      <c r="FE21" s="1">
        <v>0.0</v>
      </c>
      <c r="FF21" s="1" t="s">
        <v>293</v>
      </c>
      <c r="FG21" s="1">
        <v>0.0</v>
      </c>
      <c r="FH21" s="1">
        <v>0.0</v>
      </c>
      <c r="FI21" s="1">
        <v>0.0</v>
      </c>
      <c r="FJ21" s="1" t="s">
        <v>293</v>
      </c>
      <c r="FK21" s="1">
        <v>0.0</v>
      </c>
      <c r="FL21" s="1">
        <v>0.0</v>
      </c>
      <c r="FM21" s="1">
        <v>0.0</v>
      </c>
      <c r="FN21" s="1" t="s">
        <v>293</v>
      </c>
      <c r="FO21" s="1">
        <v>0.0</v>
      </c>
      <c r="FP21" s="1">
        <v>0.0</v>
      </c>
      <c r="FQ21" s="1">
        <v>0.0</v>
      </c>
      <c r="FR21" s="45" t="s">
        <v>198</v>
      </c>
      <c r="FS21" s="28" t="s">
        <v>205</v>
      </c>
      <c r="FT21" s="28" t="s">
        <v>205</v>
      </c>
      <c r="FU21" s="28" t="s">
        <v>298</v>
      </c>
      <c r="FV21" s="1">
        <v>6.0</v>
      </c>
      <c r="FW21" s="1" t="s">
        <v>299</v>
      </c>
      <c r="FX21" s="1">
        <v>18.0</v>
      </c>
      <c r="FY21" s="1" t="s">
        <v>300</v>
      </c>
      <c r="FZ21" s="1">
        <v>6.0</v>
      </c>
      <c r="GA21" s="1" t="s">
        <v>299</v>
      </c>
      <c r="GB21" s="1">
        <v>6.0</v>
      </c>
      <c r="GC21" s="1" t="s">
        <v>299</v>
      </c>
      <c r="GD21" s="1">
        <v>18.0</v>
      </c>
      <c r="GE21" s="1" t="s">
        <v>331</v>
      </c>
      <c r="GF21" s="1">
        <v>20.0</v>
      </c>
      <c r="GG21" s="1" t="s">
        <v>300</v>
      </c>
      <c r="GH21" s="1">
        <v>11.0</v>
      </c>
      <c r="GI21" s="1" t="s">
        <v>299</v>
      </c>
      <c r="GJ21" s="1">
        <v>6.0</v>
      </c>
      <c r="GK21" s="1" t="s">
        <v>299</v>
      </c>
      <c r="GL21" s="1">
        <v>6.0</v>
      </c>
      <c r="GM21" s="1" t="s">
        <v>299</v>
      </c>
      <c r="GN21" s="1">
        <v>20.0</v>
      </c>
      <c r="GO21" s="1" t="s">
        <v>299</v>
      </c>
      <c r="GP21" s="1">
        <v>15.0</v>
      </c>
      <c r="GQ21" s="1" t="s">
        <v>299</v>
      </c>
      <c r="GR21" s="1">
        <v>22.0</v>
      </c>
      <c r="GS21" s="1" t="s">
        <v>300</v>
      </c>
      <c r="GT21" s="1">
        <v>6.0</v>
      </c>
      <c r="GU21" s="1" t="s">
        <v>299</v>
      </c>
      <c r="GV21" s="1">
        <v>16.0</v>
      </c>
      <c r="GW21" s="1" t="s">
        <v>300</v>
      </c>
      <c r="GX21" s="1">
        <v>12.0</v>
      </c>
      <c r="GY21" s="1" t="s">
        <v>300</v>
      </c>
      <c r="GZ21" s="1">
        <v>16.0</v>
      </c>
      <c r="HA21" s="1" t="s">
        <v>299</v>
      </c>
      <c r="HB21" s="1">
        <v>6.0</v>
      </c>
      <c r="HC21" s="1" t="s">
        <v>299</v>
      </c>
      <c r="HD21" s="1">
        <v>11.0</v>
      </c>
      <c r="HE21" s="1" t="s">
        <v>299</v>
      </c>
      <c r="HF21" s="1">
        <v>15.0</v>
      </c>
      <c r="HG21" s="1" t="s">
        <v>299</v>
      </c>
      <c r="HH21" s="1">
        <v>23.0</v>
      </c>
      <c r="HI21" s="1" t="s">
        <v>299</v>
      </c>
      <c r="HJ21" s="1">
        <v>17.0</v>
      </c>
      <c r="HK21" s="1" t="s">
        <v>299</v>
      </c>
    </row>
    <row r="22">
      <c r="A22" s="44" t="s">
        <v>670</v>
      </c>
      <c r="B22" s="3">
        <v>92.0</v>
      </c>
      <c r="C22" s="3" t="s">
        <v>671</v>
      </c>
      <c r="D22" s="30">
        <v>36476.0</v>
      </c>
      <c r="E22" s="1">
        <v>26.0</v>
      </c>
      <c r="F22" s="3" t="s">
        <v>252</v>
      </c>
      <c r="G22" s="3" t="s">
        <v>253</v>
      </c>
      <c r="H22" s="3" t="s">
        <v>253</v>
      </c>
      <c r="I22" s="3" t="s">
        <v>252</v>
      </c>
      <c r="J22" s="3" t="s">
        <v>253</v>
      </c>
      <c r="K22" s="3" t="s">
        <v>253</v>
      </c>
      <c r="L22" s="3" t="s">
        <v>254</v>
      </c>
      <c r="M22" s="3" t="s">
        <v>255</v>
      </c>
      <c r="N22" s="3" t="s">
        <v>254</v>
      </c>
      <c r="O22" s="3" t="s">
        <v>255</v>
      </c>
      <c r="P22" s="3" t="s">
        <v>254</v>
      </c>
      <c r="Q22" s="3" t="s">
        <v>548</v>
      </c>
      <c r="R22" s="7" t="s">
        <v>257</v>
      </c>
      <c r="S22" s="7" t="s">
        <v>258</v>
      </c>
      <c r="T22" s="1" t="s">
        <v>259</v>
      </c>
      <c r="U22" s="1" t="s">
        <v>306</v>
      </c>
      <c r="W22" s="34"/>
      <c r="X22" s="1" t="s">
        <v>254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 t="s">
        <v>255</v>
      </c>
      <c r="AG22" s="1" t="s">
        <v>672</v>
      </c>
      <c r="AH22" s="1" t="s">
        <v>673</v>
      </c>
      <c r="AI22" s="30">
        <v>45872.0</v>
      </c>
      <c r="AJ22" s="1" t="s">
        <v>366</v>
      </c>
      <c r="AK22" s="1">
        <v>0.0</v>
      </c>
      <c r="AL22" s="1" t="s">
        <v>609</v>
      </c>
      <c r="AM22" s="1" t="s">
        <v>610</v>
      </c>
      <c r="AN22" s="1" t="s">
        <v>269</v>
      </c>
      <c r="AO22" s="1" t="s">
        <v>270</v>
      </c>
      <c r="AP22" s="1" t="s">
        <v>284</v>
      </c>
      <c r="AQ22" s="1" t="s">
        <v>464</v>
      </c>
      <c r="AR22" s="1">
        <v>3.0</v>
      </c>
      <c r="AS22" s="1" t="s">
        <v>273</v>
      </c>
      <c r="AT22" s="1" t="s">
        <v>274</v>
      </c>
      <c r="AU22" s="1" t="s">
        <v>275</v>
      </c>
      <c r="AV22" s="1" t="s">
        <v>276</v>
      </c>
      <c r="AW22" s="1" t="s">
        <v>544</v>
      </c>
      <c r="AX22" s="1" t="s">
        <v>254</v>
      </c>
      <c r="AY22" s="1">
        <v>0.0</v>
      </c>
      <c r="AZ22" s="1" t="s">
        <v>255</v>
      </c>
      <c r="BA22" s="1" t="s">
        <v>278</v>
      </c>
      <c r="BB22" s="1" t="s">
        <v>255</v>
      </c>
      <c r="BC22" s="1" t="s">
        <v>279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 t="s">
        <v>320</v>
      </c>
      <c r="BM22" s="1" t="s">
        <v>609</v>
      </c>
      <c r="BN22" s="1" t="s">
        <v>610</v>
      </c>
      <c r="BO22" s="1" t="s">
        <v>269</v>
      </c>
      <c r="BP22" s="1" t="s">
        <v>270</v>
      </c>
      <c r="BQ22" s="1" t="s">
        <v>284</v>
      </c>
      <c r="BR22" s="1" t="s">
        <v>254</v>
      </c>
      <c r="BS22" s="1" t="s">
        <v>254</v>
      </c>
      <c r="BT22" s="1" t="s">
        <v>254</v>
      </c>
      <c r="BU22" s="1" t="s">
        <v>254</v>
      </c>
      <c r="BV22" s="1" t="s">
        <v>254</v>
      </c>
      <c r="BW22" s="1" t="s">
        <v>254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  <c r="CL22" s="1">
        <v>0.0</v>
      </c>
      <c r="CM22" s="1" t="s">
        <v>254</v>
      </c>
      <c r="CN22" s="1">
        <v>0.0</v>
      </c>
      <c r="CO22" s="1" t="s">
        <v>254</v>
      </c>
      <c r="CP22" s="1">
        <v>0.0</v>
      </c>
      <c r="CQ22" s="1">
        <v>2.0</v>
      </c>
      <c r="CR22" s="1">
        <v>0.0</v>
      </c>
      <c r="CS22" s="1">
        <v>2.0</v>
      </c>
      <c r="CT22" s="1" t="s">
        <v>675</v>
      </c>
      <c r="CU22" s="1" t="s">
        <v>676</v>
      </c>
      <c r="CV22" s="1" t="s">
        <v>255</v>
      </c>
      <c r="CW22" s="1" t="s">
        <v>254</v>
      </c>
      <c r="CX22" s="1" t="s">
        <v>254</v>
      </c>
      <c r="CY22" s="1" t="s">
        <v>254</v>
      </c>
      <c r="CZ22" s="1" t="s">
        <v>254</v>
      </c>
      <c r="DA22" s="1" t="s">
        <v>255</v>
      </c>
      <c r="DB22" s="1" t="s">
        <v>254</v>
      </c>
      <c r="DC22" s="1" t="s">
        <v>255</v>
      </c>
      <c r="DD22" s="1" t="s">
        <v>255</v>
      </c>
      <c r="DE22" s="1" t="s">
        <v>388</v>
      </c>
      <c r="DF22" s="1" t="s">
        <v>293</v>
      </c>
      <c r="DG22" s="1" t="s">
        <v>450</v>
      </c>
      <c r="DH22" s="1" t="s">
        <v>293</v>
      </c>
      <c r="DI22" s="1" t="s">
        <v>293</v>
      </c>
      <c r="DJ22" s="1" t="s">
        <v>293</v>
      </c>
      <c r="DK22" s="1" t="s">
        <v>293</v>
      </c>
      <c r="DL22" s="1" t="s">
        <v>353</v>
      </c>
      <c r="DM22" s="1" t="s">
        <v>293</v>
      </c>
      <c r="DN22" s="1" t="s">
        <v>293</v>
      </c>
      <c r="DO22" s="1" t="s">
        <v>293</v>
      </c>
      <c r="DP22" s="1" t="s">
        <v>451</v>
      </c>
      <c r="DQ22" s="1" t="s">
        <v>293</v>
      </c>
      <c r="DR22" s="1" t="s">
        <v>293</v>
      </c>
      <c r="DS22" s="1" t="s">
        <v>293</v>
      </c>
      <c r="DT22" s="1" t="s">
        <v>293</v>
      </c>
      <c r="DU22" s="1" t="s">
        <v>293</v>
      </c>
      <c r="DV22" s="1" t="s">
        <v>293</v>
      </c>
      <c r="DW22" s="1" t="s">
        <v>293</v>
      </c>
      <c r="DX22" s="1" t="s">
        <v>293</v>
      </c>
      <c r="DY22" s="1" t="s">
        <v>293</v>
      </c>
      <c r="DZ22" s="1" t="s">
        <v>293</v>
      </c>
      <c r="EA22" s="1" t="s">
        <v>254</v>
      </c>
      <c r="EB22" s="1" t="s">
        <v>254</v>
      </c>
      <c r="EC22" s="1" t="s">
        <v>254</v>
      </c>
      <c r="ED22" s="1">
        <v>0.0</v>
      </c>
      <c r="EE22" s="1" t="s">
        <v>255</v>
      </c>
      <c r="EF22" s="1" t="s">
        <v>452</v>
      </c>
      <c r="EG22" s="1" t="s">
        <v>389</v>
      </c>
      <c r="EI22" s="1" t="s">
        <v>390</v>
      </c>
      <c r="EJ22" s="1" t="s">
        <v>293</v>
      </c>
      <c r="EK22" s="1" t="s">
        <v>293</v>
      </c>
      <c r="EL22" s="1" t="s">
        <v>293</v>
      </c>
      <c r="EM22" s="1" t="s">
        <v>293</v>
      </c>
      <c r="EN22" s="1" t="s">
        <v>353</v>
      </c>
      <c r="EO22" s="1" t="s">
        <v>293</v>
      </c>
      <c r="EP22" s="1" t="s">
        <v>293</v>
      </c>
      <c r="EQ22" s="1" t="s">
        <v>293</v>
      </c>
      <c r="ER22" s="1" t="s">
        <v>293</v>
      </c>
      <c r="ES22" s="1" t="s">
        <v>293</v>
      </c>
      <c r="ET22" s="1" t="s">
        <v>293</v>
      </c>
      <c r="EU22" s="1" t="s">
        <v>293</v>
      </c>
      <c r="EV22" s="1" t="s">
        <v>387</v>
      </c>
      <c r="EW22" s="1" t="s">
        <v>254</v>
      </c>
      <c r="EX22" s="1" t="s">
        <v>254</v>
      </c>
      <c r="EY22" s="1">
        <v>0.0</v>
      </c>
      <c r="EZ22" s="1" t="s">
        <v>427</v>
      </c>
      <c r="FA22" s="1" t="s">
        <v>453</v>
      </c>
      <c r="FB22" s="1" t="s">
        <v>454</v>
      </c>
      <c r="FC22" s="1">
        <v>0.0</v>
      </c>
      <c r="FD22" s="1">
        <v>0.0</v>
      </c>
      <c r="FE22" s="1">
        <v>0.0</v>
      </c>
      <c r="FF22" s="1" t="s">
        <v>454</v>
      </c>
      <c r="FG22" s="1">
        <v>0.0</v>
      </c>
      <c r="FH22" s="1">
        <v>0.0</v>
      </c>
      <c r="FI22" s="1">
        <v>0.0</v>
      </c>
      <c r="FJ22" s="1" t="s">
        <v>454</v>
      </c>
      <c r="FK22" s="1">
        <v>0.0</v>
      </c>
      <c r="FL22" s="1">
        <v>0.0</v>
      </c>
      <c r="FM22" s="1">
        <v>0.0</v>
      </c>
      <c r="FN22" s="1" t="s">
        <v>454</v>
      </c>
      <c r="FO22" s="1">
        <v>0.0</v>
      </c>
      <c r="FP22" s="1">
        <v>0.0</v>
      </c>
      <c r="FQ22" s="1">
        <v>0.0</v>
      </c>
      <c r="FR22" s="45" t="s">
        <v>198</v>
      </c>
      <c r="FS22" s="28" t="s">
        <v>205</v>
      </c>
      <c r="FT22" s="28" t="s">
        <v>205</v>
      </c>
      <c r="FU22" s="28" t="s">
        <v>298</v>
      </c>
      <c r="FV22" s="1">
        <v>6.0</v>
      </c>
      <c r="FW22" s="1" t="s">
        <v>299</v>
      </c>
      <c r="FX22" s="1">
        <v>20.0</v>
      </c>
      <c r="FY22" s="1" t="s">
        <v>300</v>
      </c>
      <c r="FZ22" s="1">
        <v>16.0</v>
      </c>
      <c r="GA22" s="1" t="s">
        <v>300</v>
      </c>
      <c r="GB22" s="1">
        <v>6.0</v>
      </c>
      <c r="GC22" s="1" t="s">
        <v>299</v>
      </c>
      <c r="GD22" s="1">
        <v>6.0</v>
      </c>
      <c r="GE22" s="1" t="s">
        <v>299</v>
      </c>
      <c r="GF22" s="1">
        <v>24.0</v>
      </c>
      <c r="GG22" s="1" t="s">
        <v>300</v>
      </c>
      <c r="GH22" s="1">
        <v>11.0</v>
      </c>
      <c r="GI22" s="1" t="s">
        <v>299</v>
      </c>
      <c r="GJ22" s="1">
        <v>6.0</v>
      </c>
      <c r="GK22" s="1" t="s">
        <v>299</v>
      </c>
      <c r="GL22" s="1">
        <v>6.0</v>
      </c>
      <c r="GM22" s="1" t="s">
        <v>299</v>
      </c>
      <c r="GN22" s="1">
        <v>23.0</v>
      </c>
      <c r="GO22" s="1" t="s">
        <v>299</v>
      </c>
      <c r="GP22" s="1">
        <v>6.0</v>
      </c>
      <c r="GQ22" s="1" t="s">
        <v>299</v>
      </c>
      <c r="GR22" s="1">
        <v>23.0</v>
      </c>
      <c r="GS22" s="1" t="s">
        <v>300</v>
      </c>
      <c r="GT22" s="1">
        <v>6.0</v>
      </c>
      <c r="GU22" s="1" t="s">
        <v>299</v>
      </c>
      <c r="GV22" s="1">
        <v>13.0</v>
      </c>
      <c r="GW22" s="1" t="s">
        <v>299</v>
      </c>
      <c r="GX22" s="1">
        <v>18.0</v>
      </c>
      <c r="GY22" s="1" t="s">
        <v>300</v>
      </c>
      <c r="GZ22" s="1">
        <v>22.0</v>
      </c>
      <c r="HA22" s="1" t="s">
        <v>299</v>
      </c>
      <c r="HB22" s="1">
        <v>6.0</v>
      </c>
      <c r="HC22" s="1" t="s">
        <v>299</v>
      </c>
      <c r="HD22" s="1">
        <v>11.0</v>
      </c>
      <c r="HE22" s="1" t="s">
        <v>299</v>
      </c>
      <c r="HF22" s="1">
        <v>14.0</v>
      </c>
      <c r="HG22" s="1" t="s">
        <v>299</v>
      </c>
      <c r="HH22" s="1">
        <v>23.0</v>
      </c>
      <c r="HI22" s="1" t="s">
        <v>299</v>
      </c>
      <c r="HJ22" s="1">
        <v>18.0</v>
      </c>
      <c r="HK22" s="1" t="s">
        <v>299</v>
      </c>
    </row>
    <row r="23">
      <c r="A23" s="44" t="s">
        <v>680</v>
      </c>
      <c r="B23" s="3">
        <v>93.0</v>
      </c>
      <c r="C23" s="3" t="s">
        <v>681</v>
      </c>
      <c r="D23" s="30">
        <v>20935.0</v>
      </c>
      <c r="E23" s="1">
        <v>69.0</v>
      </c>
      <c r="F23" s="3" t="s">
        <v>252</v>
      </c>
      <c r="G23" s="3" t="s">
        <v>253</v>
      </c>
      <c r="H23" s="3" t="s">
        <v>253</v>
      </c>
      <c r="I23" s="3" t="s">
        <v>252</v>
      </c>
      <c r="J23" s="3" t="s">
        <v>253</v>
      </c>
      <c r="K23" s="3" t="s">
        <v>253</v>
      </c>
      <c r="L23" s="3" t="s">
        <v>254</v>
      </c>
      <c r="M23" s="3" t="s">
        <v>255</v>
      </c>
      <c r="N23" s="3" t="s">
        <v>254</v>
      </c>
      <c r="O23" s="3" t="s">
        <v>255</v>
      </c>
      <c r="P23" s="3" t="s">
        <v>254</v>
      </c>
      <c r="Q23" s="3" t="s">
        <v>548</v>
      </c>
      <c r="R23" s="7" t="s">
        <v>334</v>
      </c>
      <c r="S23" s="7" t="s">
        <v>258</v>
      </c>
      <c r="T23" s="1" t="s">
        <v>259</v>
      </c>
      <c r="U23" s="1" t="s">
        <v>360</v>
      </c>
      <c r="V23" s="34"/>
      <c r="W23" s="34"/>
      <c r="X23" s="1" t="s">
        <v>254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 t="s">
        <v>254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 t="s">
        <v>622</v>
      </c>
      <c r="AM23" s="1" t="s">
        <v>610</v>
      </c>
      <c r="AN23" s="1" t="s">
        <v>269</v>
      </c>
      <c r="AO23" s="1" t="s">
        <v>270</v>
      </c>
      <c r="AP23" s="1" t="s">
        <v>284</v>
      </c>
      <c r="AQ23" s="1" t="s">
        <v>443</v>
      </c>
      <c r="AR23" s="1">
        <v>2.0</v>
      </c>
      <c r="AS23" s="1" t="s">
        <v>273</v>
      </c>
      <c r="AT23" s="1" t="s">
        <v>274</v>
      </c>
      <c r="AU23" s="1" t="s">
        <v>316</v>
      </c>
      <c r="AV23" s="1" t="s">
        <v>317</v>
      </c>
      <c r="AW23" s="1" t="s">
        <v>402</v>
      </c>
      <c r="AX23" s="1" t="s">
        <v>254</v>
      </c>
      <c r="AY23" s="1">
        <v>0.0</v>
      </c>
      <c r="AZ23" s="1" t="s">
        <v>255</v>
      </c>
      <c r="BA23" s="1" t="s">
        <v>319</v>
      </c>
      <c r="BB23" s="1" t="s">
        <v>255</v>
      </c>
      <c r="BC23" s="31" t="s">
        <v>279</v>
      </c>
      <c r="BD23" s="1">
        <v>1.0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 t="s">
        <v>382</v>
      </c>
      <c r="BM23" s="1" t="s">
        <v>622</v>
      </c>
      <c r="BN23" s="1" t="s">
        <v>610</v>
      </c>
      <c r="BO23" s="1" t="s">
        <v>269</v>
      </c>
      <c r="BP23" s="1" t="s">
        <v>270</v>
      </c>
      <c r="BQ23" s="1" t="s">
        <v>284</v>
      </c>
      <c r="BR23" s="1" t="s">
        <v>254</v>
      </c>
      <c r="BS23" s="1" t="s">
        <v>254</v>
      </c>
      <c r="BT23" s="1" t="s">
        <v>254</v>
      </c>
      <c r="BU23" s="1" t="s">
        <v>254</v>
      </c>
      <c r="BV23" s="1" t="s">
        <v>254</v>
      </c>
      <c r="BW23" s="1" t="s">
        <v>254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 t="s">
        <v>254</v>
      </c>
      <c r="CN23" s="1">
        <v>0.0</v>
      </c>
      <c r="CO23" s="1" t="s">
        <v>254</v>
      </c>
      <c r="CP23" s="1">
        <v>0.0</v>
      </c>
      <c r="CQ23" s="1">
        <v>0.0</v>
      </c>
      <c r="CR23" s="1">
        <v>0.0</v>
      </c>
      <c r="CS23" s="1">
        <v>3.0</v>
      </c>
      <c r="CT23" s="1" t="s">
        <v>652</v>
      </c>
      <c r="CU23" s="34"/>
      <c r="CV23" s="1" t="s">
        <v>254</v>
      </c>
      <c r="CW23" s="1" t="s">
        <v>254</v>
      </c>
      <c r="CX23" s="1" t="s">
        <v>254</v>
      </c>
      <c r="CY23" s="1" t="s">
        <v>254</v>
      </c>
      <c r="CZ23" s="1" t="s">
        <v>254</v>
      </c>
      <c r="DA23" s="1" t="s">
        <v>254</v>
      </c>
      <c r="DB23" s="1" t="s">
        <v>255</v>
      </c>
      <c r="DC23" s="1" t="s">
        <v>254</v>
      </c>
      <c r="DD23" s="1" t="s">
        <v>255</v>
      </c>
      <c r="DE23" s="1" t="s">
        <v>323</v>
      </c>
      <c r="DF23" s="1" t="s">
        <v>293</v>
      </c>
      <c r="DG23" s="1" t="s">
        <v>323</v>
      </c>
      <c r="DH23" s="1" t="s">
        <v>323</v>
      </c>
      <c r="DI23" s="1" t="s">
        <v>291</v>
      </c>
      <c r="DJ23" s="1" t="s">
        <v>293</v>
      </c>
      <c r="DK23" s="1" t="s">
        <v>293</v>
      </c>
      <c r="DL23" s="1" t="s">
        <v>290</v>
      </c>
      <c r="DM23" s="1" t="s">
        <v>323</v>
      </c>
      <c r="DN23" s="1" t="s">
        <v>293</v>
      </c>
      <c r="DO23" s="1" t="s">
        <v>293</v>
      </c>
      <c r="DP23" s="1" t="s">
        <v>293</v>
      </c>
      <c r="DQ23" s="1" t="s">
        <v>293</v>
      </c>
      <c r="DR23" s="1" t="s">
        <v>293</v>
      </c>
      <c r="DS23" s="1" t="s">
        <v>293</v>
      </c>
      <c r="DT23" s="1" t="s">
        <v>293</v>
      </c>
      <c r="DU23" s="1" t="s">
        <v>293</v>
      </c>
      <c r="DV23" s="1" t="s">
        <v>293</v>
      </c>
      <c r="DW23" s="1" t="s">
        <v>293</v>
      </c>
      <c r="DX23" s="1" t="s">
        <v>293</v>
      </c>
      <c r="DY23" s="1" t="s">
        <v>293</v>
      </c>
      <c r="DZ23" s="1" t="s">
        <v>293</v>
      </c>
      <c r="EA23" s="1" t="s">
        <v>254</v>
      </c>
      <c r="EB23" s="1" t="s">
        <v>254</v>
      </c>
      <c r="EC23" s="1" t="s">
        <v>254</v>
      </c>
      <c r="ED23" s="1">
        <v>0.0</v>
      </c>
      <c r="EE23" s="1" t="s">
        <v>254</v>
      </c>
      <c r="EF23" s="31">
        <v>0.0</v>
      </c>
      <c r="EG23" s="1">
        <v>0.0</v>
      </c>
      <c r="EH23" s="34"/>
      <c r="EI23" s="1" t="s">
        <v>293</v>
      </c>
      <c r="EJ23" s="1" t="s">
        <v>293</v>
      </c>
      <c r="EK23" s="1" t="s">
        <v>293</v>
      </c>
      <c r="EL23" s="1" t="s">
        <v>293</v>
      </c>
      <c r="EM23" s="1" t="s">
        <v>293</v>
      </c>
      <c r="EN23" s="1" t="s">
        <v>293</v>
      </c>
      <c r="EO23" s="1" t="s">
        <v>293</v>
      </c>
      <c r="EP23" s="1" t="s">
        <v>293</v>
      </c>
      <c r="EQ23" s="1" t="s">
        <v>293</v>
      </c>
      <c r="ER23" s="1" t="s">
        <v>293</v>
      </c>
      <c r="ES23" s="1" t="s">
        <v>293</v>
      </c>
      <c r="ET23" s="1" t="s">
        <v>293</v>
      </c>
      <c r="EU23" s="1" t="s">
        <v>422</v>
      </c>
      <c r="EV23" s="1" t="s">
        <v>423</v>
      </c>
      <c r="EW23" s="1" t="s">
        <v>255</v>
      </c>
      <c r="EX23" s="1" t="s">
        <v>254</v>
      </c>
      <c r="EY23" s="1" t="s">
        <v>425</v>
      </c>
      <c r="EZ23" s="1" t="s">
        <v>427</v>
      </c>
      <c r="FA23" s="1" t="s">
        <v>428</v>
      </c>
      <c r="FB23" s="1" t="s">
        <v>255</v>
      </c>
      <c r="FC23" s="1" t="s">
        <v>425</v>
      </c>
      <c r="FD23" s="1" t="s">
        <v>429</v>
      </c>
      <c r="FE23" s="1" t="s">
        <v>428</v>
      </c>
      <c r="FF23" s="1" t="s">
        <v>430</v>
      </c>
      <c r="FG23" s="1" t="s">
        <v>425</v>
      </c>
      <c r="FH23" s="1" t="s">
        <v>427</v>
      </c>
      <c r="FI23" s="1">
        <v>0.0</v>
      </c>
      <c r="FJ23" s="1" t="s">
        <v>430</v>
      </c>
      <c r="FK23" s="1" t="s">
        <v>425</v>
      </c>
      <c r="FL23" s="1" t="s">
        <v>427</v>
      </c>
      <c r="FM23" s="1">
        <v>0.0</v>
      </c>
      <c r="FN23" s="1" t="s">
        <v>293</v>
      </c>
      <c r="FO23" s="1">
        <v>0.0</v>
      </c>
      <c r="FP23" s="1">
        <v>0.0</v>
      </c>
      <c r="FQ23" s="1">
        <v>0.0</v>
      </c>
      <c r="FR23" s="45" t="s">
        <v>198</v>
      </c>
      <c r="FS23" s="28" t="s">
        <v>205</v>
      </c>
      <c r="FT23" s="28" t="s">
        <v>205</v>
      </c>
      <c r="FU23" s="28" t="s">
        <v>205</v>
      </c>
      <c r="FV23" s="1">
        <v>6.0</v>
      </c>
      <c r="FW23" s="1" t="s">
        <v>299</v>
      </c>
      <c r="FX23" s="1">
        <v>22.0</v>
      </c>
      <c r="FY23" s="1" t="s">
        <v>300</v>
      </c>
      <c r="FZ23" s="1">
        <v>6.0</v>
      </c>
      <c r="GA23" s="1" t="s">
        <v>299</v>
      </c>
      <c r="GB23" s="1">
        <v>6.0</v>
      </c>
      <c r="GC23" s="1" t="s">
        <v>299</v>
      </c>
      <c r="GD23" s="1">
        <v>11.0</v>
      </c>
      <c r="GE23" s="1" t="s">
        <v>299</v>
      </c>
      <c r="GF23" s="1">
        <v>6.0</v>
      </c>
      <c r="GG23" s="1" t="s">
        <v>299</v>
      </c>
      <c r="GH23" s="1">
        <v>16.0</v>
      </c>
      <c r="GI23" s="1" t="s">
        <v>299</v>
      </c>
      <c r="GJ23" s="1">
        <v>6.0</v>
      </c>
      <c r="GK23" s="1" t="s">
        <v>299</v>
      </c>
      <c r="GL23" s="1">
        <v>6.0</v>
      </c>
      <c r="GM23" s="1" t="s">
        <v>299</v>
      </c>
      <c r="GN23" s="1">
        <v>23.0</v>
      </c>
      <c r="GO23" s="1" t="s">
        <v>299</v>
      </c>
      <c r="GP23" s="1">
        <v>15.0</v>
      </c>
      <c r="GQ23" s="1" t="s">
        <v>299</v>
      </c>
      <c r="GR23" s="1">
        <v>18.0</v>
      </c>
      <c r="GS23" s="1" t="s">
        <v>299</v>
      </c>
      <c r="GT23" s="1">
        <v>6.0</v>
      </c>
      <c r="GU23" s="1" t="s">
        <v>299</v>
      </c>
      <c r="GV23" s="1">
        <v>9.0</v>
      </c>
      <c r="GW23" s="1" t="s">
        <v>299</v>
      </c>
      <c r="GX23" s="1">
        <v>11.0</v>
      </c>
      <c r="GY23" s="1" t="s">
        <v>300</v>
      </c>
      <c r="GZ23" s="1">
        <v>23.0</v>
      </c>
      <c r="HA23" s="1" t="s">
        <v>299</v>
      </c>
      <c r="HB23" s="1">
        <v>6.0</v>
      </c>
      <c r="HC23" s="1" t="s">
        <v>299</v>
      </c>
      <c r="HD23" s="1">
        <v>20.0</v>
      </c>
      <c r="HE23" s="1" t="s">
        <v>300</v>
      </c>
      <c r="HF23" s="1">
        <v>23.0</v>
      </c>
      <c r="HG23" s="1" t="s">
        <v>299</v>
      </c>
      <c r="HH23" s="1">
        <v>25.0</v>
      </c>
      <c r="HI23" s="1" t="s">
        <v>300</v>
      </c>
      <c r="HJ23" s="1">
        <v>10.0</v>
      </c>
      <c r="HK23" s="1" t="s">
        <v>299</v>
      </c>
    </row>
    <row r="24">
      <c r="A24" s="44" t="s">
        <v>680</v>
      </c>
      <c r="B24" s="3" t="s">
        <v>444</v>
      </c>
      <c r="C24" s="3" t="s">
        <v>688</v>
      </c>
      <c r="D24" s="30">
        <v>20935.0</v>
      </c>
      <c r="E24" s="1">
        <v>69.0</v>
      </c>
      <c r="F24" s="3" t="s">
        <v>252</v>
      </c>
      <c r="G24" s="3" t="s">
        <v>253</v>
      </c>
      <c r="H24" s="3" t="s">
        <v>253</v>
      </c>
      <c r="I24" s="3" t="s">
        <v>252</v>
      </c>
      <c r="J24" s="3" t="s">
        <v>253</v>
      </c>
      <c r="K24" s="3" t="s">
        <v>253</v>
      </c>
      <c r="L24" s="3" t="s">
        <v>254</v>
      </c>
      <c r="M24" s="3" t="s">
        <v>255</v>
      </c>
      <c r="N24" s="3" t="s">
        <v>254</v>
      </c>
      <c r="O24" s="3" t="s">
        <v>255</v>
      </c>
      <c r="P24" s="3" t="s">
        <v>254</v>
      </c>
      <c r="Q24" s="3" t="s">
        <v>548</v>
      </c>
      <c r="R24" s="7" t="s">
        <v>334</v>
      </c>
      <c r="S24" s="7" t="s">
        <v>258</v>
      </c>
      <c r="T24" s="1" t="s">
        <v>259</v>
      </c>
      <c r="U24" s="1" t="s">
        <v>360</v>
      </c>
      <c r="V24" s="34"/>
      <c r="W24" s="34"/>
      <c r="X24" s="1" t="s">
        <v>254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 t="s">
        <v>254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 t="s">
        <v>622</v>
      </c>
      <c r="AM24" s="1" t="s">
        <v>610</v>
      </c>
      <c r="AN24" s="1" t="s">
        <v>269</v>
      </c>
      <c r="AO24" s="1" t="s">
        <v>270</v>
      </c>
      <c r="AP24" s="1" t="s">
        <v>284</v>
      </c>
      <c r="AQ24" s="1" t="s">
        <v>443</v>
      </c>
      <c r="AR24" s="1">
        <v>2.0</v>
      </c>
      <c r="AS24" s="1" t="s">
        <v>273</v>
      </c>
      <c r="AT24" s="1" t="s">
        <v>274</v>
      </c>
      <c r="AU24" s="1" t="s">
        <v>316</v>
      </c>
      <c r="AV24" s="1" t="s">
        <v>317</v>
      </c>
      <c r="AW24" s="1" t="s">
        <v>402</v>
      </c>
      <c r="AX24" s="1" t="s">
        <v>254</v>
      </c>
      <c r="AY24" s="1">
        <v>0.0</v>
      </c>
      <c r="AZ24" s="1" t="s">
        <v>255</v>
      </c>
      <c r="BA24" s="1" t="s">
        <v>319</v>
      </c>
      <c r="BB24" s="1" t="s">
        <v>255</v>
      </c>
      <c r="BC24" s="31" t="s">
        <v>279</v>
      </c>
      <c r="BD24" s="1">
        <v>1.0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 t="s">
        <v>382</v>
      </c>
      <c r="BM24" s="1" t="s">
        <v>622</v>
      </c>
      <c r="BN24" s="1" t="s">
        <v>610</v>
      </c>
      <c r="BO24" s="1" t="s">
        <v>269</v>
      </c>
      <c r="BP24" s="1" t="s">
        <v>270</v>
      </c>
      <c r="BQ24" s="1" t="s">
        <v>284</v>
      </c>
      <c r="BR24" s="1" t="s">
        <v>254</v>
      </c>
      <c r="BS24" s="1" t="s">
        <v>254</v>
      </c>
      <c r="BT24" s="1" t="s">
        <v>254</v>
      </c>
      <c r="BU24" s="1" t="s">
        <v>254</v>
      </c>
      <c r="BV24" s="1" t="s">
        <v>254</v>
      </c>
      <c r="BW24" s="1" t="s">
        <v>254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 t="s">
        <v>254</v>
      </c>
      <c r="CN24" s="1">
        <v>0.0</v>
      </c>
      <c r="CO24" s="1" t="s">
        <v>254</v>
      </c>
      <c r="CP24" s="1">
        <v>0.0</v>
      </c>
      <c r="CQ24" s="1">
        <v>0.0</v>
      </c>
      <c r="CR24" s="1">
        <v>0.0</v>
      </c>
      <c r="CS24" s="1">
        <v>3.0</v>
      </c>
      <c r="CT24" s="1" t="s">
        <v>652</v>
      </c>
      <c r="CU24" s="34"/>
      <c r="CV24" s="1" t="s">
        <v>254</v>
      </c>
      <c r="CW24" s="1" t="s">
        <v>254</v>
      </c>
      <c r="CX24" s="1" t="s">
        <v>254</v>
      </c>
      <c r="CY24" s="1" t="s">
        <v>254</v>
      </c>
      <c r="CZ24" s="1" t="s">
        <v>254</v>
      </c>
      <c r="DA24" s="1" t="s">
        <v>254</v>
      </c>
      <c r="DB24" s="1" t="s">
        <v>255</v>
      </c>
      <c r="DC24" s="1" t="s">
        <v>254</v>
      </c>
      <c r="DD24" s="1" t="s">
        <v>255</v>
      </c>
      <c r="DE24" s="1" t="s">
        <v>323</v>
      </c>
      <c r="DF24" s="1" t="s">
        <v>293</v>
      </c>
      <c r="DG24" s="1" t="s">
        <v>323</v>
      </c>
      <c r="DH24" s="1" t="s">
        <v>323</v>
      </c>
      <c r="DI24" s="1" t="s">
        <v>291</v>
      </c>
      <c r="DJ24" s="1" t="s">
        <v>293</v>
      </c>
      <c r="DK24" s="1" t="s">
        <v>293</v>
      </c>
      <c r="DL24" s="1" t="s">
        <v>290</v>
      </c>
      <c r="DM24" s="1" t="s">
        <v>323</v>
      </c>
      <c r="DN24" s="1" t="s">
        <v>293</v>
      </c>
      <c r="DO24" s="1" t="s">
        <v>293</v>
      </c>
      <c r="DP24" s="1" t="s">
        <v>293</v>
      </c>
      <c r="DQ24" s="1" t="s">
        <v>293</v>
      </c>
      <c r="DR24" s="1" t="s">
        <v>293</v>
      </c>
      <c r="DS24" s="1" t="s">
        <v>293</v>
      </c>
      <c r="DT24" s="1" t="s">
        <v>293</v>
      </c>
      <c r="DU24" s="1" t="s">
        <v>293</v>
      </c>
      <c r="DV24" s="1" t="s">
        <v>293</v>
      </c>
      <c r="DW24" s="1" t="s">
        <v>293</v>
      </c>
      <c r="DX24" s="1" t="s">
        <v>293</v>
      </c>
      <c r="DY24" s="1" t="s">
        <v>293</v>
      </c>
      <c r="DZ24" s="1" t="s">
        <v>293</v>
      </c>
      <c r="EA24" s="1" t="s">
        <v>254</v>
      </c>
      <c r="EB24" s="1" t="s">
        <v>254</v>
      </c>
      <c r="EC24" s="1" t="s">
        <v>254</v>
      </c>
      <c r="ED24" s="1">
        <v>0.0</v>
      </c>
      <c r="EE24" s="1" t="s">
        <v>254</v>
      </c>
      <c r="EF24" s="31">
        <v>0.0</v>
      </c>
      <c r="EG24" s="1">
        <v>0.0</v>
      </c>
      <c r="EH24" s="34"/>
      <c r="EI24" s="1" t="s">
        <v>293</v>
      </c>
      <c r="EJ24" s="1" t="s">
        <v>293</v>
      </c>
      <c r="EK24" s="1" t="s">
        <v>293</v>
      </c>
      <c r="EL24" s="1" t="s">
        <v>293</v>
      </c>
      <c r="EM24" s="1" t="s">
        <v>293</v>
      </c>
      <c r="EN24" s="1" t="s">
        <v>293</v>
      </c>
      <c r="EO24" s="1" t="s">
        <v>293</v>
      </c>
      <c r="EP24" s="1" t="s">
        <v>293</v>
      </c>
      <c r="EQ24" s="1" t="s">
        <v>293</v>
      </c>
      <c r="ER24" s="1" t="s">
        <v>293</v>
      </c>
      <c r="ES24" s="1" t="s">
        <v>293</v>
      </c>
      <c r="ET24" s="1" t="s">
        <v>293</v>
      </c>
      <c r="EU24" s="1" t="s">
        <v>422</v>
      </c>
      <c r="EV24" s="1" t="s">
        <v>423</v>
      </c>
      <c r="EW24" s="1" t="s">
        <v>255</v>
      </c>
      <c r="EX24" s="1" t="s">
        <v>254</v>
      </c>
      <c r="EY24" s="1" t="s">
        <v>425</v>
      </c>
      <c r="EZ24" s="1" t="s">
        <v>427</v>
      </c>
      <c r="FA24" s="1" t="s">
        <v>428</v>
      </c>
      <c r="FB24" s="1" t="s">
        <v>255</v>
      </c>
      <c r="FC24" s="1" t="s">
        <v>425</v>
      </c>
      <c r="FD24" s="1" t="s">
        <v>429</v>
      </c>
      <c r="FE24" s="1" t="s">
        <v>428</v>
      </c>
      <c r="FF24" s="1" t="s">
        <v>430</v>
      </c>
      <c r="FG24" s="1" t="s">
        <v>425</v>
      </c>
      <c r="FH24" s="1" t="s">
        <v>427</v>
      </c>
      <c r="FI24" s="1">
        <v>0.0</v>
      </c>
      <c r="FJ24" s="1" t="s">
        <v>430</v>
      </c>
      <c r="FK24" s="1" t="s">
        <v>425</v>
      </c>
      <c r="FL24" s="1" t="s">
        <v>427</v>
      </c>
      <c r="FM24" s="1">
        <v>0.0</v>
      </c>
      <c r="FN24" s="1" t="s">
        <v>293</v>
      </c>
      <c r="FO24" s="1">
        <v>0.0</v>
      </c>
      <c r="FP24" s="1">
        <v>0.0</v>
      </c>
      <c r="FQ24" s="1">
        <v>0.0</v>
      </c>
      <c r="FR24" s="27" t="s">
        <v>514</v>
      </c>
      <c r="FS24" s="28" t="s">
        <v>205</v>
      </c>
      <c r="FT24" s="28" t="s">
        <v>205</v>
      </c>
      <c r="FU24" s="28" t="s">
        <v>205</v>
      </c>
      <c r="FV24" s="1">
        <v>15.0</v>
      </c>
      <c r="FW24" s="1" t="s">
        <v>300</v>
      </c>
      <c r="FX24" s="1">
        <v>20.0</v>
      </c>
      <c r="FY24" s="1" t="s">
        <v>300</v>
      </c>
      <c r="FZ24" s="1">
        <v>12.0</v>
      </c>
      <c r="GA24" s="1" t="s">
        <v>299</v>
      </c>
      <c r="GB24" s="1">
        <v>6.0</v>
      </c>
      <c r="GC24" s="1" t="s">
        <v>299</v>
      </c>
      <c r="GD24" s="1">
        <v>13.0</v>
      </c>
      <c r="GE24" s="1" t="s">
        <v>299</v>
      </c>
      <c r="GF24" s="1">
        <v>10.0</v>
      </c>
      <c r="GG24" s="1" t="s">
        <v>299</v>
      </c>
      <c r="GH24" s="1">
        <v>17.0</v>
      </c>
      <c r="GI24" s="1" t="s">
        <v>299</v>
      </c>
      <c r="GJ24" s="1">
        <v>24.0</v>
      </c>
      <c r="GK24" s="1" t="s">
        <v>331</v>
      </c>
      <c r="GL24" s="1">
        <v>25.0</v>
      </c>
      <c r="GM24" s="1" t="s">
        <v>300</v>
      </c>
      <c r="GN24" s="1">
        <v>23.0</v>
      </c>
      <c r="GO24" s="1" t="s">
        <v>299</v>
      </c>
      <c r="GP24" s="1">
        <v>16.0</v>
      </c>
      <c r="GQ24" s="1" t="s">
        <v>299</v>
      </c>
      <c r="GR24" s="1">
        <v>23.0</v>
      </c>
      <c r="GS24" s="1" t="s">
        <v>300</v>
      </c>
      <c r="GT24" s="1">
        <v>20.0</v>
      </c>
      <c r="GU24" s="1" t="s">
        <v>331</v>
      </c>
      <c r="GV24" s="1">
        <v>17.0</v>
      </c>
      <c r="GW24" s="1" t="s">
        <v>300</v>
      </c>
      <c r="GX24" s="1">
        <v>17.0</v>
      </c>
      <c r="GY24" s="1" t="s">
        <v>300</v>
      </c>
      <c r="GZ24" s="1">
        <v>26.0</v>
      </c>
      <c r="HA24" s="1" t="s">
        <v>300</v>
      </c>
      <c r="HB24" s="1">
        <v>6.0</v>
      </c>
      <c r="HC24" s="1" t="s">
        <v>299</v>
      </c>
      <c r="HD24" s="1">
        <v>28.0</v>
      </c>
      <c r="HE24" s="1" t="s">
        <v>300</v>
      </c>
      <c r="HF24" s="1">
        <v>30.0</v>
      </c>
      <c r="HG24" s="1" t="s">
        <v>300</v>
      </c>
      <c r="HH24" s="1">
        <v>31.0</v>
      </c>
      <c r="HI24" s="1" t="s">
        <v>300</v>
      </c>
      <c r="HJ24" s="1">
        <v>20.0</v>
      </c>
      <c r="HK24" s="1" t="s">
        <v>300</v>
      </c>
    </row>
    <row r="25">
      <c r="A25" s="44" t="s">
        <v>693</v>
      </c>
      <c r="B25" s="3">
        <v>103.0</v>
      </c>
      <c r="C25" s="3" t="s">
        <v>695</v>
      </c>
      <c r="D25" s="30">
        <v>23255.0</v>
      </c>
      <c r="E25" s="1">
        <v>62.0</v>
      </c>
      <c r="F25" s="3" t="s">
        <v>252</v>
      </c>
      <c r="G25" s="3" t="s">
        <v>253</v>
      </c>
      <c r="H25" s="3" t="s">
        <v>253</v>
      </c>
      <c r="I25" s="3" t="s">
        <v>252</v>
      </c>
      <c r="J25" s="3" t="s">
        <v>253</v>
      </c>
      <c r="K25" s="3" t="s">
        <v>253</v>
      </c>
      <c r="L25" s="3" t="s">
        <v>254</v>
      </c>
      <c r="M25" s="3" t="s">
        <v>255</v>
      </c>
      <c r="N25" s="3" t="s">
        <v>254</v>
      </c>
      <c r="O25" s="3" t="s">
        <v>255</v>
      </c>
      <c r="P25" s="3" t="s">
        <v>254</v>
      </c>
      <c r="Q25" s="3" t="s">
        <v>548</v>
      </c>
      <c r="R25" s="7" t="s">
        <v>257</v>
      </c>
      <c r="S25" s="7" t="s">
        <v>258</v>
      </c>
      <c r="T25" s="1" t="s">
        <v>259</v>
      </c>
      <c r="U25" s="1" t="s">
        <v>550</v>
      </c>
      <c r="V25" s="1" t="s">
        <v>698</v>
      </c>
      <c r="W25" s="1" t="s">
        <v>699</v>
      </c>
      <c r="X25" s="1" t="s">
        <v>254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 t="s">
        <v>254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 t="s">
        <v>700</v>
      </c>
      <c r="AM25" s="1" t="s">
        <v>610</v>
      </c>
      <c r="AN25" s="1" t="s">
        <v>269</v>
      </c>
      <c r="AO25" s="1" t="s">
        <v>270</v>
      </c>
      <c r="AP25" s="1" t="s">
        <v>284</v>
      </c>
      <c r="AQ25" s="1">
        <v>2.0</v>
      </c>
      <c r="AR25" s="1" t="s">
        <v>273</v>
      </c>
      <c r="AS25" s="1" t="s">
        <v>274</v>
      </c>
      <c r="AT25" s="1" t="s">
        <v>465</v>
      </c>
      <c r="AU25" s="1" t="s">
        <v>317</v>
      </c>
      <c r="AV25" s="1" t="s">
        <v>402</v>
      </c>
      <c r="AW25" s="1">
        <v>0.0</v>
      </c>
      <c r="AX25" s="1" t="s">
        <v>254</v>
      </c>
      <c r="AY25" s="1">
        <v>1.0</v>
      </c>
      <c r="AZ25" s="1" t="s">
        <v>319</v>
      </c>
      <c r="BA25" s="1">
        <v>0.0</v>
      </c>
      <c r="BB25" s="1" t="s">
        <v>279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 t="s">
        <v>382</v>
      </c>
      <c r="BL25" s="34"/>
      <c r="BM25" s="1" t="s">
        <v>700</v>
      </c>
      <c r="BN25" s="1" t="s">
        <v>610</v>
      </c>
      <c r="BO25" s="1" t="s">
        <v>269</v>
      </c>
      <c r="BP25" s="1" t="s">
        <v>270</v>
      </c>
      <c r="BQ25" s="1" t="s">
        <v>284</v>
      </c>
      <c r="BR25" s="1" t="s">
        <v>254</v>
      </c>
      <c r="BS25" s="1" t="s">
        <v>254</v>
      </c>
      <c r="BT25" s="1" t="s">
        <v>254</v>
      </c>
      <c r="BU25" s="1" t="s">
        <v>254</v>
      </c>
      <c r="BV25" s="1" t="s">
        <v>254</v>
      </c>
      <c r="BW25" s="1" t="s">
        <v>254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 t="s">
        <v>254</v>
      </c>
      <c r="CN25" s="1">
        <v>0.0</v>
      </c>
      <c r="CO25" s="1" t="s">
        <v>254</v>
      </c>
      <c r="CP25" s="1">
        <v>0.0</v>
      </c>
      <c r="CQ25" s="1">
        <v>2.0</v>
      </c>
      <c r="CR25" s="1">
        <v>0.0</v>
      </c>
      <c r="CS25" s="1">
        <v>2.0</v>
      </c>
      <c r="CT25" s="1" t="s">
        <v>675</v>
      </c>
      <c r="CU25" s="1" t="s">
        <v>676</v>
      </c>
      <c r="CV25" s="1" t="s">
        <v>255</v>
      </c>
      <c r="CW25" s="1" t="s">
        <v>254</v>
      </c>
      <c r="CX25" s="1" t="s">
        <v>254</v>
      </c>
      <c r="CY25" s="1" t="s">
        <v>254</v>
      </c>
      <c r="CZ25" s="1" t="s">
        <v>254</v>
      </c>
      <c r="DA25" s="1" t="s">
        <v>255</v>
      </c>
      <c r="DB25" s="1" t="s">
        <v>254</v>
      </c>
      <c r="DC25" s="1" t="s">
        <v>255</v>
      </c>
      <c r="DD25" s="1" t="s">
        <v>255</v>
      </c>
      <c r="DE25" s="1" t="s">
        <v>388</v>
      </c>
      <c r="DF25" s="1" t="s">
        <v>293</v>
      </c>
      <c r="DG25" s="1" t="s">
        <v>450</v>
      </c>
      <c r="DH25" s="1" t="s">
        <v>293</v>
      </c>
      <c r="DI25" s="1" t="s">
        <v>293</v>
      </c>
      <c r="DJ25" s="1" t="s">
        <v>293</v>
      </c>
      <c r="DK25" s="1" t="s">
        <v>293</v>
      </c>
      <c r="DL25" s="1" t="s">
        <v>353</v>
      </c>
      <c r="DM25" s="1" t="s">
        <v>293</v>
      </c>
      <c r="DN25" s="1" t="s">
        <v>293</v>
      </c>
      <c r="DO25" s="1" t="s">
        <v>293</v>
      </c>
      <c r="DP25" s="1" t="s">
        <v>451</v>
      </c>
      <c r="DQ25" s="1" t="s">
        <v>293</v>
      </c>
      <c r="DR25" s="1" t="s">
        <v>293</v>
      </c>
      <c r="DS25" s="1" t="s">
        <v>293</v>
      </c>
      <c r="DT25" s="1" t="s">
        <v>293</v>
      </c>
      <c r="DU25" s="1" t="s">
        <v>293</v>
      </c>
      <c r="DV25" s="1" t="s">
        <v>293</v>
      </c>
      <c r="DW25" s="1" t="s">
        <v>293</v>
      </c>
      <c r="DX25" s="1" t="s">
        <v>293</v>
      </c>
      <c r="DY25" s="1" t="s">
        <v>293</v>
      </c>
      <c r="DZ25" s="1" t="s">
        <v>293</v>
      </c>
      <c r="EA25" s="1" t="s">
        <v>254</v>
      </c>
      <c r="EB25" s="1" t="s">
        <v>254</v>
      </c>
      <c r="EC25" s="1" t="s">
        <v>254</v>
      </c>
      <c r="ED25" s="1">
        <v>0.0</v>
      </c>
      <c r="EE25" s="1" t="s">
        <v>255</v>
      </c>
      <c r="EF25" s="1" t="s">
        <v>452</v>
      </c>
      <c r="EG25" s="1" t="s">
        <v>389</v>
      </c>
      <c r="EI25" s="1" t="s">
        <v>390</v>
      </c>
      <c r="EJ25" s="1" t="s">
        <v>293</v>
      </c>
      <c r="EK25" s="1" t="s">
        <v>293</v>
      </c>
      <c r="EL25" s="1" t="s">
        <v>293</v>
      </c>
      <c r="EM25" s="1" t="s">
        <v>293</v>
      </c>
      <c r="EN25" s="1" t="s">
        <v>353</v>
      </c>
      <c r="EO25" s="1" t="s">
        <v>293</v>
      </c>
      <c r="EP25" s="1" t="s">
        <v>293</v>
      </c>
      <c r="EQ25" s="1" t="s">
        <v>293</v>
      </c>
      <c r="ER25" s="1" t="s">
        <v>293</v>
      </c>
      <c r="ES25" s="1" t="s">
        <v>293</v>
      </c>
      <c r="ET25" s="1" t="s">
        <v>293</v>
      </c>
      <c r="EU25" s="1" t="s">
        <v>293</v>
      </c>
      <c r="EV25" s="1" t="s">
        <v>387</v>
      </c>
      <c r="EW25" s="1" t="s">
        <v>254</v>
      </c>
      <c r="EX25" s="1" t="s">
        <v>254</v>
      </c>
      <c r="EY25" s="1">
        <v>0.0</v>
      </c>
      <c r="EZ25" s="1" t="s">
        <v>427</v>
      </c>
      <c r="FA25" s="1" t="s">
        <v>453</v>
      </c>
      <c r="FB25" s="1" t="s">
        <v>454</v>
      </c>
      <c r="FC25" s="1">
        <v>0.0</v>
      </c>
      <c r="FD25" s="1">
        <v>0.0</v>
      </c>
      <c r="FE25" s="1">
        <v>0.0</v>
      </c>
      <c r="FF25" s="1" t="s">
        <v>454</v>
      </c>
      <c r="FG25" s="1">
        <v>0.0</v>
      </c>
      <c r="FH25" s="1">
        <v>0.0</v>
      </c>
      <c r="FI25" s="1">
        <v>0.0</v>
      </c>
      <c r="FJ25" s="1" t="s">
        <v>454</v>
      </c>
      <c r="FK25" s="1">
        <v>0.0</v>
      </c>
      <c r="FL25" s="1">
        <v>0.0</v>
      </c>
      <c r="FM25" s="1">
        <v>0.0</v>
      </c>
      <c r="FN25" s="1" t="s">
        <v>454</v>
      </c>
      <c r="FO25" s="1">
        <v>0.0</v>
      </c>
      <c r="FP25" s="1">
        <v>0.0</v>
      </c>
      <c r="FQ25" s="1">
        <v>0.0</v>
      </c>
      <c r="FR25" s="45" t="s">
        <v>198</v>
      </c>
      <c r="FS25" s="28" t="s">
        <v>205</v>
      </c>
      <c r="FT25" s="28" t="s">
        <v>205</v>
      </c>
      <c r="FU25" s="28" t="s">
        <v>298</v>
      </c>
      <c r="FV25" s="1">
        <v>6.0</v>
      </c>
      <c r="FW25" s="1" t="s">
        <v>299</v>
      </c>
      <c r="FX25" s="1">
        <v>18.0</v>
      </c>
      <c r="FY25" s="1" t="s">
        <v>300</v>
      </c>
      <c r="FZ25" s="1">
        <v>19.0</v>
      </c>
      <c r="GA25" s="1" t="s">
        <v>300</v>
      </c>
      <c r="GB25" s="1">
        <v>6.0</v>
      </c>
      <c r="GC25" s="1" t="s">
        <v>299</v>
      </c>
      <c r="GD25" s="1">
        <v>6.0</v>
      </c>
      <c r="GE25" s="1" t="s">
        <v>299</v>
      </c>
      <c r="GF25" s="1">
        <v>21.0</v>
      </c>
      <c r="GG25" s="1" t="s">
        <v>300</v>
      </c>
      <c r="GH25" s="1">
        <v>16.0</v>
      </c>
      <c r="GI25" s="1" t="s">
        <v>299</v>
      </c>
      <c r="GJ25" s="1">
        <v>6.0</v>
      </c>
      <c r="GK25" s="1" t="s">
        <v>299</v>
      </c>
      <c r="GL25" s="1">
        <v>6.0</v>
      </c>
      <c r="GM25" s="1" t="s">
        <v>299</v>
      </c>
      <c r="GN25" s="1">
        <v>24.0</v>
      </c>
      <c r="GO25" s="1" t="s">
        <v>299</v>
      </c>
      <c r="GP25" s="1">
        <v>18.0</v>
      </c>
      <c r="GQ25" s="1" t="s">
        <v>300</v>
      </c>
      <c r="GR25" s="1">
        <v>25.0</v>
      </c>
      <c r="GS25" s="1" t="s">
        <v>300</v>
      </c>
      <c r="GT25" s="1">
        <v>6.0</v>
      </c>
      <c r="GU25" s="1" t="s">
        <v>299</v>
      </c>
      <c r="GV25" s="1">
        <v>18.0</v>
      </c>
      <c r="GW25" s="1" t="s">
        <v>300</v>
      </c>
      <c r="GX25" s="1">
        <v>15.0</v>
      </c>
      <c r="GY25" s="1" t="s">
        <v>300</v>
      </c>
      <c r="GZ25" s="1">
        <v>26.0</v>
      </c>
      <c r="HA25" s="1" t="s">
        <v>300</v>
      </c>
      <c r="HB25" s="1">
        <v>6.0</v>
      </c>
      <c r="HC25" s="1" t="s">
        <v>299</v>
      </c>
      <c r="HD25" s="1">
        <v>17.0</v>
      </c>
      <c r="HE25" s="1" t="s">
        <v>299</v>
      </c>
      <c r="HF25" s="1">
        <v>17.0</v>
      </c>
      <c r="HG25" s="1" t="s">
        <v>299</v>
      </c>
      <c r="HH25" s="1">
        <v>26.0</v>
      </c>
      <c r="HI25" s="1" t="s">
        <v>300</v>
      </c>
      <c r="HJ25" s="1">
        <v>18.0</v>
      </c>
      <c r="HK25" s="1" t="s">
        <v>299</v>
      </c>
    </row>
  </sheetData>
  <mergeCells count="39">
    <mergeCell ref="DM6:DN6"/>
    <mergeCell ref="DM7:DN7"/>
    <mergeCell ref="EG2:EH2"/>
    <mergeCell ref="EG3:EH3"/>
    <mergeCell ref="V4:W4"/>
    <mergeCell ref="EG4:EH4"/>
    <mergeCell ref="EG5:EH5"/>
    <mergeCell ref="BO6:BP6"/>
    <mergeCell ref="BO7:BP7"/>
    <mergeCell ref="AL12:AM12"/>
    <mergeCell ref="AN12:AO12"/>
    <mergeCell ref="U14:V14"/>
    <mergeCell ref="U17:V17"/>
    <mergeCell ref="U18:V18"/>
    <mergeCell ref="U19:V19"/>
    <mergeCell ref="U22:V22"/>
    <mergeCell ref="AN6:AO6"/>
    <mergeCell ref="AN7:AO7"/>
    <mergeCell ref="BO9:BP9"/>
    <mergeCell ref="AN9:AO9"/>
    <mergeCell ref="BO10:BP10"/>
    <mergeCell ref="BM12:BN12"/>
    <mergeCell ref="BO12:BP12"/>
    <mergeCell ref="EG6:EH6"/>
    <mergeCell ref="EG7:EH7"/>
    <mergeCell ref="EG8:EH8"/>
    <mergeCell ref="EG9:EH9"/>
    <mergeCell ref="EG11:EH11"/>
    <mergeCell ref="EG12:EH12"/>
    <mergeCell ref="EG13:EH13"/>
    <mergeCell ref="EG22:EH22"/>
    <mergeCell ref="EG25:EH25"/>
    <mergeCell ref="EG14:EH14"/>
    <mergeCell ref="EG15:EH15"/>
    <mergeCell ref="EG16:EH16"/>
    <mergeCell ref="EG17:EH17"/>
    <mergeCell ref="EG18:EH18"/>
    <mergeCell ref="EG19:EH19"/>
    <mergeCell ref="EG21:EH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8.25"/>
    <col customWidth="1" min="3" max="3" width="10.88"/>
    <col customWidth="1" min="4" max="4" width="22.5"/>
    <col customWidth="1" min="5" max="5" width="17.88"/>
    <col customWidth="1" min="6" max="6" width="21.75"/>
    <col customWidth="1" min="7" max="8" width="22.0"/>
    <col customWidth="1" min="9" max="9" width="16.75"/>
    <col customWidth="1" min="10" max="10" width="30.0"/>
    <col customWidth="1" min="11" max="11" width="14.13"/>
    <col customWidth="1" min="12" max="12" width="26.5"/>
    <col customWidth="1" min="13" max="13" width="15.13"/>
    <col customWidth="1" min="14" max="14" width="26.13"/>
    <col customWidth="1" min="15" max="15" width="19.88"/>
    <col customWidth="1" min="16" max="16" width="32.88"/>
    <col customWidth="1" min="17" max="17" width="18.38"/>
    <col customWidth="1" min="18" max="18" width="26.88"/>
    <col customWidth="1" min="19" max="19" width="27.13"/>
    <col customWidth="1" min="20" max="20" width="40.25"/>
    <col customWidth="1" min="21" max="21" width="16.0"/>
    <col customWidth="1" min="22" max="22" width="27.38"/>
    <col customWidth="1" min="24" max="24" width="17.63"/>
    <col customWidth="1" min="25" max="25" width="26.25"/>
    <col customWidth="1" min="27" max="27" width="25.25"/>
    <col customWidth="1" min="28" max="28" width="15.38"/>
    <col customWidth="1" min="29" max="29" width="28.13"/>
    <col customWidth="1" min="30" max="30" width="27.75"/>
    <col customWidth="1" min="31" max="31" width="39.63"/>
    <col customWidth="1" min="33" max="33" width="25.88"/>
    <col customWidth="1" min="35" max="35" width="22.13"/>
    <col customWidth="1" min="36" max="36" width="29.0"/>
    <col customWidth="1" min="37" max="37" width="18.13"/>
    <col customWidth="1" min="38" max="38" width="28.13"/>
    <col customWidth="1" min="39" max="39" width="21.75"/>
    <col customWidth="1" min="40" max="40" width="30.63"/>
    <col customWidth="1" min="41" max="41" width="22.75"/>
    <col customWidth="1" min="42" max="42" width="19.0"/>
    <col customWidth="1" min="43" max="43" width="30.0"/>
    <col customWidth="1" min="44" max="44" width="20.5"/>
    <col customWidth="1" min="45" max="45" width="26.5"/>
    <col customWidth="1" min="46" max="46" width="18.25"/>
    <col customWidth="1" min="47" max="47" width="28.38"/>
    <col customWidth="1" min="49" max="49" width="20.75"/>
    <col customWidth="1" min="50" max="50" width="26.13"/>
    <col customWidth="1" min="51" max="51" width="20.25"/>
    <col customWidth="1" min="52" max="52" width="28.5"/>
    <col customWidth="1" min="53" max="53" width="18.88"/>
    <col customWidth="1" min="54" max="54" width="26.88"/>
    <col customWidth="1" min="56" max="56" width="24.5"/>
    <col customWidth="1" min="57" max="57" width="17.88"/>
    <col customWidth="1" min="58" max="58" width="27.88"/>
    <col customWidth="1" min="59" max="59" width="16.0"/>
    <col customWidth="1" min="60" max="60" width="28.75"/>
    <col customWidth="1" min="61" max="61" width="17.0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4" t="s">
        <v>11</v>
      </c>
      <c r="G1" s="5" t="s">
        <v>17</v>
      </c>
      <c r="H1" s="6" t="s">
        <v>22</v>
      </c>
      <c r="I1" s="8" t="s">
        <v>26</v>
      </c>
      <c r="J1" s="8" t="s">
        <v>33</v>
      </c>
      <c r="K1" s="8" t="s">
        <v>38</v>
      </c>
      <c r="L1" s="8" t="s">
        <v>43</v>
      </c>
      <c r="M1" s="8" t="s">
        <v>46</v>
      </c>
      <c r="N1" s="8" t="s">
        <v>49</v>
      </c>
      <c r="O1" s="8" t="s">
        <v>53</v>
      </c>
      <c r="P1" s="8" t="s">
        <v>56</v>
      </c>
      <c r="Q1" s="8" t="s">
        <v>59</v>
      </c>
      <c r="R1" s="8" t="s">
        <v>63</v>
      </c>
      <c r="S1" s="8" t="s">
        <v>65</v>
      </c>
      <c r="T1" s="8" t="s">
        <v>69</v>
      </c>
      <c r="U1" s="8" t="s">
        <v>72</v>
      </c>
      <c r="V1" s="8" t="s">
        <v>77</v>
      </c>
      <c r="W1" s="10" t="s">
        <v>80</v>
      </c>
      <c r="X1" s="11" t="s">
        <v>90</v>
      </c>
      <c r="Y1" s="11" t="s">
        <v>92</v>
      </c>
      <c r="Z1" s="11" t="s">
        <v>93</v>
      </c>
      <c r="AA1" s="11" t="s">
        <v>95</v>
      </c>
      <c r="AB1" s="11" t="s">
        <v>97</v>
      </c>
      <c r="AC1" s="11" t="s">
        <v>99</v>
      </c>
      <c r="AD1" s="11" t="s">
        <v>100</v>
      </c>
      <c r="AE1" s="11" t="s">
        <v>102</v>
      </c>
      <c r="AF1" s="11" t="s">
        <v>104</v>
      </c>
      <c r="AG1" s="11" t="s">
        <v>106</v>
      </c>
      <c r="AH1" s="13" t="s">
        <v>109</v>
      </c>
      <c r="AI1" s="14" t="s">
        <v>114</v>
      </c>
      <c r="AJ1" s="14" t="s">
        <v>119</v>
      </c>
      <c r="AK1" s="14" t="s">
        <v>121</v>
      </c>
      <c r="AL1" s="14" t="s">
        <v>123</v>
      </c>
      <c r="AM1" s="14" t="s">
        <v>126</v>
      </c>
      <c r="AN1" s="14" t="s">
        <v>128</v>
      </c>
      <c r="AO1" s="13" t="s">
        <v>130</v>
      </c>
      <c r="AP1" s="15" t="s">
        <v>132</v>
      </c>
      <c r="AQ1" s="15" t="s">
        <v>136</v>
      </c>
      <c r="AR1" s="11" t="s">
        <v>138</v>
      </c>
      <c r="AS1" s="11" t="s">
        <v>141</v>
      </c>
      <c r="AT1" s="11" t="s">
        <v>143</v>
      </c>
      <c r="AU1" s="11" t="s">
        <v>146</v>
      </c>
      <c r="AV1" s="16" t="s">
        <v>149</v>
      </c>
      <c r="AW1" s="8" t="s">
        <v>151</v>
      </c>
      <c r="AX1" s="8" t="s">
        <v>155</v>
      </c>
      <c r="AY1" s="15" t="s">
        <v>158</v>
      </c>
      <c r="AZ1" s="15" t="s">
        <v>161</v>
      </c>
      <c r="BA1" s="14" t="s">
        <v>163</v>
      </c>
      <c r="BB1" s="14" t="s">
        <v>166</v>
      </c>
      <c r="BC1" s="14" t="s">
        <v>168</v>
      </c>
      <c r="BD1" s="14" t="s">
        <v>170</v>
      </c>
      <c r="BE1" s="14" t="s">
        <v>171</v>
      </c>
      <c r="BF1" s="14" t="s">
        <v>172</v>
      </c>
      <c r="BG1" s="17" t="s">
        <v>173</v>
      </c>
      <c r="BH1" s="17" t="s">
        <v>175</v>
      </c>
      <c r="BI1" s="17"/>
    </row>
    <row r="2">
      <c r="A2" s="21" t="s">
        <v>180</v>
      </c>
      <c r="B2" s="23">
        <v>1.0</v>
      </c>
      <c r="C2" s="21" t="s">
        <v>188</v>
      </c>
      <c r="D2" s="18" t="s">
        <v>190</v>
      </c>
      <c r="E2" s="18" t="s">
        <v>190</v>
      </c>
      <c r="F2" s="18" t="s">
        <v>192</v>
      </c>
      <c r="G2" s="20" t="s">
        <v>195</v>
      </c>
      <c r="H2" s="22" t="s">
        <v>198</v>
      </c>
      <c r="I2" s="26">
        <v>6.0</v>
      </c>
      <c r="J2" s="26" t="str">
        <f t="shared" ref="J2:J5" si="1">IF((I2&gt;=19),"S",IF(AND(I2&lt;19),"R", "NA"))</f>
        <v>R</v>
      </c>
      <c r="K2" s="26">
        <v>20.0</v>
      </c>
      <c r="L2" s="26" t="str">
        <f t="shared" ref="L2:L5" si="2">IF((K2&gt;=19),"S",IF(AND(K2&lt;19),"R", "NA"))</f>
        <v>S</v>
      </c>
      <c r="M2" s="26">
        <v>6.0</v>
      </c>
      <c r="N2" s="26" t="str">
        <f t="shared" ref="N2:N5" si="3">IF((M2&gt;=23),"S",IF(AND(M2&lt;23),"R","NA"))</f>
        <v>R</v>
      </c>
      <c r="O2" s="26">
        <v>25.0</v>
      </c>
      <c r="P2" s="26" t="str">
        <f t="shared" ref="P2:P5" si="4">IF((O2&gt;=23),"S",IF(AND(O2&lt;23,O2&gt;=20),"I",IF(AND(O2&lt;20),"R","NA")))</f>
        <v>S</v>
      </c>
      <c r="Q2" s="26">
        <v>13.0</v>
      </c>
      <c r="R2" s="26" t="str">
        <f t="shared" ref="R2:R5" si="5">IF((Q2&gt;=20),"S",IF(AND(Q2&lt;20),"R", "NA"))</f>
        <v>R</v>
      </c>
      <c r="S2" s="26">
        <v>23.0</v>
      </c>
      <c r="T2" s="26" t="str">
        <f t="shared" ref="T2:T5" si="6">IF((S2&gt;=20),"S",IF(AND(S2&lt;20),"R", "NA"))</f>
        <v>S</v>
      </c>
      <c r="U2" s="26">
        <v>22.0</v>
      </c>
      <c r="V2" s="26" t="str">
        <f t="shared" ref="V2:V5" si="7">IF((U2&gt;=20),"S",IF(AND(U2&lt;20,U2&gt;=17),"I",IF(AND(U2&lt;17),"R","NA")))</f>
        <v>S</v>
      </c>
      <c r="W2" s="32" t="s">
        <v>299</v>
      </c>
      <c r="X2" s="33">
        <v>6.0</v>
      </c>
      <c r="Y2" s="33" t="str">
        <f t="shared" ref="Y2:Y5" si="8">IF((X2&gt;=20),"S",IF(AND(X2&lt;20,X2&gt;=17),"I",IF(AND(X2&lt;17),"R","NA")))</f>
        <v>R</v>
      </c>
      <c r="Z2" s="33">
        <v>26.0</v>
      </c>
      <c r="AA2" s="33" t="str">
        <f t="shared" ref="AA2:AA5" si="9">IF((Z2&gt;=18),"S",IF(AND(Z2&lt;18),"R", "NA"))</f>
        <v>S</v>
      </c>
      <c r="AB2" s="33">
        <v>17.0</v>
      </c>
      <c r="AC2" s="33" t="str">
        <f t="shared" ref="AC2:AC5" si="10">IF((AB2&gt;=22),"S",IF(AND(AB2&lt;22,AB2&gt;=19),"I",IF(AND(AB2&lt;19),"R","NA")))</f>
        <v>R</v>
      </c>
      <c r="AD2" s="33">
        <v>27.0</v>
      </c>
      <c r="AE2" s="33" t="str">
        <f t="shared" ref="AE2:AE5" si="11">IF((AD2&gt;=13),"S",IF(AND(AD2&lt;13),"R", "NA"))</f>
        <v>S</v>
      </c>
      <c r="AF2" s="33">
        <v>22.0</v>
      </c>
      <c r="AG2" s="33" t="str">
        <f t="shared" ref="AG2:AG5" si="12">IF((AF2&gt;=27),"S",IF(AND(AF2&lt;27,AF2&gt;=24),"I",IF(AND(AF2&lt;24),"R","NA")))</f>
        <v>R</v>
      </c>
      <c r="AH2" s="33" t="s">
        <v>299</v>
      </c>
      <c r="AI2" s="36">
        <v>23.0</v>
      </c>
      <c r="AJ2" s="36" t="str">
        <f t="shared" ref="AJ2:AJ5" si="13">IF((AI2&gt;=25),"S",IF(AND(AI2&lt;25,AI2&gt;=22),"I",IF(AND(AI2&lt;22),"R","NA")))</f>
        <v>I</v>
      </c>
      <c r="AK2" s="36">
        <v>22.0</v>
      </c>
      <c r="AL2" s="36" t="str">
        <f t="shared" ref="AL2:AL5" si="14">IF((AK2&gt;=23),"S",IF(AND(AK2&lt;23,AK2&gt;=19),"I",IF(AND(AK2&lt;19),"R","NA")))</f>
        <v>I</v>
      </c>
      <c r="AM2" s="36">
        <v>20.0</v>
      </c>
      <c r="AN2" s="36" t="str">
        <f t="shared" ref="AN2:AN5" si="15">IF((AM2&gt;=14),"S",IF(AND(AM2&lt;14),"R","NA"))</f>
        <v>S</v>
      </c>
      <c r="AO2" s="36" t="s">
        <v>300</v>
      </c>
      <c r="AP2" s="37">
        <v>29.0</v>
      </c>
      <c r="AQ2" s="37" t="str">
        <f t="shared" ref="AQ2:AQ5" si="16">IF((AP2&gt;=14),"S",IF(AND(AP2&lt;14,AP2&gt;=11),"I",IF(AND(AP2&lt;11),"R","NA")))</f>
        <v>S</v>
      </c>
      <c r="AR2" s="33">
        <v>19.0</v>
      </c>
      <c r="AS2" s="33" t="str">
        <f t="shared" ref="AS2:AS5" si="17">IF((AR2&gt;=18),"S",IF(AND(AR2&lt;18),"R", "NA"))</f>
        <v>S</v>
      </c>
      <c r="AT2" s="33">
        <v>18.0</v>
      </c>
      <c r="AU2" s="33" t="str">
        <f t="shared" ref="AU2:AU5" si="18">IF((AT2&gt;=16),"S",IF(AND(AT2&lt;16),"R", "NA"))</f>
        <v>S</v>
      </c>
      <c r="AV2" s="33" t="s">
        <v>300</v>
      </c>
      <c r="AW2" s="26">
        <v>18.0</v>
      </c>
      <c r="AX2" s="26" t="str">
        <f t="shared" ref="AX2:AX5" si="19">IF((AW2&gt;=20),"S",IF(AND(AW2&lt;20),"R", "NA"))</f>
        <v>R</v>
      </c>
      <c r="AY2" s="37">
        <v>18.0</v>
      </c>
      <c r="AZ2" s="37" t="str">
        <f t="shared" ref="AZ2:AZ5" si="20">IF((AY2&gt;=26),"S",IF(AND(AY2&lt;26,AY2&gt;=21),"I",IF(AND(AY2&lt;21),"R","NA")))</f>
        <v>R</v>
      </c>
      <c r="BA2" s="36">
        <v>25.0</v>
      </c>
      <c r="BB2" s="36" t="str">
        <f t="shared" ref="BB2:BB5" si="21">IF((BA2&gt;=23),"S",IF(AND(BA2&lt;23),"R","NA"))</f>
        <v>S</v>
      </c>
      <c r="BC2" s="39" t="s">
        <v>357</v>
      </c>
      <c r="BD2" s="39" t="s">
        <v>357</v>
      </c>
      <c r="BE2" s="36">
        <v>28.0</v>
      </c>
      <c r="BF2" s="36" t="str">
        <f t="shared" ref="BF2:BF5" si="22">IF((BE2&gt;=22),"S",IF(AND(BE2&lt;22,BE2&gt;=19),"I",IF(AND(BE2&lt;19),"R","NA")))</f>
        <v>S</v>
      </c>
      <c r="BG2" s="40">
        <v>18.0</v>
      </c>
      <c r="BH2" s="41" t="str">
        <f t="shared" ref="BH2:BH5" si="23">IF((BG2&gt;=17),"S",IF(AND(BG2&lt;17),"R", "NA"))</f>
        <v>S</v>
      </c>
      <c r="BI2" s="41"/>
    </row>
    <row r="3">
      <c r="A3" s="21" t="s">
        <v>180</v>
      </c>
      <c r="B3" s="21" t="s">
        <v>444</v>
      </c>
      <c r="C3" s="21" t="s">
        <v>303</v>
      </c>
      <c r="D3" s="18" t="s">
        <v>190</v>
      </c>
      <c r="E3" s="18" t="s">
        <v>190</v>
      </c>
      <c r="F3" s="18" t="s">
        <v>192</v>
      </c>
      <c r="G3" s="20" t="s">
        <v>478</v>
      </c>
      <c r="H3" s="42" t="s">
        <v>479</v>
      </c>
      <c r="I3" s="26">
        <v>6.0</v>
      </c>
      <c r="J3" s="26" t="str">
        <f t="shared" si="1"/>
        <v>R</v>
      </c>
      <c r="K3" s="26">
        <v>15.0</v>
      </c>
      <c r="L3" s="26" t="str">
        <f t="shared" si="2"/>
        <v>R</v>
      </c>
      <c r="M3" s="26">
        <v>6.0</v>
      </c>
      <c r="N3" s="26" t="str">
        <f t="shared" si="3"/>
        <v>R</v>
      </c>
      <c r="O3" s="26">
        <v>24.0</v>
      </c>
      <c r="P3" s="26" t="str">
        <f t="shared" si="4"/>
        <v>S</v>
      </c>
      <c r="Q3" s="26">
        <v>14.0</v>
      </c>
      <c r="R3" s="26" t="str">
        <f t="shared" si="5"/>
        <v>R</v>
      </c>
      <c r="S3" s="26">
        <v>23.0</v>
      </c>
      <c r="T3" s="26" t="str">
        <f t="shared" si="6"/>
        <v>S</v>
      </c>
      <c r="U3" s="26">
        <v>27.0</v>
      </c>
      <c r="V3" s="26" t="str">
        <f t="shared" si="7"/>
        <v>S</v>
      </c>
      <c r="W3" s="32" t="s">
        <v>299</v>
      </c>
      <c r="X3" s="33">
        <v>11.0</v>
      </c>
      <c r="Y3" s="33" t="str">
        <f t="shared" si="8"/>
        <v>R</v>
      </c>
      <c r="Z3" s="33">
        <v>26.0</v>
      </c>
      <c r="AA3" s="33" t="str">
        <f t="shared" si="9"/>
        <v>S</v>
      </c>
      <c r="AB3" s="33">
        <v>23.0</v>
      </c>
      <c r="AC3" s="33" t="str">
        <f t="shared" si="10"/>
        <v>S</v>
      </c>
      <c r="AD3" s="33">
        <v>28.0</v>
      </c>
      <c r="AE3" s="33" t="str">
        <f t="shared" si="11"/>
        <v>S</v>
      </c>
      <c r="AF3" s="33">
        <v>24.0</v>
      </c>
      <c r="AG3" s="33" t="str">
        <f t="shared" si="12"/>
        <v>I</v>
      </c>
      <c r="AH3" s="33" t="s">
        <v>299</v>
      </c>
      <c r="AI3" s="36">
        <v>29.0</v>
      </c>
      <c r="AJ3" s="36" t="str">
        <f t="shared" si="13"/>
        <v>S</v>
      </c>
      <c r="AK3" s="36">
        <v>25.0</v>
      </c>
      <c r="AL3" s="36" t="str">
        <f t="shared" si="14"/>
        <v>S</v>
      </c>
      <c r="AM3" s="36">
        <v>22.0</v>
      </c>
      <c r="AN3" s="36" t="str">
        <f t="shared" si="15"/>
        <v>S</v>
      </c>
      <c r="AO3" s="36" t="s">
        <v>300</v>
      </c>
      <c r="AP3" s="37">
        <v>23.0</v>
      </c>
      <c r="AQ3" s="37" t="str">
        <f t="shared" si="16"/>
        <v>S</v>
      </c>
      <c r="AR3" s="33">
        <v>19.0</v>
      </c>
      <c r="AS3" s="33" t="str">
        <f t="shared" si="17"/>
        <v>S</v>
      </c>
      <c r="AT3" s="33">
        <v>19.0</v>
      </c>
      <c r="AU3" s="33" t="str">
        <f t="shared" si="18"/>
        <v>S</v>
      </c>
      <c r="AV3" s="33" t="s">
        <v>300</v>
      </c>
      <c r="AW3" s="26">
        <v>17.0</v>
      </c>
      <c r="AX3" s="26" t="str">
        <f t="shared" si="19"/>
        <v>R</v>
      </c>
      <c r="AY3" s="37">
        <v>24.0</v>
      </c>
      <c r="AZ3" s="37" t="str">
        <f t="shared" si="20"/>
        <v>I</v>
      </c>
      <c r="BA3" s="36">
        <v>25.0</v>
      </c>
      <c r="BB3" s="36" t="str">
        <f t="shared" si="21"/>
        <v>S</v>
      </c>
      <c r="BC3" s="39" t="s">
        <v>357</v>
      </c>
      <c r="BD3" s="39" t="s">
        <v>357</v>
      </c>
      <c r="BE3" s="36">
        <v>29.0</v>
      </c>
      <c r="BF3" s="36" t="str">
        <f t="shared" si="22"/>
        <v>S</v>
      </c>
      <c r="BG3" s="40">
        <v>19.0</v>
      </c>
      <c r="BH3" s="41" t="str">
        <f t="shared" si="23"/>
        <v>S</v>
      </c>
      <c r="BI3" s="41"/>
    </row>
    <row r="4">
      <c r="A4" s="21" t="s">
        <v>180</v>
      </c>
      <c r="B4" s="21" t="s">
        <v>444</v>
      </c>
      <c r="C4" s="21" t="s">
        <v>333</v>
      </c>
      <c r="D4" s="18" t="s">
        <v>190</v>
      </c>
      <c r="E4" s="18" t="s">
        <v>190</v>
      </c>
      <c r="F4" s="18" t="s">
        <v>192</v>
      </c>
      <c r="G4" s="20" t="s">
        <v>512</v>
      </c>
      <c r="H4" s="42" t="s">
        <v>479</v>
      </c>
      <c r="I4" s="26">
        <v>6.0</v>
      </c>
      <c r="J4" s="26" t="str">
        <f t="shared" si="1"/>
        <v>R</v>
      </c>
      <c r="K4" s="26">
        <v>20.0</v>
      </c>
      <c r="L4" s="26" t="str">
        <f t="shared" si="2"/>
        <v>S</v>
      </c>
      <c r="M4" s="26">
        <v>10.0</v>
      </c>
      <c r="N4" s="26" t="str">
        <f t="shared" si="3"/>
        <v>R</v>
      </c>
      <c r="O4" s="26">
        <v>26.0</v>
      </c>
      <c r="P4" s="26" t="str">
        <f t="shared" si="4"/>
        <v>S</v>
      </c>
      <c r="Q4" s="26">
        <v>21.0</v>
      </c>
      <c r="R4" s="26" t="str">
        <f t="shared" si="5"/>
        <v>S</v>
      </c>
      <c r="S4" s="26">
        <v>23.0</v>
      </c>
      <c r="T4" s="26" t="str">
        <f t="shared" si="6"/>
        <v>S</v>
      </c>
      <c r="U4" s="26">
        <v>26.0</v>
      </c>
      <c r="V4" s="26" t="str">
        <f t="shared" si="7"/>
        <v>S</v>
      </c>
      <c r="W4" s="32" t="s">
        <v>299</v>
      </c>
      <c r="X4" s="33">
        <v>18.0</v>
      </c>
      <c r="Y4" s="33" t="str">
        <f t="shared" si="8"/>
        <v>I</v>
      </c>
      <c r="Z4" s="33">
        <v>26.0</v>
      </c>
      <c r="AA4" s="33" t="str">
        <f t="shared" si="9"/>
        <v>S</v>
      </c>
      <c r="AB4" s="33">
        <v>27.0</v>
      </c>
      <c r="AC4" s="33" t="str">
        <f t="shared" si="10"/>
        <v>S</v>
      </c>
      <c r="AD4" s="33">
        <v>27.0</v>
      </c>
      <c r="AE4" s="33" t="str">
        <f t="shared" si="11"/>
        <v>S</v>
      </c>
      <c r="AF4" s="33">
        <v>31.0</v>
      </c>
      <c r="AG4" s="33" t="str">
        <f t="shared" si="12"/>
        <v>S</v>
      </c>
      <c r="AH4" s="33" t="s">
        <v>300</v>
      </c>
      <c r="AI4" s="36">
        <v>19.0</v>
      </c>
      <c r="AJ4" s="36" t="str">
        <f t="shared" si="13"/>
        <v>R</v>
      </c>
      <c r="AK4" s="36">
        <v>22.0</v>
      </c>
      <c r="AL4" s="36" t="str">
        <f t="shared" si="14"/>
        <v>I</v>
      </c>
      <c r="AM4" s="36">
        <v>19.0</v>
      </c>
      <c r="AN4" s="36" t="str">
        <f t="shared" si="15"/>
        <v>S</v>
      </c>
      <c r="AO4" s="36" t="s">
        <v>299</v>
      </c>
      <c r="AP4" s="37">
        <v>6.0</v>
      </c>
      <c r="AQ4" s="37" t="str">
        <f t="shared" si="16"/>
        <v>R</v>
      </c>
      <c r="AR4" s="33">
        <v>20.0</v>
      </c>
      <c r="AS4" s="33" t="str">
        <f t="shared" si="17"/>
        <v>S</v>
      </c>
      <c r="AT4" s="33">
        <v>20.0</v>
      </c>
      <c r="AU4" s="33" t="str">
        <f t="shared" si="18"/>
        <v>S</v>
      </c>
      <c r="AV4" s="33" t="s">
        <v>300</v>
      </c>
      <c r="AW4" s="26">
        <v>13.0</v>
      </c>
      <c r="AX4" s="26" t="str">
        <f t="shared" si="19"/>
        <v>R</v>
      </c>
      <c r="AY4" s="37">
        <v>30.0</v>
      </c>
      <c r="AZ4" s="37" t="str">
        <f t="shared" si="20"/>
        <v>S</v>
      </c>
      <c r="BA4" s="36">
        <v>25.0</v>
      </c>
      <c r="BB4" s="36" t="str">
        <f t="shared" si="21"/>
        <v>S</v>
      </c>
      <c r="BC4" s="39" t="s">
        <v>357</v>
      </c>
      <c r="BD4" s="39" t="s">
        <v>357</v>
      </c>
      <c r="BE4" s="36">
        <v>29.0</v>
      </c>
      <c r="BF4" s="36" t="str">
        <f t="shared" si="22"/>
        <v>S</v>
      </c>
      <c r="BG4" s="40">
        <v>20.0</v>
      </c>
      <c r="BH4" s="41" t="str">
        <f t="shared" si="23"/>
        <v>S</v>
      </c>
      <c r="BI4" s="41"/>
    </row>
    <row r="5">
      <c r="A5" s="21" t="s">
        <v>180</v>
      </c>
      <c r="B5" s="23">
        <v>2.0</v>
      </c>
      <c r="C5" s="21" t="s">
        <v>356</v>
      </c>
      <c r="D5" s="18" t="s">
        <v>190</v>
      </c>
      <c r="E5" s="18" t="s">
        <v>190</v>
      </c>
      <c r="F5" s="18" t="s">
        <v>192</v>
      </c>
      <c r="G5" s="20" t="s">
        <v>543</v>
      </c>
      <c r="H5" s="22" t="s">
        <v>198</v>
      </c>
      <c r="I5" s="26">
        <v>6.0</v>
      </c>
      <c r="J5" s="26" t="str">
        <f t="shared" si="1"/>
        <v>R</v>
      </c>
      <c r="K5" s="26">
        <v>16.0</v>
      </c>
      <c r="L5" s="26" t="str">
        <f t="shared" si="2"/>
        <v>R</v>
      </c>
      <c r="M5" s="26">
        <v>6.0</v>
      </c>
      <c r="N5" s="26" t="str">
        <f t="shared" si="3"/>
        <v>R</v>
      </c>
      <c r="O5" s="26">
        <v>22.0</v>
      </c>
      <c r="P5" s="26" t="str">
        <f t="shared" si="4"/>
        <v>I</v>
      </c>
      <c r="Q5" s="26">
        <v>8.0</v>
      </c>
      <c r="R5" s="26" t="str">
        <f t="shared" si="5"/>
        <v>R</v>
      </c>
      <c r="S5" s="26">
        <v>23.0</v>
      </c>
      <c r="T5" s="26" t="str">
        <f t="shared" si="6"/>
        <v>S</v>
      </c>
      <c r="U5" s="26">
        <v>21.0</v>
      </c>
      <c r="V5" s="26" t="str">
        <f t="shared" si="7"/>
        <v>S</v>
      </c>
      <c r="W5" s="32" t="s">
        <v>299</v>
      </c>
      <c r="X5" s="33">
        <v>6.0</v>
      </c>
      <c r="Y5" s="33" t="str">
        <f t="shared" si="8"/>
        <v>R</v>
      </c>
      <c r="Z5" s="33">
        <v>23.0</v>
      </c>
      <c r="AA5" s="33" t="str">
        <f t="shared" si="9"/>
        <v>S</v>
      </c>
      <c r="AB5" s="33">
        <v>10.0</v>
      </c>
      <c r="AC5" s="33" t="str">
        <f t="shared" si="10"/>
        <v>R</v>
      </c>
      <c r="AD5" s="33">
        <v>25.0</v>
      </c>
      <c r="AE5" s="33" t="str">
        <f t="shared" si="11"/>
        <v>S</v>
      </c>
      <c r="AF5" s="33">
        <v>13.0</v>
      </c>
      <c r="AG5" s="33" t="str">
        <f t="shared" si="12"/>
        <v>R</v>
      </c>
      <c r="AH5" s="33" t="s">
        <v>299</v>
      </c>
      <c r="AI5" s="36">
        <v>21.0</v>
      </c>
      <c r="AJ5" s="36" t="str">
        <f t="shared" si="13"/>
        <v>R</v>
      </c>
      <c r="AK5" s="36">
        <v>26.0</v>
      </c>
      <c r="AL5" s="36" t="str">
        <f t="shared" si="14"/>
        <v>S</v>
      </c>
      <c r="AM5" s="36">
        <v>21.0</v>
      </c>
      <c r="AN5" s="36" t="str">
        <f t="shared" si="15"/>
        <v>S</v>
      </c>
      <c r="AO5" s="36" t="s">
        <v>299</v>
      </c>
      <c r="AP5" s="37">
        <v>6.0</v>
      </c>
      <c r="AQ5" s="37" t="str">
        <f t="shared" si="16"/>
        <v>R</v>
      </c>
      <c r="AR5" s="33">
        <v>20.0</v>
      </c>
      <c r="AS5" s="33" t="str">
        <f t="shared" si="17"/>
        <v>S</v>
      </c>
      <c r="AT5" s="33">
        <v>19.0</v>
      </c>
      <c r="AU5" s="33" t="str">
        <f t="shared" si="18"/>
        <v>S</v>
      </c>
      <c r="AV5" s="33" t="s">
        <v>300</v>
      </c>
      <c r="AW5" s="26">
        <v>22.0</v>
      </c>
      <c r="AX5" s="26" t="str">
        <f t="shared" si="19"/>
        <v>S</v>
      </c>
      <c r="AY5" s="37">
        <v>9.0</v>
      </c>
      <c r="AZ5" s="37" t="str">
        <f t="shared" si="20"/>
        <v>R</v>
      </c>
      <c r="BA5" s="36">
        <v>18.0</v>
      </c>
      <c r="BB5" s="36" t="str">
        <f t="shared" si="21"/>
        <v>R</v>
      </c>
      <c r="BC5" s="36">
        <v>0.064</v>
      </c>
      <c r="BD5" s="36" t="str">
        <f>IF((BC5&lt;=0.5),"S",IF(AND(BC5&gt;0.5),"R", "NA"))</f>
        <v>S</v>
      </c>
      <c r="BE5" s="36">
        <v>29.0</v>
      </c>
      <c r="BF5" s="36" t="str">
        <f t="shared" si="22"/>
        <v>S</v>
      </c>
      <c r="BG5" s="40">
        <v>20.0</v>
      </c>
      <c r="BH5" s="41" t="str">
        <f t="shared" si="23"/>
        <v>S</v>
      </c>
      <c r="BI5" s="41"/>
    </row>
    <row r="6">
      <c r="A6" s="21" t="s">
        <v>180</v>
      </c>
      <c r="B6" s="23">
        <v>3.0</v>
      </c>
      <c r="C6" s="21" t="s">
        <v>392</v>
      </c>
      <c r="D6" s="18" t="s">
        <v>571</v>
      </c>
      <c r="E6" s="18" t="s">
        <v>572</v>
      </c>
      <c r="F6" s="18" t="s">
        <v>573</v>
      </c>
      <c r="G6" s="20" t="s">
        <v>357</v>
      </c>
      <c r="H6" s="47" t="s">
        <v>357</v>
      </c>
      <c r="I6" s="32" t="s">
        <v>357</v>
      </c>
      <c r="J6" s="32" t="s">
        <v>357</v>
      </c>
      <c r="K6" s="32" t="s">
        <v>357</v>
      </c>
      <c r="L6" s="32" t="s">
        <v>357</v>
      </c>
      <c r="M6" s="32" t="s">
        <v>357</v>
      </c>
      <c r="N6" s="32" t="s">
        <v>357</v>
      </c>
      <c r="O6" s="32" t="s">
        <v>357</v>
      </c>
      <c r="P6" s="32" t="s">
        <v>357</v>
      </c>
      <c r="Q6" s="32" t="s">
        <v>357</v>
      </c>
      <c r="R6" s="32" t="s">
        <v>357</v>
      </c>
      <c r="S6" s="32" t="s">
        <v>357</v>
      </c>
      <c r="T6" s="32" t="s">
        <v>357</v>
      </c>
      <c r="U6" s="32" t="s">
        <v>357</v>
      </c>
      <c r="V6" s="32" t="s">
        <v>357</v>
      </c>
      <c r="W6" s="32" t="s">
        <v>357</v>
      </c>
      <c r="X6" s="49" t="s">
        <v>357</v>
      </c>
      <c r="Y6" s="49" t="s">
        <v>357</v>
      </c>
      <c r="Z6" s="49" t="s">
        <v>357</v>
      </c>
      <c r="AA6" s="49" t="s">
        <v>357</v>
      </c>
      <c r="AB6" s="49" t="s">
        <v>357</v>
      </c>
      <c r="AC6" s="49" t="s">
        <v>357</v>
      </c>
      <c r="AD6" s="49" t="s">
        <v>357</v>
      </c>
      <c r="AE6" s="49" t="s">
        <v>357</v>
      </c>
      <c r="AF6" s="49" t="s">
        <v>357</v>
      </c>
      <c r="AG6" s="49" t="s">
        <v>357</v>
      </c>
      <c r="AH6" s="49" t="s">
        <v>357</v>
      </c>
      <c r="AI6" s="39" t="s">
        <v>357</v>
      </c>
      <c r="AJ6" s="39" t="s">
        <v>357</v>
      </c>
      <c r="AK6" s="39" t="s">
        <v>357</v>
      </c>
      <c r="AL6" s="39" t="s">
        <v>357</v>
      </c>
      <c r="AM6" s="39" t="s">
        <v>357</v>
      </c>
      <c r="AN6" s="39" t="s">
        <v>357</v>
      </c>
      <c r="AO6" s="39" t="s">
        <v>357</v>
      </c>
      <c r="AP6" s="50" t="s">
        <v>357</v>
      </c>
      <c r="AQ6" s="50" t="s">
        <v>357</v>
      </c>
      <c r="AR6" s="49" t="s">
        <v>357</v>
      </c>
      <c r="AS6" s="49" t="s">
        <v>357</v>
      </c>
      <c r="AT6" s="49" t="s">
        <v>357</v>
      </c>
      <c r="AU6" s="49" t="s">
        <v>357</v>
      </c>
      <c r="AV6" s="49" t="s">
        <v>357</v>
      </c>
      <c r="AW6" s="32" t="s">
        <v>357</v>
      </c>
      <c r="AX6" s="32" t="s">
        <v>357</v>
      </c>
      <c r="AY6" s="50" t="s">
        <v>357</v>
      </c>
      <c r="AZ6" s="50" t="s">
        <v>357</v>
      </c>
      <c r="BA6" s="39" t="s">
        <v>357</v>
      </c>
      <c r="BB6" s="39" t="s">
        <v>357</v>
      </c>
      <c r="BC6" s="39" t="s">
        <v>357</v>
      </c>
      <c r="BD6" s="39" t="s">
        <v>357</v>
      </c>
      <c r="BE6" s="39" t="s">
        <v>357</v>
      </c>
      <c r="BF6" s="39" t="s">
        <v>357</v>
      </c>
      <c r="BG6" s="41" t="s">
        <v>357</v>
      </c>
      <c r="BH6" s="41" t="s">
        <v>357</v>
      </c>
      <c r="BI6" s="41"/>
    </row>
    <row r="7">
      <c r="A7" s="21" t="s">
        <v>180</v>
      </c>
      <c r="B7" s="23">
        <v>4.0</v>
      </c>
      <c r="C7" s="21" t="s">
        <v>434</v>
      </c>
      <c r="D7" s="18" t="s">
        <v>575</v>
      </c>
      <c r="E7" s="18" t="s">
        <v>103</v>
      </c>
      <c r="F7" s="18" t="s">
        <v>573</v>
      </c>
      <c r="G7" s="20" t="s">
        <v>357</v>
      </c>
      <c r="H7" s="47" t="s">
        <v>357</v>
      </c>
      <c r="I7" s="32" t="s">
        <v>357</v>
      </c>
      <c r="J7" s="32" t="s">
        <v>357</v>
      </c>
      <c r="K7" s="32" t="s">
        <v>357</v>
      </c>
      <c r="L7" s="32" t="s">
        <v>357</v>
      </c>
      <c r="M7" s="32" t="s">
        <v>357</v>
      </c>
      <c r="N7" s="32" t="s">
        <v>357</v>
      </c>
      <c r="O7" s="32" t="s">
        <v>357</v>
      </c>
      <c r="P7" s="32" t="s">
        <v>357</v>
      </c>
      <c r="Q7" s="32" t="s">
        <v>357</v>
      </c>
      <c r="R7" s="32" t="s">
        <v>357</v>
      </c>
      <c r="S7" s="32" t="s">
        <v>357</v>
      </c>
      <c r="T7" s="32" t="s">
        <v>357</v>
      </c>
      <c r="U7" s="32" t="s">
        <v>357</v>
      </c>
      <c r="V7" s="32" t="s">
        <v>357</v>
      </c>
      <c r="W7" s="32" t="s">
        <v>357</v>
      </c>
      <c r="X7" s="49" t="s">
        <v>357</v>
      </c>
      <c r="Y7" s="49" t="s">
        <v>357</v>
      </c>
      <c r="Z7" s="49" t="s">
        <v>357</v>
      </c>
      <c r="AA7" s="49" t="s">
        <v>357</v>
      </c>
      <c r="AB7" s="49" t="s">
        <v>357</v>
      </c>
      <c r="AC7" s="49" t="s">
        <v>357</v>
      </c>
      <c r="AD7" s="49" t="s">
        <v>357</v>
      </c>
      <c r="AE7" s="49" t="s">
        <v>357</v>
      </c>
      <c r="AF7" s="49" t="s">
        <v>357</v>
      </c>
      <c r="AG7" s="49" t="s">
        <v>357</v>
      </c>
      <c r="AH7" s="49" t="s">
        <v>357</v>
      </c>
      <c r="AI7" s="39" t="s">
        <v>357</v>
      </c>
      <c r="AJ7" s="39" t="s">
        <v>357</v>
      </c>
      <c r="AK7" s="39" t="s">
        <v>357</v>
      </c>
      <c r="AL7" s="39" t="s">
        <v>357</v>
      </c>
      <c r="AM7" s="39" t="s">
        <v>357</v>
      </c>
      <c r="AN7" s="39" t="s">
        <v>357</v>
      </c>
      <c r="AO7" s="39" t="s">
        <v>357</v>
      </c>
      <c r="AP7" s="50" t="s">
        <v>357</v>
      </c>
      <c r="AQ7" s="50" t="s">
        <v>357</v>
      </c>
      <c r="AR7" s="49" t="s">
        <v>357</v>
      </c>
      <c r="AS7" s="49" t="s">
        <v>357</v>
      </c>
      <c r="AT7" s="49" t="s">
        <v>357</v>
      </c>
      <c r="AU7" s="49" t="s">
        <v>357</v>
      </c>
      <c r="AV7" s="49" t="s">
        <v>357</v>
      </c>
      <c r="AW7" s="32" t="s">
        <v>357</v>
      </c>
      <c r="AX7" s="32" t="s">
        <v>357</v>
      </c>
      <c r="AY7" s="50" t="s">
        <v>357</v>
      </c>
      <c r="AZ7" s="50" t="s">
        <v>357</v>
      </c>
      <c r="BA7" s="39" t="s">
        <v>357</v>
      </c>
      <c r="BB7" s="39" t="s">
        <v>357</v>
      </c>
      <c r="BC7" s="39" t="s">
        <v>357</v>
      </c>
      <c r="BD7" s="39" t="s">
        <v>357</v>
      </c>
      <c r="BE7" s="39" t="s">
        <v>357</v>
      </c>
      <c r="BF7" s="39" t="s">
        <v>357</v>
      </c>
      <c r="BG7" s="41" t="s">
        <v>357</v>
      </c>
      <c r="BH7" s="41" t="s">
        <v>357</v>
      </c>
      <c r="BI7" s="41"/>
    </row>
    <row r="8">
      <c r="A8" s="51" t="s">
        <v>302</v>
      </c>
      <c r="B8" s="53">
        <v>5.0</v>
      </c>
      <c r="C8" s="51" t="s">
        <v>456</v>
      </c>
      <c r="D8" s="18" t="s">
        <v>190</v>
      </c>
      <c r="E8" s="18" t="s">
        <v>190</v>
      </c>
      <c r="F8" s="18" t="s">
        <v>192</v>
      </c>
      <c r="G8" s="20" t="s">
        <v>580</v>
      </c>
      <c r="H8" s="52" t="s">
        <v>581</v>
      </c>
      <c r="I8" s="26">
        <v>6.0</v>
      </c>
      <c r="J8" s="26" t="str">
        <f t="shared" ref="J8:J12" si="24">IF((I8&gt;=19),"S",IF(AND(I8&lt;19),"R", "NA"))</f>
        <v>R</v>
      </c>
      <c r="K8" s="26">
        <v>8.0</v>
      </c>
      <c r="L8" s="26" t="str">
        <f t="shared" ref="L8:L12" si="25">IF((K8&gt;=19),"S",IF(AND(K8&lt;19),"R", "NA"))</f>
        <v>R</v>
      </c>
      <c r="M8" s="26">
        <v>6.0</v>
      </c>
      <c r="N8" s="26" t="str">
        <f t="shared" ref="N8:N12" si="26">IF((M8&gt;=23),"S",IF(AND(M8&lt;23),"R","NA"))</f>
        <v>R</v>
      </c>
      <c r="O8" s="26">
        <v>6.0</v>
      </c>
      <c r="P8" s="26" t="str">
        <f t="shared" ref="P8:P12" si="27">IF((O8&gt;=23),"S",IF(AND(O8&lt;23,O8&gt;=20),"I",IF(AND(O8&lt;20),"R","NA")))</f>
        <v>R</v>
      </c>
      <c r="Q8" s="26">
        <v>20.0</v>
      </c>
      <c r="R8" s="26" t="str">
        <f t="shared" ref="R8:R12" si="28">IF((Q8&gt;=20),"S",IF(AND(Q8&lt;20),"R", "NA"))</f>
        <v>S</v>
      </c>
      <c r="S8" s="26">
        <v>25.0</v>
      </c>
      <c r="T8" s="26" t="str">
        <f t="shared" ref="T8:T12" si="29">IF((S8&gt;=20),"S",IF(AND(S8&lt;20),"R", "NA"))</f>
        <v>S</v>
      </c>
      <c r="U8" s="26">
        <v>25.0</v>
      </c>
      <c r="V8" s="26" t="str">
        <f t="shared" ref="V8:V12" si="30">IF((U8&gt;=20),"S",IF(AND(U8&lt;20,U8&gt;=17),"I",IF(AND(U8&lt;17),"R","NA")))</f>
        <v>S</v>
      </c>
      <c r="W8" s="32" t="s">
        <v>299</v>
      </c>
      <c r="X8" s="33">
        <v>17.0</v>
      </c>
      <c r="Y8" s="33" t="str">
        <f t="shared" ref="Y8:Y12" si="31">IF((X8&gt;=20),"S",IF(AND(X8&lt;20,X8&gt;=17),"I",IF(AND(X8&lt;17),"R","NA")))</f>
        <v>I</v>
      </c>
      <c r="Z8" s="33">
        <v>6.0</v>
      </c>
      <c r="AA8" s="33" t="str">
        <f t="shared" ref="AA8:AA12" si="32">IF((Z8&gt;=18),"S",IF(AND(Z8&lt;18),"R", "NA"))</f>
        <v>R</v>
      </c>
      <c r="AB8" s="33">
        <v>23.0</v>
      </c>
      <c r="AC8" s="33" t="str">
        <f t="shared" ref="AC8:AC12" si="33">IF((AB8&gt;=22),"S",IF(AND(AB8&lt;22,AB8&gt;=19),"I",IF(AND(AB8&lt;19),"R","NA")))</f>
        <v>S</v>
      </c>
      <c r="AD8" s="33">
        <v>27.0</v>
      </c>
      <c r="AE8" s="33" t="str">
        <f t="shared" ref="AE8:AE12" si="34">IF((AD8&gt;=13),"S",IF(AND(AD8&lt;13),"R", "NA"))</f>
        <v>S</v>
      </c>
      <c r="AF8" s="33">
        <v>35.0</v>
      </c>
      <c r="AG8" s="33" t="str">
        <f t="shared" ref="AG8:AG12" si="35">IF((AF8&gt;=27),"S",IF(AND(AF8&lt;27,AF8&gt;=24),"I",IF(AND(AF8&lt;24),"R","NA")))</f>
        <v>S</v>
      </c>
      <c r="AH8" s="33" t="s">
        <v>299</v>
      </c>
      <c r="AI8" s="36">
        <v>11.0</v>
      </c>
      <c r="AJ8" s="36" t="str">
        <f t="shared" ref="AJ8:AJ12" si="36">IF((AI8&gt;=25),"S",IF(AND(AI8&lt;25,AI8&gt;=22),"I",IF(AND(AI8&lt;22),"R","NA")))</f>
        <v>R</v>
      </c>
      <c r="AK8" s="36">
        <v>9.0</v>
      </c>
      <c r="AL8" s="36" t="str">
        <f t="shared" ref="AL8:AL12" si="37">IF((AK8&gt;=23),"S",IF(AND(AK8&lt;23,AK8&gt;=19),"I",IF(AND(AK8&lt;19),"R","NA")))</f>
        <v>R</v>
      </c>
      <c r="AM8" s="36">
        <v>6.0</v>
      </c>
      <c r="AN8" s="36" t="str">
        <f t="shared" ref="AN8:AN12" si="38">IF((AM8&gt;=14),"S",IF(AND(AM8&lt;14),"R","NA"))</f>
        <v>R</v>
      </c>
      <c r="AO8" s="36" t="s">
        <v>299</v>
      </c>
      <c r="AP8" s="37">
        <v>6.0</v>
      </c>
      <c r="AQ8" s="37" t="str">
        <f t="shared" ref="AQ8:AQ12" si="39">IF((AP8&gt;=14),"S",IF(AND(AP8&lt;14,AP8&gt;=11),"I",IF(AND(AP8&lt;11),"R","NA")))</f>
        <v>R</v>
      </c>
      <c r="AR8" s="33">
        <v>26.0</v>
      </c>
      <c r="AS8" s="33" t="str">
        <f t="shared" ref="AS8:AS12" si="40">IF((AR8&gt;=18),"S",IF(AND(AR8&lt;18),"R", "NA"))</f>
        <v>S</v>
      </c>
      <c r="AT8" s="33">
        <v>21.0</v>
      </c>
      <c r="AU8" s="33" t="str">
        <f t="shared" ref="AU8:AU12" si="41">IF((AT8&gt;=16),"S",IF(AND(AT8&lt;16),"R", "NA"))</f>
        <v>S</v>
      </c>
      <c r="AV8" s="33" t="s">
        <v>300</v>
      </c>
      <c r="AW8" s="26">
        <v>10.0</v>
      </c>
      <c r="AX8" s="26" t="str">
        <f t="shared" ref="AX8:AX12" si="42">IF((AW8&gt;=20),"S",IF(AND(AW8&lt;20),"R", "NA"))</f>
        <v>R</v>
      </c>
      <c r="AY8" s="37">
        <v>23.0</v>
      </c>
      <c r="AZ8" s="37" t="str">
        <f t="shared" ref="AZ8:AZ12" si="43">IF((AY8&gt;=26),"S",IF(AND(AY8&lt;26,AY8&gt;=21),"I",IF(AND(AY8&lt;21),"R","NA")))</f>
        <v>I</v>
      </c>
      <c r="BA8" s="36">
        <v>28.0</v>
      </c>
      <c r="BB8" s="36" t="str">
        <f t="shared" ref="BB8:BB12" si="44">IF((BA8&gt;=23),"S",IF(AND(BA8&lt;23),"R","NA"))</f>
        <v>S</v>
      </c>
      <c r="BC8" s="39" t="s">
        <v>357</v>
      </c>
      <c r="BD8" s="39" t="s">
        <v>357</v>
      </c>
      <c r="BE8" s="36">
        <v>26.0</v>
      </c>
      <c r="BF8" s="36" t="str">
        <f t="shared" ref="BF8:BF12" si="45">IF((BE8&gt;=22),"S",IF(AND(BE8&lt;22,BE8&gt;=19),"I",IF(AND(BE8&lt;19),"R","NA")))</f>
        <v>S</v>
      </c>
      <c r="BG8" s="40">
        <v>24.0</v>
      </c>
      <c r="BH8" s="41" t="str">
        <f t="shared" ref="BH8:BH12" si="46">IF((BG8&gt;=17),"S",IF(AND(BG8&lt;17),"R", "NA"))</f>
        <v>S</v>
      </c>
      <c r="BI8" s="41"/>
    </row>
    <row r="9">
      <c r="A9" s="51" t="s">
        <v>302</v>
      </c>
      <c r="B9" s="51" t="s">
        <v>444</v>
      </c>
      <c r="C9" s="51" t="s">
        <v>490</v>
      </c>
      <c r="D9" s="18" t="s">
        <v>190</v>
      </c>
      <c r="E9" s="18" t="s">
        <v>190</v>
      </c>
      <c r="F9" s="18" t="s">
        <v>192</v>
      </c>
      <c r="G9" s="20" t="s">
        <v>655</v>
      </c>
      <c r="H9" s="52" t="s">
        <v>581</v>
      </c>
      <c r="I9" s="26">
        <v>6.0</v>
      </c>
      <c r="J9" s="26" t="str">
        <f t="shared" si="24"/>
        <v>R</v>
      </c>
      <c r="K9" s="26">
        <v>6.0</v>
      </c>
      <c r="L9" s="26" t="str">
        <f t="shared" si="25"/>
        <v>R</v>
      </c>
      <c r="M9" s="26">
        <v>6.0</v>
      </c>
      <c r="N9" s="26" t="str">
        <f t="shared" si="26"/>
        <v>R</v>
      </c>
      <c r="O9" s="26">
        <v>6.0</v>
      </c>
      <c r="P9" s="26" t="str">
        <f t="shared" si="27"/>
        <v>R</v>
      </c>
      <c r="Q9" s="26">
        <v>20.0</v>
      </c>
      <c r="R9" s="26" t="str">
        <f t="shared" si="28"/>
        <v>S</v>
      </c>
      <c r="S9" s="26">
        <v>21.0</v>
      </c>
      <c r="T9" s="26" t="str">
        <f t="shared" si="29"/>
        <v>S</v>
      </c>
      <c r="U9" s="26">
        <v>26.0</v>
      </c>
      <c r="V9" s="26" t="str">
        <f t="shared" si="30"/>
        <v>S</v>
      </c>
      <c r="W9" s="32" t="s">
        <v>299</v>
      </c>
      <c r="X9" s="33">
        <v>20.0</v>
      </c>
      <c r="Y9" s="33" t="str">
        <f t="shared" si="31"/>
        <v>S</v>
      </c>
      <c r="Z9" s="33">
        <v>6.0</v>
      </c>
      <c r="AA9" s="33" t="str">
        <f t="shared" si="32"/>
        <v>R</v>
      </c>
      <c r="AB9" s="33">
        <v>20.0</v>
      </c>
      <c r="AC9" s="33" t="str">
        <f t="shared" si="33"/>
        <v>I</v>
      </c>
      <c r="AD9" s="33">
        <v>27.0</v>
      </c>
      <c r="AE9" s="33" t="str">
        <f t="shared" si="34"/>
        <v>S</v>
      </c>
      <c r="AF9" s="33">
        <v>35.0</v>
      </c>
      <c r="AG9" s="33" t="str">
        <f t="shared" si="35"/>
        <v>S</v>
      </c>
      <c r="AH9" s="33" t="s">
        <v>299</v>
      </c>
      <c r="AI9" s="36">
        <v>13.0</v>
      </c>
      <c r="AJ9" s="36" t="str">
        <f t="shared" si="36"/>
        <v>R</v>
      </c>
      <c r="AK9" s="36">
        <v>11.0</v>
      </c>
      <c r="AL9" s="36" t="str">
        <f t="shared" si="37"/>
        <v>R</v>
      </c>
      <c r="AM9" s="36">
        <v>6.0</v>
      </c>
      <c r="AN9" s="36" t="str">
        <f t="shared" si="38"/>
        <v>R</v>
      </c>
      <c r="AO9" s="36" t="s">
        <v>299</v>
      </c>
      <c r="AP9" s="37">
        <v>6.0</v>
      </c>
      <c r="AQ9" s="37" t="str">
        <f t="shared" si="39"/>
        <v>R</v>
      </c>
      <c r="AR9" s="33">
        <v>25.0</v>
      </c>
      <c r="AS9" s="33" t="str">
        <f t="shared" si="40"/>
        <v>S</v>
      </c>
      <c r="AT9" s="33">
        <v>21.0</v>
      </c>
      <c r="AU9" s="33" t="str">
        <f t="shared" si="41"/>
        <v>S</v>
      </c>
      <c r="AV9" s="33" t="s">
        <v>300</v>
      </c>
      <c r="AW9" s="26">
        <v>10.0</v>
      </c>
      <c r="AX9" s="26" t="str">
        <f t="shared" si="42"/>
        <v>R</v>
      </c>
      <c r="AY9" s="37">
        <v>27.0</v>
      </c>
      <c r="AZ9" s="37" t="str">
        <f t="shared" si="43"/>
        <v>S</v>
      </c>
      <c r="BA9" s="36">
        <v>26.0</v>
      </c>
      <c r="BB9" s="36" t="str">
        <f t="shared" si="44"/>
        <v>S</v>
      </c>
      <c r="BC9" s="39" t="s">
        <v>357</v>
      </c>
      <c r="BD9" s="39" t="s">
        <v>357</v>
      </c>
      <c r="BE9" s="36">
        <v>25.0</v>
      </c>
      <c r="BF9" s="36" t="str">
        <f t="shared" si="45"/>
        <v>S</v>
      </c>
      <c r="BG9" s="40">
        <v>20.0</v>
      </c>
      <c r="BH9" s="41" t="str">
        <f t="shared" si="46"/>
        <v>S</v>
      </c>
      <c r="BI9" s="41"/>
    </row>
    <row r="10">
      <c r="A10" s="51" t="s">
        <v>302</v>
      </c>
      <c r="B10" s="53">
        <v>6.0</v>
      </c>
      <c r="C10" s="51" t="s">
        <v>508</v>
      </c>
      <c r="D10" s="18" t="s">
        <v>190</v>
      </c>
      <c r="E10" s="18" t="s">
        <v>190</v>
      </c>
      <c r="F10" s="18" t="s">
        <v>192</v>
      </c>
      <c r="G10" s="20" t="s">
        <v>674</v>
      </c>
      <c r="H10" s="22" t="s">
        <v>198</v>
      </c>
      <c r="I10" s="26">
        <v>6.0</v>
      </c>
      <c r="J10" s="26" t="str">
        <f t="shared" si="24"/>
        <v>R</v>
      </c>
      <c r="K10" s="26">
        <v>23.0</v>
      </c>
      <c r="L10" s="26" t="str">
        <f t="shared" si="25"/>
        <v>S</v>
      </c>
      <c r="M10" s="26">
        <v>6.0</v>
      </c>
      <c r="N10" s="26" t="str">
        <f t="shared" si="26"/>
        <v>R</v>
      </c>
      <c r="O10" s="26">
        <v>23.0</v>
      </c>
      <c r="P10" s="26" t="str">
        <f t="shared" si="27"/>
        <v>S</v>
      </c>
      <c r="Q10" s="26">
        <v>8.0</v>
      </c>
      <c r="R10" s="26" t="str">
        <f t="shared" si="28"/>
        <v>R</v>
      </c>
      <c r="S10" s="26">
        <v>23.0</v>
      </c>
      <c r="T10" s="26" t="str">
        <f t="shared" si="29"/>
        <v>S</v>
      </c>
      <c r="U10" s="26">
        <v>20.0</v>
      </c>
      <c r="V10" s="26" t="str">
        <f t="shared" si="30"/>
        <v>S</v>
      </c>
      <c r="W10" s="32" t="s">
        <v>299</v>
      </c>
      <c r="X10" s="33">
        <v>6.0</v>
      </c>
      <c r="Y10" s="33" t="str">
        <f t="shared" si="31"/>
        <v>R</v>
      </c>
      <c r="Z10" s="33">
        <v>25.0</v>
      </c>
      <c r="AA10" s="33" t="str">
        <f t="shared" si="32"/>
        <v>S</v>
      </c>
      <c r="AB10" s="33">
        <v>14.0</v>
      </c>
      <c r="AC10" s="33" t="str">
        <f t="shared" si="33"/>
        <v>R</v>
      </c>
      <c r="AD10" s="33">
        <v>27.0</v>
      </c>
      <c r="AE10" s="33" t="str">
        <f t="shared" si="34"/>
        <v>S</v>
      </c>
      <c r="AF10" s="33">
        <v>15.0</v>
      </c>
      <c r="AG10" s="33" t="str">
        <f t="shared" si="35"/>
        <v>R</v>
      </c>
      <c r="AH10" s="33" t="s">
        <v>299</v>
      </c>
      <c r="AI10" s="36">
        <v>28.0</v>
      </c>
      <c r="AJ10" s="36" t="str">
        <f t="shared" si="36"/>
        <v>S</v>
      </c>
      <c r="AK10" s="36">
        <v>25.0</v>
      </c>
      <c r="AL10" s="36" t="str">
        <f t="shared" si="37"/>
        <v>S</v>
      </c>
      <c r="AM10" s="36">
        <v>21.0</v>
      </c>
      <c r="AN10" s="36" t="str">
        <f t="shared" si="38"/>
        <v>S</v>
      </c>
      <c r="AO10" s="36" t="s">
        <v>300</v>
      </c>
      <c r="AP10" s="37">
        <v>6.0</v>
      </c>
      <c r="AQ10" s="37" t="str">
        <f t="shared" si="39"/>
        <v>R</v>
      </c>
      <c r="AR10" s="33">
        <v>24.0</v>
      </c>
      <c r="AS10" s="33" t="str">
        <f t="shared" si="40"/>
        <v>S</v>
      </c>
      <c r="AT10" s="33">
        <v>20.0</v>
      </c>
      <c r="AU10" s="33" t="str">
        <f t="shared" si="41"/>
        <v>S</v>
      </c>
      <c r="AV10" s="33" t="s">
        <v>300</v>
      </c>
      <c r="AW10" s="26">
        <v>27.0</v>
      </c>
      <c r="AX10" s="26" t="str">
        <f t="shared" si="42"/>
        <v>S</v>
      </c>
      <c r="AY10" s="37">
        <v>10.0</v>
      </c>
      <c r="AZ10" s="37" t="str">
        <f t="shared" si="43"/>
        <v>R</v>
      </c>
      <c r="BA10" s="36">
        <v>28.0</v>
      </c>
      <c r="BB10" s="36" t="str">
        <f t="shared" si="44"/>
        <v>S</v>
      </c>
      <c r="BC10" s="39" t="s">
        <v>357</v>
      </c>
      <c r="BD10" s="39" t="s">
        <v>357</v>
      </c>
      <c r="BE10" s="36">
        <v>30.0</v>
      </c>
      <c r="BF10" s="36" t="str">
        <f t="shared" si="45"/>
        <v>S</v>
      </c>
      <c r="BG10" s="40">
        <v>20.0</v>
      </c>
      <c r="BH10" s="41" t="str">
        <f t="shared" si="46"/>
        <v>S</v>
      </c>
      <c r="BI10" s="41"/>
    </row>
    <row r="11">
      <c r="A11" s="51" t="s">
        <v>302</v>
      </c>
      <c r="B11" s="51" t="s">
        <v>444</v>
      </c>
      <c r="C11" s="51" t="s">
        <v>537</v>
      </c>
      <c r="D11" s="18" t="s">
        <v>190</v>
      </c>
      <c r="E11" s="18" t="s">
        <v>190</v>
      </c>
      <c r="F11" s="18" t="s">
        <v>192</v>
      </c>
      <c r="G11" s="20" t="s">
        <v>687</v>
      </c>
      <c r="H11" s="42" t="s">
        <v>479</v>
      </c>
      <c r="I11" s="26">
        <v>6.0</v>
      </c>
      <c r="J11" s="26" t="str">
        <f t="shared" si="24"/>
        <v>R</v>
      </c>
      <c r="K11" s="26">
        <v>23.0</v>
      </c>
      <c r="L11" s="26" t="str">
        <f t="shared" si="25"/>
        <v>S</v>
      </c>
      <c r="M11" s="26">
        <v>6.0</v>
      </c>
      <c r="N11" s="26" t="str">
        <f t="shared" si="26"/>
        <v>R</v>
      </c>
      <c r="O11" s="26">
        <v>23.0</v>
      </c>
      <c r="P11" s="26" t="str">
        <f t="shared" si="27"/>
        <v>S</v>
      </c>
      <c r="Q11" s="26">
        <v>10.0</v>
      </c>
      <c r="R11" s="26" t="str">
        <f t="shared" si="28"/>
        <v>R</v>
      </c>
      <c r="S11" s="26">
        <v>22.0</v>
      </c>
      <c r="T11" s="26" t="str">
        <f t="shared" si="29"/>
        <v>S</v>
      </c>
      <c r="U11" s="26">
        <v>27.0</v>
      </c>
      <c r="V11" s="26" t="str">
        <f t="shared" si="30"/>
        <v>S</v>
      </c>
      <c r="W11" s="32" t="s">
        <v>299</v>
      </c>
      <c r="X11" s="33">
        <v>6.0</v>
      </c>
      <c r="Y11" s="33" t="str">
        <f t="shared" si="31"/>
        <v>R</v>
      </c>
      <c r="Z11" s="33">
        <v>25.0</v>
      </c>
      <c r="AA11" s="33" t="str">
        <f t="shared" si="32"/>
        <v>S</v>
      </c>
      <c r="AB11" s="33">
        <v>28.0</v>
      </c>
      <c r="AC11" s="33" t="str">
        <f t="shared" si="33"/>
        <v>S</v>
      </c>
      <c r="AD11" s="33">
        <v>28.0</v>
      </c>
      <c r="AE11" s="33" t="str">
        <f t="shared" si="34"/>
        <v>S</v>
      </c>
      <c r="AF11" s="33">
        <v>20.0</v>
      </c>
      <c r="AG11" s="33" t="str">
        <f t="shared" si="35"/>
        <v>R</v>
      </c>
      <c r="AH11" s="33" t="s">
        <v>299</v>
      </c>
      <c r="AI11" s="36">
        <v>23.0</v>
      </c>
      <c r="AJ11" s="36" t="str">
        <f t="shared" si="36"/>
        <v>I</v>
      </c>
      <c r="AK11" s="36">
        <v>20.0</v>
      </c>
      <c r="AL11" s="36" t="str">
        <f t="shared" si="37"/>
        <v>I</v>
      </c>
      <c r="AM11" s="36">
        <v>20.0</v>
      </c>
      <c r="AN11" s="36" t="str">
        <f t="shared" si="38"/>
        <v>S</v>
      </c>
      <c r="AO11" s="36" t="s">
        <v>300</v>
      </c>
      <c r="AP11" s="37">
        <v>26.0</v>
      </c>
      <c r="AQ11" s="37" t="str">
        <f t="shared" si="39"/>
        <v>S</v>
      </c>
      <c r="AR11" s="33">
        <v>20.0</v>
      </c>
      <c r="AS11" s="33" t="str">
        <f t="shared" si="40"/>
        <v>S</v>
      </c>
      <c r="AT11" s="33">
        <v>20.0</v>
      </c>
      <c r="AU11" s="33" t="str">
        <f t="shared" si="41"/>
        <v>S</v>
      </c>
      <c r="AV11" s="33" t="s">
        <v>300</v>
      </c>
      <c r="AW11" s="26">
        <v>18.0</v>
      </c>
      <c r="AX11" s="26" t="str">
        <f t="shared" si="42"/>
        <v>R</v>
      </c>
      <c r="AY11" s="37">
        <v>18.0</v>
      </c>
      <c r="AZ11" s="37" t="str">
        <f t="shared" si="43"/>
        <v>R</v>
      </c>
      <c r="BA11" s="36">
        <v>29.0</v>
      </c>
      <c r="BB11" s="36" t="str">
        <f t="shared" si="44"/>
        <v>S</v>
      </c>
      <c r="BC11" s="39" t="s">
        <v>357</v>
      </c>
      <c r="BD11" s="39" t="s">
        <v>357</v>
      </c>
      <c r="BE11" s="36">
        <v>29.0</v>
      </c>
      <c r="BF11" s="36" t="str">
        <f t="shared" si="45"/>
        <v>S</v>
      </c>
      <c r="BG11" s="40">
        <v>21.0</v>
      </c>
      <c r="BH11" s="41" t="str">
        <f t="shared" si="46"/>
        <v>S</v>
      </c>
      <c r="BI11" s="41"/>
    </row>
    <row r="12">
      <c r="A12" s="51" t="s">
        <v>302</v>
      </c>
      <c r="B12" s="53">
        <v>7.0</v>
      </c>
      <c r="C12" s="51" t="s">
        <v>558</v>
      </c>
      <c r="D12" s="18" t="s">
        <v>190</v>
      </c>
      <c r="E12" s="18" t="s">
        <v>190</v>
      </c>
      <c r="F12" s="18" t="s">
        <v>192</v>
      </c>
      <c r="G12" s="20" t="s">
        <v>692</v>
      </c>
      <c r="H12" s="22" t="s">
        <v>198</v>
      </c>
      <c r="I12" s="26">
        <v>6.0</v>
      </c>
      <c r="J12" s="26" t="str">
        <f t="shared" si="24"/>
        <v>R</v>
      </c>
      <c r="K12" s="26">
        <v>25.0</v>
      </c>
      <c r="L12" s="26" t="str">
        <f t="shared" si="25"/>
        <v>S</v>
      </c>
      <c r="M12" s="26">
        <v>6.0</v>
      </c>
      <c r="N12" s="26" t="str">
        <f t="shared" si="26"/>
        <v>R</v>
      </c>
      <c r="O12" s="26">
        <v>26.0</v>
      </c>
      <c r="P12" s="26" t="str">
        <f t="shared" si="27"/>
        <v>S</v>
      </c>
      <c r="Q12" s="26">
        <v>16.0</v>
      </c>
      <c r="R12" s="26" t="str">
        <f t="shared" si="28"/>
        <v>R</v>
      </c>
      <c r="S12" s="26">
        <v>25.0</v>
      </c>
      <c r="T12" s="26" t="str">
        <f t="shared" si="29"/>
        <v>S</v>
      </c>
      <c r="U12" s="26">
        <v>25.0</v>
      </c>
      <c r="V12" s="26" t="str">
        <f t="shared" si="30"/>
        <v>S</v>
      </c>
      <c r="W12" s="32" t="s">
        <v>299</v>
      </c>
      <c r="X12" s="33">
        <v>6.0</v>
      </c>
      <c r="Y12" s="33" t="str">
        <f t="shared" si="31"/>
        <v>R</v>
      </c>
      <c r="Z12" s="33">
        <v>26.0</v>
      </c>
      <c r="AA12" s="33" t="str">
        <f t="shared" si="32"/>
        <v>S</v>
      </c>
      <c r="AB12" s="33">
        <v>22.0</v>
      </c>
      <c r="AC12" s="33" t="str">
        <f t="shared" si="33"/>
        <v>S</v>
      </c>
      <c r="AD12" s="33">
        <v>29.0</v>
      </c>
      <c r="AE12" s="33" t="str">
        <f t="shared" si="34"/>
        <v>S</v>
      </c>
      <c r="AF12" s="33">
        <v>25.0</v>
      </c>
      <c r="AG12" s="33" t="str">
        <f t="shared" si="35"/>
        <v>I</v>
      </c>
      <c r="AH12" s="33" t="s">
        <v>299</v>
      </c>
      <c r="AI12" s="36">
        <v>6.0</v>
      </c>
      <c r="AJ12" s="36" t="str">
        <f t="shared" si="36"/>
        <v>R</v>
      </c>
      <c r="AK12" s="36">
        <v>9.0</v>
      </c>
      <c r="AL12" s="36" t="str">
        <f t="shared" si="37"/>
        <v>R</v>
      </c>
      <c r="AM12" s="36">
        <v>6.0</v>
      </c>
      <c r="AN12" s="36" t="str">
        <f t="shared" si="38"/>
        <v>R</v>
      </c>
      <c r="AO12" s="36" t="s">
        <v>299</v>
      </c>
      <c r="AP12" s="37">
        <v>6.0</v>
      </c>
      <c r="AQ12" s="37" t="str">
        <f t="shared" si="39"/>
        <v>R</v>
      </c>
      <c r="AR12" s="33">
        <v>20.0</v>
      </c>
      <c r="AS12" s="33" t="str">
        <f t="shared" si="40"/>
        <v>S</v>
      </c>
      <c r="AT12" s="33">
        <v>20.0</v>
      </c>
      <c r="AU12" s="33" t="str">
        <f t="shared" si="41"/>
        <v>S</v>
      </c>
      <c r="AV12" s="33" t="s">
        <v>300</v>
      </c>
      <c r="AW12" s="26">
        <v>20.0</v>
      </c>
      <c r="AX12" s="26" t="str">
        <f t="shared" si="42"/>
        <v>S</v>
      </c>
      <c r="AY12" s="37">
        <v>21.0</v>
      </c>
      <c r="AZ12" s="37" t="str">
        <f t="shared" si="43"/>
        <v>I</v>
      </c>
      <c r="BA12" s="36">
        <v>32.0</v>
      </c>
      <c r="BB12" s="36" t="str">
        <f t="shared" si="44"/>
        <v>S</v>
      </c>
      <c r="BC12" s="39" t="s">
        <v>357</v>
      </c>
      <c r="BD12" s="39" t="s">
        <v>357</v>
      </c>
      <c r="BE12" s="36">
        <v>30.0</v>
      </c>
      <c r="BF12" s="36" t="str">
        <f t="shared" si="45"/>
        <v>S</v>
      </c>
      <c r="BG12" s="40">
        <v>20.0</v>
      </c>
      <c r="BH12" s="41" t="str">
        <f t="shared" si="46"/>
        <v>S</v>
      </c>
      <c r="BI12" s="41"/>
    </row>
    <row r="13">
      <c r="A13" s="51" t="s">
        <v>302</v>
      </c>
      <c r="B13" s="53">
        <v>8.0</v>
      </c>
      <c r="C13" s="51" t="s">
        <v>371</v>
      </c>
      <c r="D13" s="18" t="s">
        <v>571</v>
      </c>
      <c r="E13" s="18" t="s">
        <v>572</v>
      </c>
      <c r="F13" s="18" t="s">
        <v>573</v>
      </c>
      <c r="G13" s="20" t="s">
        <v>357</v>
      </c>
      <c r="H13" s="47" t="s">
        <v>357</v>
      </c>
      <c r="I13" s="32" t="s">
        <v>357</v>
      </c>
      <c r="J13" s="32" t="s">
        <v>357</v>
      </c>
      <c r="K13" s="32" t="s">
        <v>357</v>
      </c>
      <c r="L13" s="32" t="s">
        <v>357</v>
      </c>
      <c r="M13" s="32" t="s">
        <v>357</v>
      </c>
      <c r="N13" s="32" t="s">
        <v>357</v>
      </c>
      <c r="O13" s="32" t="s">
        <v>357</v>
      </c>
      <c r="P13" s="32" t="s">
        <v>357</v>
      </c>
      <c r="Q13" s="32" t="s">
        <v>357</v>
      </c>
      <c r="R13" s="32" t="s">
        <v>357</v>
      </c>
      <c r="S13" s="32" t="s">
        <v>357</v>
      </c>
      <c r="T13" s="32" t="s">
        <v>357</v>
      </c>
      <c r="U13" s="32" t="s">
        <v>357</v>
      </c>
      <c r="V13" s="32" t="s">
        <v>357</v>
      </c>
      <c r="W13" s="32" t="s">
        <v>357</v>
      </c>
      <c r="X13" s="49" t="s">
        <v>357</v>
      </c>
      <c r="Y13" s="49" t="s">
        <v>357</v>
      </c>
      <c r="Z13" s="49" t="s">
        <v>357</v>
      </c>
      <c r="AA13" s="49" t="s">
        <v>357</v>
      </c>
      <c r="AB13" s="49" t="s">
        <v>357</v>
      </c>
      <c r="AC13" s="49" t="s">
        <v>357</v>
      </c>
      <c r="AD13" s="49" t="s">
        <v>357</v>
      </c>
      <c r="AE13" s="49" t="s">
        <v>357</v>
      </c>
      <c r="AF13" s="49" t="s">
        <v>357</v>
      </c>
      <c r="AG13" s="49" t="s">
        <v>357</v>
      </c>
      <c r="AH13" s="49" t="s">
        <v>357</v>
      </c>
      <c r="AI13" s="39" t="s">
        <v>357</v>
      </c>
      <c r="AJ13" s="39" t="s">
        <v>357</v>
      </c>
      <c r="AK13" s="39" t="s">
        <v>357</v>
      </c>
      <c r="AL13" s="39" t="s">
        <v>357</v>
      </c>
      <c r="AM13" s="39" t="s">
        <v>357</v>
      </c>
      <c r="AN13" s="39" t="s">
        <v>357</v>
      </c>
      <c r="AO13" s="39" t="s">
        <v>357</v>
      </c>
      <c r="AP13" s="50" t="s">
        <v>357</v>
      </c>
      <c r="AQ13" s="50" t="s">
        <v>357</v>
      </c>
      <c r="AR13" s="49" t="s">
        <v>357</v>
      </c>
      <c r="AS13" s="49" t="s">
        <v>357</v>
      </c>
      <c r="AT13" s="49" t="s">
        <v>357</v>
      </c>
      <c r="AU13" s="49" t="s">
        <v>357</v>
      </c>
      <c r="AV13" s="49" t="s">
        <v>357</v>
      </c>
      <c r="AW13" s="32" t="s">
        <v>357</v>
      </c>
      <c r="AX13" s="32" t="s">
        <v>357</v>
      </c>
      <c r="AY13" s="50" t="s">
        <v>357</v>
      </c>
      <c r="AZ13" s="50" t="s">
        <v>357</v>
      </c>
      <c r="BA13" s="39" t="s">
        <v>357</v>
      </c>
      <c r="BB13" s="39" t="s">
        <v>357</v>
      </c>
      <c r="BC13" s="39" t="s">
        <v>357</v>
      </c>
      <c r="BD13" s="39" t="s">
        <v>357</v>
      </c>
      <c r="BE13" s="39" t="s">
        <v>357</v>
      </c>
      <c r="BF13" s="39" t="s">
        <v>357</v>
      </c>
      <c r="BG13" s="41" t="s">
        <v>357</v>
      </c>
      <c r="BH13" s="41" t="s">
        <v>357</v>
      </c>
      <c r="BI13" s="41"/>
    </row>
    <row r="14">
      <c r="A14" s="51" t="s">
        <v>302</v>
      </c>
      <c r="B14" s="53">
        <v>9.0</v>
      </c>
      <c r="C14" s="51" t="s">
        <v>583</v>
      </c>
      <c r="D14" s="18" t="s">
        <v>705</v>
      </c>
      <c r="E14" s="18" t="s">
        <v>572</v>
      </c>
      <c r="F14" s="18" t="s">
        <v>573</v>
      </c>
      <c r="G14" s="20" t="s">
        <v>357</v>
      </c>
      <c r="H14" s="47" t="s">
        <v>357</v>
      </c>
      <c r="I14" s="32" t="s">
        <v>357</v>
      </c>
      <c r="J14" s="32" t="s">
        <v>357</v>
      </c>
      <c r="K14" s="32" t="s">
        <v>357</v>
      </c>
      <c r="L14" s="32" t="s">
        <v>357</v>
      </c>
      <c r="M14" s="32" t="s">
        <v>357</v>
      </c>
      <c r="N14" s="32" t="s">
        <v>357</v>
      </c>
      <c r="O14" s="32" t="s">
        <v>357</v>
      </c>
      <c r="P14" s="32" t="s">
        <v>357</v>
      </c>
      <c r="Q14" s="32" t="s">
        <v>357</v>
      </c>
      <c r="R14" s="32" t="s">
        <v>357</v>
      </c>
      <c r="S14" s="32" t="s">
        <v>357</v>
      </c>
      <c r="T14" s="32" t="s">
        <v>357</v>
      </c>
      <c r="U14" s="32" t="s">
        <v>357</v>
      </c>
      <c r="V14" s="32" t="s">
        <v>357</v>
      </c>
      <c r="W14" s="32" t="s">
        <v>357</v>
      </c>
      <c r="X14" s="49" t="s">
        <v>357</v>
      </c>
      <c r="Y14" s="49" t="s">
        <v>357</v>
      </c>
      <c r="Z14" s="49" t="s">
        <v>357</v>
      </c>
      <c r="AA14" s="49" t="s">
        <v>357</v>
      </c>
      <c r="AB14" s="49" t="s">
        <v>357</v>
      </c>
      <c r="AC14" s="49" t="s">
        <v>357</v>
      </c>
      <c r="AD14" s="49" t="s">
        <v>357</v>
      </c>
      <c r="AE14" s="49" t="s">
        <v>357</v>
      </c>
      <c r="AF14" s="49" t="s">
        <v>357</v>
      </c>
      <c r="AG14" s="49" t="s">
        <v>357</v>
      </c>
      <c r="AH14" s="49" t="s">
        <v>357</v>
      </c>
      <c r="AI14" s="39" t="s">
        <v>357</v>
      </c>
      <c r="AJ14" s="39" t="s">
        <v>357</v>
      </c>
      <c r="AK14" s="39" t="s">
        <v>357</v>
      </c>
      <c r="AL14" s="39" t="s">
        <v>357</v>
      </c>
      <c r="AM14" s="39" t="s">
        <v>357</v>
      </c>
      <c r="AN14" s="39" t="s">
        <v>357</v>
      </c>
      <c r="AO14" s="39" t="s">
        <v>357</v>
      </c>
      <c r="AP14" s="50" t="s">
        <v>357</v>
      </c>
      <c r="AQ14" s="50" t="s">
        <v>357</v>
      </c>
      <c r="AR14" s="49" t="s">
        <v>357</v>
      </c>
      <c r="AS14" s="49" t="s">
        <v>357</v>
      </c>
      <c r="AT14" s="49" t="s">
        <v>357</v>
      </c>
      <c r="AU14" s="49" t="s">
        <v>357</v>
      </c>
      <c r="AV14" s="49" t="s">
        <v>357</v>
      </c>
      <c r="AW14" s="32" t="s">
        <v>357</v>
      </c>
      <c r="AX14" s="32" t="s">
        <v>357</v>
      </c>
      <c r="AY14" s="50" t="s">
        <v>357</v>
      </c>
      <c r="AZ14" s="50" t="s">
        <v>357</v>
      </c>
      <c r="BA14" s="39" t="s">
        <v>357</v>
      </c>
      <c r="BB14" s="39" t="s">
        <v>357</v>
      </c>
      <c r="BC14" s="39" t="s">
        <v>357</v>
      </c>
      <c r="BD14" s="39" t="s">
        <v>357</v>
      </c>
      <c r="BE14" s="39" t="s">
        <v>357</v>
      </c>
      <c r="BF14" s="39" t="s">
        <v>357</v>
      </c>
      <c r="BG14" s="41" t="s">
        <v>357</v>
      </c>
      <c r="BH14" s="41" t="s">
        <v>357</v>
      </c>
      <c r="BI14" s="41"/>
    </row>
    <row r="15">
      <c r="A15" s="51" t="s">
        <v>302</v>
      </c>
      <c r="B15" s="53">
        <v>10.0</v>
      </c>
      <c r="C15" s="51" t="s">
        <v>599</v>
      </c>
      <c r="D15" s="18" t="s">
        <v>708</v>
      </c>
      <c r="E15" s="18" t="s">
        <v>103</v>
      </c>
      <c r="F15" s="18" t="s">
        <v>192</v>
      </c>
      <c r="G15" s="20" t="s">
        <v>709</v>
      </c>
      <c r="H15" s="22" t="s">
        <v>198</v>
      </c>
      <c r="I15" s="26">
        <v>6.0</v>
      </c>
      <c r="J15" s="26" t="str">
        <f t="shared" ref="J15:J18" si="47">IF((I15&gt;=19),"S",IF(AND(I15&lt;19),"R", "NA"))</f>
        <v>R</v>
      </c>
      <c r="K15" s="26">
        <v>25.0</v>
      </c>
      <c r="L15" s="26" t="str">
        <f t="shared" ref="L15:L18" si="48">IF((K15&gt;=19),"S",IF(AND(K15&lt;19),"R", "NA"))</f>
        <v>S</v>
      </c>
      <c r="M15" s="26">
        <v>6.0</v>
      </c>
      <c r="N15" s="26" t="str">
        <f t="shared" ref="N15:N18" si="49">IF((M15&gt;=23),"S",IF(AND(M15&lt;23),"R","NA"))</f>
        <v>R</v>
      </c>
      <c r="O15" s="26">
        <v>25.0</v>
      </c>
      <c r="P15" s="26" t="str">
        <f t="shared" ref="P15:P16" si="50">IF((O15&gt;=23),"S",IF(AND(O15&lt;23,O15&gt;=20),"I",IF(AND(O15&lt;20),"R","NA")))</f>
        <v>S</v>
      </c>
      <c r="Q15" s="26">
        <v>13.0</v>
      </c>
      <c r="R15" s="26" t="str">
        <f t="shared" ref="R15:R18" si="51">IF((Q15&gt;=20),"S",IF(AND(Q15&lt;20),"R", "NA"))</f>
        <v>R</v>
      </c>
      <c r="S15" s="26">
        <v>25.0</v>
      </c>
      <c r="T15" s="26" t="str">
        <f t="shared" ref="T15:T18" si="52">IF((S15&gt;=20),"S",IF(AND(S15&lt;20),"R", "NA"))</f>
        <v>S</v>
      </c>
      <c r="U15" s="26">
        <v>23.0</v>
      </c>
      <c r="V15" s="26" t="str">
        <f t="shared" ref="V15:V18" si="53">IF((U15&gt;=20),"S",IF(AND(U15&lt;20,U15&gt;=17),"I",IF(AND(U15&lt;17),"R","NA")))</f>
        <v>S</v>
      </c>
      <c r="W15" s="32" t="s">
        <v>299</v>
      </c>
      <c r="X15" s="33">
        <v>6.0</v>
      </c>
      <c r="Y15" s="33" t="str">
        <f t="shared" ref="Y15:Y18" si="54">IF((X15&gt;=20),"S",IF(AND(X15&lt;20,X15&gt;=17),"I",IF(AND(X15&lt;17),"R","NA")))</f>
        <v>R</v>
      </c>
      <c r="Z15" s="33">
        <v>23.0</v>
      </c>
      <c r="AA15" s="33" t="str">
        <f t="shared" ref="AA15:AA18" si="55">IF((Z15&gt;=18),"S",IF(AND(Z15&lt;18),"R", "NA"))</f>
        <v>S</v>
      </c>
      <c r="AB15" s="33">
        <v>19.0</v>
      </c>
      <c r="AC15" s="33" t="str">
        <f t="shared" ref="AC15:AC18" si="56">IF((AB15&gt;=22),"S",IF(AND(AB15&lt;22,AB15&gt;=19),"I",IF(AND(AB15&lt;19),"R","NA")))</f>
        <v>I</v>
      </c>
      <c r="AD15" s="33">
        <v>27.0</v>
      </c>
      <c r="AE15" s="33" t="str">
        <f t="shared" ref="AE15:AE18" si="57">IF((AD15&gt;=13),"S",IF(AND(AD15&lt;13),"R", "NA"))</f>
        <v>S</v>
      </c>
      <c r="AF15" s="33">
        <v>20.0</v>
      </c>
      <c r="AG15" s="33" t="str">
        <f t="shared" ref="AG15:AG18" si="58">IF((AF15&gt;=27),"S",IF(AND(AF15&lt;27,AF15&gt;=24),"I",IF(AND(AF15&lt;24),"R","NA")))</f>
        <v>R</v>
      </c>
      <c r="AH15" s="33" t="s">
        <v>299</v>
      </c>
      <c r="AI15" s="36">
        <v>25.0</v>
      </c>
      <c r="AJ15" s="36" t="str">
        <f t="shared" ref="AJ15:AJ18" si="59">IF((AI15&gt;=25),"S",IF(AND(AI15&lt;25,AI15&gt;=22),"I",IF(AND(AI15&lt;22),"R","NA")))</f>
        <v>S</v>
      </c>
      <c r="AK15" s="36">
        <v>25.0</v>
      </c>
      <c r="AL15" s="36" t="str">
        <f t="shared" ref="AL15:AL18" si="60">IF((AK15&gt;=23),"S",IF(AND(AK15&lt;23,AK15&gt;=19),"I",IF(AND(AK15&lt;19),"R","NA")))</f>
        <v>S</v>
      </c>
      <c r="AM15" s="36">
        <v>24.0</v>
      </c>
      <c r="AN15" s="36" t="str">
        <f t="shared" ref="AN15:AN18" si="61">IF((AM15&gt;=14),"S",IF(AND(AM15&lt;14),"R","NA"))</f>
        <v>S</v>
      </c>
      <c r="AO15" s="36" t="s">
        <v>300</v>
      </c>
      <c r="AP15" s="37">
        <v>6.0</v>
      </c>
      <c r="AQ15" s="37" t="str">
        <f t="shared" ref="AQ15:AQ18" si="62">IF((AP15&gt;=14),"S",IF(AND(AP15&lt;14,AP15&gt;=11),"I",IF(AND(AP15&lt;11),"R","NA")))</f>
        <v>R</v>
      </c>
      <c r="AR15" s="33">
        <v>20.0</v>
      </c>
      <c r="AS15" s="33" t="str">
        <f t="shared" ref="AS15:AS18" si="63">IF((AR15&gt;=18),"S",IF(AND(AR15&lt;18),"R", "NA"))</f>
        <v>S</v>
      </c>
      <c r="AT15" s="33">
        <v>20.0</v>
      </c>
      <c r="AU15" s="33" t="str">
        <f t="shared" ref="AU15:AU18" si="64">IF((AT15&gt;=16),"S",IF(AND(AT15&lt;16),"R", "NA"))</f>
        <v>S</v>
      </c>
      <c r="AV15" s="33" t="s">
        <v>300</v>
      </c>
      <c r="AW15" s="26">
        <v>24.0</v>
      </c>
      <c r="AX15" s="26" t="str">
        <f t="shared" ref="AX15:AX18" si="65">IF((AW15&gt;=20),"S",IF(AND(AW15&lt;20),"R", "NA"))</f>
        <v>S</v>
      </c>
      <c r="AY15" s="37">
        <v>16.0</v>
      </c>
      <c r="AZ15" s="37" t="str">
        <f t="shared" ref="AZ15:AZ18" si="66">IF((AY15&gt;=26),"S",IF(AND(AY15&lt;26,AY15&gt;=21),"I",IF(AND(AY15&lt;21),"R","NA")))</f>
        <v>R</v>
      </c>
      <c r="BA15" s="36">
        <v>30.0</v>
      </c>
      <c r="BB15" s="36" t="str">
        <f t="shared" ref="BB15:BB18" si="67">IF((BA15&gt;=23),"S",IF(AND(BA15&lt;23),"R","NA"))</f>
        <v>S</v>
      </c>
      <c r="BC15" s="39" t="s">
        <v>357</v>
      </c>
      <c r="BD15" s="39" t="s">
        <v>357</v>
      </c>
      <c r="BE15" s="36">
        <v>30.0</v>
      </c>
      <c r="BF15" s="36" t="str">
        <f t="shared" ref="BF15:BF18" si="68">IF((BE15&gt;=22),"S",IF(AND(BE15&lt;22,BE15&gt;=19),"I",IF(AND(BE15&lt;19),"R","NA")))</f>
        <v>S</v>
      </c>
      <c r="BG15" s="40">
        <v>20.0</v>
      </c>
      <c r="BH15" s="41" t="str">
        <f t="shared" ref="BH15:BH18" si="69">IF((BG15&gt;=17),"S",IF(AND(BG15&lt;17),"R", "NA"))</f>
        <v>S</v>
      </c>
      <c r="BI15" s="41"/>
    </row>
    <row r="16">
      <c r="A16" s="51" t="s">
        <v>302</v>
      </c>
      <c r="B16" s="51" t="s">
        <v>444</v>
      </c>
      <c r="C16" s="51" t="s">
        <v>612</v>
      </c>
      <c r="D16" s="18" t="s">
        <v>708</v>
      </c>
      <c r="E16" s="18" t="s">
        <v>103</v>
      </c>
      <c r="F16" s="18" t="s">
        <v>192</v>
      </c>
      <c r="G16" s="20" t="s">
        <v>741</v>
      </c>
      <c r="H16" s="22" t="s">
        <v>198</v>
      </c>
      <c r="I16" s="26">
        <v>6.0</v>
      </c>
      <c r="J16" s="26" t="str">
        <f t="shared" si="47"/>
        <v>R</v>
      </c>
      <c r="K16" s="26">
        <v>21.0</v>
      </c>
      <c r="L16" s="26" t="str">
        <f t="shared" si="48"/>
        <v>S</v>
      </c>
      <c r="M16" s="26">
        <v>6.0</v>
      </c>
      <c r="N16" s="26" t="str">
        <f t="shared" si="49"/>
        <v>R</v>
      </c>
      <c r="O16" s="26">
        <v>25.0</v>
      </c>
      <c r="P16" s="26" t="str">
        <f t="shared" si="50"/>
        <v>S</v>
      </c>
      <c r="Q16" s="26">
        <v>14.0</v>
      </c>
      <c r="R16" s="26" t="str">
        <f t="shared" si="51"/>
        <v>R</v>
      </c>
      <c r="S16" s="26">
        <v>23.0</v>
      </c>
      <c r="T16" s="26" t="str">
        <f t="shared" si="52"/>
        <v>S</v>
      </c>
      <c r="U16" s="26">
        <v>23.0</v>
      </c>
      <c r="V16" s="26" t="str">
        <f t="shared" si="53"/>
        <v>S</v>
      </c>
      <c r="W16" s="32" t="s">
        <v>299</v>
      </c>
      <c r="X16" s="33">
        <v>6.0</v>
      </c>
      <c r="Y16" s="33" t="str">
        <f t="shared" si="54"/>
        <v>R</v>
      </c>
      <c r="Z16" s="33">
        <v>23.0</v>
      </c>
      <c r="AA16" s="33" t="str">
        <f t="shared" si="55"/>
        <v>S</v>
      </c>
      <c r="AB16" s="33">
        <v>23.0</v>
      </c>
      <c r="AC16" s="33" t="str">
        <f t="shared" si="56"/>
        <v>S</v>
      </c>
      <c r="AD16" s="33">
        <v>27.0</v>
      </c>
      <c r="AE16" s="33" t="str">
        <f t="shared" si="57"/>
        <v>S</v>
      </c>
      <c r="AF16" s="33">
        <v>25.0</v>
      </c>
      <c r="AG16" s="33" t="str">
        <f t="shared" si="58"/>
        <v>I</v>
      </c>
      <c r="AH16" s="33" t="s">
        <v>299</v>
      </c>
      <c r="AI16" s="36">
        <v>27.0</v>
      </c>
      <c r="AJ16" s="36" t="str">
        <f t="shared" si="59"/>
        <v>S</v>
      </c>
      <c r="AK16" s="36">
        <v>24.0</v>
      </c>
      <c r="AL16" s="36" t="str">
        <f t="shared" si="60"/>
        <v>S</v>
      </c>
      <c r="AM16" s="36">
        <v>20.0</v>
      </c>
      <c r="AN16" s="36" t="str">
        <f t="shared" si="61"/>
        <v>S</v>
      </c>
      <c r="AO16" s="36" t="s">
        <v>300</v>
      </c>
      <c r="AP16" s="37">
        <v>6.0</v>
      </c>
      <c r="AQ16" s="37" t="str">
        <f t="shared" si="62"/>
        <v>R</v>
      </c>
      <c r="AR16" s="33">
        <v>20.0</v>
      </c>
      <c r="AS16" s="33" t="str">
        <f t="shared" si="63"/>
        <v>S</v>
      </c>
      <c r="AT16" s="33">
        <v>20.0</v>
      </c>
      <c r="AU16" s="33" t="str">
        <f t="shared" si="64"/>
        <v>S</v>
      </c>
      <c r="AV16" s="33" t="s">
        <v>300</v>
      </c>
      <c r="AW16" s="26">
        <v>20.0</v>
      </c>
      <c r="AX16" s="26" t="str">
        <f t="shared" si="65"/>
        <v>S</v>
      </c>
      <c r="AY16" s="37">
        <v>21.0</v>
      </c>
      <c r="AZ16" s="37" t="str">
        <f t="shared" si="66"/>
        <v>I</v>
      </c>
      <c r="BA16" s="36">
        <v>33.0</v>
      </c>
      <c r="BB16" s="36" t="str">
        <f t="shared" si="67"/>
        <v>S</v>
      </c>
      <c r="BC16" s="39" t="s">
        <v>357</v>
      </c>
      <c r="BD16" s="39" t="s">
        <v>357</v>
      </c>
      <c r="BE16" s="36">
        <v>30.0</v>
      </c>
      <c r="BF16" s="36" t="str">
        <f t="shared" si="68"/>
        <v>S</v>
      </c>
      <c r="BG16" s="40">
        <v>20.0</v>
      </c>
      <c r="BH16" s="41" t="str">
        <f t="shared" si="69"/>
        <v>S</v>
      </c>
      <c r="BI16" s="41"/>
    </row>
    <row r="17">
      <c r="A17" s="21" t="s">
        <v>455</v>
      </c>
      <c r="B17" s="23">
        <v>11.0</v>
      </c>
      <c r="C17" s="21" t="s">
        <v>628</v>
      </c>
      <c r="D17" s="18" t="s">
        <v>190</v>
      </c>
      <c r="E17" s="18" t="s">
        <v>190</v>
      </c>
      <c r="F17" s="18" t="s">
        <v>192</v>
      </c>
      <c r="G17" s="20" t="s">
        <v>747</v>
      </c>
      <c r="H17" s="22" t="s">
        <v>198</v>
      </c>
      <c r="I17" s="26">
        <v>6.0</v>
      </c>
      <c r="J17" s="26" t="str">
        <f t="shared" si="47"/>
        <v>R</v>
      </c>
      <c r="K17" s="26">
        <v>22.0</v>
      </c>
      <c r="L17" s="26" t="str">
        <f t="shared" si="48"/>
        <v>S</v>
      </c>
      <c r="M17" s="26">
        <v>6.0</v>
      </c>
      <c r="N17" s="26" t="str">
        <f t="shared" si="49"/>
        <v>R</v>
      </c>
      <c r="O17" s="32" t="s">
        <v>357</v>
      </c>
      <c r="P17" s="32" t="s">
        <v>357</v>
      </c>
      <c r="Q17" s="26">
        <v>16.0</v>
      </c>
      <c r="R17" s="26" t="str">
        <f t="shared" si="51"/>
        <v>R</v>
      </c>
      <c r="S17" s="26">
        <v>27.0</v>
      </c>
      <c r="T17" s="26" t="str">
        <f t="shared" si="52"/>
        <v>S</v>
      </c>
      <c r="U17" s="26">
        <v>26.0</v>
      </c>
      <c r="V17" s="26" t="str">
        <f t="shared" si="53"/>
        <v>S</v>
      </c>
      <c r="W17" s="32" t="s">
        <v>299</v>
      </c>
      <c r="X17" s="33">
        <v>8.0</v>
      </c>
      <c r="Y17" s="33" t="str">
        <f t="shared" si="54"/>
        <v>R</v>
      </c>
      <c r="Z17" s="33">
        <v>23.0</v>
      </c>
      <c r="AA17" s="33" t="str">
        <f t="shared" si="55"/>
        <v>S</v>
      </c>
      <c r="AB17" s="33">
        <v>24.0</v>
      </c>
      <c r="AC17" s="33" t="str">
        <f t="shared" si="56"/>
        <v>S</v>
      </c>
      <c r="AD17" s="33">
        <v>30.0</v>
      </c>
      <c r="AE17" s="33" t="str">
        <f t="shared" si="57"/>
        <v>S</v>
      </c>
      <c r="AF17" s="33">
        <v>25.0</v>
      </c>
      <c r="AG17" s="33" t="str">
        <f t="shared" si="58"/>
        <v>I</v>
      </c>
      <c r="AH17" s="33" t="s">
        <v>299</v>
      </c>
      <c r="AI17" s="36">
        <v>15.0</v>
      </c>
      <c r="AJ17" s="36" t="str">
        <f t="shared" si="59"/>
        <v>R</v>
      </c>
      <c r="AK17" s="36">
        <v>24.0</v>
      </c>
      <c r="AL17" s="36" t="str">
        <f t="shared" si="60"/>
        <v>S</v>
      </c>
      <c r="AM17" s="36">
        <v>20.0</v>
      </c>
      <c r="AN17" s="36" t="str">
        <f t="shared" si="61"/>
        <v>S</v>
      </c>
      <c r="AO17" s="36" t="s">
        <v>299</v>
      </c>
      <c r="AP17" s="37">
        <v>6.0</v>
      </c>
      <c r="AQ17" s="37" t="str">
        <f t="shared" si="62"/>
        <v>R</v>
      </c>
      <c r="AR17" s="33">
        <v>19.0</v>
      </c>
      <c r="AS17" s="33" t="str">
        <f t="shared" si="63"/>
        <v>S</v>
      </c>
      <c r="AT17" s="33">
        <v>21.0</v>
      </c>
      <c r="AU17" s="33" t="str">
        <f t="shared" si="64"/>
        <v>S</v>
      </c>
      <c r="AV17" s="33" t="s">
        <v>300</v>
      </c>
      <c r="AW17" s="26">
        <v>21.0</v>
      </c>
      <c r="AX17" s="26" t="str">
        <f t="shared" si="65"/>
        <v>S</v>
      </c>
      <c r="AY17" s="37">
        <v>23.0</v>
      </c>
      <c r="AZ17" s="37" t="str">
        <f t="shared" si="66"/>
        <v>I</v>
      </c>
      <c r="BA17" s="36">
        <v>28.0</v>
      </c>
      <c r="BB17" s="36" t="str">
        <f t="shared" si="67"/>
        <v>S</v>
      </c>
      <c r="BC17" s="39" t="s">
        <v>357</v>
      </c>
      <c r="BD17" s="39" t="s">
        <v>357</v>
      </c>
      <c r="BE17" s="36">
        <v>25.0</v>
      </c>
      <c r="BF17" s="36" t="str">
        <f t="shared" si="68"/>
        <v>S</v>
      </c>
      <c r="BG17" s="40">
        <v>12.0</v>
      </c>
      <c r="BH17" s="41" t="str">
        <f t="shared" si="69"/>
        <v>R</v>
      </c>
      <c r="BI17" s="41"/>
    </row>
    <row r="18">
      <c r="A18" s="21" t="s">
        <v>455</v>
      </c>
      <c r="B18" s="21" t="s">
        <v>444</v>
      </c>
      <c r="C18" s="21" t="s">
        <v>640</v>
      </c>
      <c r="D18" s="18" t="s">
        <v>190</v>
      </c>
      <c r="E18" s="18" t="s">
        <v>190</v>
      </c>
      <c r="F18" s="18" t="s">
        <v>192</v>
      </c>
      <c r="G18" s="20" t="s">
        <v>752</v>
      </c>
      <c r="H18" s="55" t="s">
        <v>753</v>
      </c>
      <c r="I18" s="26">
        <v>6.0</v>
      </c>
      <c r="J18" s="26" t="str">
        <f t="shared" si="47"/>
        <v>R</v>
      </c>
      <c r="K18" s="26">
        <v>6.0</v>
      </c>
      <c r="L18" s="26" t="str">
        <f t="shared" si="48"/>
        <v>R</v>
      </c>
      <c r="M18" s="26">
        <v>6.0</v>
      </c>
      <c r="N18" s="26" t="str">
        <f t="shared" si="49"/>
        <v>R</v>
      </c>
      <c r="O18" s="32" t="s">
        <v>357</v>
      </c>
      <c r="P18" s="32" t="s">
        <v>357</v>
      </c>
      <c r="Q18" s="26">
        <v>17.0</v>
      </c>
      <c r="R18" s="26" t="str">
        <f t="shared" si="51"/>
        <v>R</v>
      </c>
      <c r="S18" s="26">
        <v>29.0</v>
      </c>
      <c r="T18" s="26" t="str">
        <f t="shared" si="52"/>
        <v>S</v>
      </c>
      <c r="U18" s="26">
        <v>26.0</v>
      </c>
      <c r="V18" s="26" t="str">
        <f t="shared" si="53"/>
        <v>S</v>
      </c>
      <c r="W18" s="32" t="s">
        <v>299</v>
      </c>
      <c r="X18" s="33">
        <v>6.0</v>
      </c>
      <c r="Y18" s="33" t="str">
        <f t="shared" si="54"/>
        <v>R</v>
      </c>
      <c r="Z18" s="33">
        <v>17.0</v>
      </c>
      <c r="AA18" s="33" t="str">
        <f t="shared" si="55"/>
        <v>R</v>
      </c>
      <c r="AB18" s="33">
        <v>28.0</v>
      </c>
      <c r="AC18" s="33" t="str">
        <f t="shared" si="56"/>
        <v>S</v>
      </c>
      <c r="AD18" s="33">
        <v>32.0</v>
      </c>
      <c r="AE18" s="33" t="str">
        <f t="shared" si="57"/>
        <v>S</v>
      </c>
      <c r="AF18" s="33">
        <v>30.0</v>
      </c>
      <c r="AG18" s="33" t="str">
        <f t="shared" si="58"/>
        <v>S</v>
      </c>
      <c r="AH18" s="33" t="s">
        <v>299</v>
      </c>
      <c r="AI18" s="36">
        <v>15.0</v>
      </c>
      <c r="AJ18" s="36" t="str">
        <f t="shared" si="59"/>
        <v>R</v>
      </c>
      <c r="AK18" s="36">
        <v>17.0</v>
      </c>
      <c r="AL18" s="36" t="str">
        <f t="shared" si="60"/>
        <v>R</v>
      </c>
      <c r="AM18" s="36">
        <v>6.0</v>
      </c>
      <c r="AN18" s="36" t="str">
        <f t="shared" si="61"/>
        <v>R</v>
      </c>
      <c r="AO18" s="36" t="s">
        <v>299</v>
      </c>
      <c r="AP18" s="37">
        <v>6.0</v>
      </c>
      <c r="AQ18" s="37" t="str">
        <f t="shared" si="62"/>
        <v>R</v>
      </c>
      <c r="AR18" s="33">
        <v>26.0</v>
      </c>
      <c r="AS18" s="33" t="str">
        <f t="shared" si="63"/>
        <v>S</v>
      </c>
      <c r="AT18" s="33">
        <v>20.0</v>
      </c>
      <c r="AU18" s="33" t="str">
        <f t="shared" si="64"/>
        <v>S</v>
      </c>
      <c r="AV18" s="33" t="s">
        <v>300</v>
      </c>
      <c r="AW18" s="26">
        <v>16.0</v>
      </c>
      <c r="AX18" s="26" t="str">
        <f t="shared" si="65"/>
        <v>R</v>
      </c>
      <c r="AY18" s="37">
        <v>28.0</v>
      </c>
      <c r="AZ18" s="37" t="str">
        <f t="shared" si="66"/>
        <v>S</v>
      </c>
      <c r="BA18" s="36">
        <v>27.0</v>
      </c>
      <c r="BB18" s="36" t="str">
        <f t="shared" si="67"/>
        <v>S</v>
      </c>
      <c r="BC18" s="39" t="s">
        <v>357</v>
      </c>
      <c r="BD18" s="39" t="s">
        <v>357</v>
      </c>
      <c r="BE18" s="36">
        <v>22.0</v>
      </c>
      <c r="BF18" s="36" t="str">
        <f t="shared" si="68"/>
        <v>S</v>
      </c>
      <c r="BG18" s="40">
        <v>13.0</v>
      </c>
      <c r="BH18" s="41" t="str">
        <f t="shared" si="69"/>
        <v>R</v>
      </c>
      <c r="BI18" s="41"/>
    </row>
    <row r="19">
      <c r="A19" s="21" t="s">
        <v>455</v>
      </c>
      <c r="B19" s="23">
        <v>12.0</v>
      </c>
      <c r="C19" s="21" t="s">
        <v>654</v>
      </c>
      <c r="D19" s="18" t="s">
        <v>571</v>
      </c>
      <c r="E19" s="18" t="s">
        <v>572</v>
      </c>
      <c r="F19" s="18" t="s">
        <v>573</v>
      </c>
      <c r="G19" s="20" t="s">
        <v>357</v>
      </c>
      <c r="H19" s="47" t="s">
        <v>357</v>
      </c>
      <c r="I19" s="32" t="s">
        <v>357</v>
      </c>
      <c r="J19" s="32" t="s">
        <v>357</v>
      </c>
      <c r="K19" s="32" t="s">
        <v>357</v>
      </c>
      <c r="L19" s="32" t="s">
        <v>357</v>
      </c>
      <c r="M19" s="32" t="s">
        <v>357</v>
      </c>
      <c r="N19" s="32" t="s">
        <v>357</v>
      </c>
      <c r="O19" s="32" t="s">
        <v>357</v>
      </c>
      <c r="P19" s="32" t="s">
        <v>357</v>
      </c>
      <c r="Q19" s="32" t="s">
        <v>357</v>
      </c>
      <c r="R19" s="32" t="s">
        <v>357</v>
      </c>
      <c r="S19" s="32" t="s">
        <v>357</v>
      </c>
      <c r="T19" s="32" t="s">
        <v>357</v>
      </c>
      <c r="U19" s="32" t="s">
        <v>357</v>
      </c>
      <c r="V19" s="32" t="s">
        <v>357</v>
      </c>
      <c r="W19" s="32" t="s">
        <v>357</v>
      </c>
      <c r="X19" s="49" t="s">
        <v>357</v>
      </c>
      <c r="Y19" s="49" t="s">
        <v>357</v>
      </c>
      <c r="Z19" s="49" t="s">
        <v>357</v>
      </c>
      <c r="AA19" s="49" t="s">
        <v>357</v>
      </c>
      <c r="AB19" s="49" t="s">
        <v>357</v>
      </c>
      <c r="AC19" s="49" t="s">
        <v>357</v>
      </c>
      <c r="AD19" s="49" t="s">
        <v>357</v>
      </c>
      <c r="AE19" s="49" t="s">
        <v>357</v>
      </c>
      <c r="AF19" s="49" t="s">
        <v>357</v>
      </c>
      <c r="AG19" s="49" t="s">
        <v>357</v>
      </c>
      <c r="AH19" s="49" t="s">
        <v>357</v>
      </c>
      <c r="AI19" s="39" t="s">
        <v>357</v>
      </c>
      <c r="AJ19" s="39" t="s">
        <v>357</v>
      </c>
      <c r="AK19" s="39" t="s">
        <v>357</v>
      </c>
      <c r="AL19" s="39" t="s">
        <v>357</v>
      </c>
      <c r="AM19" s="39" t="s">
        <v>357</v>
      </c>
      <c r="AN19" s="39" t="s">
        <v>357</v>
      </c>
      <c r="AO19" s="39" t="s">
        <v>357</v>
      </c>
      <c r="AP19" s="50" t="s">
        <v>357</v>
      </c>
      <c r="AQ19" s="50" t="s">
        <v>357</v>
      </c>
      <c r="AR19" s="49" t="s">
        <v>357</v>
      </c>
      <c r="AS19" s="49" t="s">
        <v>357</v>
      </c>
      <c r="AT19" s="49" t="s">
        <v>357</v>
      </c>
      <c r="AU19" s="49" t="s">
        <v>357</v>
      </c>
      <c r="AV19" s="49" t="s">
        <v>357</v>
      </c>
      <c r="AW19" s="32" t="s">
        <v>357</v>
      </c>
      <c r="AX19" s="32" t="s">
        <v>357</v>
      </c>
      <c r="AY19" s="50" t="s">
        <v>357</v>
      </c>
      <c r="AZ19" s="50" t="s">
        <v>357</v>
      </c>
      <c r="BA19" s="39" t="s">
        <v>357</v>
      </c>
      <c r="BB19" s="39" t="s">
        <v>357</v>
      </c>
      <c r="BC19" s="39" t="s">
        <v>357</v>
      </c>
      <c r="BD19" s="39" t="s">
        <v>357</v>
      </c>
      <c r="BE19" s="39" t="s">
        <v>357</v>
      </c>
      <c r="BF19" s="39" t="s">
        <v>357</v>
      </c>
      <c r="BG19" s="41" t="s">
        <v>357</v>
      </c>
      <c r="BH19" s="41" t="s">
        <v>357</v>
      </c>
      <c r="BI19" s="41"/>
    </row>
    <row r="20">
      <c r="A20" s="21" t="s">
        <v>455</v>
      </c>
      <c r="B20" s="23">
        <v>13.0</v>
      </c>
      <c r="C20" s="21" t="s">
        <v>678</v>
      </c>
      <c r="D20" s="18" t="s">
        <v>705</v>
      </c>
      <c r="E20" s="18" t="s">
        <v>572</v>
      </c>
      <c r="F20" s="18" t="s">
        <v>573</v>
      </c>
      <c r="G20" s="20" t="s">
        <v>357</v>
      </c>
      <c r="H20" s="47" t="s">
        <v>357</v>
      </c>
      <c r="I20" s="32" t="s">
        <v>357</v>
      </c>
      <c r="J20" s="32" t="s">
        <v>357</v>
      </c>
      <c r="K20" s="32" t="s">
        <v>357</v>
      </c>
      <c r="L20" s="32" t="s">
        <v>357</v>
      </c>
      <c r="M20" s="32" t="s">
        <v>357</v>
      </c>
      <c r="N20" s="32" t="s">
        <v>357</v>
      </c>
      <c r="O20" s="32" t="s">
        <v>357</v>
      </c>
      <c r="P20" s="32" t="s">
        <v>357</v>
      </c>
      <c r="Q20" s="32" t="s">
        <v>357</v>
      </c>
      <c r="R20" s="32" t="s">
        <v>357</v>
      </c>
      <c r="S20" s="32" t="s">
        <v>357</v>
      </c>
      <c r="T20" s="32" t="s">
        <v>357</v>
      </c>
      <c r="U20" s="32" t="s">
        <v>357</v>
      </c>
      <c r="V20" s="32" t="s">
        <v>357</v>
      </c>
      <c r="W20" s="32" t="s">
        <v>357</v>
      </c>
      <c r="X20" s="49" t="s">
        <v>357</v>
      </c>
      <c r="Y20" s="49" t="s">
        <v>357</v>
      </c>
      <c r="Z20" s="49" t="s">
        <v>357</v>
      </c>
      <c r="AA20" s="49" t="s">
        <v>357</v>
      </c>
      <c r="AB20" s="49" t="s">
        <v>357</v>
      </c>
      <c r="AC20" s="49" t="s">
        <v>357</v>
      </c>
      <c r="AD20" s="49" t="s">
        <v>357</v>
      </c>
      <c r="AE20" s="49" t="s">
        <v>357</v>
      </c>
      <c r="AF20" s="49" t="s">
        <v>357</v>
      </c>
      <c r="AG20" s="49" t="s">
        <v>357</v>
      </c>
      <c r="AH20" s="49" t="s">
        <v>357</v>
      </c>
      <c r="AI20" s="39" t="s">
        <v>357</v>
      </c>
      <c r="AJ20" s="39" t="s">
        <v>357</v>
      </c>
      <c r="AK20" s="39" t="s">
        <v>357</v>
      </c>
      <c r="AL20" s="39" t="s">
        <v>357</v>
      </c>
      <c r="AM20" s="39" t="s">
        <v>357</v>
      </c>
      <c r="AN20" s="39" t="s">
        <v>357</v>
      </c>
      <c r="AO20" s="39" t="s">
        <v>357</v>
      </c>
      <c r="AP20" s="50" t="s">
        <v>357</v>
      </c>
      <c r="AQ20" s="50" t="s">
        <v>357</v>
      </c>
      <c r="AR20" s="49" t="s">
        <v>357</v>
      </c>
      <c r="AS20" s="49" t="s">
        <v>357</v>
      </c>
      <c r="AT20" s="49" t="s">
        <v>357</v>
      </c>
      <c r="AU20" s="49" t="s">
        <v>357</v>
      </c>
      <c r="AV20" s="49" t="s">
        <v>357</v>
      </c>
      <c r="AW20" s="32" t="s">
        <v>357</v>
      </c>
      <c r="AX20" s="32" t="s">
        <v>357</v>
      </c>
      <c r="AY20" s="50" t="s">
        <v>357</v>
      </c>
      <c r="AZ20" s="50" t="s">
        <v>357</v>
      </c>
      <c r="BA20" s="39" t="s">
        <v>357</v>
      </c>
      <c r="BB20" s="39" t="s">
        <v>357</v>
      </c>
      <c r="BC20" s="39" t="s">
        <v>357</v>
      </c>
      <c r="BD20" s="39" t="s">
        <v>357</v>
      </c>
      <c r="BE20" s="39" t="s">
        <v>357</v>
      </c>
      <c r="BF20" s="39" t="s">
        <v>357</v>
      </c>
      <c r="BG20" s="41" t="s">
        <v>357</v>
      </c>
      <c r="BH20" s="41" t="s">
        <v>357</v>
      </c>
      <c r="BI20" s="41"/>
    </row>
    <row r="21">
      <c r="A21" s="51" t="s">
        <v>433</v>
      </c>
      <c r="B21" s="53">
        <v>14.0</v>
      </c>
      <c r="C21" s="51" t="s">
        <v>690</v>
      </c>
      <c r="D21" s="18" t="s">
        <v>190</v>
      </c>
      <c r="E21" s="18" t="s">
        <v>190</v>
      </c>
      <c r="F21" s="18" t="s">
        <v>573</v>
      </c>
      <c r="G21" s="20" t="s">
        <v>357</v>
      </c>
      <c r="H21" s="47" t="s">
        <v>357</v>
      </c>
      <c r="I21" s="32" t="s">
        <v>357</v>
      </c>
      <c r="J21" s="32" t="s">
        <v>357</v>
      </c>
      <c r="K21" s="32" t="s">
        <v>357</v>
      </c>
      <c r="L21" s="32" t="s">
        <v>357</v>
      </c>
      <c r="M21" s="32" t="s">
        <v>357</v>
      </c>
      <c r="N21" s="32" t="s">
        <v>357</v>
      </c>
      <c r="O21" s="32" t="s">
        <v>357</v>
      </c>
      <c r="P21" s="32" t="s">
        <v>357</v>
      </c>
      <c r="Q21" s="32" t="s">
        <v>357</v>
      </c>
      <c r="R21" s="32" t="s">
        <v>357</v>
      </c>
      <c r="S21" s="32" t="s">
        <v>357</v>
      </c>
      <c r="T21" s="32" t="s">
        <v>357</v>
      </c>
      <c r="U21" s="32" t="s">
        <v>357</v>
      </c>
      <c r="V21" s="32" t="s">
        <v>357</v>
      </c>
      <c r="W21" s="32" t="s">
        <v>357</v>
      </c>
      <c r="X21" s="49" t="s">
        <v>357</v>
      </c>
      <c r="Y21" s="49" t="s">
        <v>357</v>
      </c>
      <c r="Z21" s="49" t="s">
        <v>357</v>
      </c>
      <c r="AA21" s="49" t="s">
        <v>357</v>
      </c>
      <c r="AB21" s="49" t="s">
        <v>357</v>
      </c>
      <c r="AC21" s="49" t="s">
        <v>357</v>
      </c>
      <c r="AD21" s="49" t="s">
        <v>357</v>
      </c>
      <c r="AE21" s="49" t="s">
        <v>357</v>
      </c>
      <c r="AF21" s="49" t="s">
        <v>357</v>
      </c>
      <c r="AG21" s="49" t="s">
        <v>357</v>
      </c>
      <c r="AH21" s="49" t="s">
        <v>357</v>
      </c>
      <c r="AI21" s="39" t="s">
        <v>357</v>
      </c>
      <c r="AJ21" s="39" t="s">
        <v>357</v>
      </c>
      <c r="AK21" s="39" t="s">
        <v>357</v>
      </c>
      <c r="AL21" s="39" t="s">
        <v>357</v>
      </c>
      <c r="AM21" s="39" t="s">
        <v>357</v>
      </c>
      <c r="AN21" s="39" t="s">
        <v>357</v>
      </c>
      <c r="AO21" s="39" t="s">
        <v>357</v>
      </c>
      <c r="AP21" s="50" t="s">
        <v>357</v>
      </c>
      <c r="AQ21" s="50" t="s">
        <v>357</v>
      </c>
      <c r="AR21" s="49" t="s">
        <v>357</v>
      </c>
      <c r="AS21" s="49" t="s">
        <v>357</v>
      </c>
      <c r="AT21" s="49" t="s">
        <v>357</v>
      </c>
      <c r="AU21" s="49" t="s">
        <v>357</v>
      </c>
      <c r="AV21" s="49" t="s">
        <v>357</v>
      </c>
      <c r="AW21" s="32" t="s">
        <v>357</v>
      </c>
      <c r="AX21" s="32" t="s">
        <v>357</v>
      </c>
      <c r="AY21" s="50" t="s">
        <v>357</v>
      </c>
      <c r="AZ21" s="50" t="s">
        <v>357</v>
      </c>
      <c r="BA21" s="39" t="s">
        <v>357</v>
      </c>
      <c r="BB21" s="39" t="s">
        <v>357</v>
      </c>
      <c r="BC21" s="39" t="s">
        <v>357</v>
      </c>
      <c r="BD21" s="39" t="s">
        <v>357</v>
      </c>
      <c r="BE21" s="39" t="s">
        <v>357</v>
      </c>
      <c r="BF21" s="39" t="s">
        <v>357</v>
      </c>
      <c r="BG21" s="41" t="s">
        <v>357</v>
      </c>
      <c r="BH21" s="41" t="s">
        <v>357</v>
      </c>
      <c r="BI21" s="41"/>
    </row>
    <row r="22">
      <c r="A22" s="51" t="s">
        <v>433</v>
      </c>
      <c r="B22" s="53">
        <v>15.0</v>
      </c>
      <c r="C22" s="51" t="s">
        <v>702</v>
      </c>
      <c r="D22" s="18" t="s">
        <v>571</v>
      </c>
      <c r="E22" s="18" t="s">
        <v>572</v>
      </c>
      <c r="F22" s="18" t="s">
        <v>192</v>
      </c>
      <c r="G22" s="20" t="s">
        <v>761</v>
      </c>
      <c r="H22" s="56" t="s">
        <v>762</v>
      </c>
      <c r="I22" s="26">
        <v>6.0</v>
      </c>
      <c r="J22" s="26" t="str">
        <f t="shared" ref="J22:J26" si="70">IF((I22&gt;=19),"S",IF(AND(I22&lt;19),"R", "NA"))</f>
        <v>R</v>
      </c>
      <c r="K22" s="26">
        <v>22.0</v>
      </c>
      <c r="L22" s="26" t="str">
        <f t="shared" ref="L22:L26" si="71">IF((K22&gt;=19),"S",IF(AND(K22&lt;19),"R", "NA"))</f>
        <v>S</v>
      </c>
      <c r="M22" s="26">
        <v>6.0</v>
      </c>
      <c r="N22" s="26" t="str">
        <f t="shared" ref="N22:N26" si="72">IF((M22&gt;=23),"S",IF(AND(M22&lt;23),"R","NA"))</f>
        <v>R</v>
      </c>
      <c r="O22" s="32" t="s">
        <v>357</v>
      </c>
      <c r="P22" s="32" t="s">
        <v>357</v>
      </c>
      <c r="Q22" s="26">
        <v>10.0</v>
      </c>
      <c r="R22" s="26" t="str">
        <f t="shared" ref="R22:R26" si="73">IF((Q22&gt;=20),"S",IF(AND(Q22&lt;20),"R", "NA"))</f>
        <v>R</v>
      </c>
      <c r="S22" s="26">
        <v>26.0</v>
      </c>
      <c r="T22" s="26" t="str">
        <f t="shared" ref="T22:T26" si="74">IF((S22&gt;=20),"S",IF(AND(S22&lt;20),"R", "NA"))</f>
        <v>S</v>
      </c>
      <c r="U22" s="26">
        <v>27.0</v>
      </c>
      <c r="V22" s="26" t="str">
        <f t="shared" ref="V22:V26" si="75">IF((U22&gt;=20),"S",IF(AND(U22&lt;20,U22&gt;=17),"I",IF(AND(U22&lt;17),"R","NA")))</f>
        <v>S</v>
      </c>
      <c r="W22" s="32" t="s">
        <v>299</v>
      </c>
      <c r="X22" s="33">
        <v>6.0</v>
      </c>
      <c r="Y22" s="33" t="str">
        <f t="shared" ref="Y22:Y26" si="76">IF((X22&gt;=20),"S",IF(AND(X22&lt;20,X22&gt;=17),"I",IF(AND(X22&lt;17),"R","NA")))</f>
        <v>R</v>
      </c>
      <c r="Z22" s="33">
        <v>29.0</v>
      </c>
      <c r="AA22" s="33" t="str">
        <f t="shared" ref="AA22:AA26" si="77">IF((Z22&gt;=18),"S",IF(AND(Z22&lt;18),"R", "NA"))</f>
        <v>S</v>
      </c>
      <c r="AB22" s="33">
        <v>17.0</v>
      </c>
      <c r="AC22" s="33" t="str">
        <f t="shared" ref="AC22:AC26" si="78">IF((AB22&gt;=22),"S",IF(AND(AB22&lt;22,AB22&gt;=19),"I",IF(AND(AB22&lt;19),"R","NA")))</f>
        <v>R</v>
      </c>
      <c r="AD22" s="33">
        <v>33.0</v>
      </c>
      <c r="AE22" s="33" t="str">
        <f t="shared" ref="AE22:AE26" si="79">IF((AD22&gt;=13),"S",IF(AND(AD22&lt;13),"R", "NA"))</f>
        <v>S</v>
      </c>
      <c r="AF22" s="33">
        <v>20.0</v>
      </c>
      <c r="AG22" s="33" t="str">
        <f t="shared" ref="AG22:AG26" si="80">IF((AF22&gt;=27),"S",IF(AND(AF22&lt;27,AF22&gt;=24),"I",IF(AND(AF22&lt;24),"R","NA")))</f>
        <v>R</v>
      </c>
      <c r="AH22" s="33" t="s">
        <v>299</v>
      </c>
      <c r="AI22" s="36">
        <v>30.0</v>
      </c>
      <c r="AJ22" s="36" t="str">
        <f t="shared" ref="AJ22:AJ26" si="81">IF((AI22&gt;=25),"S",IF(AND(AI22&lt;25,AI22&gt;=22),"I",IF(AND(AI22&lt;22),"R","NA")))</f>
        <v>S</v>
      </c>
      <c r="AK22" s="36">
        <v>29.0</v>
      </c>
      <c r="AL22" s="36" t="str">
        <f t="shared" ref="AL22:AL26" si="82">IF((AK22&gt;=23),"S",IF(AND(AK22&lt;23,AK22&gt;=19),"I",IF(AND(AK22&lt;19),"R","NA")))</f>
        <v>S</v>
      </c>
      <c r="AM22" s="36">
        <v>26.0</v>
      </c>
      <c r="AN22" s="36" t="str">
        <f t="shared" ref="AN22:AN26" si="83">IF((AM22&gt;=14),"S",IF(AND(AM22&lt;14),"R","NA"))</f>
        <v>S</v>
      </c>
      <c r="AO22" s="36" t="s">
        <v>300</v>
      </c>
      <c r="AP22" s="37">
        <v>6.0</v>
      </c>
      <c r="AQ22" s="37" t="str">
        <f t="shared" ref="AQ22:AQ26" si="84">IF((AP22&gt;=14),"S",IF(AND(AP22&lt;14,AP22&gt;=11),"I",IF(AND(AP22&lt;11),"R","NA")))</f>
        <v>R</v>
      </c>
      <c r="AR22" s="33">
        <v>25.0</v>
      </c>
      <c r="AS22" s="33" t="str">
        <f t="shared" ref="AS22:AS26" si="85">IF((AR22&gt;=18),"S",IF(AND(AR22&lt;18),"R", "NA"))</f>
        <v>S</v>
      </c>
      <c r="AT22" s="33">
        <v>26.0</v>
      </c>
      <c r="AU22" s="33" t="str">
        <f t="shared" ref="AU22:AU26" si="86">IF((AT22&gt;=16),"S",IF(AND(AT22&lt;16),"R", "NA"))</f>
        <v>S</v>
      </c>
      <c r="AV22" s="33" t="s">
        <v>300</v>
      </c>
      <c r="AW22" s="26">
        <v>25.0</v>
      </c>
      <c r="AX22" s="26" t="str">
        <f t="shared" ref="AX22:AX26" si="87">IF((AW22&gt;=20),"S",IF(AND(AW22&lt;20),"R", "NA"))</f>
        <v>S</v>
      </c>
      <c r="AY22" s="37">
        <v>19.0</v>
      </c>
      <c r="AZ22" s="37" t="str">
        <f t="shared" ref="AZ22:AZ26" si="88">IF((AY22&gt;=26),"S",IF(AND(AY22&lt;26,AY22&gt;=21),"I",IF(AND(AY22&lt;21),"R","NA")))</f>
        <v>R</v>
      </c>
      <c r="BA22" s="36">
        <v>29.0</v>
      </c>
      <c r="BB22" s="36" t="str">
        <f t="shared" ref="BB22:BB26" si="89">IF((BA22&gt;=23),"S",IF(AND(BA22&lt;23),"R","NA"))</f>
        <v>S</v>
      </c>
      <c r="BC22" s="39" t="s">
        <v>357</v>
      </c>
      <c r="BD22" s="39" t="s">
        <v>357</v>
      </c>
      <c r="BE22" s="36">
        <v>31.0</v>
      </c>
      <c r="BF22" s="36" t="str">
        <f t="shared" ref="BF22:BF26" si="90">IF((BE22&gt;=22),"S",IF(AND(BE22&lt;22,BE22&gt;=19),"I",IF(AND(BE22&lt;19),"R","NA")))</f>
        <v>S</v>
      </c>
      <c r="BG22" s="40">
        <v>24.0</v>
      </c>
      <c r="BH22" s="41" t="str">
        <f t="shared" ref="BH22:BH26" si="91">IF((BG22&gt;=17),"S",IF(AND(BG22&lt;17),"R", "NA"))</f>
        <v>S</v>
      </c>
      <c r="BI22" s="41"/>
    </row>
    <row r="23">
      <c r="A23" s="51" t="s">
        <v>433</v>
      </c>
      <c r="B23" s="51" t="s">
        <v>444</v>
      </c>
      <c r="C23" s="51" t="s">
        <v>711</v>
      </c>
      <c r="D23" s="18" t="s">
        <v>571</v>
      </c>
      <c r="E23" s="18" t="s">
        <v>572</v>
      </c>
      <c r="F23" s="18" t="s">
        <v>192</v>
      </c>
      <c r="G23" s="20" t="s">
        <v>791</v>
      </c>
      <c r="H23" s="56" t="s">
        <v>762</v>
      </c>
      <c r="I23" s="26">
        <v>6.0</v>
      </c>
      <c r="J23" s="26" t="str">
        <f t="shared" si="70"/>
        <v>R</v>
      </c>
      <c r="K23" s="26">
        <v>29.0</v>
      </c>
      <c r="L23" s="26" t="str">
        <f t="shared" si="71"/>
        <v>S</v>
      </c>
      <c r="M23" s="26">
        <v>6.0</v>
      </c>
      <c r="N23" s="26" t="str">
        <f t="shared" si="72"/>
        <v>R</v>
      </c>
      <c r="O23" s="32" t="s">
        <v>357</v>
      </c>
      <c r="P23" s="32" t="s">
        <v>357</v>
      </c>
      <c r="Q23" s="26">
        <v>11.0</v>
      </c>
      <c r="R23" s="26" t="str">
        <f t="shared" si="73"/>
        <v>R</v>
      </c>
      <c r="S23" s="26">
        <v>27.0</v>
      </c>
      <c r="T23" s="26" t="str">
        <f t="shared" si="74"/>
        <v>S</v>
      </c>
      <c r="U23" s="26">
        <v>27.0</v>
      </c>
      <c r="V23" s="26" t="str">
        <f t="shared" si="75"/>
        <v>S</v>
      </c>
      <c r="W23" s="32" t="s">
        <v>299</v>
      </c>
      <c r="X23" s="33">
        <v>6.0</v>
      </c>
      <c r="Y23" s="33" t="str">
        <f t="shared" si="76"/>
        <v>R</v>
      </c>
      <c r="Z23" s="33">
        <v>27.0</v>
      </c>
      <c r="AA23" s="33" t="str">
        <f t="shared" si="77"/>
        <v>S</v>
      </c>
      <c r="AB23" s="33">
        <v>17.0</v>
      </c>
      <c r="AC23" s="33" t="str">
        <f t="shared" si="78"/>
        <v>R</v>
      </c>
      <c r="AD23" s="33">
        <v>31.0</v>
      </c>
      <c r="AE23" s="33" t="str">
        <f t="shared" si="79"/>
        <v>S</v>
      </c>
      <c r="AF23" s="33">
        <v>24.0</v>
      </c>
      <c r="AG23" s="33" t="str">
        <f t="shared" si="80"/>
        <v>I</v>
      </c>
      <c r="AH23" s="33" t="s">
        <v>299</v>
      </c>
      <c r="AI23" s="36">
        <v>31.0</v>
      </c>
      <c r="AJ23" s="36" t="str">
        <f t="shared" si="81"/>
        <v>S</v>
      </c>
      <c r="AK23" s="36">
        <v>28.0</v>
      </c>
      <c r="AL23" s="36" t="str">
        <f t="shared" si="82"/>
        <v>S</v>
      </c>
      <c r="AM23" s="36">
        <v>25.0</v>
      </c>
      <c r="AN23" s="36" t="str">
        <f t="shared" si="83"/>
        <v>S</v>
      </c>
      <c r="AO23" s="36" t="s">
        <v>300</v>
      </c>
      <c r="AP23" s="37">
        <v>6.0</v>
      </c>
      <c r="AQ23" s="37" t="str">
        <f t="shared" si="84"/>
        <v>R</v>
      </c>
      <c r="AR23" s="33">
        <v>28.0</v>
      </c>
      <c r="AS23" s="33" t="str">
        <f t="shared" si="85"/>
        <v>S</v>
      </c>
      <c r="AT23" s="33">
        <v>25.0</v>
      </c>
      <c r="AU23" s="33" t="str">
        <f t="shared" si="86"/>
        <v>S</v>
      </c>
      <c r="AV23" s="33" t="s">
        <v>300</v>
      </c>
      <c r="AW23" s="26">
        <v>18.0</v>
      </c>
      <c r="AX23" s="26" t="str">
        <f t="shared" si="87"/>
        <v>R</v>
      </c>
      <c r="AY23" s="37">
        <v>23.0</v>
      </c>
      <c r="AZ23" s="37" t="str">
        <f t="shared" si="88"/>
        <v>I</v>
      </c>
      <c r="BA23" s="36">
        <v>29.0</v>
      </c>
      <c r="BB23" s="36" t="str">
        <f t="shared" si="89"/>
        <v>S</v>
      </c>
      <c r="BC23" s="39" t="s">
        <v>357</v>
      </c>
      <c r="BD23" s="39" t="s">
        <v>357</v>
      </c>
      <c r="BE23" s="36">
        <v>32.0</v>
      </c>
      <c r="BF23" s="36" t="str">
        <f t="shared" si="90"/>
        <v>S</v>
      </c>
      <c r="BG23" s="40">
        <v>24.0</v>
      </c>
      <c r="BH23" s="41" t="str">
        <f t="shared" si="91"/>
        <v>S</v>
      </c>
      <c r="BI23" s="41"/>
    </row>
    <row r="24">
      <c r="A24" s="51" t="s">
        <v>433</v>
      </c>
      <c r="B24" s="53">
        <v>16.0</v>
      </c>
      <c r="C24" s="51" t="s">
        <v>716</v>
      </c>
      <c r="D24" s="18" t="s">
        <v>555</v>
      </c>
      <c r="E24" s="18" t="s">
        <v>103</v>
      </c>
      <c r="F24" s="18" t="s">
        <v>192</v>
      </c>
      <c r="G24" s="20" t="s">
        <v>799</v>
      </c>
      <c r="H24" s="22" t="s">
        <v>198</v>
      </c>
      <c r="I24" s="26">
        <v>6.0</v>
      </c>
      <c r="J24" s="26" t="str">
        <f t="shared" si="70"/>
        <v>R</v>
      </c>
      <c r="K24" s="26">
        <v>24.0</v>
      </c>
      <c r="L24" s="26" t="str">
        <f t="shared" si="71"/>
        <v>S</v>
      </c>
      <c r="M24" s="26">
        <v>6.0</v>
      </c>
      <c r="N24" s="26" t="str">
        <f t="shared" si="72"/>
        <v>R</v>
      </c>
      <c r="O24" s="32" t="s">
        <v>357</v>
      </c>
      <c r="P24" s="32" t="s">
        <v>357</v>
      </c>
      <c r="Q24" s="26">
        <v>12.0</v>
      </c>
      <c r="R24" s="26" t="str">
        <f t="shared" si="73"/>
        <v>R</v>
      </c>
      <c r="S24" s="26">
        <v>26.0</v>
      </c>
      <c r="T24" s="26" t="str">
        <f t="shared" si="74"/>
        <v>S</v>
      </c>
      <c r="U24" s="26">
        <v>22.0</v>
      </c>
      <c r="V24" s="26" t="str">
        <f t="shared" si="75"/>
        <v>S</v>
      </c>
      <c r="W24" s="32" t="s">
        <v>299</v>
      </c>
      <c r="X24" s="33">
        <v>6.0</v>
      </c>
      <c r="Y24" s="33" t="str">
        <f t="shared" si="76"/>
        <v>R</v>
      </c>
      <c r="Z24" s="33">
        <v>27.0</v>
      </c>
      <c r="AA24" s="33" t="str">
        <f t="shared" si="77"/>
        <v>S</v>
      </c>
      <c r="AB24" s="33">
        <v>17.0</v>
      </c>
      <c r="AC24" s="33" t="str">
        <f t="shared" si="78"/>
        <v>R</v>
      </c>
      <c r="AD24" s="33">
        <v>29.0</v>
      </c>
      <c r="AE24" s="33" t="str">
        <f t="shared" si="79"/>
        <v>S</v>
      </c>
      <c r="AF24" s="33">
        <v>21.0</v>
      </c>
      <c r="AG24" s="33" t="str">
        <f t="shared" si="80"/>
        <v>R</v>
      </c>
      <c r="AH24" s="33" t="s">
        <v>299</v>
      </c>
      <c r="AI24" s="36">
        <v>6.0</v>
      </c>
      <c r="AJ24" s="36" t="str">
        <f t="shared" si="81"/>
        <v>R</v>
      </c>
      <c r="AK24" s="36">
        <v>8.0</v>
      </c>
      <c r="AL24" s="36" t="str">
        <f t="shared" si="82"/>
        <v>R</v>
      </c>
      <c r="AM24" s="36">
        <v>6.0</v>
      </c>
      <c r="AN24" s="36" t="str">
        <f t="shared" si="83"/>
        <v>R</v>
      </c>
      <c r="AO24" s="36" t="s">
        <v>299</v>
      </c>
      <c r="AP24" s="37">
        <v>6.0</v>
      </c>
      <c r="AQ24" s="37" t="str">
        <f t="shared" si="84"/>
        <v>R</v>
      </c>
      <c r="AR24" s="33">
        <v>20.0</v>
      </c>
      <c r="AS24" s="33" t="str">
        <f t="shared" si="85"/>
        <v>S</v>
      </c>
      <c r="AT24" s="33">
        <v>20.0</v>
      </c>
      <c r="AU24" s="33" t="str">
        <f t="shared" si="86"/>
        <v>S</v>
      </c>
      <c r="AV24" s="33" t="s">
        <v>300</v>
      </c>
      <c r="AW24" s="26">
        <v>24.0</v>
      </c>
      <c r="AX24" s="26" t="str">
        <f t="shared" si="87"/>
        <v>S</v>
      </c>
      <c r="AY24" s="37">
        <v>17.0</v>
      </c>
      <c r="AZ24" s="37" t="str">
        <f t="shared" si="88"/>
        <v>R</v>
      </c>
      <c r="BA24" s="36">
        <v>27.0</v>
      </c>
      <c r="BB24" s="36" t="str">
        <f t="shared" si="89"/>
        <v>S</v>
      </c>
      <c r="BC24" s="39" t="s">
        <v>357</v>
      </c>
      <c r="BD24" s="39" t="s">
        <v>357</v>
      </c>
      <c r="BE24" s="36">
        <v>31.0</v>
      </c>
      <c r="BF24" s="36" t="str">
        <f t="shared" si="90"/>
        <v>S</v>
      </c>
      <c r="BG24" s="40">
        <v>19.0</v>
      </c>
      <c r="BH24" s="41" t="str">
        <f t="shared" si="91"/>
        <v>S</v>
      </c>
      <c r="BI24" s="41"/>
    </row>
    <row r="25">
      <c r="A25" s="51" t="s">
        <v>433</v>
      </c>
      <c r="B25" s="51" t="s">
        <v>444</v>
      </c>
      <c r="C25" s="51" t="s">
        <v>726</v>
      </c>
      <c r="D25" s="18" t="s">
        <v>555</v>
      </c>
      <c r="E25" s="18" t="s">
        <v>103</v>
      </c>
      <c r="F25" s="18" t="s">
        <v>192</v>
      </c>
      <c r="G25" s="20" t="s">
        <v>806</v>
      </c>
      <c r="H25" s="42" t="s">
        <v>479</v>
      </c>
      <c r="I25" s="26">
        <v>6.0</v>
      </c>
      <c r="J25" s="26" t="str">
        <f t="shared" si="70"/>
        <v>R</v>
      </c>
      <c r="K25" s="26">
        <v>18.0</v>
      </c>
      <c r="L25" s="26" t="str">
        <f t="shared" si="71"/>
        <v>R</v>
      </c>
      <c r="M25" s="26">
        <v>6.0</v>
      </c>
      <c r="N25" s="26" t="str">
        <f t="shared" si="72"/>
        <v>R</v>
      </c>
      <c r="O25" s="32" t="s">
        <v>357</v>
      </c>
      <c r="P25" s="32" t="s">
        <v>357</v>
      </c>
      <c r="Q25" s="26">
        <v>8.0</v>
      </c>
      <c r="R25" s="26" t="str">
        <f t="shared" si="73"/>
        <v>R</v>
      </c>
      <c r="S25" s="26">
        <v>23.0</v>
      </c>
      <c r="T25" s="26" t="str">
        <f t="shared" si="74"/>
        <v>S</v>
      </c>
      <c r="U25" s="26">
        <v>22.0</v>
      </c>
      <c r="V25" s="26" t="str">
        <f t="shared" si="75"/>
        <v>S</v>
      </c>
      <c r="W25" s="32" t="s">
        <v>299</v>
      </c>
      <c r="X25" s="33">
        <v>6.0</v>
      </c>
      <c r="Y25" s="33" t="str">
        <f t="shared" si="76"/>
        <v>R</v>
      </c>
      <c r="Z25" s="33">
        <v>23.0</v>
      </c>
      <c r="AA25" s="33" t="str">
        <f t="shared" si="77"/>
        <v>S</v>
      </c>
      <c r="AB25" s="33">
        <v>15.0</v>
      </c>
      <c r="AC25" s="33" t="str">
        <f t="shared" si="78"/>
        <v>R</v>
      </c>
      <c r="AD25" s="33">
        <v>26.0</v>
      </c>
      <c r="AE25" s="33" t="str">
        <f t="shared" si="79"/>
        <v>S</v>
      </c>
      <c r="AF25" s="33">
        <v>21.0</v>
      </c>
      <c r="AG25" s="33" t="str">
        <f t="shared" si="80"/>
        <v>R</v>
      </c>
      <c r="AH25" s="33" t="s">
        <v>299</v>
      </c>
      <c r="AI25" s="36">
        <v>18.0</v>
      </c>
      <c r="AJ25" s="36" t="str">
        <f t="shared" si="81"/>
        <v>R</v>
      </c>
      <c r="AK25" s="36">
        <v>17.0</v>
      </c>
      <c r="AL25" s="36" t="str">
        <f t="shared" si="82"/>
        <v>R</v>
      </c>
      <c r="AM25" s="36">
        <v>17.0</v>
      </c>
      <c r="AN25" s="36" t="str">
        <f t="shared" si="83"/>
        <v>S</v>
      </c>
      <c r="AO25" s="36" t="s">
        <v>299</v>
      </c>
      <c r="AP25" s="37">
        <v>19.0</v>
      </c>
      <c r="AQ25" s="37" t="str">
        <f t="shared" si="84"/>
        <v>S</v>
      </c>
      <c r="AR25" s="33">
        <v>21.0</v>
      </c>
      <c r="AS25" s="33" t="str">
        <f t="shared" si="85"/>
        <v>S</v>
      </c>
      <c r="AT25" s="33">
        <v>22.0</v>
      </c>
      <c r="AU25" s="33" t="str">
        <f t="shared" si="86"/>
        <v>S</v>
      </c>
      <c r="AV25" s="33" t="s">
        <v>300</v>
      </c>
      <c r="AW25" s="26">
        <v>17.0</v>
      </c>
      <c r="AX25" s="26" t="str">
        <f t="shared" si="87"/>
        <v>R</v>
      </c>
      <c r="AY25" s="37">
        <v>16.0</v>
      </c>
      <c r="AZ25" s="37" t="str">
        <f t="shared" si="88"/>
        <v>R</v>
      </c>
      <c r="BA25" s="36">
        <v>26.0</v>
      </c>
      <c r="BB25" s="36" t="str">
        <f t="shared" si="89"/>
        <v>S</v>
      </c>
      <c r="BC25" s="39" t="s">
        <v>357</v>
      </c>
      <c r="BD25" s="39" t="s">
        <v>357</v>
      </c>
      <c r="BE25" s="36">
        <v>30.0</v>
      </c>
      <c r="BF25" s="36" t="str">
        <f t="shared" si="90"/>
        <v>S</v>
      </c>
      <c r="BG25" s="40">
        <v>20.0</v>
      </c>
      <c r="BH25" s="41" t="str">
        <f t="shared" si="91"/>
        <v>S</v>
      </c>
      <c r="BI25" s="41"/>
    </row>
    <row r="26">
      <c r="A26" s="21" t="s">
        <v>536</v>
      </c>
      <c r="B26" s="23">
        <v>17.0</v>
      </c>
      <c r="C26" s="21" t="s">
        <v>732</v>
      </c>
      <c r="D26" s="18" t="s">
        <v>190</v>
      </c>
      <c r="E26" s="18" t="s">
        <v>190</v>
      </c>
      <c r="F26" s="18" t="s">
        <v>192</v>
      </c>
      <c r="G26" s="20" t="s">
        <v>809</v>
      </c>
      <c r="H26" s="22" t="s">
        <v>198</v>
      </c>
      <c r="I26" s="26">
        <v>6.0</v>
      </c>
      <c r="J26" s="26" t="str">
        <f t="shared" si="70"/>
        <v>R</v>
      </c>
      <c r="K26" s="26">
        <v>23.0</v>
      </c>
      <c r="L26" s="26" t="str">
        <f t="shared" si="71"/>
        <v>S</v>
      </c>
      <c r="M26" s="26">
        <v>6.0</v>
      </c>
      <c r="N26" s="26" t="str">
        <f t="shared" si="72"/>
        <v>R</v>
      </c>
      <c r="O26" s="32" t="s">
        <v>357</v>
      </c>
      <c r="P26" s="32" t="s">
        <v>357</v>
      </c>
      <c r="Q26" s="26">
        <v>11.0</v>
      </c>
      <c r="R26" s="26" t="str">
        <f t="shared" si="73"/>
        <v>R</v>
      </c>
      <c r="S26" s="26">
        <v>25.0</v>
      </c>
      <c r="T26" s="26" t="str">
        <f t="shared" si="74"/>
        <v>S</v>
      </c>
      <c r="U26" s="26">
        <v>21.0</v>
      </c>
      <c r="V26" s="26" t="str">
        <f t="shared" si="75"/>
        <v>S</v>
      </c>
      <c r="W26" s="32" t="s">
        <v>299</v>
      </c>
      <c r="X26" s="33">
        <v>6.0</v>
      </c>
      <c r="Y26" s="33" t="str">
        <f t="shared" si="76"/>
        <v>R</v>
      </c>
      <c r="Z26" s="33">
        <v>26.0</v>
      </c>
      <c r="AA26" s="33" t="str">
        <f t="shared" si="77"/>
        <v>S</v>
      </c>
      <c r="AB26" s="33">
        <v>19.0</v>
      </c>
      <c r="AC26" s="33" t="str">
        <f t="shared" si="78"/>
        <v>I</v>
      </c>
      <c r="AD26" s="33">
        <v>27.0</v>
      </c>
      <c r="AE26" s="33" t="str">
        <f t="shared" si="79"/>
        <v>S</v>
      </c>
      <c r="AF26" s="33">
        <v>22.0</v>
      </c>
      <c r="AG26" s="33" t="str">
        <f t="shared" si="80"/>
        <v>R</v>
      </c>
      <c r="AH26" s="33" t="s">
        <v>299</v>
      </c>
      <c r="AI26" s="36">
        <v>24.0</v>
      </c>
      <c r="AJ26" s="36" t="str">
        <f t="shared" si="81"/>
        <v>I</v>
      </c>
      <c r="AK26" s="36">
        <v>22.0</v>
      </c>
      <c r="AL26" s="36" t="str">
        <f t="shared" si="82"/>
        <v>I</v>
      </c>
      <c r="AM26" s="36">
        <v>22.0</v>
      </c>
      <c r="AN26" s="36" t="str">
        <f t="shared" si="83"/>
        <v>S</v>
      </c>
      <c r="AO26" s="36" t="s">
        <v>300</v>
      </c>
      <c r="AP26" s="37">
        <v>32.0</v>
      </c>
      <c r="AQ26" s="37" t="str">
        <f t="shared" si="84"/>
        <v>S</v>
      </c>
      <c r="AR26" s="33">
        <v>19.0</v>
      </c>
      <c r="AS26" s="33" t="str">
        <f t="shared" si="85"/>
        <v>S</v>
      </c>
      <c r="AT26" s="33">
        <v>20.0</v>
      </c>
      <c r="AU26" s="33" t="str">
        <f t="shared" si="86"/>
        <v>S</v>
      </c>
      <c r="AV26" s="33" t="s">
        <v>300</v>
      </c>
      <c r="AW26" s="26">
        <v>23.0</v>
      </c>
      <c r="AX26" s="26" t="str">
        <f t="shared" si="87"/>
        <v>S</v>
      </c>
      <c r="AY26" s="37">
        <v>16.0</v>
      </c>
      <c r="AZ26" s="37" t="str">
        <f t="shared" si="88"/>
        <v>R</v>
      </c>
      <c r="BA26" s="36">
        <v>29.0</v>
      </c>
      <c r="BB26" s="36" t="str">
        <f t="shared" si="89"/>
        <v>S</v>
      </c>
      <c r="BC26" s="39" t="s">
        <v>357</v>
      </c>
      <c r="BD26" s="39" t="s">
        <v>357</v>
      </c>
      <c r="BE26" s="36">
        <v>29.0</v>
      </c>
      <c r="BF26" s="36" t="str">
        <f t="shared" si="90"/>
        <v>S</v>
      </c>
      <c r="BG26" s="40">
        <v>19.0</v>
      </c>
      <c r="BH26" s="41" t="str">
        <f t="shared" si="91"/>
        <v>S</v>
      </c>
      <c r="BI26" s="41"/>
    </row>
    <row r="27">
      <c r="A27" s="21" t="s">
        <v>536</v>
      </c>
      <c r="B27" s="23">
        <v>18.0</v>
      </c>
      <c r="C27" s="21" t="s">
        <v>740</v>
      </c>
      <c r="D27" s="18" t="s">
        <v>190</v>
      </c>
      <c r="E27" s="18" t="s">
        <v>190</v>
      </c>
      <c r="F27" s="18" t="s">
        <v>573</v>
      </c>
      <c r="G27" s="20" t="s">
        <v>357</v>
      </c>
      <c r="H27" s="47" t="s">
        <v>357</v>
      </c>
      <c r="I27" s="32" t="s">
        <v>357</v>
      </c>
      <c r="J27" s="32" t="s">
        <v>357</v>
      </c>
      <c r="K27" s="32" t="s">
        <v>357</v>
      </c>
      <c r="L27" s="32" t="s">
        <v>357</v>
      </c>
      <c r="M27" s="32" t="s">
        <v>357</v>
      </c>
      <c r="N27" s="32" t="s">
        <v>357</v>
      </c>
      <c r="O27" s="32" t="s">
        <v>357</v>
      </c>
      <c r="P27" s="32" t="s">
        <v>357</v>
      </c>
      <c r="Q27" s="32" t="s">
        <v>357</v>
      </c>
      <c r="R27" s="32" t="s">
        <v>357</v>
      </c>
      <c r="S27" s="32" t="s">
        <v>357</v>
      </c>
      <c r="T27" s="32" t="s">
        <v>357</v>
      </c>
      <c r="U27" s="32" t="s">
        <v>357</v>
      </c>
      <c r="V27" s="32" t="s">
        <v>357</v>
      </c>
      <c r="W27" s="32" t="s">
        <v>357</v>
      </c>
      <c r="X27" s="49" t="s">
        <v>357</v>
      </c>
      <c r="Y27" s="49" t="s">
        <v>357</v>
      </c>
      <c r="Z27" s="49" t="s">
        <v>357</v>
      </c>
      <c r="AA27" s="49" t="s">
        <v>357</v>
      </c>
      <c r="AB27" s="49" t="s">
        <v>357</v>
      </c>
      <c r="AC27" s="49" t="s">
        <v>357</v>
      </c>
      <c r="AD27" s="49" t="s">
        <v>357</v>
      </c>
      <c r="AE27" s="49" t="s">
        <v>357</v>
      </c>
      <c r="AF27" s="49" t="s">
        <v>357</v>
      </c>
      <c r="AG27" s="49" t="s">
        <v>357</v>
      </c>
      <c r="AH27" s="49" t="s">
        <v>357</v>
      </c>
      <c r="AI27" s="39" t="s">
        <v>357</v>
      </c>
      <c r="AJ27" s="39" t="s">
        <v>357</v>
      </c>
      <c r="AK27" s="39" t="s">
        <v>357</v>
      </c>
      <c r="AL27" s="39" t="s">
        <v>357</v>
      </c>
      <c r="AM27" s="39" t="s">
        <v>357</v>
      </c>
      <c r="AN27" s="39" t="s">
        <v>357</v>
      </c>
      <c r="AO27" s="39" t="s">
        <v>357</v>
      </c>
      <c r="AP27" s="50" t="s">
        <v>357</v>
      </c>
      <c r="AQ27" s="50" t="s">
        <v>357</v>
      </c>
      <c r="AR27" s="49" t="s">
        <v>357</v>
      </c>
      <c r="AS27" s="49" t="s">
        <v>357</v>
      </c>
      <c r="AT27" s="49" t="s">
        <v>357</v>
      </c>
      <c r="AU27" s="49" t="s">
        <v>357</v>
      </c>
      <c r="AV27" s="49" t="s">
        <v>357</v>
      </c>
      <c r="AW27" s="32" t="s">
        <v>357</v>
      </c>
      <c r="AX27" s="32" t="s">
        <v>357</v>
      </c>
      <c r="AY27" s="50" t="s">
        <v>357</v>
      </c>
      <c r="AZ27" s="50" t="s">
        <v>357</v>
      </c>
      <c r="BA27" s="39" t="s">
        <v>357</v>
      </c>
      <c r="BB27" s="39" t="s">
        <v>357</v>
      </c>
      <c r="BC27" s="39" t="s">
        <v>357</v>
      </c>
      <c r="BD27" s="39" t="s">
        <v>357</v>
      </c>
      <c r="BE27" s="39" t="s">
        <v>357</v>
      </c>
      <c r="BF27" s="39" t="s">
        <v>357</v>
      </c>
      <c r="BG27" s="41" t="s">
        <v>357</v>
      </c>
      <c r="BH27" s="41" t="s">
        <v>357</v>
      </c>
      <c r="BI27" s="41"/>
    </row>
    <row r="28">
      <c r="A28" s="21" t="s">
        <v>536</v>
      </c>
      <c r="B28" s="23">
        <v>19.0</v>
      </c>
      <c r="C28" s="21" t="s">
        <v>751</v>
      </c>
      <c r="D28" s="18" t="s">
        <v>190</v>
      </c>
      <c r="E28" s="18" t="s">
        <v>190</v>
      </c>
      <c r="F28" s="18" t="s">
        <v>573</v>
      </c>
      <c r="G28" s="20" t="s">
        <v>357</v>
      </c>
      <c r="H28" s="47" t="s">
        <v>357</v>
      </c>
      <c r="I28" s="32" t="s">
        <v>357</v>
      </c>
      <c r="J28" s="32" t="s">
        <v>357</v>
      </c>
      <c r="K28" s="32" t="s">
        <v>357</v>
      </c>
      <c r="L28" s="32" t="s">
        <v>357</v>
      </c>
      <c r="M28" s="32" t="s">
        <v>357</v>
      </c>
      <c r="N28" s="32" t="s">
        <v>357</v>
      </c>
      <c r="O28" s="32" t="s">
        <v>357</v>
      </c>
      <c r="P28" s="32" t="s">
        <v>357</v>
      </c>
      <c r="Q28" s="32" t="s">
        <v>357</v>
      </c>
      <c r="R28" s="32" t="s">
        <v>357</v>
      </c>
      <c r="S28" s="32" t="s">
        <v>357</v>
      </c>
      <c r="T28" s="32" t="s">
        <v>357</v>
      </c>
      <c r="U28" s="32" t="s">
        <v>357</v>
      </c>
      <c r="V28" s="32" t="s">
        <v>357</v>
      </c>
      <c r="W28" s="32" t="s">
        <v>357</v>
      </c>
      <c r="X28" s="49" t="s">
        <v>357</v>
      </c>
      <c r="Y28" s="49" t="s">
        <v>357</v>
      </c>
      <c r="Z28" s="49" t="s">
        <v>357</v>
      </c>
      <c r="AA28" s="49" t="s">
        <v>357</v>
      </c>
      <c r="AB28" s="49" t="s">
        <v>357</v>
      </c>
      <c r="AC28" s="49" t="s">
        <v>357</v>
      </c>
      <c r="AD28" s="49" t="s">
        <v>357</v>
      </c>
      <c r="AE28" s="49" t="s">
        <v>357</v>
      </c>
      <c r="AF28" s="49" t="s">
        <v>357</v>
      </c>
      <c r="AG28" s="49" t="s">
        <v>357</v>
      </c>
      <c r="AH28" s="49" t="s">
        <v>357</v>
      </c>
      <c r="AI28" s="39" t="s">
        <v>357</v>
      </c>
      <c r="AJ28" s="39" t="s">
        <v>357</v>
      </c>
      <c r="AK28" s="39" t="s">
        <v>357</v>
      </c>
      <c r="AL28" s="39" t="s">
        <v>357</v>
      </c>
      <c r="AM28" s="39" t="s">
        <v>357</v>
      </c>
      <c r="AN28" s="39" t="s">
        <v>357</v>
      </c>
      <c r="AO28" s="39" t="s">
        <v>357</v>
      </c>
      <c r="AP28" s="50" t="s">
        <v>357</v>
      </c>
      <c r="AQ28" s="50" t="s">
        <v>357</v>
      </c>
      <c r="AR28" s="49" t="s">
        <v>357</v>
      </c>
      <c r="AS28" s="49" t="s">
        <v>357</v>
      </c>
      <c r="AT28" s="49" t="s">
        <v>357</v>
      </c>
      <c r="AU28" s="49" t="s">
        <v>357</v>
      </c>
      <c r="AV28" s="49" t="s">
        <v>357</v>
      </c>
      <c r="AW28" s="32" t="s">
        <v>357</v>
      </c>
      <c r="AX28" s="32" t="s">
        <v>357</v>
      </c>
      <c r="AY28" s="50" t="s">
        <v>357</v>
      </c>
      <c r="AZ28" s="50" t="s">
        <v>357</v>
      </c>
      <c r="BA28" s="39" t="s">
        <v>357</v>
      </c>
      <c r="BB28" s="39" t="s">
        <v>357</v>
      </c>
      <c r="BC28" s="39" t="s">
        <v>357</v>
      </c>
      <c r="BD28" s="39" t="s">
        <v>357</v>
      </c>
      <c r="BE28" s="39" t="s">
        <v>357</v>
      </c>
      <c r="BF28" s="39" t="s">
        <v>357</v>
      </c>
      <c r="BG28" s="41" t="s">
        <v>357</v>
      </c>
      <c r="BH28" s="41" t="s">
        <v>357</v>
      </c>
      <c r="BI28" s="41"/>
    </row>
    <row r="29">
      <c r="A29" s="21" t="s">
        <v>536</v>
      </c>
      <c r="B29" s="23">
        <v>20.0</v>
      </c>
      <c r="C29" s="21" t="s">
        <v>404</v>
      </c>
      <c r="D29" s="18" t="s">
        <v>571</v>
      </c>
      <c r="E29" s="18" t="s">
        <v>572</v>
      </c>
      <c r="F29" s="18" t="s">
        <v>573</v>
      </c>
      <c r="G29" s="20" t="s">
        <v>357</v>
      </c>
      <c r="H29" s="47" t="s">
        <v>357</v>
      </c>
      <c r="I29" s="32" t="s">
        <v>357</v>
      </c>
      <c r="J29" s="32" t="s">
        <v>357</v>
      </c>
      <c r="K29" s="32" t="s">
        <v>357</v>
      </c>
      <c r="L29" s="32" t="s">
        <v>357</v>
      </c>
      <c r="M29" s="32" t="s">
        <v>357</v>
      </c>
      <c r="N29" s="32" t="s">
        <v>357</v>
      </c>
      <c r="O29" s="32" t="s">
        <v>357</v>
      </c>
      <c r="P29" s="32" t="s">
        <v>357</v>
      </c>
      <c r="Q29" s="32" t="s">
        <v>357</v>
      </c>
      <c r="R29" s="32" t="s">
        <v>357</v>
      </c>
      <c r="S29" s="32" t="s">
        <v>357</v>
      </c>
      <c r="T29" s="32" t="s">
        <v>357</v>
      </c>
      <c r="U29" s="32" t="s">
        <v>357</v>
      </c>
      <c r="V29" s="32" t="s">
        <v>357</v>
      </c>
      <c r="W29" s="32" t="s">
        <v>357</v>
      </c>
      <c r="X29" s="49" t="s">
        <v>357</v>
      </c>
      <c r="Y29" s="49" t="s">
        <v>357</v>
      </c>
      <c r="Z29" s="49" t="s">
        <v>357</v>
      </c>
      <c r="AA29" s="49" t="s">
        <v>357</v>
      </c>
      <c r="AB29" s="49" t="s">
        <v>357</v>
      </c>
      <c r="AC29" s="49" t="s">
        <v>357</v>
      </c>
      <c r="AD29" s="49" t="s">
        <v>357</v>
      </c>
      <c r="AE29" s="49" t="s">
        <v>357</v>
      </c>
      <c r="AF29" s="49" t="s">
        <v>357</v>
      </c>
      <c r="AG29" s="49" t="s">
        <v>357</v>
      </c>
      <c r="AH29" s="49" t="s">
        <v>357</v>
      </c>
      <c r="AI29" s="39" t="s">
        <v>357</v>
      </c>
      <c r="AJ29" s="39" t="s">
        <v>357</v>
      </c>
      <c r="AK29" s="39" t="s">
        <v>357</v>
      </c>
      <c r="AL29" s="39" t="s">
        <v>357</v>
      </c>
      <c r="AM29" s="39" t="s">
        <v>357</v>
      </c>
      <c r="AN29" s="39" t="s">
        <v>357</v>
      </c>
      <c r="AO29" s="39" t="s">
        <v>357</v>
      </c>
      <c r="AP29" s="50" t="s">
        <v>357</v>
      </c>
      <c r="AQ29" s="50" t="s">
        <v>357</v>
      </c>
      <c r="AR29" s="49" t="s">
        <v>357</v>
      </c>
      <c r="AS29" s="49" t="s">
        <v>357</v>
      </c>
      <c r="AT29" s="49" t="s">
        <v>357</v>
      </c>
      <c r="AU29" s="49" t="s">
        <v>357</v>
      </c>
      <c r="AV29" s="49" t="s">
        <v>357</v>
      </c>
      <c r="AW29" s="32" t="s">
        <v>357</v>
      </c>
      <c r="AX29" s="32" t="s">
        <v>357</v>
      </c>
      <c r="AY29" s="50" t="s">
        <v>357</v>
      </c>
      <c r="AZ29" s="50" t="s">
        <v>357</v>
      </c>
      <c r="BA29" s="39" t="s">
        <v>357</v>
      </c>
      <c r="BB29" s="39" t="s">
        <v>357</v>
      </c>
      <c r="BC29" s="39" t="s">
        <v>357</v>
      </c>
      <c r="BD29" s="39" t="s">
        <v>357</v>
      </c>
      <c r="BE29" s="39" t="s">
        <v>357</v>
      </c>
      <c r="BF29" s="39" t="s">
        <v>357</v>
      </c>
      <c r="BG29" s="41" t="s">
        <v>357</v>
      </c>
      <c r="BH29" s="41" t="s">
        <v>357</v>
      </c>
      <c r="BI29" s="41"/>
    </row>
    <row r="30">
      <c r="A30" s="21" t="s">
        <v>536</v>
      </c>
      <c r="B30" s="23">
        <v>21.0</v>
      </c>
      <c r="C30" s="21" t="s">
        <v>445</v>
      </c>
      <c r="D30" s="18" t="s">
        <v>827</v>
      </c>
      <c r="E30" s="18" t="s">
        <v>572</v>
      </c>
      <c r="F30" s="18" t="s">
        <v>192</v>
      </c>
      <c r="G30" s="20" t="s">
        <v>828</v>
      </c>
      <c r="H30" s="52" t="s">
        <v>829</v>
      </c>
      <c r="I30" s="26">
        <v>6.0</v>
      </c>
      <c r="J30" s="26" t="str">
        <f>IF((I30&gt;=19),"S",IF(AND(I30&lt;19),"R", "NA"))</f>
        <v>R</v>
      </c>
      <c r="K30" s="26">
        <v>18.0</v>
      </c>
      <c r="L30" s="26" t="str">
        <f>IF((K30&gt;=19),"S",IF(AND(K30&lt;19),"R", "NA"))</f>
        <v>R</v>
      </c>
      <c r="M30" s="26">
        <v>6.0</v>
      </c>
      <c r="N30" s="26" t="str">
        <f>IF((M30&gt;=23),"S",IF(AND(M30&lt;23),"R","NA"))</f>
        <v>R</v>
      </c>
      <c r="O30" s="32" t="s">
        <v>357</v>
      </c>
      <c r="P30" s="32" t="s">
        <v>357</v>
      </c>
      <c r="Q30" s="26">
        <v>26.0</v>
      </c>
      <c r="R30" s="26" t="str">
        <f>IF((Q30&gt;=20),"S",IF(AND(Q30&lt;20),"R", "NA"))</f>
        <v>S</v>
      </c>
      <c r="S30" s="26">
        <v>30.0</v>
      </c>
      <c r="T30" s="26" t="str">
        <f>IF((S30&gt;=20),"S",IF(AND(S30&lt;20),"R", "NA"))</f>
        <v>S</v>
      </c>
      <c r="U30" s="26">
        <v>30.0</v>
      </c>
      <c r="V30" s="26" t="str">
        <f>IF((U30&gt;=20),"S",IF(AND(U30&lt;20,U30&gt;=17),"I",IF(AND(U30&lt;17),"R","NA")))</f>
        <v>S</v>
      </c>
      <c r="W30" s="32" t="s">
        <v>299</v>
      </c>
      <c r="X30" s="33">
        <v>26.0</v>
      </c>
      <c r="Y30" s="33" t="str">
        <f>IF((X30&gt;=20),"S",IF(AND(X30&lt;20,X30&gt;=17),"I",IF(AND(X30&lt;17),"R","NA")))</f>
        <v>S</v>
      </c>
      <c r="Z30" s="33">
        <v>25.0</v>
      </c>
      <c r="AA30" s="33" t="str">
        <f>IF((Z30&gt;=18),"S",IF(AND(Z30&lt;18),"R", "NA"))</f>
        <v>S</v>
      </c>
      <c r="AB30" s="33">
        <v>32.0</v>
      </c>
      <c r="AC30" s="33" t="str">
        <f>IF((AB30&gt;=22),"S",IF(AND(AB30&lt;22,AB30&gt;=19),"I",IF(AND(AB30&lt;19),"R","NA")))</f>
        <v>S</v>
      </c>
      <c r="AD30" s="33">
        <v>31.0</v>
      </c>
      <c r="AE30" s="33" t="str">
        <f>IF((AD30&gt;=13),"S",IF(AND(AD30&lt;13),"R", "NA"))</f>
        <v>S</v>
      </c>
      <c r="AF30" s="33">
        <v>40.0</v>
      </c>
      <c r="AG30" s="33" t="str">
        <f>IF((AF30&gt;=27),"S",IF(AND(AF30&lt;27,AF30&gt;=24),"I",IF(AND(AF30&lt;24),"R","NA")))</f>
        <v>S</v>
      </c>
      <c r="AH30" s="33" t="s">
        <v>300</v>
      </c>
      <c r="AI30" s="36">
        <v>33.0</v>
      </c>
      <c r="AJ30" s="36" t="str">
        <f>IF((AI30&gt;=25),"S",IF(AND(AI30&lt;25,AI30&gt;=22),"I",IF(AND(AI30&lt;22),"R","NA")))</f>
        <v>S</v>
      </c>
      <c r="AK30" s="36">
        <v>30.0</v>
      </c>
      <c r="AL30" s="36" t="str">
        <f>IF((AK30&gt;=23),"S",IF(AND(AK30&lt;23,AK30&gt;=19),"I",IF(AND(AK30&lt;19),"R","NA")))</f>
        <v>S</v>
      </c>
      <c r="AM30" s="36">
        <v>25.0</v>
      </c>
      <c r="AN30" s="36" t="str">
        <f>IF((AM30&gt;=14),"S",IF(AND(AM30&lt;14),"R","NA"))</f>
        <v>S</v>
      </c>
      <c r="AO30" s="36" t="s">
        <v>300</v>
      </c>
      <c r="AP30" s="37">
        <v>34.0</v>
      </c>
      <c r="AQ30" s="37" t="str">
        <f>IF((AP30&gt;=14),"S",IF(AND(AP30&lt;14,AP30&gt;=11),"I",IF(AND(AP30&lt;11),"R","NA")))</f>
        <v>S</v>
      </c>
      <c r="AR30" s="33">
        <v>23.0</v>
      </c>
      <c r="AS30" s="33" t="str">
        <f>IF((AR30&gt;=18),"S",IF(AND(AR30&lt;18),"R", "NA"))</f>
        <v>S</v>
      </c>
      <c r="AT30" s="33">
        <v>22.0</v>
      </c>
      <c r="AU30" s="33" t="str">
        <f>IF((AT30&gt;=16),"S",IF(AND(AT30&lt;16),"R", "NA"))</f>
        <v>S</v>
      </c>
      <c r="AV30" s="33" t="s">
        <v>300</v>
      </c>
      <c r="AW30" s="26">
        <v>18.0</v>
      </c>
      <c r="AX30" s="26" t="str">
        <f>IF((AW30&gt;=20),"S",IF(AND(AW30&lt;20),"R", "NA"))</f>
        <v>R</v>
      </c>
      <c r="AY30" s="37">
        <v>27.0</v>
      </c>
      <c r="AZ30" s="37" t="str">
        <f>IF((AY30&gt;=26),"S",IF(AND(AY30&lt;26,AY30&gt;=21),"I",IF(AND(AY30&lt;21),"R","NA")))</f>
        <v>S</v>
      </c>
      <c r="BA30" s="36">
        <v>36.0</v>
      </c>
      <c r="BB30" s="36" t="str">
        <f>IF((BA30&gt;=23),"S",IF(AND(BA30&lt;23),"R","NA"))</f>
        <v>S</v>
      </c>
      <c r="BC30" s="39" t="s">
        <v>357</v>
      </c>
      <c r="BD30" s="39" t="s">
        <v>357</v>
      </c>
      <c r="BE30" s="36">
        <v>32.0</v>
      </c>
      <c r="BF30" s="36" t="str">
        <f>IF((BE30&gt;=22),"S",IF(AND(BE30&lt;22,BE30&gt;=19),"I",IF(AND(BE30&lt;19),"R","NA")))</f>
        <v>S</v>
      </c>
      <c r="BG30" s="40">
        <v>23.0</v>
      </c>
      <c r="BH30" s="41" t="str">
        <f>IF((BG30&gt;=17),"S",IF(AND(BG30&lt;17),"R", "NA"))</f>
        <v>S</v>
      </c>
      <c r="BI30" s="41"/>
    </row>
    <row r="31">
      <c r="A31" s="21" t="s">
        <v>536</v>
      </c>
      <c r="B31" s="23">
        <v>22.0</v>
      </c>
      <c r="C31" s="21" t="s">
        <v>779</v>
      </c>
      <c r="D31" s="18" t="s">
        <v>705</v>
      </c>
      <c r="E31" s="18" t="s">
        <v>572</v>
      </c>
      <c r="F31" s="18" t="s">
        <v>573</v>
      </c>
      <c r="G31" s="20" t="s">
        <v>357</v>
      </c>
      <c r="H31" s="47" t="s">
        <v>357</v>
      </c>
      <c r="I31" s="32" t="s">
        <v>357</v>
      </c>
      <c r="J31" s="32" t="s">
        <v>357</v>
      </c>
      <c r="K31" s="32" t="s">
        <v>357</v>
      </c>
      <c r="L31" s="32" t="s">
        <v>357</v>
      </c>
      <c r="M31" s="32" t="s">
        <v>357</v>
      </c>
      <c r="N31" s="32" t="s">
        <v>357</v>
      </c>
      <c r="O31" s="32" t="s">
        <v>357</v>
      </c>
      <c r="P31" s="32" t="s">
        <v>357</v>
      </c>
      <c r="Q31" s="32" t="s">
        <v>357</v>
      </c>
      <c r="R31" s="32" t="s">
        <v>357</v>
      </c>
      <c r="S31" s="32" t="s">
        <v>357</v>
      </c>
      <c r="T31" s="32" t="s">
        <v>357</v>
      </c>
      <c r="U31" s="32" t="s">
        <v>357</v>
      </c>
      <c r="V31" s="32" t="s">
        <v>357</v>
      </c>
      <c r="W31" s="32" t="s">
        <v>357</v>
      </c>
      <c r="X31" s="49" t="s">
        <v>357</v>
      </c>
      <c r="Y31" s="49" t="s">
        <v>357</v>
      </c>
      <c r="Z31" s="49" t="s">
        <v>357</v>
      </c>
      <c r="AA31" s="49" t="s">
        <v>357</v>
      </c>
      <c r="AB31" s="49" t="s">
        <v>357</v>
      </c>
      <c r="AC31" s="49" t="s">
        <v>357</v>
      </c>
      <c r="AD31" s="49" t="s">
        <v>357</v>
      </c>
      <c r="AE31" s="49" t="s">
        <v>357</v>
      </c>
      <c r="AF31" s="49" t="s">
        <v>357</v>
      </c>
      <c r="AG31" s="49" t="s">
        <v>357</v>
      </c>
      <c r="AH31" s="49" t="s">
        <v>357</v>
      </c>
      <c r="AI31" s="39" t="s">
        <v>357</v>
      </c>
      <c r="AJ31" s="39" t="s">
        <v>357</v>
      </c>
      <c r="AK31" s="39" t="s">
        <v>357</v>
      </c>
      <c r="AL31" s="39" t="s">
        <v>357</v>
      </c>
      <c r="AM31" s="39" t="s">
        <v>357</v>
      </c>
      <c r="AN31" s="39" t="s">
        <v>357</v>
      </c>
      <c r="AO31" s="39" t="s">
        <v>357</v>
      </c>
      <c r="AP31" s="50" t="s">
        <v>357</v>
      </c>
      <c r="AQ31" s="50" t="s">
        <v>357</v>
      </c>
      <c r="AR31" s="49" t="s">
        <v>357</v>
      </c>
      <c r="AS31" s="49" t="s">
        <v>357</v>
      </c>
      <c r="AT31" s="49" t="s">
        <v>357</v>
      </c>
      <c r="AU31" s="49" t="s">
        <v>357</v>
      </c>
      <c r="AV31" s="49" t="s">
        <v>357</v>
      </c>
      <c r="AW31" s="32" t="s">
        <v>357</v>
      </c>
      <c r="AX31" s="32" t="s">
        <v>357</v>
      </c>
      <c r="AY31" s="50" t="s">
        <v>357</v>
      </c>
      <c r="AZ31" s="50" t="s">
        <v>357</v>
      </c>
      <c r="BA31" s="39" t="s">
        <v>357</v>
      </c>
      <c r="BB31" s="39" t="s">
        <v>357</v>
      </c>
      <c r="BC31" s="39" t="s">
        <v>357</v>
      </c>
      <c r="BD31" s="39" t="s">
        <v>357</v>
      </c>
      <c r="BE31" s="39" t="s">
        <v>357</v>
      </c>
      <c r="BF31" s="39" t="s">
        <v>357</v>
      </c>
      <c r="BG31" s="41" t="s">
        <v>357</v>
      </c>
      <c r="BH31" s="41" t="s">
        <v>357</v>
      </c>
      <c r="BI31" s="41"/>
    </row>
    <row r="32">
      <c r="A32" s="21" t="s">
        <v>536</v>
      </c>
      <c r="B32" s="23">
        <v>23.0</v>
      </c>
      <c r="C32" s="21" t="s">
        <v>787</v>
      </c>
      <c r="D32" s="18" t="s">
        <v>853</v>
      </c>
      <c r="E32" s="18" t="s">
        <v>103</v>
      </c>
      <c r="F32" s="18" t="s">
        <v>192</v>
      </c>
      <c r="G32" s="20" t="s">
        <v>854</v>
      </c>
      <c r="H32" s="22" t="s">
        <v>198</v>
      </c>
      <c r="I32" s="26">
        <v>6.0</v>
      </c>
      <c r="J32" s="26" t="str">
        <f t="shared" ref="J32:J38" si="92">IF((I32&gt;=19),"S",IF(AND(I32&lt;19),"R", "NA"))</f>
        <v>R</v>
      </c>
      <c r="K32" s="26">
        <v>23.0</v>
      </c>
      <c r="L32" s="26" t="str">
        <f t="shared" ref="L32:L38" si="93">IF((K32&gt;=19),"S",IF(AND(K32&lt;19),"R", "NA"))</f>
        <v>S</v>
      </c>
      <c r="M32" s="26">
        <v>6.0</v>
      </c>
      <c r="N32" s="26" t="str">
        <f t="shared" ref="N32:N38" si="94">IF((M32&gt;=23),"S",IF(AND(M32&lt;23),"R","NA"))</f>
        <v>R</v>
      </c>
      <c r="O32" s="32" t="s">
        <v>357</v>
      </c>
      <c r="P32" s="32" t="s">
        <v>357</v>
      </c>
      <c r="Q32" s="26">
        <v>22.0</v>
      </c>
      <c r="R32" s="26" t="str">
        <f t="shared" ref="R32:R38" si="95">IF((Q32&gt;=20),"S",IF(AND(Q32&lt;20),"R", "NA"))</f>
        <v>S</v>
      </c>
      <c r="S32" s="26">
        <v>24.0</v>
      </c>
      <c r="T32" s="26" t="str">
        <f t="shared" ref="T32:T38" si="96">IF((S32&gt;=20),"S",IF(AND(S32&lt;20),"R", "NA"))</f>
        <v>S</v>
      </c>
      <c r="U32" s="26">
        <v>25.0</v>
      </c>
      <c r="V32" s="26" t="str">
        <f t="shared" ref="V32:V38" si="97">IF((U32&gt;=20),"S",IF(AND(U32&lt;20,U32&gt;=17),"I",IF(AND(U32&lt;17),"R","NA")))</f>
        <v>S</v>
      </c>
      <c r="W32" s="32" t="s">
        <v>299</v>
      </c>
      <c r="X32" s="33">
        <v>18.0</v>
      </c>
      <c r="Y32" s="33" t="str">
        <f t="shared" ref="Y32:Y38" si="98">IF((X32&gt;=20),"S",IF(AND(X32&lt;20,X32&gt;=17),"I",IF(AND(X32&lt;17),"R","NA")))</f>
        <v>I</v>
      </c>
      <c r="Z32" s="33">
        <v>28.0</v>
      </c>
      <c r="AA32" s="33" t="str">
        <f t="shared" ref="AA32:AA38" si="99">IF((Z32&gt;=18),"S",IF(AND(Z32&lt;18),"R", "NA"))</f>
        <v>S</v>
      </c>
      <c r="AB32" s="33">
        <v>18.0</v>
      </c>
      <c r="AC32" s="33" t="str">
        <f t="shared" ref="AC32:AC38" si="100">IF((AB32&gt;=22),"S",IF(AND(AB32&lt;22,AB32&gt;=19),"I",IF(AND(AB32&lt;19),"R","NA")))</f>
        <v>R</v>
      </c>
      <c r="AD32" s="33">
        <v>28.0</v>
      </c>
      <c r="AE32" s="33" t="str">
        <f t="shared" ref="AE32:AE38" si="101">IF((AD32&gt;=13),"S",IF(AND(AD32&lt;13),"R", "NA"))</f>
        <v>S</v>
      </c>
      <c r="AF32" s="33">
        <v>30.0</v>
      </c>
      <c r="AG32" s="33" t="str">
        <f t="shared" ref="AG32:AG38" si="102">IF((AF32&gt;=27),"S",IF(AND(AF32&lt;27,AF32&gt;=24),"I",IF(AND(AF32&lt;24),"R","NA")))</f>
        <v>S</v>
      </c>
      <c r="AH32" s="33" t="s">
        <v>299</v>
      </c>
      <c r="AI32" s="36">
        <v>23.0</v>
      </c>
      <c r="AJ32" s="36" t="str">
        <f t="shared" ref="AJ32:AJ38" si="103">IF((AI32&gt;=25),"S",IF(AND(AI32&lt;25,AI32&gt;=22),"I",IF(AND(AI32&lt;22),"R","NA")))</f>
        <v>I</v>
      </c>
      <c r="AK32" s="36">
        <v>22.0</v>
      </c>
      <c r="AL32" s="36" t="str">
        <f t="shared" ref="AL32:AL38" si="104">IF((AK32&gt;=23),"S",IF(AND(AK32&lt;23,AK32&gt;=19),"I",IF(AND(AK32&lt;19),"R","NA")))</f>
        <v>I</v>
      </c>
      <c r="AM32" s="36">
        <v>23.0</v>
      </c>
      <c r="AN32" s="36" t="str">
        <f t="shared" ref="AN32:AN38" si="105">IF((AM32&gt;=14),"S",IF(AND(AM32&lt;14),"R","NA"))</f>
        <v>S</v>
      </c>
      <c r="AO32" s="36" t="s">
        <v>300</v>
      </c>
      <c r="AP32" s="37">
        <v>6.0</v>
      </c>
      <c r="AQ32" s="37" t="str">
        <f t="shared" ref="AQ32:AQ38" si="106">IF((AP32&gt;=14),"S",IF(AND(AP32&lt;14,AP32&gt;=11),"I",IF(AND(AP32&lt;11),"R","NA")))</f>
        <v>R</v>
      </c>
      <c r="AR32" s="33">
        <v>19.0</v>
      </c>
      <c r="AS32" s="33" t="str">
        <f t="shared" ref="AS32:AS38" si="107">IF((AR32&gt;=18),"S",IF(AND(AR32&lt;18),"R", "NA"))</f>
        <v>S</v>
      </c>
      <c r="AT32" s="33">
        <v>20.0</v>
      </c>
      <c r="AU32" s="33" t="str">
        <f t="shared" ref="AU32:AU38" si="108">IF((AT32&gt;=16),"S",IF(AND(AT32&lt;16),"R", "NA"))</f>
        <v>S</v>
      </c>
      <c r="AV32" s="33" t="s">
        <v>300</v>
      </c>
      <c r="AW32" s="26">
        <v>19.0</v>
      </c>
      <c r="AX32" s="26" t="str">
        <f t="shared" ref="AX32:AX38" si="109">IF((AW32&gt;=20),"S",IF(AND(AW32&lt;20),"R", "NA"))</f>
        <v>R</v>
      </c>
      <c r="AY32" s="37">
        <v>19.0</v>
      </c>
      <c r="AZ32" s="37" t="str">
        <f t="shared" ref="AZ32:AZ38" si="110">IF((AY32&gt;=26),"S",IF(AND(AY32&lt;26,AY32&gt;=21),"I",IF(AND(AY32&lt;21),"R","NA")))</f>
        <v>R</v>
      </c>
      <c r="BA32" s="36">
        <v>34.0</v>
      </c>
      <c r="BB32" s="36" t="str">
        <f t="shared" ref="BB32:BB38" si="111">IF((BA32&gt;=23),"S",IF(AND(BA32&lt;23),"R","NA"))</f>
        <v>S</v>
      </c>
      <c r="BC32" s="39" t="s">
        <v>357</v>
      </c>
      <c r="BD32" s="39" t="s">
        <v>357</v>
      </c>
      <c r="BE32" s="36">
        <v>28.0</v>
      </c>
      <c r="BF32" s="36" t="str">
        <f t="shared" ref="BF32:BF38" si="112">IF((BE32&gt;=22),"S",IF(AND(BE32&lt;22,BE32&gt;=19),"I",IF(AND(BE32&lt;19),"R","NA")))</f>
        <v>S</v>
      </c>
      <c r="BG32" s="40">
        <v>19.0</v>
      </c>
      <c r="BH32" s="41" t="str">
        <f t="shared" ref="BH32:BH38" si="113">IF((BG32&gt;=17),"S",IF(AND(BG32&lt;17),"R", "NA"))</f>
        <v>S</v>
      </c>
      <c r="BI32" s="41"/>
    </row>
    <row r="33">
      <c r="A33" s="21" t="s">
        <v>536</v>
      </c>
      <c r="B33" s="21" t="s">
        <v>444</v>
      </c>
      <c r="C33" s="21" t="s">
        <v>468</v>
      </c>
      <c r="D33" s="18" t="s">
        <v>853</v>
      </c>
      <c r="E33" s="18" t="s">
        <v>103</v>
      </c>
      <c r="F33" s="18" t="s">
        <v>192</v>
      </c>
      <c r="G33" s="20" t="s">
        <v>873</v>
      </c>
      <c r="H33" s="22" t="s">
        <v>198</v>
      </c>
      <c r="I33" s="26">
        <v>6.0</v>
      </c>
      <c r="J33" s="26" t="str">
        <f t="shared" si="92"/>
        <v>R</v>
      </c>
      <c r="K33" s="26">
        <v>23.0</v>
      </c>
      <c r="L33" s="26" t="str">
        <f t="shared" si="93"/>
        <v>S</v>
      </c>
      <c r="M33" s="26">
        <v>6.0</v>
      </c>
      <c r="N33" s="26" t="str">
        <f t="shared" si="94"/>
        <v>R</v>
      </c>
      <c r="O33" s="32" t="s">
        <v>357</v>
      </c>
      <c r="P33" s="32" t="s">
        <v>357</v>
      </c>
      <c r="Q33" s="26">
        <v>16.0</v>
      </c>
      <c r="R33" s="26" t="str">
        <f t="shared" si="95"/>
        <v>R</v>
      </c>
      <c r="S33" s="26">
        <v>25.0</v>
      </c>
      <c r="T33" s="26" t="str">
        <f t="shared" si="96"/>
        <v>S</v>
      </c>
      <c r="U33" s="26">
        <v>25.0</v>
      </c>
      <c r="V33" s="26" t="str">
        <f t="shared" si="97"/>
        <v>S</v>
      </c>
      <c r="W33" s="32" t="s">
        <v>299</v>
      </c>
      <c r="X33" s="33">
        <v>19.0</v>
      </c>
      <c r="Y33" s="33" t="str">
        <f t="shared" si="98"/>
        <v>I</v>
      </c>
      <c r="Z33" s="33">
        <v>29.0</v>
      </c>
      <c r="AA33" s="33" t="str">
        <f t="shared" si="99"/>
        <v>S</v>
      </c>
      <c r="AB33" s="33">
        <v>20.0</v>
      </c>
      <c r="AC33" s="33" t="str">
        <f t="shared" si="100"/>
        <v>I</v>
      </c>
      <c r="AD33" s="33">
        <v>26.0</v>
      </c>
      <c r="AE33" s="33" t="str">
        <f t="shared" si="101"/>
        <v>S</v>
      </c>
      <c r="AF33" s="33">
        <v>31.0</v>
      </c>
      <c r="AG33" s="33" t="str">
        <f t="shared" si="102"/>
        <v>S</v>
      </c>
      <c r="AH33" s="33" t="s">
        <v>300</v>
      </c>
      <c r="AI33" s="36">
        <v>23.0</v>
      </c>
      <c r="AJ33" s="36" t="str">
        <f t="shared" si="103"/>
        <v>I</v>
      </c>
      <c r="AK33" s="36">
        <v>20.0</v>
      </c>
      <c r="AL33" s="36" t="str">
        <f t="shared" si="104"/>
        <v>I</v>
      </c>
      <c r="AM33" s="36">
        <v>19.0</v>
      </c>
      <c r="AN33" s="36" t="str">
        <f t="shared" si="105"/>
        <v>S</v>
      </c>
      <c r="AO33" s="36" t="s">
        <v>300</v>
      </c>
      <c r="AP33" s="37">
        <v>6.0</v>
      </c>
      <c r="AQ33" s="37" t="str">
        <f t="shared" si="106"/>
        <v>R</v>
      </c>
      <c r="AR33" s="33">
        <v>19.0</v>
      </c>
      <c r="AS33" s="33" t="str">
        <f t="shared" si="107"/>
        <v>S</v>
      </c>
      <c r="AT33" s="33">
        <v>19.0</v>
      </c>
      <c r="AU33" s="33" t="str">
        <f t="shared" si="108"/>
        <v>S</v>
      </c>
      <c r="AV33" s="33" t="s">
        <v>300</v>
      </c>
      <c r="AW33" s="26">
        <v>17.0</v>
      </c>
      <c r="AX33" s="26" t="str">
        <f t="shared" si="109"/>
        <v>R</v>
      </c>
      <c r="AY33" s="37">
        <v>19.0</v>
      </c>
      <c r="AZ33" s="37" t="str">
        <f t="shared" si="110"/>
        <v>R</v>
      </c>
      <c r="BA33" s="36">
        <v>32.0</v>
      </c>
      <c r="BB33" s="36" t="str">
        <f t="shared" si="111"/>
        <v>S</v>
      </c>
      <c r="BC33" s="39" t="s">
        <v>357</v>
      </c>
      <c r="BD33" s="39" t="s">
        <v>357</v>
      </c>
      <c r="BE33" s="36">
        <v>30.0</v>
      </c>
      <c r="BF33" s="36" t="str">
        <f t="shared" si="112"/>
        <v>S</v>
      </c>
      <c r="BG33" s="40">
        <v>18.0</v>
      </c>
      <c r="BH33" s="41" t="str">
        <f t="shared" si="113"/>
        <v>S</v>
      </c>
      <c r="BI33" s="41"/>
    </row>
    <row r="34">
      <c r="A34" s="21" t="s">
        <v>536</v>
      </c>
      <c r="B34" s="23">
        <v>24.0</v>
      </c>
      <c r="C34" s="21" t="s">
        <v>795</v>
      </c>
      <c r="D34" s="18" t="s">
        <v>182</v>
      </c>
      <c r="E34" s="18" t="s">
        <v>103</v>
      </c>
      <c r="F34" s="18" t="s">
        <v>192</v>
      </c>
      <c r="G34" s="20" t="s">
        <v>876</v>
      </c>
      <c r="H34" s="22" t="s">
        <v>198</v>
      </c>
      <c r="I34" s="26">
        <v>6.0</v>
      </c>
      <c r="J34" s="26" t="str">
        <f t="shared" si="92"/>
        <v>R</v>
      </c>
      <c r="K34" s="26">
        <v>18.0</v>
      </c>
      <c r="L34" s="26" t="str">
        <f t="shared" si="93"/>
        <v>R</v>
      </c>
      <c r="M34" s="26">
        <v>6.0</v>
      </c>
      <c r="N34" s="26" t="str">
        <f t="shared" si="94"/>
        <v>R</v>
      </c>
      <c r="O34" s="32" t="s">
        <v>357</v>
      </c>
      <c r="P34" s="32" t="s">
        <v>357</v>
      </c>
      <c r="Q34" s="26">
        <v>12.0</v>
      </c>
      <c r="R34" s="26" t="str">
        <f t="shared" si="95"/>
        <v>R</v>
      </c>
      <c r="S34" s="26">
        <v>23.0</v>
      </c>
      <c r="T34" s="26" t="str">
        <f t="shared" si="96"/>
        <v>S</v>
      </c>
      <c r="U34" s="26">
        <v>22.0</v>
      </c>
      <c r="V34" s="26" t="str">
        <f t="shared" si="97"/>
        <v>S</v>
      </c>
      <c r="W34" s="32" t="s">
        <v>299</v>
      </c>
      <c r="X34" s="33">
        <v>6.0</v>
      </c>
      <c r="Y34" s="33" t="str">
        <f t="shared" si="98"/>
        <v>R</v>
      </c>
      <c r="Z34" s="33">
        <v>23.0</v>
      </c>
      <c r="AA34" s="33" t="str">
        <f t="shared" si="99"/>
        <v>S</v>
      </c>
      <c r="AB34" s="33">
        <v>17.0</v>
      </c>
      <c r="AC34" s="33" t="str">
        <f t="shared" si="100"/>
        <v>R</v>
      </c>
      <c r="AD34" s="33">
        <v>28.0</v>
      </c>
      <c r="AE34" s="33" t="str">
        <f t="shared" si="101"/>
        <v>S</v>
      </c>
      <c r="AF34" s="33">
        <v>22.0</v>
      </c>
      <c r="AG34" s="33" t="str">
        <f t="shared" si="102"/>
        <v>R</v>
      </c>
      <c r="AH34" s="33" t="s">
        <v>299</v>
      </c>
      <c r="AI34" s="36">
        <v>18.0</v>
      </c>
      <c r="AJ34" s="36" t="str">
        <f t="shared" si="103"/>
        <v>R</v>
      </c>
      <c r="AK34" s="36">
        <v>16.0</v>
      </c>
      <c r="AL34" s="36" t="str">
        <f t="shared" si="104"/>
        <v>R</v>
      </c>
      <c r="AM34" s="36">
        <v>10.0</v>
      </c>
      <c r="AN34" s="36" t="str">
        <f t="shared" si="105"/>
        <v>R</v>
      </c>
      <c r="AO34" s="36" t="s">
        <v>299</v>
      </c>
      <c r="AP34" s="37">
        <v>6.0</v>
      </c>
      <c r="AQ34" s="37" t="str">
        <f t="shared" si="106"/>
        <v>R</v>
      </c>
      <c r="AR34" s="33">
        <v>21.0</v>
      </c>
      <c r="AS34" s="33" t="str">
        <f t="shared" si="107"/>
        <v>S</v>
      </c>
      <c r="AT34" s="33">
        <v>21.0</v>
      </c>
      <c r="AU34" s="33" t="str">
        <f t="shared" si="108"/>
        <v>S</v>
      </c>
      <c r="AV34" s="33" t="s">
        <v>300</v>
      </c>
      <c r="AW34" s="26">
        <v>15.0</v>
      </c>
      <c r="AX34" s="26" t="str">
        <f t="shared" si="109"/>
        <v>R</v>
      </c>
      <c r="AY34" s="37">
        <v>18.0</v>
      </c>
      <c r="AZ34" s="37" t="str">
        <f t="shared" si="110"/>
        <v>R</v>
      </c>
      <c r="BA34" s="36">
        <v>30.0</v>
      </c>
      <c r="BB34" s="36" t="str">
        <f t="shared" si="111"/>
        <v>S</v>
      </c>
      <c r="BC34" s="39" t="s">
        <v>357</v>
      </c>
      <c r="BD34" s="39" t="s">
        <v>357</v>
      </c>
      <c r="BE34" s="36">
        <v>32.0</v>
      </c>
      <c r="BF34" s="36" t="str">
        <f t="shared" si="112"/>
        <v>S</v>
      </c>
      <c r="BG34" s="40">
        <v>21.0</v>
      </c>
      <c r="BH34" s="41" t="str">
        <f t="shared" si="113"/>
        <v>S</v>
      </c>
      <c r="BI34" s="41"/>
    </row>
    <row r="35">
      <c r="A35" s="21" t="s">
        <v>536</v>
      </c>
      <c r="B35" s="21" t="s">
        <v>444</v>
      </c>
      <c r="C35" s="21" t="s">
        <v>801</v>
      </c>
      <c r="D35" s="18" t="s">
        <v>182</v>
      </c>
      <c r="E35" s="18" t="s">
        <v>103</v>
      </c>
      <c r="F35" s="18" t="s">
        <v>192</v>
      </c>
      <c r="G35" s="20" t="s">
        <v>880</v>
      </c>
      <c r="H35" s="42" t="s">
        <v>479</v>
      </c>
      <c r="I35" s="26">
        <v>6.0</v>
      </c>
      <c r="J35" s="26" t="str">
        <f t="shared" si="92"/>
        <v>R</v>
      </c>
      <c r="K35" s="26">
        <v>21.0</v>
      </c>
      <c r="L35" s="26" t="str">
        <f t="shared" si="93"/>
        <v>S</v>
      </c>
      <c r="M35" s="26">
        <v>6.0</v>
      </c>
      <c r="N35" s="26" t="str">
        <f t="shared" si="94"/>
        <v>R</v>
      </c>
      <c r="O35" s="32" t="s">
        <v>357</v>
      </c>
      <c r="P35" s="32" t="s">
        <v>357</v>
      </c>
      <c r="Q35" s="26">
        <v>11.0</v>
      </c>
      <c r="R35" s="26" t="str">
        <f t="shared" si="95"/>
        <v>R</v>
      </c>
      <c r="S35" s="26">
        <v>23.0</v>
      </c>
      <c r="T35" s="26" t="str">
        <f t="shared" si="96"/>
        <v>S</v>
      </c>
      <c r="U35" s="26">
        <v>26.0</v>
      </c>
      <c r="V35" s="26" t="str">
        <f t="shared" si="97"/>
        <v>S</v>
      </c>
      <c r="W35" s="32" t="s">
        <v>299</v>
      </c>
      <c r="X35" s="33">
        <v>6.0</v>
      </c>
      <c r="Y35" s="33" t="str">
        <f t="shared" si="98"/>
        <v>R</v>
      </c>
      <c r="Z35" s="33">
        <v>25.0</v>
      </c>
      <c r="AA35" s="33" t="str">
        <f t="shared" si="99"/>
        <v>S</v>
      </c>
      <c r="AB35" s="33">
        <v>21.0</v>
      </c>
      <c r="AC35" s="33" t="str">
        <f t="shared" si="100"/>
        <v>I</v>
      </c>
      <c r="AD35" s="33">
        <v>29.0</v>
      </c>
      <c r="AE35" s="33" t="str">
        <f t="shared" si="101"/>
        <v>S</v>
      </c>
      <c r="AF35" s="33">
        <v>23.0</v>
      </c>
      <c r="AG35" s="33" t="str">
        <f t="shared" si="102"/>
        <v>R</v>
      </c>
      <c r="AH35" s="33" t="s">
        <v>299</v>
      </c>
      <c r="AI35" s="36">
        <v>21.0</v>
      </c>
      <c r="AJ35" s="36" t="str">
        <f t="shared" si="103"/>
        <v>R</v>
      </c>
      <c r="AK35" s="36">
        <v>21.0</v>
      </c>
      <c r="AL35" s="36" t="str">
        <f t="shared" si="104"/>
        <v>I</v>
      </c>
      <c r="AM35" s="36">
        <v>19.0</v>
      </c>
      <c r="AN35" s="36" t="str">
        <f t="shared" si="105"/>
        <v>S</v>
      </c>
      <c r="AO35" s="36" t="s">
        <v>299</v>
      </c>
      <c r="AP35" s="37">
        <v>6.0</v>
      </c>
      <c r="AQ35" s="37" t="str">
        <f t="shared" si="106"/>
        <v>R</v>
      </c>
      <c r="AR35" s="33">
        <v>21.0</v>
      </c>
      <c r="AS35" s="33" t="str">
        <f t="shared" si="107"/>
        <v>S</v>
      </c>
      <c r="AT35" s="33">
        <v>22.0</v>
      </c>
      <c r="AU35" s="33" t="str">
        <f t="shared" si="108"/>
        <v>S</v>
      </c>
      <c r="AV35" s="33" t="s">
        <v>300</v>
      </c>
      <c r="AW35" s="26">
        <v>19.0</v>
      </c>
      <c r="AX35" s="26" t="str">
        <f t="shared" si="109"/>
        <v>R</v>
      </c>
      <c r="AY35" s="37">
        <v>21.0</v>
      </c>
      <c r="AZ35" s="37" t="str">
        <f t="shared" si="110"/>
        <v>I</v>
      </c>
      <c r="BA35" s="36">
        <v>29.0</v>
      </c>
      <c r="BB35" s="36" t="str">
        <f t="shared" si="111"/>
        <v>S</v>
      </c>
      <c r="BC35" s="39" t="s">
        <v>357</v>
      </c>
      <c r="BD35" s="39" t="s">
        <v>357</v>
      </c>
      <c r="BE35" s="36">
        <v>30.0</v>
      </c>
      <c r="BF35" s="36" t="str">
        <f t="shared" si="112"/>
        <v>S</v>
      </c>
      <c r="BG35" s="40">
        <v>21.0</v>
      </c>
      <c r="BH35" s="41" t="str">
        <f t="shared" si="113"/>
        <v>S</v>
      </c>
      <c r="BI35" s="41"/>
    </row>
    <row r="36">
      <c r="A36" s="21" t="s">
        <v>536</v>
      </c>
      <c r="B36" s="21" t="s">
        <v>444</v>
      </c>
      <c r="C36" s="21" t="s">
        <v>496</v>
      </c>
      <c r="D36" s="18" t="s">
        <v>182</v>
      </c>
      <c r="E36" s="18" t="s">
        <v>103</v>
      </c>
      <c r="F36" s="18" t="s">
        <v>192</v>
      </c>
      <c r="G36" s="20" t="s">
        <v>887</v>
      </c>
      <c r="H36" s="22" t="s">
        <v>198</v>
      </c>
      <c r="I36" s="26">
        <v>6.0</v>
      </c>
      <c r="J36" s="26" t="str">
        <f t="shared" si="92"/>
        <v>R</v>
      </c>
      <c r="K36" s="26">
        <v>11.0</v>
      </c>
      <c r="L36" s="26" t="str">
        <f t="shared" si="93"/>
        <v>R</v>
      </c>
      <c r="M36" s="26">
        <v>6.0</v>
      </c>
      <c r="N36" s="26" t="str">
        <f t="shared" si="94"/>
        <v>R</v>
      </c>
      <c r="O36" s="32" t="s">
        <v>357</v>
      </c>
      <c r="P36" s="32" t="s">
        <v>357</v>
      </c>
      <c r="Q36" s="26">
        <v>6.0</v>
      </c>
      <c r="R36" s="26" t="str">
        <f t="shared" si="95"/>
        <v>R</v>
      </c>
      <c r="S36" s="26">
        <v>6.0</v>
      </c>
      <c r="T36" s="26" t="str">
        <f t="shared" si="96"/>
        <v>R</v>
      </c>
      <c r="U36" s="26">
        <v>11.0</v>
      </c>
      <c r="V36" s="26" t="str">
        <f t="shared" si="97"/>
        <v>R</v>
      </c>
      <c r="W36" s="32" t="s">
        <v>299</v>
      </c>
      <c r="X36" s="33">
        <v>6.0</v>
      </c>
      <c r="Y36" s="33" t="str">
        <f t="shared" si="98"/>
        <v>R</v>
      </c>
      <c r="Z36" s="33">
        <v>6.0</v>
      </c>
      <c r="AA36" s="33" t="str">
        <f t="shared" si="99"/>
        <v>R</v>
      </c>
      <c r="AB36" s="33">
        <v>6.0</v>
      </c>
      <c r="AC36" s="33" t="str">
        <f t="shared" si="100"/>
        <v>R</v>
      </c>
      <c r="AD36" s="33">
        <v>9.0</v>
      </c>
      <c r="AE36" s="33" t="str">
        <f t="shared" si="101"/>
        <v>R</v>
      </c>
      <c r="AF36" s="33">
        <v>6.0</v>
      </c>
      <c r="AG36" s="33" t="str">
        <f t="shared" si="102"/>
        <v>R</v>
      </c>
      <c r="AH36" s="33" t="s">
        <v>299</v>
      </c>
      <c r="AI36" s="36">
        <v>6.0</v>
      </c>
      <c r="AJ36" s="36" t="str">
        <f t="shared" si="103"/>
        <v>R</v>
      </c>
      <c r="AK36" s="36">
        <v>6.0</v>
      </c>
      <c r="AL36" s="36" t="str">
        <f t="shared" si="104"/>
        <v>R</v>
      </c>
      <c r="AM36" s="36">
        <v>6.0</v>
      </c>
      <c r="AN36" s="36" t="str">
        <f t="shared" si="105"/>
        <v>R</v>
      </c>
      <c r="AO36" s="36" t="s">
        <v>299</v>
      </c>
      <c r="AP36" s="37">
        <v>6.0</v>
      </c>
      <c r="AQ36" s="37" t="str">
        <f t="shared" si="106"/>
        <v>R</v>
      </c>
      <c r="AR36" s="33">
        <v>19.0</v>
      </c>
      <c r="AS36" s="33" t="str">
        <f t="shared" si="107"/>
        <v>S</v>
      </c>
      <c r="AT36" s="33">
        <v>21.0</v>
      </c>
      <c r="AU36" s="33" t="str">
        <f t="shared" si="108"/>
        <v>S</v>
      </c>
      <c r="AV36" s="33" t="s">
        <v>300</v>
      </c>
      <c r="AW36" s="26">
        <v>18.0</v>
      </c>
      <c r="AX36" s="26" t="str">
        <f t="shared" si="109"/>
        <v>R</v>
      </c>
      <c r="AY36" s="37">
        <v>6.0</v>
      </c>
      <c r="AZ36" s="37" t="str">
        <f t="shared" si="110"/>
        <v>R</v>
      </c>
      <c r="BA36" s="36">
        <v>13.0</v>
      </c>
      <c r="BB36" s="36" t="str">
        <f t="shared" si="111"/>
        <v>R</v>
      </c>
      <c r="BC36" s="36">
        <v>1.0</v>
      </c>
      <c r="BD36" s="36" t="str">
        <f>IF((BC36&lt;=0.5),"S",IF(AND(BC36&gt;0.5),"R", "NA"))</f>
        <v>R</v>
      </c>
      <c r="BE36" s="36">
        <v>20.0</v>
      </c>
      <c r="BF36" s="36" t="str">
        <f t="shared" si="112"/>
        <v>I</v>
      </c>
      <c r="BG36" s="40">
        <v>19.0</v>
      </c>
      <c r="BH36" s="41" t="str">
        <f t="shared" si="113"/>
        <v>S</v>
      </c>
      <c r="BI36" s="41"/>
    </row>
    <row r="37">
      <c r="A37" s="21" t="s">
        <v>536</v>
      </c>
      <c r="B37" s="23">
        <v>25.0</v>
      </c>
      <c r="C37" s="21" t="s">
        <v>811</v>
      </c>
      <c r="D37" s="18" t="s">
        <v>555</v>
      </c>
      <c r="E37" s="18" t="s">
        <v>103</v>
      </c>
      <c r="F37" s="18" t="s">
        <v>192</v>
      </c>
      <c r="G37" s="20" t="s">
        <v>893</v>
      </c>
      <c r="H37" s="22" t="s">
        <v>198</v>
      </c>
      <c r="I37" s="26">
        <v>6.0</v>
      </c>
      <c r="J37" s="26" t="str">
        <f t="shared" si="92"/>
        <v>R</v>
      </c>
      <c r="K37" s="26">
        <v>26.0</v>
      </c>
      <c r="L37" s="26" t="str">
        <f t="shared" si="93"/>
        <v>S</v>
      </c>
      <c r="M37" s="26">
        <v>6.0</v>
      </c>
      <c r="N37" s="26" t="str">
        <f t="shared" si="94"/>
        <v>R</v>
      </c>
      <c r="O37" s="32" t="s">
        <v>357</v>
      </c>
      <c r="P37" s="32" t="s">
        <v>357</v>
      </c>
      <c r="Q37" s="26">
        <v>14.0</v>
      </c>
      <c r="R37" s="26" t="str">
        <f t="shared" si="95"/>
        <v>R</v>
      </c>
      <c r="S37" s="26">
        <v>29.0</v>
      </c>
      <c r="T37" s="26" t="str">
        <f t="shared" si="96"/>
        <v>S</v>
      </c>
      <c r="U37" s="26">
        <v>26.0</v>
      </c>
      <c r="V37" s="26" t="str">
        <f t="shared" si="97"/>
        <v>S</v>
      </c>
      <c r="W37" s="32" t="s">
        <v>299</v>
      </c>
      <c r="X37" s="33">
        <v>6.0</v>
      </c>
      <c r="Y37" s="33" t="str">
        <f t="shared" si="98"/>
        <v>R</v>
      </c>
      <c r="Z37" s="33">
        <v>29.0</v>
      </c>
      <c r="AA37" s="33" t="str">
        <f t="shared" si="99"/>
        <v>S</v>
      </c>
      <c r="AB37" s="33">
        <v>21.0</v>
      </c>
      <c r="AC37" s="33" t="str">
        <f t="shared" si="100"/>
        <v>I</v>
      </c>
      <c r="AD37" s="33">
        <v>28.0</v>
      </c>
      <c r="AE37" s="33" t="str">
        <f t="shared" si="101"/>
        <v>S</v>
      </c>
      <c r="AF37" s="33">
        <v>23.0</v>
      </c>
      <c r="AG37" s="33" t="str">
        <f t="shared" si="102"/>
        <v>R</v>
      </c>
      <c r="AH37" s="33" t="s">
        <v>299</v>
      </c>
      <c r="AI37" s="36">
        <v>25.0</v>
      </c>
      <c r="AJ37" s="36" t="str">
        <f t="shared" si="103"/>
        <v>S</v>
      </c>
      <c r="AK37" s="36">
        <v>21.0</v>
      </c>
      <c r="AL37" s="36" t="str">
        <f t="shared" si="104"/>
        <v>I</v>
      </c>
      <c r="AM37" s="36">
        <v>24.0</v>
      </c>
      <c r="AN37" s="36" t="str">
        <f t="shared" si="105"/>
        <v>S</v>
      </c>
      <c r="AO37" s="36" t="s">
        <v>300</v>
      </c>
      <c r="AP37" s="37">
        <v>32.0</v>
      </c>
      <c r="AQ37" s="37" t="str">
        <f t="shared" si="106"/>
        <v>S</v>
      </c>
      <c r="AR37" s="33">
        <v>19.0</v>
      </c>
      <c r="AS37" s="33" t="str">
        <f t="shared" si="107"/>
        <v>S</v>
      </c>
      <c r="AT37" s="33">
        <v>19.0</v>
      </c>
      <c r="AU37" s="33" t="str">
        <f t="shared" si="108"/>
        <v>S</v>
      </c>
      <c r="AV37" s="33" t="s">
        <v>300</v>
      </c>
      <c r="AW37" s="26">
        <v>22.0</v>
      </c>
      <c r="AX37" s="26" t="str">
        <f t="shared" si="109"/>
        <v>S</v>
      </c>
      <c r="AY37" s="37">
        <v>19.0</v>
      </c>
      <c r="AZ37" s="37" t="str">
        <f t="shared" si="110"/>
        <v>R</v>
      </c>
      <c r="BA37" s="36">
        <v>31.0</v>
      </c>
      <c r="BB37" s="36" t="str">
        <f t="shared" si="111"/>
        <v>S</v>
      </c>
      <c r="BC37" s="39" t="s">
        <v>357</v>
      </c>
      <c r="BD37" s="39" t="s">
        <v>357</v>
      </c>
      <c r="BE37" s="36">
        <v>30.0</v>
      </c>
      <c r="BF37" s="36" t="str">
        <f t="shared" si="112"/>
        <v>S</v>
      </c>
      <c r="BG37" s="40">
        <v>19.0</v>
      </c>
      <c r="BH37" s="41" t="str">
        <f t="shared" si="113"/>
        <v>S</v>
      </c>
      <c r="BI37" s="41"/>
    </row>
    <row r="38">
      <c r="A38" s="21" t="s">
        <v>536</v>
      </c>
      <c r="B38" s="21" t="s">
        <v>444</v>
      </c>
      <c r="C38" s="21" t="s">
        <v>820</v>
      </c>
      <c r="D38" s="18" t="s">
        <v>555</v>
      </c>
      <c r="E38" s="18" t="s">
        <v>103</v>
      </c>
      <c r="F38" s="18" t="s">
        <v>192</v>
      </c>
      <c r="G38" s="20" t="s">
        <v>899</v>
      </c>
      <c r="H38" s="61" t="s">
        <v>900</v>
      </c>
      <c r="I38" s="26">
        <v>6.0</v>
      </c>
      <c r="J38" s="26" t="str">
        <f t="shared" si="92"/>
        <v>R</v>
      </c>
      <c r="K38" s="26">
        <v>24.0</v>
      </c>
      <c r="L38" s="26" t="str">
        <f t="shared" si="93"/>
        <v>S</v>
      </c>
      <c r="M38" s="26">
        <v>6.0</v>
      </c>
      <c r="N38" s="26" t="str">
        <f t="shared" si="94"/>
        <v>R</v>
      </c>
      <c r="O38" s="32" t="s">
        <v>357</v>
      </c>
      <c r="P38" s="32" t="s">
        <v>357</v>
      </c>
      <c r="Q38" s="26">
        <v>15.0</v>
      </c>
      <c r="R38" s="26" t="str">
        <f t="shared" si="95"/>
        <v>R</v>
      </c>
      <c r="S38" s="26">
        <v>28.0</v>
      </c>
      <c r="T38" s="26" t="str">
        <f t="shared" si="96"/>
        <v>S</v>
      </c>
      <c r="U38" s="26">
        <v>31.0</v>
      </c>
      <c r="V38" s="26" t="str">
        <f t="shared" si="97"/>
        <v>S</v>
      </c>
      <c r="W38" s="32" t="s">
        <v>299</v>
      </c>
      <c r="X38" s="33">
        <v>10.0</v>
      </c>
      <c r="Y38" s="33" t="str">
        <f t="shared" si="98"/>
        <v>R</v>
      </c>
      <c r="Z38" s="33">
        <v>30.0</v>
      </c>
      <c r="AA38" s="33" t="str">
        <f t="shared" si="99"/>
        <v>S</v>
      </c>
      <c r="AB38" s="33">
        <v>29.0</v>
      </c>
      <c r="AC38" s="33" t="str">
        <f t="shared" si="100"/>
        <v>S</v>
      </c>
      <c r="AD38" s="33">
        <v>32.0</v>
      </c>
      <c r="AE38" s="33" t="str">
        <f t="shared" si="101"/>
        <v>S</v>
      </c>
      <c r="AF38" s="33">
        <v>28.0</v>
      </c>
      <c r="AG38" s="33" t="str">
        <f t="shared" si="102"/>
        <v>S</v>
      </c>
      <c r="AH38" s="33" t="s">
        <v>299</v>
      </c>
      <c r="AI38" s="36">
        <v>27.0</v>
      </c>
      <c r="AJ38" s="36" t="str">
        <f t="shared" si="103"/>
        <v>S</v>
      </c>
      <c r="AK38" s="36">
        <v>27.0</v>
      </c>
      <c r="AL38" s="36" t="str">
        <f t="shared" si="104"/>
        <v>S</v>
      </c>
      <c r="AM38" s="36">
        <v>25.0</v>
      </c>
      <c r="AN38" s="36" t="str">
        <f t="shared" si="105"/>
        <v>S</v>
      </c>
      <c r="AO38" s="36" t="s">
        <v>300</v>
      </c>
      <c r="AP38" s="37">
        <v>6.0</v>
      </c>
      <c r="AQ38" s="37" t="str">
        <f t="shared" si="106"/>
        <v>R</v>
      </c>
      <c r="AR38" s="33">
        <v>20.0</v>
      </c>
      <c r="AS38" s="33" t="str">
        <f t="shared" si="107"/>
        <v>S</v>
      </c>
      <c r="AT38" s="33">
        <v>14.0</v>
      </c>
      <c r="AU38" s="33" t="str">
        <f t="shared" si="108"/>
        <v>R</v>
      </c>
      <c r="AV38" s="33" t="s">
        <v>299</v>
      </c>
      <c r="AW38" s="26">
        <v>22.0</v>
      </c>
      <c r="AX38" s="26" t="str">
        <f t="shared" si="109"/>
        <v>S</v>
      </c>
      <c r="AY38" s="37">
        <v>28.0</v>
      </c>
      <c r="AZ38" s="37" t="str">
        <f t="shared" si="110"/>
        <v>S</v>
      </c>
      <c r="BA38" s="36">
        <v>32.0</v>
      </c>
      <c r="BB38" s="36" t="str">
        <f t="shared" si="111"/>
        <v>S</v>
      </c>
      <c r="BC38" s="39" t="s">
        <v>357</v>
      </c>
      <c r="BD38" s="39" t="s">
        <v>357</v>
      </c>
      <c r="BE38" s="36">
        <v>32.0</v>
      </c>
      <c r="BF38" s="36" t="str">
        <f t="shared" si="112"/>
        <v>S</v>
      </c>
      <c r="BG38" s="40">
        <v>8.0</v>
      </c>
      <c r="BH38" s="41" t="str">
        <f t="shared" si="113"/>
        <v>R</v>
      </c>
      <c r="BI38" s="41"/>
    </row>
    <row r="39">
      <c r="A39" s="51" t="s">
        <v>489</v>
      </c>
      <c r="B39" s="53">
        <v>26.0</v>
      </c>
      <c r="C39" s="51" t="s">
        <v>825</v>
      </c>
      <c r="D39" s="18" t="s">
        <v>190</v>
      </c>
      <c r="E39" s="18" t="s">
        <v>190</v>
      </c>
      <c r="F39" s="18" t="s">
        <v>573</v>
      </c>
      <c r="G39" s="20" t="s">
        <v>357</v>
      </c>
      <c r="H39" s="47" t="s">
        <v>357</v>
      </c>
      <c r="I39" s="32" t="s">
        <v>357</v>
      </c>
      <c r="J39" s="32" t="s">
        <v>357</v>
      </c>
      <c r="K39" s="32" t="s">
        <v>357</v>
      </c>
      <c r="L39" s="32" t="s">
        <v>357</v>
      </c>
      <c r="M39" s="32" t="s">
        <v>357</v>
      </c>
      <c r="N39" s="32" t="s">
        <v>357</v>
      </c>
      <c r="O39" s="32" t="s">
        <v>357</v>
      </c>
      <c r="P39" s="32" t="s">
        <v>357</v>
      </c>
      <c r="Q39" s="32" t="s">
        <v>357</v>
      </c>
      <c r="R39" s="32" t="s">
        <v>357</v>
      </c>
      <c r="S39" s="32" t="s">
        <v>357</v>
      </c>
      <c r="T39" s="32" t="s">
        <v>357</v>
      </c>
      <c r="U39" s="32" t="s">
        <v>357</v>
      </c>
      <c r="V39" s="32" t="s">
        <v>357</v>
      </c>
      <c r="W39" s="32" t="s">
        <v>357</v>
      </c>
      <c r="X39" s="49" t="s">
        <v>357</v>
      </c>
      <c r="Y39" s="49" t="s">
        <v>357</v>
      </c>
      <c r="Z39" s="49" t="s">
        <v>357</v>
      </c>
      <c r="AA39" s="49" t="s">
        <v>357</v>
      </c>
      <c r="AB39" s="49" t="s">
        <v>357</v>
      </c>
      <c r="AC39" s="49" t="s">
        <v>357</v>
      </c>
      <c r="AD39" s="49" t="s">
        <v>357</v>
      </c>
      <c r="AE39" s="49" t="s">
        <v>357</v>
      </c>
      <c r="AF39" s="49" t="s">
        <v>357</v>
      </c>
      <c r="AG39" s="49" t="s">
        <v>357</v>
      </c>
      <c r="AH39" s="49" t="s">
        <v>357</v>
      </c>
      <c r="AI39" s="39" t="s">
        <v>357</v>
      </c>
      <c r="AJ39" s="39" t="s">
        <v>357</v>
      </c>
      <c r="AK39" s="39" t="s">
        <v>357</v>
      </c>
      <c r="AL39" s="39" t="s">
        <v>357</v>
      </c>
      <c r="AM39" s="39" t="s">
        <v>357</v>
      </c>
      <c r="AN39" s="39" t="s">
        <v>357</v>
      </c>
      <c r="AO39" s="39" t="s">
        <v>357</v>
      </c>
      <c r="AP39" s="50" t="s">
        <v>357</v>
      </c>
      <c r="AQ39" s="50" t="s">
        <v>357</v>
      </c>
      <c r="AR39" s="49" t="s">
        <v>357</v>
      </c>
      <c r="AS39" s="49" t="s">
        <v>357</v>
      </c>
      <c r="AT39" s="49" t="s">
        <v>357</v>
      </c>
      <c r="AU39" s="49" t="s">
        <v>357</v>
      </c>
      <c r="AV39" s="49" t="s">
        <v>357</v>
      </c>
      <c r="AW39" s="32" t="s">
        <v>357</v>
      </c>
      <c r="AX39" s="32" t="s">
        <v>357</v>
      </c>
      <c r="AY39" s="50" t="s">
        <v>357</v>
      </c>
      <c r="AZ39" s="50" t="s">
        <v>357</v>
      </c>
      <c r="BA39" s="39" t="s">
        <v>357</v>
      </c>
      <c r="BB39" s="39" t="s">
        <v>357</v>
      </c>
      <c r="BC39" s="39" t="s">
        <v>357</v>
      </c>
      <c r="BD39" s="39" t="s">
        <v>357</v>
      </c>
      <c r="BE39" s="39" t="s">
        <v>357</v>
      </c>
      <c r="BF39" s="39" t="s">
        <v>357</v>
      </c>
      <c r="BG39" s="41" t="s">
        <v>357</v>
      </c>
      <c r="BH39" s="41" t="s">
        <v>357</v>
      </c>
      <c r="BI39" s="41"/>
    </row>
    <row r="40">
      <c r="A40" s="51" t="s">
        <v>489</v>
      </c>
      <c r="B40" s="53">
        <v>27.0</v>
      </c>
      <c r="C40" s="51" t="s">
        <v>833</v>
      </c>
      <c r="D40" s="18" t="s">
        <v>571</v>
      </c>
      <c r="E40" s="18" t="s">
        <v>572</v>
      </c>
      <c r="F40" s="18" t="s">
        <v>573</v>
      </c>
      <c r="G40" s="20" t="s">
        <v>357</v>
      </c>
      <c r="H40" s="47" t="s">
        <v>357</v>
      </c>
      <c r="I40" s="32" t="s">
        <v>357</v>
      </c>
      <c r="J40" s="32" t="s">
        <v>357</v>
      </c>
      <c r="K40" s="32" t="s">
        <v>357</v>
      </c>
      <c r="L40" s="32" t="s">
        <v>357</v>
      </c>
      <c r="M40" s="32" t="s">
        <v>357</v>
      </c>
      <c r="N40" s="32" t="s">
        <v>357</v>
      </c>
      <c r="O40" s="32" t="s">
        <v>357</v>
      </c>
      <c r="P40" s="32" t="s">
        <v>357</v>
      </c>
      <c r="Q40" s="32" t="s">
        <v>357</v>
      </c>
      <c r="R40" s="32" t="s">
        <v>357</v>
      </c>
      <c r="S40" s="32" t="s">
        <v>357</v>
      </c>
      <c r="T40" s="32" t="s">
        <v>357</v>
      </c>
      <c r="U40" s="32" t="s">
        <v>357</v>
      </c>
      <c r="V40" s="32" t="s">
        <v>357</v>
      </c>
      <c r="W40" s="32" t="s">
        <v>357</v>
      </c>
      <c r="X40" s="49" t="s">
        <v>357</v>
      </c>
      <c r="Y40" s="49" t="s">
        <v>357</v>
      </c>
      <c r="Z40" s="49" t="s">
        <v>357</v>
      </c>
      <c r="AA40" s="49" t="s">
        <v>357</v>
      </c>
      <c r="AB40" s="49" t="s">
        <v>357</v>
      </c>
      <c r="AC40" s="49" t="s">
        <v>357</v>
      </c>
      <c r="AD40" s="49" t="s">
        <v>357</v>
      </c>
      <c r="AE40" s="49" t="s">
        <v>357</v>
      </c>
      <c r="AF40" s="49" t="s">
        <v>357</v>
      </c>
      <c r="AG40" s="49" t="s">
        <v>357</v>
      </c>
      <c r="AH40" s="49" t="s">
        <v>357</v>
      </c>
      <c r="AI40" s="39" t="s">
        <v>357</v>
      </c>
      <c r="AJ40" s="39" t="s">
        <v>357</v>
      </c>
      <c r="AK40" s="39" t="s">
        <v>357</v>
      </c>
      <c r="AL40" s="39" t="s">
        <v>357</v>
      </c>
      <c r="AM40" s="39" t="s">
        <v>357</v>
      </c>
      <c r="AN40" s="39" t="s">
        <v>357</v>
      </c>
      <c r="AO40" s="39" t="s">
        <v>357</v>
      </c>
      <c r="AP40" s="50" t="s">
        <v>357</v>
      </c>
      <c r="AQ40" s="50" t="s">
        <v>357</v>
      </c>
      <c r="AR40" s="49" t="s">
        <v>357</v>
      </c>
      <c r="AS40" s="49" t="s">
        <v>357</v>
      </c>
      <c r="AT40" s="49" t="s">
        <v>357</v>
      </c>
      <c r="AU40" s="49" t="s">
        <v>357</v>
      </c>
      <c r="AV40" s="49" t="s">
        <v>357</v>
      </c>
      <c r="AW40" s="32" t="s">
        <v>357</v>
      </c>
      <c r="AX40" s="32" t="s">
        <v>357</v>
      </c>
      <c r="AY40" s="50" t="s">
        <v>357</v>
      </c>
      <c r="AZ40" s="50" t="s">
        <v>357</v>
      </c>
      <c r="BA40" s="39" t="s">
        <v>357</v>
      </c>
      <c r="BB40" s="39" t="s">
        <v>357</v>
      </c>
      <c r="BC40" s="39" t="s">
        <v>357</v>
      </c>
      <c r="BD40" s="39" t="s">
        <v>357</v>
      </c>
      <c r="BE40" s="39" t="s">
        <v>357</v>
      </c>
      <c r="BF40" s="39" t="s">
        <v>357</v>
      </c>
      <c r="BG40" s="41" t="s">
        <v>357</v>
      </c>
      <c r="BH40" s="41" t="s">
        <v>357</v>
      </c>
      <c r="BI40" s="41"/>
    </row>
    <row r="41">
      <c r="A41" s="51" t="s">
        <v>489</v>
      </c>
      <c r="B41" s="53">
        <v>28.0</v>
      </c>
      <c r="C41" s="51" t="s">
        <v>836</v>
      </c>
      <c r="D41" s="18" t="s">
        <v>705</v>
      </c>
      <c r="E41" s="18" t="s">
        <v>572</v>
      </c>
      <c r="F41" s="18" t="s">
        <v>573</v>
      </c>
      <c r="G41" s="20" t="s">
        <v>357</v>
      </c>
      <c r="H41" s="47" t="s">
        <v>357</v>
      </c>
      <c r="I41" s="32" t="s">
        <v>357</v>
      </c>
      <c r="J41" s="32" t="s">
        <v>357</v>
      </c>
      <c r="K41" s="32" t="s">
        <v>357</v>
      </c>
      <c r="L41" s="32" t="s">
        <v>357</v>
      </c>
      <c r="M41" s="32" t="s">
        <v>357</v>
      </c>
      <c r="N41" s="32" t="s">
        <v>357</v>
      </c>
      <c r="O41" s="32" t="s">
        <v>357</v>
      </c>
      <c r="P41" s="32" t="s">
        <v>357</v>
      </c>
      <c r="Q41" s="32" t="s">
        <v>357</v>
      </c>
      <c r="R41" s="32" t="s">
        <v>357</v>
      </c>
      <c r="S41" s="32" t="s">
        <v>357</v>
      </c>
      <c r="T41" s="32" t="s">
        <v>357</v>
      </c>
      <c r="U41" s="32" t="s">
        <v>357</v>
      </c>
      <c r="V41" s="32" t="s">
        <v>357</v>
      </c>
      <c r="W41" s="32" t="s">
        <v>357</v>
      </c>
      <c r="X41" s="49" t="s">
        <v>357</v>
      </c>
      <c r="Y41" s="49" t="s">
        <v>357</v>
      </c>
      <c r="Z41" s="49" t="s">
        <v>357</v>
      </c>
      <c r="AA41" s="49" t="s">
        <v>357</v>
      </c>
      <c r="AB41" s="49" t="s">
        <v>357</v>
      </c>
      <c r="AC41" s="49" t="s">
        <v>357</v>
      </c>
      <c r="AD41" s="49" t="s">
        <v>357</v>
      </c>
      <c r="AE41" s="49" t="s">
        <v>357</v>
      </c>
      <c r="AF41" s="49" t="s">
        <v>357</v>
      </c>
      <c r="AG41" s="49" t="s">
        <v>357</v>
      </c>
      <c r="AH41" s="49" t="s">
        <v>357</v>
      </c>
      <c r="AI41" s="39" t="s">
        <v>357</v>
      </c>
      <c r="AJ41" s="39" t="s">
        <v>357</v>
      </c>
      <c r="AK41" s="39" t="s">
        <v>357</v>
      </c>
      <c r="AL41" s="39" t="s">
        <v>357</v>
      </c>
      <c r="AM41" s="39" t="s">
        <v>357</v>
      </c>
      <c r="AN41" s="39" t="s">
        <v>357</v>
      </c>
      <c r="AO41" s="39" t="s">
        <v>357</v>
      </c>
      <c r="AP41" s="50" t="s">
        <v>357</v>
      </c>
      <c r="AQ41" s="50" t="s">
        <v>357</v>
      </c>
      <c r="AR41" s="49" t="s">
        <v>357</v>
      </c>
      <c r="AS41" s="49" t="s">
        <v>357</v>
      </c>
      <c r="AT41" s="49" t="s">
        <v>357</v>
      </c>
      <c r="AU41" s="49" t="s">
        <v>357</v>
      </c>
      <c r="AV41" s="49" t="s">
        <v>357</v>
      </c>
      <c r="AW41" s="32" t="s">
        <v>357</v>
      </c>
      <c r="AX41" s="32" t="s">
        <v>357</v>
      </c>
      <c r="AY41" s="50" t="s">
        <v>357</v>
      </c>
      <c r="AZ41" s="50" t="s">
        <v>357</v>
      </c>
      <c r="BA41" s="39" t="s">
        <v>357</v>
      </c>
      <c r="BB41" s="39" t="s">
        <v>357</v>
      </c>
      <c r="BC41" s="39" t="s">
        <v>357</v>
      </c>
      <c r="BD41" s="39" t="s">
        <v>357</v>
      </c>
      <c r="BE41" s="39" t="s">
        <v>357</v>
      </c>
      <c r="BF41" s="39" t="s">
        <v>357</v>
      </c>
      <c r="BG41" s="41" t="s">
        <v>357</v>
      </c>
      <c r="BH41" s="41" t="s">
        <v>357</v>
      </c>
      <c r="BI41" s="41"/>
    </row>
    <row r="42">
      <c r="A42" s="21" t="s">
        <v>582</v>
      </c>
      <c r="B42" s="23">
        <v>29.0</v>
      </c>
      <c r="C42" s="21" t="s">
        <v>847</v>
      </c>
      <c r="D42" s="18" t="s">
        <v>190</v>
      </c>
      <c r="E42" s="18" t="s">
        <v>190</v>
      </c>
      <c r="F42" s="18" t="s">
        <v>192</v>
      </c>
      <c r="G42" s="20" t="s">
        <v>918</v>
      </c>
      <c r="H42" s="22" t="s">
        <v>198</v>
      </c>
      <c r="I42" s="26">
        <v>6.0</v>
      </c>
      <c r="J42" s="26" t="str">
        <f t="shared" ref="J42:J43" si="114">IF((I42&gt;=19),"S",IF(AND(I42&lt;19),"R", "NA"))</f>
        <v>R</v>
      </c>
      <c r="K42" s="26">
        <v>15.0</v>
      </c>
      <c r="L42" s="26" t="str">
        <f t="shared" ref="L42:L43" si="115">IF((K42&gt;=19),"S",IF(AND(K42&lt;19),"R", "NA"))</f>
        <v>R</v>
      </c>
      <c r="M42" s="26">
        <v>6.0</v>
      </c>
      <c r="N42" s="26" t="str">
        <f t="shared" ref="N42:N43" si="116">IF((M42&gt;=23),"S",IF(AND(M42&lt;23),"R","NA"))</f>
        <v>R</v>
      </c>
      <c r="O42" s="32" t="s">
        <v>357</v>
      </c>
      <c r="P42" s="32" t="s">
        <v>357</v>
      </c>
      <c r="Q42" s="26">
        <v>6.0</v>
      </c>
      <c r="R42" s="26" t="str">
        <f t="shared" ref="R42:R43" si="117">IF((Q42&gt;=20),"S",IF(AND(Q42&lt;20),"R", "NA"))</f>
        <v>R</v>
      </c>
      <c r="S42" s="26">
        <v>16.0</v>
      </c>
      <c r="T42" s="26" t="str">
        <f t="shared" ref="T42:T43" si="118">IF((S42&gt;=20),"S",IF(AND(S42&lt;20),"R", "NA"))</f>
        <v>R</v>
      </c>
      <c r="U42" s="26">
        <v>20.0</v>
      </c>
      <c r="V42" s="26" t="str">
        <f t="shared" ref="V42:V43" si="119">IF((U42&gt;=20),"S",IF(AND(U42&lt;20,U42&gt;=17),"I",IF(AND(U42&lt;17),"R","NA")))</f>
        <v>S</v>
      </c>
      <c r="W42" s="32" t="s">
        <v>299</v>
      </c>
      <c r="X42" s="33">
        <v>6.0</v>
      </c>
      <c r="Y42" s="33" t="str">
        <f t="shared" ref="Y42:Y43" si="120">IF((X42&gt;=20),"S",IF(AND(X42&lt;20,X42&gt;=17),"I",IF(AND(X42&lt;17),"R","NA")))</f>
        <v>R</v>
      </c>
      <c r="Z42" s="33">
        <v>24.0</v>
      </c>
      <c r="AA42" s="33" t="str">
        <f t="shared" ref="AA42:AA43" si="121">IF((Z42&gt;=18),"S",IF(AND(Z42&lt;18),"R", "NA"))</f>
        <v>S</v>
      </c>
      <c r="AB42" s="33">
        <v>16.0</v>
      </c>
      <c r="AC42" s="33" t="str">
        <f t="shared" ref="AC42:AC43" si="122">IF((AB42&gt;=22),"S",IF(AND(AB42&lt;22,AB42&gt;=19),"I",IF(AND(AB42&lt;19),"R","NA")))</f>
        <v>R</v>
      </c>
      <c r="AD42" s="33">
        <v>25.0</v>
      </c>
      <c r="AE42" s="33" t="str">
        <f t="shared" ref="AE42:AE43" si="123">IF((AD42&gt;=13),"S",IF(AND(AD42&lt;13),"R", "NA"))</f>
        <v>S</v>
      </c>
      <c r="AF42" s="33">
        <v>18.0</v>
      </c>
      <c r="AG42" s="33" t="str">
        <f t="shared" ref="AG42:AG43" si="124">IF((AF42&gt;=27),"S",IF(AND(AF42&lt;27,AF42&gt;=24),"I",IF(AND(AF42&lt;24),"R","NA")))</f>
        <v>R</v>
      </c>
      <c r="AH42" s="33" t="s">
        <v>299</v>
      </c>
      <c r="AI42" s="36">
        <v>6.0</v>
      </c>
      <c r="AJ42" s="36" t="str">
        <f t="shared" ref="AJ42:AJ43" si="125">IF((AI42&gt;=25),"S",IF(AND(AI42&lt;25,AI42&gt;=22),"I",IF(AND(AI42&lt;22),"R","NA")))</f>
        <v>R</v>
      </c>
      <c r="AK42" s="36">
        <v>6.0</v>
      </c>
      <c r="AL42" s="36" t="str">
        <f t="shared" ref="AL42:AL43" si="126">IF((AK42&gt;=23),"S",IF(AND(AK42&lt;23,AK42&gt;=19),"I",IF(AND(AK42&lt;19),"R","NA")))</f>
        <v>R</v>
      </c>
      <c r="AM42" s="36">
        <v>6.0</v>
      </c>
      <c r="AN42" s="36" t="str">
        <f t="shared" ref="AN42:AN43" si="127">IF((AM42&gt;=14),"S",IF(AND(AM42&lt;14),"R","NA"))</f>
        <v>R</v>
      </c>
      <c r="AO42" s="36" t="s">
        <v>299</v>
      </c>
      <c r="AP42" s="37">
        <v>6.0</v>
      </c>
      <c r="AQ42" s="37" t="str">
        <f t="shared" ref="AQ42:AQ43" si="128">IF((AP42&gt;=14),"S",IF(AND(AP42&lt;14,AP42&gt;=11),"I",IF(AND(AP42&lt;11),"R","NA")))</f>
        <v>R</v>
      </c>
      <c r="AR42" s="33">
        <v>20.0</v>
      </c>
      <c r="AS42" s="33" t="str">
        <f t="shared" ref="AS42:AS43" si="129">IF((AR42&gt;=18),"S",IF(AND(AR42&lt;18),"R", "NA"))</f>
        <v>S</v>
      </c>
      <c r="AT42" s="33">
        <v>20.0</v>
      </c>
      <c r="AU42" s="33" t="str">
        <f t="shared" ref="AU42:AU43" si="130">IF((AT42&gt;=16),"S",IF(AND(AT42&lt;16),"R", "NA"))</f>
        <v>S</v>
      </c>
      <c r="AV42" s="33" t="s">
        <v>300</v>
      </c>
      <c r="AW42" s="26">
        <v>8.0</v>
      </c>
      <c r="AX42" s="26" t="str">
        <f t="shared" ref="AX42:AX43" si="131">IF((AW42&gt;=20),"S",IF(AND(AW42&lt;20),"R", "NA"))</f>
        <v>R</v>
      </c>
      <c r="AY42" s="37">
        <v>12.0</v>
      </c>
      <c r="AZ42" s="37" t="str">
        <f t="shared" ref="AZ42:AZ43" si="132">IF((AY42&gt;=26),"S",IF(AND(AY42&lt;26,AY42&gt;=21),"I",IF(AND(AY42&lt;21),"R","NA")))</f>
        <v>R</v>
      </c>
      <c r="BA42" s="36">
        <v>28.0</v>
      </c>
      <c r="BB42" s="36" t="str">
        <f t="shared" ref="BB42:BB43" si="133">IF((BA42&gt;=23),"S",IF(AND(BA42&lt;23),"R","NA"))</f>
        <v>S</v>
      </c>
      <c r="BC42" s="39" t="s">
        <v>357</v>
      </c>
      <c r="BD42" s="39" t="s">
        <v>357</v>
      </c>
      <c r="BE42" s="36">
        <v>30.0</v>
      </c>
      <c r="BF42" s="36" t="str">
        <f t="shared" ref="BF42:BF43" si="134">IF((BE42&gt;=22),"S",IF(AND(BE42&lt;22,BE42&gt;=19),"I",IF(AND(BE42&lt;19),"R","NA")))</f>
        <v>S</v>
      </c>
      <c r="BG42" s="40">
        <v>19.0</v>
      </c>
      <c r="BH42" s="41" t="str">
        <f t="shared" ref="BH42:BH43" si="135">IF((BG42&gt;=17),"S",IF(AND(BG42&lt;17),"R", "NA"))</f>
        <v>S</v>
      </c>
      <c r="BI42" s="41"/>
    </row>
    <row r="43">
      <c r="A43" s="21" t="s">
        <v>582</v>
      </c>
      <c r="B43" s="21" t="s">
        <v>444</v>
      </c>
      <c r="C43" s="21" t="s">
        <v>850</v>
      </c>
      <c r="D43" s="18" t="s">
        <v>190</v>
      </c>
      <c r="E43" s="18" t="s">
        <v>190</v>
      </c>
      <c r="F43" s="18" t="s">
        <v>192</v>
      </c>
      <c r="G43" s="20" t="s">
        <v>940</v>
      </c>
      <c r="H43" s="52" t="s">
        <v>581</v>
      </c>
      <c r="I43" s="26">
        <v>6.0</v>
      </c>
      <c r="J43" s="26" t="str">
        <f t="shared" si="114"/>
        <v>R</v>
      </c>
      <c r="K43" s="26">
        <v>8.0</v>
      </c>
      <c r="L43" s="26" t="str">
        <f t="shared" si="115"/>
        <v>R</v>
      </c>
      <c r="M43" s="26">
        <v>6.0</v>
      </c>
      <c r="N43" s="26" t="str">
        <f t="shared" si="116"/>
        <v>R</v>
      </c>
      <c r="O43" s="32" t="s">
        <v>357</v>
      </c>
      <c r="P43" s="32" t="s">
        <v>357</v>
      </c>
      <c r="Q43" s="26">
        <v>20.0</v>
      </c>
      <c r="R43" s="26" t="str">
        <f t="shared" si="117"/>
        <v>S</v>
      </c>
      <c r="S43" s="26">
        <v>20.0</v>
      </c>
      <c r="T43" s="26" t="str">
        <f t="shared" si="118"/>
        <v>S</v>
      </c>
      <c r="U43" s="26">
        <v>25.0</v>
      </c>
      <c r="V43" s="26" t="str">
        <f t="shared" si="119"/>
        <v>S</v>
      </c>
      <c r="W43" s="32" t="s">
        <v>299</v>
      </c>
      <c r="X43" s="33">
        <v>16.0</v>
      </c>
      <c r="Y43" s="33" t="str">
        <f t="shared" si="120"/>
        <v>R</v>
      </c>
      <c r="Z43" s="33">
        <v>6.0</v>
      </c>
      <c r="AA43" s="33" t="str">
        <f t="shared" si="121"/>
        <v>R</v>
      </c>
      <c r="AB43" s="33">
        <v>19.0</v>
      </c>
      <c r="AC43" s="33" t="str">
        <f t="shared" si="122"/>
        <v>I</v>
      </c>
      <c r="AD43" s="33">
        <v>27.0</v>
      </c>
      <c r="AE43" s="33" t="str">
        <f t="shared" si="123"/>
        <v>S</v>
      </c>
      <c r="AF43" s="33">
        <v>30.0</v>
      </c>
      <c r="AG43" s="33" t="str">
        <f t="shared" si="124"/>
        <v>S</v>
      </c>
      <c r="AH43" s="33" t="s">
        <v>299</v>
      </c>
      <c r="AI43" s="36">
        <v>6.0</v>
      </c>
      <c r="AJ43" s="36" t="str">
        <f t="shared" si="125"/>
        <v>R</v>
      </c>
      <c r="AK43" s="36">
        <v>12.0</v>
      </c>
      <c r="AL43" s="36" t="str">
        <f t="shared" si="126"/>
        <v>R</v>
      </c>
      <c r="AM43" s="36">
        <v>6.0</v>
      </c>
      <c r="AN43" s="36" t="str">
        <f t="shared" si="127"/>
        <v>R</v>
      </c>
      <c r="AO43" s="36" t="s">
        <v>299</v>
      </c>
      <c r="AP43" s="37">
        <v>6.0</v>
      </c>
      <c r="AQ43" s="37" t="str">
        <f t="shared" si="128"/>
        <v>R</v>
      </c>
      <c r="AR43" s="33">
        <v>20.0</v>
      </c>
      <c r="AS43" s="33" t="str">
        <f t="shared" si="129"/>
        <v>S</v>
      </c>
      <c r="AT43" s="33">
        <v>15.0</v>
      </c>
      <c r="AU43" s="33" t="str">
        <f t="shared" si="130"/>
        <v>R</v>
      </c>
      <c r="AV43" s="33" t="s">
        <v>299</v>
      </c>
      <c r="AW43" s="26">
        <v>16.0</v>
      </c>
      <c r="AX43" s="26" t="str">
        <f t="shared" si="131"/>
        <v>R</v>
      </c>
      <c r="AY43" s="37">
        <v>30.0</v>
      </c>
      <c r="AZ43" s="37" t="str">
        <f t="shared" si="132"/>
        <v>S</v>
      </c>
      <c r="BA43" s="36">
        <v>26.0</v>
      </c>
      <c r="BB43" s="36" t="str">
        <f t="shared" si="133"/>
        <v>S</v>
      </c>
      <c r="BC43" s="39" t="s">
        <v>357</v>
      </c>
      <c r="BD43" s="39" t="s">
        <v>357</v>
      </c>
      <c r="BE43" s="36">
        <v>24.0</v>
      </c>
      <c r="BF43" s="36" t="str">
        <f t="shared" si="134"/>
        <v>S</v>
      </c>
      <c r="BG43" s="40">
        <v>20.0</v>
      </c>
      <c r="BH43" s="41" t="str">
        <f t="shared" si="135"/>
        <v>S</v>
      </c>
      <c r="BI43" s="41"/>
    </row>
    <row r="44">
      <c r="A44" s="21" t="s">
        <v>582</v>
      </c>
      <c r="B44" s="23">
        <v>30.0</v>
      </c>
      <c r="C44" s="21" t="s">
        <v>523</v>
      </c>
      <c r="D44" s="18" t="s">
        <v>571</v>
      </c>
      <c r="E44" s="18" t="s">
        <v>572</v>
      </c>
      <c r="F44" s="18" t="s">
        <v>573</v>
      </c>
      <c r="G44" s="20" t="s">
        <v>357</v>
      </c>
      <c r="H44" s="47" t="s">
        <v>357</v>
      </c>
      <c r="I44" s="32" t="s">
        <v>357</v>
      </c>
      <c r="J44" s="32" t="s">
        <v>357</v>
      </c>
      <c r="K44" s="32" t="s">
        <v>357</v>
      </c>
      <c r="L44" s="32" t="s">
        <v>357</v>
      </c>
      <c r="M44" s="32" t="s">
        <v>357</v>
      </c>
      <c r="N44" s="32" t="s">
        <v>357</v>
      </c>
      <c r="O44" s="32" t="s">
        <v>357</v>
      </c>
      <c r="P44" s="32" t="s">
        <v>357</v>
      </c>
      <c r="Q44" s="32" t="s">
        <v>357</v>
      </c>
      <c r="R44" s="32" t="s">
        <v>357</v>
      </c>
      <c r="S44" s="32" t="s">
        <v>357</v>
      </c>
      <c r="T44" s="32" t="s">
        <v>357</v>
      </c>
      <c r="U44" s="32" t="s">
        <v>357</v>
      </c>
      <c r="V44" s="32" t="s">
        <v>357</v>
      </c>
      <c r="W44" s="32" t="s">
        <v>357</v>
      </c>
      <c r="X44" s="49" t="s">
        <v>357</v>
      </c>
      <c r="Y44" s="49" t="s">
        <v>357</v>
      </c>
      <c r="Z44" s="49" t="s">
        <v>357</v>
      </c>
      <c r="AA44" s="49" t="s">
        <v>357</v>
      </c>
      <c r="AB44" s="49" t="s">
        <v>357</v>
      </c>
      <c r="AC44" s="49" t="s">
        <v>357</v>
      </c>
      <c r="AD44" s="49" t="s">
        <v>357</v>
      </c>
      <c r="AE44" s="49" t="s">
        <v>357</v>
      </c>
      <c r="AF44" s="49" t="s">
        <v>357</v>
      </c>
      <c r="AG44" s="49" t="s">
        <v>357</v>
      </c>
      <c r="AH44" s="49" t="s">
        <v>357</v>
      </c>
      <c r="AI44" s="39" t="s">
        <v>357</v>
      </c>
      <c r="AJ44" s="39" t="s">
        <v>357</v>
      </c>
      <c r="AK44" s="39" t="s">
        <v>357</v>
      </c>
      <c r="AL44" s="39" t="s">
        <v>357</v>
      </c>
      <c r="AM44" s="39" t="s">
        <v>357</v>
      </c>
      <c r="AN44" s="39" t="s">
        <v>357</v>
      </c>
      <c r="AO44" s="39" t="s">
        <v>357</v>
      </c>
      <c r="AP44" s="50" t="s">
        <v>357</v>
      </c>
      <c r="AQ44" s="50" t="s">
        <v>357</v>
      </c>
      <c r="AR44" s="49" t="s">
        <v>357</v>
      </c>
      <c r="AS44" s="49" t="s">
        <v>357</v>
      </c>
      <c r="AT44" s="49" t="s">
        <v>357</v>
      </c>
      <c r="AU44" s="49" t="s">
        <v>357</v>
      </c>
      <c r="AV44" s="49" t="s">
        <v>357</v>
      </c>
      <c r="AW44" s="32" t="s">
        <v>357</v>
      </c>
      <c r="AX44" s="32" t="s">
        <v>357</v>
      </c>
      <c r="AY44" s="50" t="s">
        <v>357</v>
      </c>
      <c r="AZ44" s="50" t="s">
        <v>357</v>
      </c>
      <c r="BA44" s="39" t="s">
        <v>357</v>
      </c>
      <c r="BB44" s="39" t="s">
        <v>357</v>
      </c>
      <c r="BC44" s="39" t="s">
        <v>357</v>
      </c>
      <c r="BD44" s="39" t="s">
        <v>357</v>
      </c>
      <c r="BE44" s="39" t="s">
        <v>357</v>
      </c>
      <c r="BF44" s="39" t="s">
        <v>357</v>
      </c>
      <c r="BG44" s="41" t="s">
        <v>357</v>
      </c>
      <c r="BH44" s="41" t="s">
        <v>357</v>
      </c>
      <c r="BI44" s="41"/>
    </row>
    <row r="45">
      <c r="A45" s="21" t="s">
        <v>582</v>
      </c>
      <c r="B45" s="23">
        <v>31.0</v>
      </c>
      <c r="C45" s="21" t="s">
        <v>546</v>
      </c>
      <c r="D45" s="18" t="s">
        <v>705</v>
      </c>
      <c r="E45" s="18" t="s">
        <v>572</v>
      </c>
      <c r="F45" s="18" t="s">
        <v>192</v>
      </c>
      <c r="G45" s="20" t="s">
        <v>947</v>
      </c>
      <c r="H45" s="59" t="s">
        <v>785</v>
      </c>
      <c r="I45" s="26">
        <v>6.0</v>
      </c>
      <c r="J45" s="26" t="str">
        <f t="shared" ref="J45:J59" si="136">IF((I45&gt;=19),"S",IF(AND(I45&lt;19),"R", "NA"))</f>
        <v>R</v>
      </c>
      <c r="K45" s="26">
        <v>10.0</v>
      </c>
      <c r="L45" s="26" t="str">
        <f t="shared" ref="L45:L59" si="137">IF((K45&gt;=19),"S",IF(AND(K45&lt;19),"R", "NA"))</f>
        <v>R</v>
      </c>
      <c r="M45" s="26">
        <v>12.0</v>
      </c>
      <c r="N45" s="26" t="str">
        <f t="shared" ref="N45:N59" si="138">IF((M45&gt;=23),"S",IF(AND(M45&lt;23),"R","NA"))</f>
        <v>R</v>
      </c>
      <c r="O45" s="32" t="s">
        <v>357</v>
      </c>
      <c r="P45" s="32" t="s">
        <v>357</v>
      </c>
      <c r="Q45" s="26">
        <v>28.0</v>
      </c>
      <c r="R45" s="26" t="str">
        <f t="shared" ref="R45:R59" si="139">IF((Q45&gt;=20),"S",IF(AND(Q45&lt;20),"R", "NA"))</f>
        <v>S</v>
      </c>
      <c r="S45" s="26">
        <v>22.0</v>
      </c>
      <c r="T45" s="26" t="str">
        <f t="shared" ref="T45:T59" si="140">IF((S45&gt;=20),"S",IF(AND(S45&lt;20),"R", "NA"))</f>
        <v>S</v>
      </c>
      <c r="U45" s="26">
        <v>26.0</v>
      </c>
      <c r="V45" s="26" t="str">
        <f t="shared" ref="V45:V59" si="141">IF((U45&gt;=20),"S",IF(AND(U45&lt;20,U45&gt;=17),"I",IF(AND(U45&lt;17),"R","NA")))</f>
        <v>S</v>
      </c>
      <c r="W45" s="32" t="s">
        <v>299</v>
      </c>
      <c r="X45" s="33">
        <v>18.0</v>
      </c>
      <c r="Y45" s="33" t="str">
        <f t="shared" ref="Y45:Y59" si="142">IF((X45&gt;=20),"S",IF(AND(X45&lt;20,X45&gt;=17),"I",IF(AND(X45&lt;17),"R","NA")))</f>
        <v>I</v>
      </c>
      <c r="Z45" s="33">
        <v>6.0</v>
      </c>
      <c r="AA45" s="33" t="str">
        <f t="shared" ref="AA45:AA59" si="143">IF((Z45&gt;=18),"S",IF(AND(Z45&lt;18),"R", "NA"))</f>
        <v>R</v>
      </c>
      <c r="AB45" s="33">
        <v>23.0</v>
      </c>
      <c r="AC45" s="33" t="str">
        <f t="shared" ref="AC45:AC59" si="144">IF((AB45&gt;=22),"S",IF(AND(AB45&lt;22,AB45&gt;=19),"I",IF(AND(AB45&lt;19),"R","NA")))</f>
        <v>S</v>
      </c>
      <c r="AD45" s="33">
        <v>28.0</v>
      </c>
      <c r="AE45" s="33" t="str">
        <f t="shared" ref="AE45:AE59" si="145">IF((AD45&gt;=13),"S",IF(AND(AD45&lt;13),"R", "NA"))</f>
        <v>S</v>
      </c>
      <c r="AF45" s="33">
        <v>31.0</v>
      </c>
      <c r="AG45" s="33" t="str">
        <f t="shared" ref="AG45:AG59" si="146">IF((AF45&gt;=27),"S",IF(AND(AF45&lt;27,AF45&gt;=24),"I",IF(AND(AF45&lt;24),"R","NA")))</f>
        <v>S</v>
      </c>
      <c r="AH45" s="33" t="s">
        <v>299</v>
      </c>
      <c r="AI45" s="36">
        <v>32.0</v>
      </c>
      <c r="AJ45" s="36" t="str">
        <f t="shared" ref="AJ45:AJ59" si="147">IF((AI45&gt;=25),"S",IF(AND(AI45&lt;25,AI45&gt;=22),"I",IF(AND(AI45&lt;22),"R","NA")))</f>
        <v>S</v>
      </c>
      <c r="AK45" s="36">
        <v>32.0</v>
      </c>
      <c r="AL45" s="36" t="str">
        <f t="shared" ref="AL45:AL59" si="148">IF((AK45&gt;=23),"S",IF(AND(AK45&lt;23,AK45&gt;=19),"I",IF(AND(AK45&lt;19),"R","NA")))</f>
        <v>S</v>
      </c>
      <c r="AM45" s="36">
        <v>26.0</v>
      </c>
      <c r="AN45" s="36" t="str">
        <f t="shared" ref="AN45:AN59" si="149">IF((AM45&gt;=14),"S",IF(AND(AM45&lt;14),"R","NA"))</f>
        <v>S</v>
      </c>
      <c r="AO45" s="36" t="s">
        <v>300</v>
      </c>
      <c r="AP45" s="37">
        <v>27.0</v>
      </c>
      <c r="AQ45" s="37" t="str">
        <f t="shared" ref="AQ45:AQ59" si="150">IF((AP45&gt;=14),"S",IF(AND(AP45&lt;14,AP45&gt;=11),"I",IF(AND(AP45&lt;11),"R","NA")))</f>
        <v>S</v>
      </c>
      <c r="AR45" s="33">
        <v>21.0</v>
      </c>
      <c r="AS45" s="33" t="str">
        <f t="shared" ref="AS45:AS59" si="151">IF((AR45&gt;=18),"S",IF(AND(AR45&lt;18),"R", "NA"))</f>
        <v>S</v>
      </c>
      <c r="AT45" s="33">
        <v>22.0</v>
      </c>
      <c r="AU45" s="33" t="str">
        <f t="shared" ref="AU45:AU59" si="152">IF((AT45&gt;=16),"S",IF(AND(AT45&lt;16),"R", "NA"))</f>
        <v>S</v>
      </c>
      <c r="AV45" s="33" t="s">
        <v>300</v>
      </c>
      <c r="AW45" s="26">
        <v>17.0</v>
      </c>
      <c r="AX45" s="26" t="str">
        <f t="shared" ref="AX45:AX59" si="153">IF((AW45&gt;=20),"S",IF(AND(AW45&lt;20),"R", "NA"))</f>
        <v>R</v>
      </c>
      <c r="AY45" s="37">
        <v>30.0</v>
      </c>
      <c r="AZ45" s="37" t="str">
        <f t="shared" ref="AZ45:AZ59" si="154">IF((AY45&gt;=26),"S",IF(AND(AY45&lt;26,AY45&gt;=21),"I",IF(AND(AY45&lt;21),"R","NA")))</f>
        <v>S</v>
      </c>
      <c r="BA45" s="36">
        <v>18.0</v>
      </c>
      <c r="BB45" s="36" t="str">
        <f t="shared" ref="BB45:BB59" si="155">IF((BA45&gt;=23),"S",IF(AND(BA45&lt;23),"R","NA"))</f>
        <v>R</v>
      </c>
      <c r="BC45" s="36">
        <v>0.19</v>
      </c>
      <c r="BD45" s="36" t="str">
        <f>IF((BC45&lt;=0.5),"S",IF(AND(BC45&gt;0.5),"R", "NA"))</f>
        <v>S</v>
      </c>
      <c r="BE45" s="36">
        <v>25.0</v>
      </c>
      <c r="BF45" s="36" t="str">
        <f t="shared" ref="BF45:BF59" si="156">IF((BE45&gt;=22),"S",IF(AND(BE45&lt;22,BE45&gt;=19),"I",IF(AND(BE45&lt;19),"R","NA")))</f>
        <v>S</v>
      </c>
      <c r="BG45" s="40">
        <v>21.0</v>
      </c>
      <c r="BH45" s="41" t="str">
        <f t="shared" ref="BH45:BH59" si="157">IF((BG45&gt;=17),"S",IF(AND(BG45&lt;17),"R", "NA"))</f>
        <v>S</v>
      </c>
      <c r="BI45" s="41"/>
    </row>
    <row r="46">
      <c r="A46" s="21" t="s">
        <v>582</v>
      </c>
      <c r="B46" s="21" t="s">
        <v>444</v>
      </c>
      <c r="C46" s="21" t="s">
        <v>856</v>
      </c>
      <c r="D46" s="18" t="s">
        <v>705</v>
      </c>
      <c r="E46" s="18" t="s">
        <v>572</v>
      </c>
      <c r="F46" s="18" t="s">
        <v>192</v>
      </c>
      <c r="G46" s="20" t="s">
        <v>972</v>
      </c>
      <c r="H46" s="59" t="s">
        <v>785</v>
      </c>
      <c r="I46" s="26">
        <v>6.0</v>
      </c>
      <c r="J46" s="26" t="str">
        <f t="shared" si="136"/>
        <v>R</v>
      </c>
      <c r="K46" s="26">
        <v>9.0</v>
      </c>
      <c r="L46" s="26" t="str">
        <f t="shared" si="137"/>
        <v>R</v>
      </c>
      <c r="M46" s="26">
        <v>24.0</v>
      </c>
      <c r="N46" s="26" t="str">
        <f t="shared" si="138"/>
        <v>S</v>
      </c>
      <c r="O46" s="32" t="s">
        <v>357</v>
      </c>
      <c r="P46" s="32" t="s">
        <v>357</v>
      </c>
      <c r="Q46" s="26">
        <v>27.0</v>
      </c>
      <c r="R46" s="26" t="str">
        <f t="shared" si="139"/>
        <v>S</v>
      </c>
      <c r="S46" s="26">
        <v>25.0</v>
      </c>
      <c r="T46" s="26" t="str">
        <f t="shared" si="140"/>
        <v>S</v>
      </c>
      <c r="U46" s="26">
        <v>27.0</v>
      </c>
      <c r="V46" s="26" t="str">
        <f t="shared" si="141"/>
        <v>S</v>
      </c>
      <c r="W46" s="32" t="s">
        <v>299</v>
      </c>
      <c r="X46" s="33">
        <v>26.0</v>
      </c>
      <c r="Y46" s="33" t="str">
        <f t="shared" si="142"/>
        <v>S</v>
      </c>
      <c r="Z46" s="33">
        <v>6.0</v>
      </c>
      <c r="AA46" s="33" t="str">
        <f t="shared" si="143"/>
        <v>R</v>
      </c>
      <c r="AB46" s="33">
        <v>26.0</v>
      </c>
      <c r="AC46" s="33" t="str">
        <f t="shared" si="144"/>
        <v>S</v>
      </c>
      <c r="AD46" s="33">
        <v>27.0</v>
      </c>
      <c r="AE46" s="33" t="str">
        <f t="shared" si="145"/>
        <v>S</v>
      </c>
      <c r="AF46" s="33">
        <v>33.0</v>
      </c>
      <c r="AG46" s="33" t="str">
        <f t="shared" si="146"/>
        <v>S</v>
      </c>
      <c r="AH46" s="33" t="s">
        <v>299</v>
      </c>
      <c r="AI46" s="36">
        <v>32.0</v>
      </c>
      <c r="AJ46" s="36" t="str">
        <f t="shared" si="147"/>
        <v>S</v>
      </c>
      <c r="AK46" s="36">
        <v>32.0</v>
      </c>
      <c r="AL46" s="36" t="str">
        <f t="shared" si="148"/>
        <v>S</v>
      </c>
      <c r="AM46" s="36">
        <v>25.0</v>
      </c>
      <c r="AN46" s="36" t="str">
        <f t="shared" si="149"/>
        <v>S</v>
      </c>
      <c r="AO46" s="36" t="s">
        <v>300</v>
      </c>
      <c r="AP46" s="37">
        <v>28.0</v>
      </c>
      <c r="AQ46" s="37" t="str">
        <f t="shared" si="150"/>
        <v>S</v>
      </c>
      <c r="AR46" s="33">
        <v>21.0</v>
      </c>
      <c r="AS46" s="33" t="str">
        <f t="shared" si="151"/>
        <v>S</v>
      </c>
      <c r="AT46" s="33">
        <v>22.0</v>
      </c>
      <c r="AU46" s="33" t="str">
        <f t="shared" si="152"/>
        <v>S</v>
      </c>
      <c r="AV46" s="33" t="s">
        <v>300</v>
      </c>
      <c r="AW46" s="26">
        <v>17.0</v>
      </c>
      <c r="AX46" s="26" t="str">
        <f t="shared" si="153"/>
        <v>R</v>
      </c>
      <c r="AY46" s="37">
        <v>36.0</v>
      </c>
      <c r="AZ46" s="37" t="str">
        <f t="shared" si="154"/>
        <v>S</v>
      </c>
      <c r="BA46" s="36">
        <v>25.0</v>
      </c>
      <c r="BB46" s="36" t="str">
        <f t="shared" si="155"/>
        <v>S</v>
      </c>
      <c r="BC46" s="39" t="s">
        <v>357</v>
      </c>
      <c r="BD46" s="39" t="s">
        <v>357</v>
      </c>
      <c r="BE46" s="36">
        <v>23.0</v>
      </c>
      <c r="BF46" s="36" t="str">
        <f t="shared" si="156"/>
        <v>S</v>
      </c>
      <c r="BG46" s="40">
        <v>21.0</v>
      </c>
      <c r="BH46" s="41" t="str">
        <f t="shared" si="157"/>
        <v>S</v>
      </c>
      <c r="BI46" s="41"/>
    </row>
    <row r="47">
      <c r="A47" s="51" t="s">
        <v>369</v>
      </c>
      <c r="B47" s="53">
        <v>32.0</v>
      </c>
      <c r="C47" s="51" t="s">
        <v>748</v>
      </c>
      <c r="D47" s="18" t="s">
        <v>190</v>
      </c>
      <c r="E47" s="18" t="s">
        <v>190</v>
      </c>
      <c r="F47" s="18" t="s">
        <v>192</v>
      </c>
      <c r="G47" s="20" t="s">
        <v>749</v>
      </c>
      <c r="H47" s="22" t="s">
        <v>198</v>
      </c>
      <c r="I47" s="26">
        <v>6.0</v>
      </c>
      <c r="J47" s="26" t="str">
        <f t="shared" si="136"/>
        <v>R</v>
      </c>
      <c r="K47" s="26">
        <v>24.0</v>
      </c>
      <c r="L47" s="26" t="str">
        <f t="shared" si="137"/>
        <v>S</v>
      </c>
      <c r="M47" s="26">
        <v>6.0</v>
      </c>
      <c r="N47" s="26" t="str">
        <f t="shared" si="138"/>
        <v>R</v>
      </c>
      <c r="O47" s="32" t="s">
        <v>357</v>
      </c>
      <c r="P47" s="32" t="s">
        <v>357</v>
      </c>
      <c r="Q47" s="26">
        <v>11.0</v>
      </c>
      <c r="R47" s="26" t="str">
        <f t="shared" si="139"/>
        <v>R</v>
      </c>
      <c r="S47" s="26">
        <v>26.0</v>
      </c>
      <c r="T47" s="26" t="str">
        <f t="shared" si="140"/>
        <v>S</v>
      </c>
      <c r="U47" s="26">
        <v>22.0</v>
      </c>
      <c r="V47" s="26" t="str">
        <f t="shared" si="141"/>
        <v>S</v>
      </c>
      <c r="W47" s="32" t="s">
        <v>299</v>
      </c>
      <c r="X47" s="33">
        <v>6.0</v>
      </c>
      <c r="Y47" s="33" t="str">
        <f t="shared" si="142"/>
        <v>R</v>
      </c>
      <c r="Z47" s="33">
        <v>24.0</v>
      </c>
      <c r="AA47" s="33" t="str">
        <f t="shared" si="143"/>
        <v>S</v>
      </c>
      <c r="AB47" s="33">
        <v>19.0</v>
      </c>
      <c r="AC47" s="33" t="str">
        <f t="shared" si="144"/>
        <v>I</v>
      </c>
      <c r="AD47" s="33">
        <v>25.0</v>
      </c>
      <c r="AE47" s="33" t="str">
        <f t="shared" si="145"/>
        <v>S</v>
      </c>
      <c r="AF47" s="33">
        <v>22.0</v>
      </c>
      <c r="AG47" s="33" t="str">
        <f t="shared" si="146"/>
        <v>R</v>
      </c>
      <c r="AH47" s="33" t="s">
        <v>299</v>
      </c>
      <c r="AI47" s="36">
        <v>39.0</v>
      </c>
      <c r="AJ47" s="36" t="str">
        <f t="shared" si="147"/>
        <v>S</v>
      </c>
      <c r="AK47" s="36">
        <v>34.0</v>
      </c>
      <c r="AL47" s="36" t="str">
        <f t="shared" si="148"/>
        <v>S</v>
      </c>
      <c r="AM47" s="36">
        <v>22.0</v>
      </c>
      <c r="AN47" s="36" t="str">
        <f t="shared" si="149"/>
        <v>S</v>
      </c>
      <c r="AO47" s="36" t="s">
        <v>300</v>
      </c>
      <c r="AP47" s="37">
        <v>30.0</v>
      </c>
      <c r="AQ47" s="37" t="str">
        <f t="shared" si="150"/>
        <v>S</v>
      </c>
      <c r="AR47" s="33">
        <v>20.0</v>
      </c>
      <c r="AS47" s="33" t="str">
        <f t="shared" si="151"/>
        <v>S</v>
      </c>
      <c r="AT47" s="33">
        <v>18.0</v>
      </c>
      <c r="AU47" s="33" t="str">
        <f t="shared" si="152"/>
        <v>S</v>
      </c>
      <c r="AV47" s="33" t="s">
        <v>300</v>
      </c>
      <c r="AW47" s="26">
        <v>17.0</v>
      </c>
      <c r="AX47" s="26" t="str">
        <f t="shared" si="153"/>
        <v>R</v>
      </c>
      <c r="AY47" s="37">
        <v>18.0</v>
      </c>
      <c r="AZ47" s="37" t="str">
        <f t="shared" si="154"/>
        <v>R</v>
      </c>
      <c r="BA47" s="36">
        <v>29.0</v>
      </c>
      <c r="BB47" s="36" t="str">
        <f t="shared" si="155"/>
        <v>S</v>
      </c>
      <c r="BC47" s="39" t="s">
        <v>357</v>
      </c>
      <c r="BD47" s="39" t="s">
        <v>357</v>
      </c>
      <c r="BE47" s="36">
        <v>29.0</v>
      </c>
      <c r="BF47" s="36" t="str">
        <f t="shared" si="156"/>
        <v>S</v>
      </c>
      <c r="BG47" s="40">
        <v>19.0</v>
      </c>
      <c r="BH47" s="41" t="str">
        <f t="shared" si="157"/>
        <v>S</v>
      </c>
      <c r="BI47" s="41"/>
    </row>
    <row r="48">
      <c r="A48" s="51" t="s">
        <v>369</v>
      </c>
      <c r="B48" s="51" t="s">
        <v>444</v>
      </c>
      <c r="C48" s="51" t="s">
        <v>755</v>
      </c>
      <c r="D48" s="18" t="s">
        <v>190</v>
      </c>
      <c r="E48" s="18" t="s">
        <v>190</v>
      </c>
      <c r="F48" s="18" t="s">
        <v>192</v>
      </c>
      <c r="G48" s="20" t="s">
        <v>756</v>
      </c>
      <c r="H48" s="22" t="s">
        <v>198</v>
      </c>
      <c r="I48" s="26">
        <v>6.0</v>
      </c>
      <c r="J48" s="26" t="str">
        <f t="shared" si="136"/>
        <v>R</v>
      </c>
      <c r="K48" s="26">
        <v>25.0</v>
      </c>
      <c r="L48" s="26" t="str">
        <f t="shared" si="137"/>
        <v>S</v>
      </c>
      <c r="M48" s="26">
        <v>6.0</v>
      </c>
      <c r="N48" s="26" t="str">
        <f t="shared" si="138"/>
        <v>R</v>
      </c>
      <c r="O48" s="32" t="s">
        <v>357</v>
      </c>
      <c r="P48" s="32" t="s">
        <v>357</v>
      </c>
      <c r="Q48" s="26">
        <v>12.0</v>
      </c>
      <c r="R48" s="26" t="str">
        <f t="shared" si="139"/>
        <v>R</v>
      </c>
      <c r="S48" s="26">
        <v>28.0</v>
      </c>
      <c r="T48" s="26" t="str">
        <f t="shared" si="140"/>
        <v>S</v>
      </c>
      <c r="U48" s="26">
        <v>23.0</v>
      </c>
      <c r="V48" s="26" t="str">
        <f t="shared" si="141"/>
        <v>S</v>
      </c>
      <c r="W48" s="32" t="s">
        <v>299</v>
      </c>
      <c r="X48" s="33">
        <v>6.0</v>
      </c>
      <c r="Y48" s="33" t="str">
        <f t="shared" si="142"/>
        <v>R</v>
      </c>
      <c r="Z48" s="33">
        <v>25.0</v>
      </c>
      <c r="AA48" s="33" t="str">
        <f t="shared" si="143"/>
        <v>S</v>
      </c>
      <c r="AB48" s="33">
        <v>19.0</v>
      </c>
      <c r="AC48" s="33" t="str">
        <f t="shared" si="144"/>
        <v>I</v>
      </c>
      <c r="AD48" s="33">
        <v>27.0</v>
      </c>
      <c r="AE48" s="33" t="str">
        <f t="shared" si="145"/>
        <v>S</v>
      </c>
      <c r="AF48" s="33">
        <v>24.0</v>
      </c>
      <c r="AG48" s="33" t="str">
        <f t="shared" si="146"/>
        <v>I</v>
      </c>
      <c r="AH48" s="33" t="s">
        <v>299</v>
      </c>
      <c r="AI48" s="36">
        <v>38.0</v>
      </c>
      <c r="AJ48" s="36" t="str">
        <f t="shared" si="147"/>
        <v>S</v>
      </c>
      <c r="AK48" s="36">
        <v>18.0</v>
      </c>
      <c r="AL48" s="36" t="str">
        <f t="shared" si="148"/>
        <v>R</v>
      </c>
      <c r="AM48" s="36">
        <v>6.0</v>
      </c>
      <c r="AN48" s="36" t="str">
        <f t="shared" si="149"/>
        <v>R</v>
      </c>
      <c r="AO48" s="36" t="s">
        <v>299</v>
      </c>
      <c r="AP48" s="37">
        <v>6.0</v>
      </c>
      <c r="AQ48" s="37" t="str">
        <f t="shared" si="150"/>
        <v>R</v>
      </c>
      <c r="AR48" s="33">
        <v>21.0</v>
      </c>
      <c r="AS48" s="33" t="str">
        <f t="shared" si="151"/>
        <v>S</v>
      </c>
      <c r="AT48" s="33">
        <v>20.0</v>
      </c>
      <c r="AU48" s="33" t="str">
        <f t="shared" si="152"/>
        <v>S</v>
      </c>
      <c r="AV48" s="33" t="s">
        <v>300</v>
      </c>
      <c r="AW48" s="26">
        <v>18.0</v>
      </c>
      <c r="AX48" s="26" t="str">
        <f t="shared" si="153"/>
        <v>R</v>
      </c>
      <c r="AY48" s="37">
        <v>19.0</v>
      </c>
      <c r="AZ48" s="37" t="str">
        <f t="shared" si="154"/>
        <v>R</v>
      </c>
      <c r="BA48" s="36">
        <v>32.0</v>
      </c>
      <c r="BB48" s="36" t="str">
        <f t="shared" si="155"/>
        <v>S</v>
      </c>
      <c r="BC48" s="39" t="s">
        <v>357</v>
      </c>
      <c r="BD48" s="39" t="s">
        <v>357</v>
      </c>
      <c r="BE48" s="36">
        <v>32.0</v>
      </c>
      <c r="BF48" s="36" t="str">
        <f t="shared" si="156"/>
        <v>S</v>
      </c>
      <c r="BG48" s="40">
        <v>20.0</v>
      </c>
      <c r="BH48" s="41" t="str">
        <f t="shared" si="157"/>
        <v>S</v>
      </c>
      <c r="BI48" s="41"/>
    </row>
    <row r="49">
      <c r="A49" s="51" t="s">
        <v>369</v>
      </c>
      <c r="B49" s="51" t="s">
        <v>444</v>
      </c>
      <c r="C49" s="51" t="s">
        <v>757</v>
      </c>
      <c r="D49" s="18" t="s">
        <v>190</v>
      </c>
      <c r="E49" s="18" t="s">
        <v>190</v>
      </c>
      <c r="F49" s="18" t="s">
        <v>192</v>
      </c>
      <c r="G49" s="20" t="s">
        <v>758</v>
      </c>
      <c r="H49" s="22" t="s">
        <v>198</v>
      </c>
      <c r="I49" s="26">
        <v>6.0</v>
      </c>
      <c r="J49" s="26" t="str">
        <f t="shared" si="136"/>
        <v>R</v>
      </c>
      <c r="K49" s="26">
        <v>6.0</v>
      </c>
      <c r="L49" s="26" t="str">
        <f t="shared" si="137"/>
        <v>R</v>
      </c>
      <c r="M49" s="26">
        <v>6.0</v>
      </c>
      <c r="N49" s="26" t="str">
        <f t="shared" si="138"/>
        <v>R</v>
      </c>
      <c r="O49" s="32" t="s">
        <v>357</v>
      </c>
      <c r="P49" s="32" t="s">
        <v>357</v>
      </c>
      <c r="Q49" s="26">
        <v>6.0</v>
      </c>
      <c r="R49" s="26" t="str">
        <f t="shared" si="139"/>
        <v>R</v>
      </c>
      <c r="S49" s="26">
        <v>12.0</v>
      </c>
      <c r="T49" s="26" t="str">
        <f t="shared" si="140"/>
        <v>R</v>
      </c>
      <c r="U49" s="26">
        <v>6.0</v>
      </c>
      <c r="V49" s="26" t="str">
        <f t="shared" si="141"/>
        <v>R</v>
      </c>
      <c r="W49" s="32" t="s">
        <v>299</v>
      </c>
      <c r="X49" s="33">
        <v>6.0</v>
      </c>
      <c r="Y49" s="33" t="str">
        <f t="shared" si="142"/>
        <v>R</v>
      </c>
      <c r="Z49" s="33">
        <v>18.0</v>
      </c>
      <c r="AA49" s="33" t="str">
        <f t="shared" si="143"/>
        <v>S</v>
      </c>
      <c r="AB49" s="33">
        <v>6.0</v>
      </c>
      <c r="AC49" s="33" t="str">
        <f t="shared" si="144"/>
        <v>R</v>
      </c>
      <c r="AD49" s="33">
        <v>18.0</v>
      </c>
      <c r="AE49" s="33" t="str">
        <f t="shared" si="145"/>
        <v>S</v>
      </c>
      <c r="AF49" s="33">
        <v>6.0</v>
      </c>
      <c r="AG49" s="33" t="str">
        <f t="shared" si="146"/>
        <v>R</v>
      </c>
      <c r="AH49" s="33" t="s">
        <v>299</v>
      </c>
      <c r="AI49" s="36">
        <v>6.0</v>
      </c>
      <c r="AJ49" s="36" t="str">
        <f t="shared" si="147"/>
        <v>R</v>
      </c>
      <c r="AK49" s="36">
        <v>6.0</v>
      </c>
      <c r="AL49" s="36" t="str">
        <f t="shared" si="148"/>
        <v>R</v>
      </c>
      <c r="AM49" s="36">
        <v>6.0</v>
      </c>
      <c r="AN49" s="36" t="str">
        <f t="shared" si="149"/>
        <v>R</v>
      </c>
      <c r="AO49" s="36" t="s">
        <v>299</v>
      </c>
      <c r="AP49" s="37">
        <v>6.0</v>
      </c>
      <c r="AQ49" s="37" t="str">
        <f t="shared" si="150"/>
        <v>R</v>
      </c>
      <c r="AR49" s="33">
        <v>21.0</v>
      </c>
      <c r="AS49" s="33" t="str">
        <f t="shared" si="151"/>
        <v>S</v>
      </c>
      <c r="AT49" s="33">
        <v>22.0</v>
      </c>
      <c r="AU49" s="33" t="str">
        <f t="shared" si="152"/>
        <v>S</v>
      </c>
      <c r="AV49" s="33" t="s">
        <v>300</v>
      </c>
      <c r="AW49" s="26">
        <v>17.0</v>
      </c>
      <c r="AX49" s="26" t="str">
        <f t="shared" si="153"/>
        <v>R</v>
      </c>
      <c r="AY49" s="37">
        <v>6.0</v>
      </c>
      <c r="AZ49" s="37" t="str">
        <f t="shared" si="154"/>
        <v>R</v>
      </c>
      <c r="BA49" s="36">
        <v>20.0</v>
      </c>
      <c r="BB49" s="36" t="str">
        <f t="shared" si="155"/>
        <v>R</v>
      </c>
      <c r="BC49" s="36">
        <v>0.125</v>
      </c>
      <c r="BD49" s="36" t="str">
        <f>IF((BC49&lt;=0.5),"S",IF(AND(BC49&gt;0.5),"R", "NA"))</f>
        <v>S</v>
      </c>
      <c r="BE49" s="36">
        <v>25.0</v>
      </c>
      <c r="BF49" s="36" t="str">
        <f t="shared" si="156"/>
        <v>S</v>
      </c>
      <c r="BG49" s="40">
        <v>20.0</v>
      </c>
      <c r="BH49" s="41" t="str">
        <f t="shared" si="157"/>
        <v>S</v>
      </c>
      <c r="BI49" s="41"/>
    </row>
    <row r="50">
      <c r="A50" s="51" t="s">
        <v>369</v>
      </c>
      <c r="B50" s="53">
        <v>33.0</v>
      </c>
      <c r="C50" s="51" t="s">
        <v>759</v>
      </c>
      <c r="D50" s="18" t="s">
        <v>190</v>
      </c>
      <c r="E50" s="18" t="s">
        <v>190</v>
      </c>
      <c r="F50" s="18" t="s">
        <v>192</v>
      </c>
      <c r="G50" s="20" t="s">
        <v>760</v>
      </c>
      <c r="H50" s="22" t="s">
        <v>198</v>
      </c>
      <c r="I50" s="26">
        <v>6.0</v>
      </c>
      <c r="J50" s="26" t="str">
        <f t="shared" si="136"/>
        <v>R</v>
      </c>
      <c r="K50" s="26">
        <v>21.0</v>
      </c>
      <c r="L50" s="26" t="str">
        <f t="shared" si="137"/>
        <v>S</v>
      </c>
      <c r="M50" s="26">
        <v>6.0</v>
      </c>
      <c r="N50" s="26" t="str">
        <f t="shared" si="138"/>
        <v>R</v>
      </c>
      <c r="O50" s="32" t="s">
        <v>357</v>
      </c>
      <c r="P50" s="32" t="s">
        <v>357</v>
      </c>
      <c r="Q50" s="26">
        <v>9.0</v>
      </c>
      <c r="R50" s="26" t="str">
        <f t="shared" si="139"/>
        <v>R</v>
      </c>
      <c r="S50" s="26">
        <v>26.0</v>
      </c>
      <c r="T50" s="26" t="str">
        <f t="shared" si="140"/>
        <v>S</v>
      </c>
      <c r="U50" s="26">
        <v>28.0</v>
      </c>
      <c r="V50" s="26" t="str">
        <f t="shared" si="141"/>
        <v>S</v>
      </c>
      <c r="W50" s="32" t="s">
        <v>299</v>
      </c>
      <c r="X50" s="33">
        <v>6.0</v>
      </c>
      <c r="Y50" s="33" t="str">
        <f t="shared" si="142"/>
        <v>R</v>
      </c>
      <c r="Z50" s="33">
        <v>27.0</v>
      </c>
      <c r="AA50" s="33" t="str">
        <f t="shared" si="143"/>
        <v>S</v>
      </c>
      <c r="AB50" s="33">
        <v>20.0</v>
      </c>
      <c r="AC50" s="33" t="str">
        <f t="shared" si="144"/>
        <v>I</v>
      </c>
      <c r="AD50" s="33">
        <v>28.0</v>
      </c>
      <c r="AE50" s="33" t="str">
        <f t="shared" si="145"/>
        <v>S</v>
      </c>
      <c r="AF50" s="33">
        <v>22.0</v>
      </c>
      <c r="AG50" s="33" t="str">
        <f t="shared" si="146"/>
        <v>R</v>
      </c>
      <c r="AH50" s="33" t="s">
        <v>299</v>
      </c>
      <c r="AI50" s="36">
        <v>22.0</v>
      </c>
      <c r="AJ50" s="36" t="str">
        <f t="shared" si="147"/>
        <v>I</v>
      </c>
      <c r="AK50" s="36">
        <v>24.0</v>
      </c>
      <c r="AL50" s="36" t="str">
        <f t="shared" si="148"/>
        <v>S</v>
      </c>
      <c r="AM50" s="36">
        <v>19.0</v>
      </c>
      <c r="AN50" s="36" t="str">
        <f t="shared" si="149"/>
        <v>S</v>
      </c>
      <c r="AO50" s="36" t="s">
        <v>300</v>
      </c>
      <c r="AP50" s="37">
        <v>6.0</v>
      </c>
      <c r="AQ50" s="37" t="str">
        <f t="shared" si="150"/>
        <v>R</v>
      </c>
      <c r="AR50" s="33">
        <v>22.0</v>
      </c>
      <c r="AS50" s="33" t="str">
        <f t="shared" si="151"/>
        <v>S</v>
      </c>
      <c r="AT50" s="33">
        <v>21.0</v>
      </c>
      <c r="AU50" s="33" t="str">
        <f t="shared" si="152"/>
        <v>S</v>
      </c>
      <c r="AV50" s="33" t="s">
        <v>300</v>
      </c>
      <c r="AW50" s="26">
        <v>20.0</v>
      </c>
      <c r="AX50" s="26" t="str">
        <f t="shared" si="153"/>
        <v>S</v>
      </c>
      <c r="AY50" s="37">
        <v>19.0</v>
      </c>
      <c r="AZ50" s="37" t="str">
        <f t="shared" si="154"/>
        <v>R</v>
      </c>
      <c r="BA50" s="36">
        <v>31.0</v>
      </c>
      <c r="BB50" s="36" t="str">
        <f t="shared" si="155"/>
        <v>S</v>
      </c>
      <c r="BC50" s="39" t="s">
        <v>357</v>
      </c>
      <c r="BD50" s="39" t="s">
        <v>357</v>
      </c>
      <c r="BE50" s="36">
        <v>30.0</v>
      </c>
      <c r="BF50" s="36" t="str">
        <f t="shared" si="156"/>
        <v>S</v>
      </c>
      <c r="BG50" s="40">
        <v>20.0</v>
      </c>
      <c r="BH50" s="41" t="str">
        <f t="shared" si="157"/>
        <v>S</v>
      </c>
      <c r="BI50" s="41"/>
    </row>
    <row r="51">
      <c r="A51" s="51" t="s">
        <v>369</v>
      </c>
      <c r="B51" s="51" t="s">
        <v>444</v>
      </c>
      <c r="C51" s="51" t="s">
        <v>763</v>
      </c>
      <c r="D51" s="18" t="s">
        <v>190</v>
      </c>
      <c r="E51" s="18" t="s">
        <v>190</v>
      </c>
      <c r="F51" s="18" t="s">
        <v>192</v>
      </c>
      <c r="G51" s="20" t="s">
        <v>764</v>
      </c>
      <c r="H51" s="57" t="s">
        <v>765</v>
      </c>
      <c r="I51" s="26">
        <v>6.0</v>
      </c>
      <c r="J51" s="26" t="str">
        <f t="shared" si="136"/>
        <v>R</v>
      </c>
      <c r="K51" s="26">
        <v>26.0</v>
      </c>
      <c r="L51" s="26" t="str">
        <f t="shared" si="137"/>
        <v>S</v>
      </c>
      <c r="M51" s="26">
        <v>6.0</v>
      </c>
      <c r="N51" s="26" t="str">
        <f t="shared" si="138"/>
        <v>R</v>
      </c>
      <c r="O51" s="32" t="s">
        <v>357</v>
      </c>
      <c r="P51" s="32" t="s">
        <v>357</v>
      </c>
      <c r="Q51" s="26">
        <v>13.0</v>
      </c>
      <c r="R51" s="26" t="str">
        <f t="shared" si="139"/>
        <v>R</v>
      </c>
      <c r="S51" s="26">
        <v>28.0</v>
      </c>
      <c r="T51" s="26" t="str">
        <f t="shared" si="140"/>
        <v>S</v>
      </c>
      <c r="U51" s="26">
        <v>29.0</v>
      </c>
      <c r="V51" s="26" t="str">
        <f t="shared" si="141"/>
        <v>S</v>
      </c>
      <c r="W51" s="32" t="s">
        <v>299</v>
      </c>
      <c r="X51" s="33">
        <v>8.0</v>
      </c>
      <c r="Y51" s="33" t="str">
        <f t="shared" si="142"/>
        <v>R</v>
      </c>
      <c r="Z51" s="33">
        <v>27.0</v>
      </c>
      <c r="AA51" s="33" t="str">
        <f t="shared" si="143"/>
        <v>S</v>
      </c>
      <c r="AB51" s="33">
        <v>24.0</v>
      </c>
      <c r="AC51" s="33" t="str">
        <f t="shared" si="144"/>
        <v>S</v>
      </c>
      <c r="AD51" s="33">
        <v>28.0</v>
      </c>
      <c r="AE51" s="33" t="str">
        <f t="shared" si="145"/>
        <v>S</v>
      </c>
      <c r="AF51" s="33">
        <v>24.0</v>
      </c>
      <c r="AG51" s="33" t="str">
        <f t="shared" si="146"/>
        <v>I</v>
      </c>
      <c r="AH51" s="33" t="s">
        <v>299</v>
      </c>
      <c r="AI51" s="36">
        <v>26.0</v>
      </c>
      <c r="AJ51" s="36" t="str">
        <f t="shared" si="147"/>
        <v>S</v>
      </c>
      <c r="AK51" s="36">
        <v>25.0</v>
      </c>
      <c r="AL51" s="36" t="str">
        <f t="shared" si="148"/>
        <v>S</v>
      </c>
      <c r="AM51" s="36">
        <v>26.0</v>
      </c>
      <c r="AN51" s="36" t="str">
        <f t="shared" si="149"/>
        <v>S</v>
      </c>
      <c r="AO51" s="36" t="s">
        <v>300</v>
      </c>
      <c r="AP51" s="37">
        <v>6.0</v>
      </c>
      <c r="AQ51" s="37" t="str">
        <f t="shared" si="150"/>
        <v>R</v>
      </c>
      <c r="AR51" s="33">
        <v>21.0</v>
      </c>
      <c r="AS51" s="33" t="str">
        <f t="shared" si="151"/>
        <v>S</v>
      </c>
      <c r="AT51" s="33">
        <v>22.0</v>
      </c>
      <c r="AU51" s="33" t="str">
        <f t="shared" si="152"/>
        <v>S</v>
      </c>
      <c r="AV51" s="33" t="s">
        <v>300</v>
      </c>
      <c r="AW51" s="26">
        <v>20.0</v>
      </c>
      <c r="AX51" s="26" t="str">
        <f t="shared" si="153"/>
        <v>S</v>
      </c>
      <c r="AY51" s="37">
        <v>22.0</v>
      </c>
      <c r="AZ51" s="37" t="str">
        <f t="shared" si="154"/>
        <v>I</v>
      </c>
      <c r="BA51" s="36">
        <v>30.0</v>
      </c>
      <c r="BB51" s="36" t="str">
        <f t="shared" si="155"/>
        <v>S</v>
      </c>
      <c r="BC51" s="39" t="s">
        <v>357</v>
      </c>
      <c r="BD51" s="39" t="s">
        <v>357</v>
      </c>
      <c r="BE51" s="36">
        <v>30.0</v>
      </c>
      <c r="BF51" s="36" t="str">
        <f t="shared" si="156"/>
        <v>S</v>
      </c>
      <c r="BG51" s="40">
        <v>21.0</v>
      </c>
      <c r="BH51" s="41" t="str">
        <f t="shared" si="157"/>
        <v>S</v>
      </c>
      <c r="BI51" s="41"/>
    </row>
    <row r="52">
      <c r="A52" s="51" t="s">
        <v>369</v>
      </c>
      <c r="B52" s="51" t="s">
        <v>444</v>
      </c>
      <c r="C52" s="51" t="s">
        <v>766</v>
      </c>
      <c r="D52" s="18" t="s">
        <v>190</v>
      </c>
      <c r="E52" s="18" t="s">
        <v>190</v>
      </c>
      <c r="F52" s="18" t="s">
        <v>192</v>
      </c>
      <c r="G52" s="20" t="s">
        <v>767</v>
      </c>
      <c r="H52" s="58" t="s">
        <v>770</v>
      </c>
      <c r="I52" s="26">
        <v>6.0</v>
      </c>
      <c r="J52" s="26" t="str">
        <f t="shared" si="136"/>
        <v>R</v>
      </c>
      <c r="K52" s="26">
        <v>25.0</v>
      </c>
      <c r="L52" s="26" t="str">
        <f t="shared" si="137"/>
        <v>S</v>
      </c>
      <c r="M52" s="26">
        <v>6.0</v>
      </c>
      <c r="N52" s="26" t="str">
        <f t="shared" si="138"/>
        <v>R</v>
      </c>
      <c r="O52" s="32" t="s">
        <v>357</v>
      </c>
      <c r="P52" s="32" t="s">
        <v>357</v>
      </c>
      <c r="Q52" s="26">
        <v>14.0</v>
      </c>
      <c r="R52" s="26" t="str">
        <f t="shared" si="139"/>
        <v>R</v>
      </c>
      <c r="S52" s="26">
        <v>28.0</v>
      </c>
      <c r="T52" s="26" t="str">
        <f t="shared" si="140"/>
        <v>S</v>
      </c>
      <c r="U52" s="26">
        <v>25.0</v>
      </c>
      <c r="V52" s="26" t="str">
        <f t="shared" si="141"/>
        <v>S</v>
      </c>
      <c r="W52" s="32" t="s">
        <v>299</v>
      </c>
      <c r="X52" s="33">
        <v>6.0</v>
      </c>
      <c r="Y52" s="33" t="str">
        <f t="shared" si="142"/>
        <v>R</v>
      </c>
      <c r="Z52" s="33">
        <v>27.0</v>
      </c>
      <c r="AA52" s="33" t="str">
        <f t="shared" si="143"/>
        <v>S</v>
      </c>
      <c r="AB52" s="33">
        <v>21.0</v>
      </c>
      <c r="AC52" s="33" t="str">
        <f t="shared" si="144"/>
        <v>I</v>
      </c>
      <c r="AD52" s="33">
        <v>31.0</v>
      </c>
      <c r="AE52" s="33" t="str">
        <f t="shared" si="145"/>
        <v>S</v>
      </c>
      <c r="AF52" s="33">
        <v>22.0</v>
      </c>
      <c r="AG52" s="33" t="str">
        <f t="shared" si="146"/>
        <v>R</v>
      </c>
      <c r="AH52" s="33" t="s">
        <v>299</v>
      </c>
      <c r="AI52" s="36">
        <v>29.0</v>
      </c>
      <c r="AJ52" s="36" t="str">
        <f t="shared" si="147"/>
        <v>S</v>
      </c>
      <c r="AK52" s="36">
        <v>25.0</v>
      </c>
      <c r="AL52" s="36" t="str">
        <f t="shared" si="148"/>
        <v>S</v>
      </c>
      <c r="AM52" s="36">
        <v>22.0</v>
      </c>
      <c r="AN52" s="36" t="str">
        <f t="shared" si="149"/>
        <v>S</v>
      </c>
      <c r="AO52" s="36" t="s">
        <v>300</v>
      </c>
      <c r="AP52" s="37">
        <v>30.0</v>
      </c>
      <c r="AQ52" s="37" t="str">
        <f t="shared" si="150"/>
        <v>S</v>
      </c>
      <c r="AR52" s="33">
        <v>23.0</v>
      </c>
      <c r="AS52" s="33" t="str">
        <f t="shared" si="151"/>
        <v>S</v>
      </c>
      <c r="AT52" s="33">
        <v>19.0</v>
      </c>
      <c r="AU52" s="33" t="str">
        <f t="shared" si="152"/>
        <v>S</v>
      </c>
      <c r="AV52" s="33" t="s">
        <v>300</v>
      </c>
      <c r="AW52" s="26">
        <v>15.0</v>
      </c>
      <c r="AX52" s="26" t="str">
        <f t="shared" si="153"/>
        <v>R</v>
      </c>
      <c r="AY52" s="37">
        <v>22.0</v>
      </c>
      <c r="AZ52" s="37" t="str">
        <f t="shared" si="154"/>
        <v>I</v>
      </c>
      <c r="BA52" s="36">
        <v>33.0</v>
      </c>
      <c r="BB52" s="36" t="str">
        <f t="shared" si="155"/>
        <v>S</v>
      </c>
      <c r="BC52" s="39" t="s">
        <v>357</v>
      </c>
      <c r="BD52" s="39" t="s">
        <v>357</v>
      </c>
      <c r="BE52" s="36">
        <v>29.0</v>
      </c>
      <c r="BF52" s="36" t="str">
        <f t="shared" si="156"/>
        <v>S</v>
      </c>
      <c r="BG52" s="40">
        <v>21.0</v>
      </c>
      <c r="BH52" s="41" t="str">
        <f t="shared" si="157"/>
        <v>S</v>
      </c>
      <c r="BI52" s="41"/>
    </row>
    <row r="53">
      <c r="A53" s="51" t="s">
        <v>369</v>
      </c>
      <c r="B53" s="53">
        <v>34.0</v>
      </c>
      <c r="C53" s="51" t="s">
        <v>568</v>
      </c>
      <c r="D53" s="18" t="s">
        <v>571</v>
      </c>
      <c r="E53" s="18" t="s">
        <v>572</v>
      </c>
      <c r="F53" s="18" t="s">
        <v>192</v>
      </c>
      <c r="G53" s="20" t="s">
        <v>778</v>
      </c>
      <c r="H53" s="55" t="s">
        <v>753</v>
      </c>
      <c r="I53" s="26">
        <v>6.0</v>
      </c>
      <c r="J53" s="26" t="str">
        <f t="shared" si="136"/>
        <v>R</v>
      </c>
      <c r="K53" s="26">
        <v>6.0</v>
      </c>
      <c r="L53" s="26" t="str">
        <f t="shared" si="137"/>
        <v>R</v>
      </c>
      <c r="M53" s="26">
        <v>6.0</v>
      </c>
      <c r="N53" s="26" t="str">
        <f t="shared" si="138"/>
        <v>R</v>
      </c>
      <c r="O53" s="32" t="s">
        <v>357</v>
      </c>
      <c r="P53" s="32" t="s">
        <v>357</v>
      </c>
      <c r="Q53" s="26">
        <v>17.0</v>
      </c>
      <c r="R53" s="26" t="str">
        <f t="shared" si="139"/>
        <v>R</v>
      </c>
      <c r="S53" s="26">
        <v>26.0</v>
      </c>
      <c r="T53" s="26" t="str">
        <f t="shared" si="140"/>
        <v>S</v>
      </c>
      <c r="U53" s="26">
        <v>26.0</v>
      </c>
      <c r="V53" s="26" t="str">
        <f t="shared" si="141"/>
        <v>S</v>
      </c>
      <c r="W53" s="32" t="s">
        <v>299</v>
      </c>
      <c r="X53" s="33">
        <v>11.0</v>
      </c>
      <c r="Y53" s="33" t="str">
        <f t="shared" si="142"/>
        <v>R</v>
      </c>
      <c r="Z53" s="33">
        <v>20.0</v>
      </c>
      <c r="AA53" s="33" t="str">
        <f t="shared" si="143"/>
        <v>S</v>
      </c>
      <c r="AB53" s="33">
        <v>29.0</v>
      </c>
      <c r="AC53" s="33" t="str">
        <f t="shared" si="144"/>
        <v>S</v>
      </c>
      <c r="AD53" s="33">
        <v>29.0</v>
      </c>
      <c r="AE53" s="33" t="str">
        <f t="shared" si="145"/>
        <v>S</v>
      </c>
      <c r="AF53" s="33">
        <v>26.0</v>
      </c>
      <c r="AG53" s="33" t="str">
        <f t="shared" si="146"/>
        <v>I</v>
      </c>
      <c r="AH53" s="33" t="s">
        <v>299</v>
      </c>
      <c r="AI53" s="36">
        <v>16.0</v>
      </c>
      <c r="AJ53" s="36" t="str">
        <f t="shared" si="147"/>
        <v>R</v>
      </c>
      <c r="AK53" s="36">
        <v>25.0</v>
      </c>
      <c r="AL53" s="36" t="str">
        <f t="shared" si="148"/>
        <v>S</v>
      </c>
      <c r="AM53" s="36">
        <v>6.0</v>
      </c>
      <c r="AN53" s="36" t="str">
        <f t="shared" si="149"/>
        <v>R</v>
      </c>
      <c r="AO53" s="36" t="s">
        <v>299</v>
      </c>
      <c r="AP53" s="37">
        <v>6.0</v>
      </c>
      <c r="AQ53" s="37" t="str">
        <f t="shared" si="150"/>
        <v>R</v>
      </c>
      <c r="AR53" s="33">
        <v>22.0</v>
      </c>
      <c r="AS53" s="33" t="str">
        <f t="shared" si="151"/>
        <v>S</v>
      </c>
      <c r="AT53" s="33">
        <v>18.0</v>
      </c>
      <c r="AU53" s="33" t="str">
        <f t="shared" si="152"/>
        <v>S</v>
      </c>
      <c r="AV53" s="33" t="s">
        <v>300</v>
      </c>
      <c r="AW53" s="26">
        <v>19.0</v>
      </c>
      <c r="AX53" s="26" t="str">
        <f t="shared" si="153"/>
        <v>R</v>
      </c>
      <c r="AY53" s="37">
        <v>27.0</v>
      </c>
      <c r="AZ53" s="37" t="str">
        <f t="shared" si="154"/>
        <v>S</v>
      </c>
      <c r="BA53" s="36">
        <v>31.0</v>
      </c>
      <c r="BB53" s="36" t="str">
        <f t="shared" si="155"/>
        <v>S</v>
      </c>
      <c r="BC53" s="39" t="s">
        <v>357</v>
      </c>
      <c r="BD53" s="39" t="s">
        <v>357</v>
      </c>
      <c r="BE53" s="36">
        <v>22.0</v>
      </c>
      <c r="BF53" s="36" t="str">
        <f t="shared" si="156"/>
        <v>S</v>
      </c>
      <c r="BG53" s="40">
        <v>9.0</v>
      </c>
      <c r="BH53" s="41" t="str">
        <f t="shared" si="157"/>
        <v>R</v>
      </c>
      <c r="BI53" s="41"/>
    </row>
    <row r="54">
      <c r="A54" s="51" t="s">
        <v>369</v>
      </c>
      <c r="B54" s="53">
        <v>35.0</v>
      </c>
      <c r="C54" s="51" t="s">
        <v>783</v>
      </c>
      <c r="D54" s="18" t="s">
        <v>705</v>
      </c>
      <c r="E54" s="18" t="s">
        <v>572</v>
      </c>
      <c r="F54" s="18" t="s">
        <v>192</v>
      </c>
      <c r="G54" s="20" t="s">
        <v>784</v>
      </c>
      <c r="H54" s="59" t="s">
        <v>785</v>
      </c>
      <c r="I54" s="26">
        <v>6.0</v>
      </c>
      <c r="J54" s="26" t="str">
        <f t="shared" si="136"/>
        <v>R</v>
      </c>
      <c r="K54" s="26">
        <v>10.0</v>
      </c>
      <c r="L54" s="26" t="str">
        <f t="shared" si="137"/>
        <v>R</v>
      </c>
      <c r="M54" s="26">
        <v>13.0</v>
      </c>
      <c r="N54" s="26" t="str">
        <f t="shared" si="138"/>
        <v>R</v>
      </c>
      <c r="O54" s="32" t="s">
        <v>357</v>
      </c>
      <c r="P54" s="32" t="s">
        <v>357</v>
      </c>
      <c r="Q54" s="26">
        <v>27.0</v>
      </c>
      <c r="R54" s="26" t="str">
        <f t="shared" si="139"/>
        <v>S</v>
      </c>
      <c r="S54" s="26">
        <v>25.0</v>
      </c>
      <c r="T54" s="26" t="str">
        <f t="shared" si="140"/>
        <v>S</v>
      </c>
      <c r="U54" s="26">
        <v>26.0</v>
      </c>
      <c r="V54" s="26" t="str">
        <f t="shared" si="141"/>
        <v>S</v>
      </c>
      <c r="W54" s="32" t="s">
        <v>299</v>
      </c>
      <c r="X54" s="33">
        <v>16.0</v>
      </c>
      <c r="Y54" s="33" t="str">
        <f t="shared" si="142"/>
        <v>R</v>
      </c>
      <c r="Z54" s="33">
        <v>6.0</v>
      </c>
      <c r="AA54" s="33" t="str">
        <f t="shared" si="143"/>
        <v>R</v>
      </c>
      <c r="AB54" s="33">
        <v>23.0</v>
      </c>
      <c r="AC54" s="33" t="str">
        <f t="shared" si="144"/>
        <v>S</v>
      </c>
      <c r="AD54" s="33">
        <v>26.0</v>
      </c>
      <c r="AE54" s="33" t="str">
        <f t="shared" si="145"/>
        <v>S</v>
      </c>
      <c r="AF54" s="33">
        <v>34.0</v>
      </c>
      <c r="AG54" s="33" t="str">
        <f t="shared" si="146"/>
        <v>S</v>
      </c>
      <c r="AH54" s="33" t="s">
        <v>299</v>
      </c>
      <c r="AI54" s="36">
        <v>32.0</v>
      </c>
      <c r="AJ54" s="36" t="str">
        <f t="shared" si="147"/>
        <v>S</v>
      </c>
      <c r="AK54" s="36">
        <v>32.0</v>
      </c>
      <c r="AL54" s="36" t="str">
        <f t="shared" si="148"/>
        <v>S</v>
      </c>
      <c r="AM54" s="36">
        <v>26.0</v>
      </c>
      <c r="AN54" s="36" t="str">
        <f t="shared" si="149"/>
        <v>S</v>
      </c>
      <c r="AO54" s="36" t="s">
        <v>300</v>
      </c>
      <c r="AP54" s="37">
        <v>28.0</v>
      </c>
      <c r="AQ54" s="37" t="str">
        <f t="shared" si="150"/>
        <v>S</v>
      </c>
      <c r="AR54" s="33">
        <v>21.0</v>
      </c>
      <c r="AS54" s="33" t="str">
        <f t="shared" si="151"/>
        <v>S</v>
      </c>
      <c r="AT54" s="33">
        <v>23.0</v>
      </c>
      <c r="AU54" s="33" t="str">
        <f t="shared" si="152"/>
        <v>S</v>
      </c>
      <c r="AV54" s="33" t="s">
        <v>300</v>
      </c>
      <c r="AW54" s="26">
        <v>16.0</v>
      </c>
      <c r="AX54" s="26" t="str">
        <f t="shared" si="153"/>
        <v>R</v>
      </c>
      <c r="AY54" s="37">
        <v>30.0</v>
      </c>
      <c r="AZ54" s="37" t="str">
        <f t="shared" si="154"/>
        <v>S</v>
      </c>
      <c r="BA54" s="36">
        <v>20.0</v>
      </c>
      <c r="BB54" s="36" t="str">
        <f t="shared" si="155"/>
        <v>R</v>
      </c>
      <c r="BC54" s="36">
        <v>0.25</v>
      </c>
      <c r="BD54" s="36" t="str">
        <f t="shared" ref="BD54:BD56" si="158">IF((BC54&lt;=0.5),"S",IF(AND(BC54&gt;0.5),"R", "NA"))</f>
        <v>S</v>
      </c>
      <c r="BE54" s="36">
        <v>25.0</v>
      </c>
      <c r="BF54" s="36" t="str">
        <f t="shared" si="156"/>
        <v>S</v>
      </c>
      <c r="BG54" s="40">
        <v>20.0</v>
      </c>
      <c r="BH54" s="41" t="str">
        <f t="shared" si="157"/>
        <v>S</v>
      </c>
      <c r="BI54" s="41"/>
    </row>
    <row r="55">
      <c r="A55" s="51" t="s">
        <v>369</v>
      </c>
      <c r="B55" s="51" t="s">
        <v>444</v>
      </c>
      <c r="C55" s="51" t="s">
        <v>789</v>
      </c>
      <c r="D55" s="18" t="s">
        <v>705</v>
      </c>
      <c r="E55" s="18" t="s">
        <v>572</v>
      </c>
      <c r="F55" s="18" t="s">
        <v>192</v>
      </c>
      <c r="G55" s="20" t="s">
        <v>790</v>
      </c>
      <c r="H55" s="59" t="s">
        <v>785</v>
      </c>
      <c r="I55" s="26">
        <v>6.0</v>
      </c>
      <c r="J55" s="26" t="str">
        <f t="shared" si="136"/>
        <v>R</v>
      </c>
      <c r="K55" s="26">
        <v>8.0</v>
      </c>
      <c r="L55" s="26" t="str">
        <f t="shared" si="137"/>
        <v>R</v>
      </c>
      <c r="M55" s="26">
        <v>6.0</v>
      </c>
      <c r="N55" s="26" t="str">
        <f t="shared" si="138"/>
        <v>R</v>
      </c>
      <c r="O55" s="32" t="s">
        <v>357</v>
      </c>
      <c r="P55" s="32" t="s">
        <v>357</v>
      </c>
      <c r="Q55" s="26">
        <v>8.0</v>
      </c>
      <c r="R55" s="26" t="str">
        <f t="shared" si="139"/>
        <v>R</v>
      </c>
      <c r="S55" s="26">
        <v>12.0</v>
      </c>
      <c r="T55" s="26" t="str">
        <f t="shared" si="140"/>
        <v>R</v>
      </c>
      <c r="U55" s="26">
        <v>18.0</v>
      </c>
      <c r="V55" s="26" t="str">
        <f t="shared" si="141"/>
        <v>I</v>
      </c>
      <c r="W55" s="32" t="s">
        <v>299</v>
      </c>
      <c r="X55" s="33">
        <v>6.0</v>
      </c>
      <c r="Y55" s="33" t="str">
        <f t="shared" si="142"/>
        <v>R</v>
      </c>
      <c r="Z55" s="33">
        <v>6.0</v>
      </c>
      <c r="AA55" s="33" t="str">
        <f t="shared" si="143"/>
        <v>R</v>
      </c>
      <c r="AB55" s="33">
        <v>6.0</v>
      </c>
      <c r="AC55" s="33" t="str">
        <f t="shared" si="144"/>
        <v>R</v>
      </c>
      <c r="AD55" s="33">
        <v>18.0</v>
      </c>
      <c r="AE55" s="33" t="str">
        <f t="shared" si="145"/>
        <v>S</v>
      </c>
      <c r="AF55" s="33">
        <v>21.0</v>
      </c>
      <c r="AG55" s="33" t="str">
        <f t="shared" si="146"/>
        <v>R</v>
      </c>
      <c r="AH55" s="33" t="s">
        <v>299</v>
      </c>
      <c r="AI55" s="36">
        <v>32.0</v>
      </c>
      <c r="AJ55" s="36" t="str">
        <f t="shared" si="147"/>
        <v>S</v>
      </c>
      <c r="AK55" s="36">
        <v>30.0</v>
      </c>
      <c r="AL55" s="36" t="str">
        <f t="shared" si="148"/>
        <v>S</v>
      </c>
      <c r="AM55" s="36">
        <v>25.0</v>
      </c>
      <c r="AN55" s="36" t="str">
        <f t="shared" si="149"/>
        <v>S</v>
      </c>
      <c r="AO55" s="36" t="s">
        <v>300</v>
      </c>
      <c r="AP55" s="37">
        <v>26.0</v>
      </c>
      <c r="AQ55" s="37" t="str">
        <f t="shared" si="150"/>
        <v>S</v>
      </c>
      <c r="AR55" s="33">
        <v>21.0</v>
      </c>
      <c r="AS55" s="33" t="str">
        <f t="shared" si="151"/>
        <v>S</v>
      </c>
      <c r="AT55" s="33">
        <v>22.0</v>
      </c>
      <c r="AU55" s="33" t="str">
        <f t="shared" si="152"/>
        <v>S</v>
      </c>
      <c r="AV55" s="33" t="s">
        <v>300</v>
      </c>
      <c r="AW55" s="26">
        <v>16.0</v>
      </c>
      <c r="AX55" s="26" t="str">
        <f t="shared" si="153"/>
        <v>R</v>
      </c>
      <c r="AY55" s="37">
        <v>9.0</v>
      </c>
      <c r="AZ55" s="37" t="str">
        <f t="shared" si="154"/>
        <v>R</v>
      </c>
      <c r="BA55" s="36">
        <v>18.0</v>
      </c>
      <c r="BB55" s="36" t="str">
        <f t="shared" si="155"/>
        <v>R</v>
      </c>
      <c r="BC55" s="36">
        <v>0.38</v>
      </c>
      <c r="BD55" s="36" t="str">
        <f t="shared" si="158"/>
        <v>S</v>
      </c>
      <c r="BE55" s="36">
        <v>28.0</v>
      </c>
      <c r="BF55" s="36" t="str">
        <f t="shared" si="156"/>
        <v>S</v>
      </c>
      <c r="BG55" s="40">
        <v>20.0</v>
      </c>
      <c r="BH55" s="41" t="str">
        <f t="shared" si="157"/>
        <v>S</v>
      </c>
      <c r="BI55" s="41"/>
    </row>
    <row r="56">
      <c r="A56" s="51" t="s">
        <v>369</v>
      </c>
      <c r="B56" s="51" t="s">
        <v>444</v>
      </c>
      <c r="C56" s="51" t="s">
        <v>792</v>
      </c>
      <c r="D56" s="18" t="s">
        <v>705</v>
      </c>
      <c r="E56" s="18" t="s">
        <v>572</v>
      </c>
      <c r="F56" s="18" t="s">
        <v>192</v>
      </c>
      <c r="G56" s="20" t="s">
        <v>793</v>
      </c>
      <c r="H56" s="59" t="s">
        <v>785</v>
      </c>
      <c r="I56" s="26">
        <v>6.0</v>
      </c>
      <c r="J56" s="26" t="str">
        <f t="shared" si="136"/>
        <v>R</v>
      </c>
      <c r="K56" s="26">
        <v>8.0</v>
      </c>
      <c r="L56" s="26" t="str">
        <f t="shared" si="137"/>
        <v>R</v>
      </c>
      <c r="M56" s="26">
        <v>18.0</v>
      </c>
      <c r="N56" s="26" t="str">
        <f t="shared" si="138"/>
        <v>R</v>
      </c>
      <c r="O56" s="32" t="s">
        <v>357</v>
      </c>
      <c r="P56" s="32" t="s">
        <v>357</v>
      </c>
      <c r="Q56" s="26">
        <v>26.0</v>
      </c>
      <c r="R56" s="26" t="str">
        <f t="shared" si="139"/>
        <v>S</v>
      </c>
      <c r="S56" s="26">
        <v>24.0</v>
      </c>
      <c r="T56" s="26" t="str">
        <f t="shared" si="140"/>
        <v>S</v>
      </c>
      <c r="U56" s="26">
        <v>28.0</v>
      </c>
      <c r="V56" s="26" t="str">
        <f t="shared" si="141"/>
        <v>S</v>
      </c>
      <c r="W56" s="32" t="s">
        <v>299</v>
      </c>
      <c r="X56" s="33">
        <v>17.0</v>
      </c>
      <c r="Y56" s="33" t="str">
        <f t="shared" si="142"/>
        <v>I</v>
      </c>
      <c r="Z56" s="33">
        <v>6.0</v>
      </c>
      <c r="AA56" s="33" t="str">
        <f t="shared" si="143"/>
        <v>R</v>
      </c>
      <c r="AB56" s="33">
        <v>25.0</v>
      </c>
      <c r="AC56" s="33" t="str">
        <f t="shared" si="144"/>
        <v>S</v>
      </c>
      <c r="AD56" s="33">
        <v>26.0</v>
      </c>
      <c r="AE56" s="33" t="str">
        <f t="shared" si="145"/>
        <v>S</v>
      </c>
      <c r="AF56" s="33">
        <v>36.0</v>
      </c>
      <c r="AG56" s="33" t="str">
        <f t="shared" si="146"/>
        <v>S</v>
      </c>
      <c r="AH56" s="33" t="s">
        <v>299</v>
      </c>
      <c r="AI56" s="36">
        <v>34.0</v>
      </c>
      <c r="AJ56" s="36" t="str">
        <f t="shared" si="147"/>
        <v>S</v>
      </c>
      <c r="AK56" s="36">
        <v>32.0</v>
      </c>
      <c r="AL56" s="36" t="str">
        <f t="shared" si="148"/>
        <v>S</v>
      </c>
      <c r="AM56" s="36">
        <v>26.0</v>
      </c>
      <c r="AN56" s="36" t="str">
        <f t="shared" si="149"/>
        <v>S</v>
      </c>
      <c r="AO56" s="36" t="s">
        <v>300</v>
      </c>
      <c r="AP56" s="37">
        <v>30.0</v>
      </c>
      <c r="AQ56" s="37" t="str">
        <f t="shared" si="150"/>
        <v>S</v>
      </c>
      <c r="AR56" s="33">
        <v>21.0</v>
      </c>
      <c r="AS56" s="33" t="str">
        <f t="shared" si="151"/>
        <v>S</v>
      </c>
      <c r="AT56" s="33">
        <v>28.0</v>
      </c>
      <c r="AU56" s="33" t="str">
        <f t="shared" si="152"/>
        <v>S</v>
      </c>
      <c r="AV56" s="33" t="s">
        <v>300</v>
      </c>
      <c r="AW56" s="26">
        <v>17.0</v>
      </c>
      <c r="AX56" s="26" t="str">
        <f t="shared" si="153"/>
        <v>R</v>
      </c>
      <c r="AY56" s="37">
        <v>32.0</v>
      </c>
      <c r="AZ56" s="37" t="str">
        <f t="shared" si="154"/>
        <v>S</v>
      </c>
      <c r="BA56" s="36">
        <v>22.0</v>
      </c>
      <c r="BB56" s="36" t="str">
        <f t="shared" si="155"/>
        <v>R</v>
      </c>
      <c r="BC56" s="36">
        <v>0.125</v>
      </c>
      <c r="BD56" s="36" t="str">
        <f t="shared" si="158"/>
        <v>S</v>
      </c>
      <c r="BE56" s="36">
        <v>29.0</v>
      </c>
      <c r="BF56" s="36" t="str">
        <f t="shared" si="156"/>
        <v>S</v>
      </c>
      <c r="BG56" s="40">
        <v>21.0</v>
      </c>
      <c r="BH56" s="41" t="str">
        <f t="shared" si="157"/>
        <v>S</v>
      </c>
      <c r="BI56" s="41"/>
    </row>
    <row r="57">
      <c r="A57" s="51" t="s">
        <v>369</v>
      </c>
      <c r="B57" s="53">
        <v>36.0</v>
      </c>
      <c r="C57" s="51" t="s">
        <v>803</v>
      </c>
      <c r="D57" s="18" t="s">
        <v>182</v>
      </c>
      <c r="E57" s="18" t="s">
        <v>103</v>
      </c>
      <c r="F57" s="18" t="s">
        <v>192</v>
      </c>
      <c r="G57" s="20" t="s">
        <v>804</v>
      </c>
      <c r="H57" s="22" t="s">
        <v>198</v>
      </c>
      <c r="I57" s="26">
        <v>6.0</v>
      </c>
      <c r="J57" s="26" t="str">
        <f t="shared" si="136"/>
        <v>R</v>
      </c>
      <c r="K57" s="26">
        <v>21.0</v>
      </c>
      <c r="L57" s="26" t="str">
        <f t="shared" si="137"/>
        <v>S</v>
      </c>
      <c r="M57" s="26">
        <v>6.0</v>
      </c>
      <c r="N57" s="26" t="str">
        <f t="shared" si="138"/>
        <v>R</v>
      </c>
      <c r="O57" s="32" t="s">
        <v>357</v>
      </c>
      <c r="P57" s="32" t="s">
        <v>357</v>
      </c>
      <c r="Q57" s="26">
        <v>11.0</v>
      </c>
      <c r="R57" s="26" t="str">
        <f t="shared" si="139"/>
        <v>R</v>
      </c>
      <c r="S57" s="26">
        <v>29.0</v>
      </c>
      <c r="T57" s="26" t="str">
        <f t="shared" si="140"/>
        <v>S</v>
      </c>
      <c r="U57" s="26">
        <v>20.0</v>
      </c>
      <c r="V57" s="26" t="str">
        <f t="shared" si="141"/>
        <v>S</v>
      </c>
      <c r="W57" s="32" t="s">
        <v>299</v>
      </c>
      <c r="X57" s="33">
        <v>6.0</v>
      </c>
      <c r="Y57" s="33" t="str">
        <f t="shared" si="142"/>
        <v>R</v>
      </c>
      <c r="Z57" s="33">
        <v>24.0</v>
      </c>
      <c r="AA57" s="33" t="str">
        <f t="shared" si="143"/>
        <v>S</v>
      </c>
      <c r="AB57" s="33">
        <v>18.0</v>
      </c>
      <c r="AC57" s="33" t="str">
        <f t="shared" si="144"/>
        <v>R</v>
      </c>
      <c r="AD57" s="33">
        <v>24.0</v>
      </c>
      <c r="AE57" s="33" t="str">
        <f t="shared" si="145"/>
        <v>S</v>
      </c>
      <c r="AF57" s="33">
        <v>22.0</v>
      </c>
      <c r="AG57" s="33" t="str">
        <f t="shared" si="146"/>
        <v>R</v>
      </c>
      <c r="AH57" s="33" t="s">
        <v>299</v>
      </c>
      <c r="AI57" s="36">
        <v>20.0</v>
      </c>
      <c r="AJ57" s="36" t="str">
        <f t="shared" si="147"/>
        <v>R</v>
      </c>
      <c r="AK57" s="36">
        <v>21.0</v>
      </c>
      <c r="AL57" s="36" t="str">
        <f t="shared" si="148"/>
        <v>I</v>
      </c>
      <c r="AM57" s="36">
        <v>18.0</v>
      </c>
      <c r="AN57" s="36" t="str">
        <f t="shared" si="149"/>
        <v>S</v>
      </c>
      <c r="AO57" s="36" t="s">
        <v>299</v>
      </c>
      <c r="AP57" s="37">
        <v>6.0</v>
      </c>
      <c r="AQ57" s="37" t="str">
        <f t="shared" si="150"/>
        <v>R</v>
      </c>
      <c r="AR57" s="33">
        <v>22.0</v>
      </c>
      <c r="AS57" s="33" t="str">
        <f t="shared" si="151"/>
        <v>S</v>
      </c>
      <c r="AT57" s="33">
        <v>20.0</v>
      </c>
      <c r="AU57" s="33" t="str">
        <f t="shared" si="152"/>
        <v>S</v>
      </c>
      <c r="AV57" s="33" t="s">
        <v>300</v>
      </c>
      <c r="AW57" s="26">
        <v>16.0</v>
      </c>
      <c r="AX57" s="26" t="str">
        <f t="shared" si="153"/>
        <v>R</v>
      </c>
      <c r="AY57" s="37">
        <v>18.0</v>
      </c>
      <c r="AZ57" s="37" t="str">
        <f t="shared" si="154"/>
        <v>R</v>
      </c>
      <c r="BA57" s="36">
        <v>30.0</v>
      </c>
      <c r="BB57" s="36" t="str">
        <f t="shared" si="155"/>
        <v>S</v>
      </c>
      <c r="BC57" s="39" t="s">
        <v>357</v>
      </c>
      <c r="BD57" s="39" t="s">
        <v>357</v>
      </c>
      <c r="BE57" s="36">
        <v>30.0</v>
      </c>
      <c r="BF57" s="36" t="str">
        <f t="shared" si="156"/>
        <v>S</v>
      </c>
      <c r="BG57" s="40">
        <v>21.0</v>
      </c>
      <c r="BH57" s="41" t="str">
        <f t="shared" si="157"/>
        <v>S</v>
      </c>
      <c r="BI57" s="41"/>
    </row>
    <row r="58">
      <c r="A58" s="51" t="s">
        <v>369</v>
      </c>
      <c r="B58" s="51" t="s">
        <v>444</v>
      </c>
      <c r="C58" s="51" t="s">
        <v>807</v>
      </c>
      <c r="D58" s="18" t="s">
        <v>182</v>
      </c>
      <c r="E58" s="18" t="s">
        <v>103</v>
      </c>
      <c r="F58" s="18" t="s">
        <v>192</v>
      </c>
      <c r="G58" s="20" t="s">
        <v>808</v>
      </c>
      <c r="H58" s="22" t="s">
        <v>198</v>
      </c>
      <c r="I58" s="26">
        <v>6.0</v>
      </c>
      <c r="J58" s="26" t="str">
        <f t="shared" si="136"/>
        <v>R</v>
      </c>
      <c r="K58" s="26">
        <v>22.0</v>
      </c>
      <c r="L58" s="26" t="str">
        <f t="shared" si="137"/>
        <v>S</v>
      </c>
      <c r="M58" s="26">
        <v>6.0</v>
      </c>
      <c r="N58" s="26" t="str">
        <f t="shared" si="138"/>
        <v>R</v>
      </c>
      <c r="O58" s="32" t="s">
        <v>357</v>
      </c>
      <c r="P58" s="32" t="s">
        <v>357</v>
      </c>
      <c r="Q58" s="26">
        <v>13.0</v>
      </c>
      <c r="R58" s="26" t="str">
        <f t="shared" si="139"/>
        <v>R</v>
      </c>
      <c r="S58" s="26">
        <v>25.0</v>
      </c>
      <c r="T58" s="26" t="str">
        <f t="shared" si="140"/>
        <v>S</v>
      </c>
      <c r="U58" s="26">
        <v>22.0</v>
      </c>
      <c r="V58" s="26" t="str">
        <f t="shared" si="141"/>
        <v>S</v>
      </c>
      <c r="W58" s="32" t="s">
        <v>299</v>
      </c>
      <c r="X58" s="33">
        <v>6.0</v>
      </c>
      <c r="Y58" s="33" t="str">
        <f t="shared" si="142"/>
        <v>R</v>
      </c>
      <c r="Z58" s="33">
        <v>24.0</v>
      </c>
      <c r="AA58" s="33" t="str">
        <f t="shared" si="143"/>
        <v>S</v>
      </c>
      <c r="AB58" s="33">
        <v>20.0</v>
      </c>
      <c r="AC58" s="33" t="str">
        <f t="shared" si="144"/>
        <v>I</v>
      </c>
      <c r="AD58" s="33">
        <v>26.0</v>
      </c>
      <c r="AE58" s="33" t="str">
        <f t="shared" si="145"/>
        <v>S</v>
      </c>
      <c r="AF58" s="33">
        <v>25.0</v>
      </c>
      <c r="AG58" s="33" t="str">
        <f t="shared" si="146"/>
        <v>I</v>
      </c>
      <c r="AH58" s="33" t="s">
        <v>299</v>
      </c>
      <c r="AI58" s="36">
        <v>23.0</v>
      </c>
      <c r="AJ58" s="36" t="str">
        <f t="shared" si="147"/>
        <v>I</v>
      </c>
      <c r="AK58" s="36">
        <v>22.0</v>
      </c>
      <c r="AL58" s="36" t="str">
        <f t="shared" si="148"/>
        <v>I</v>
      </c>
      <c r="AM58" s="36">
        <v>18.0</v>
      </c>
      <c r="AN58" s="36" t="str">
        <f t="shared" si="149"/>
        <v>S</v>
      </c>
      <c r="AO58" s="36" t="s">
        <v>300</v>
      </c>
      <c r="AP58" s="37">
        <v>6.0</v>
      </c>
      <c r="AQ58" s="37" t="str">
        <f t="shared" si="150"/>
        <v>R</v>
      </c>
      <c r="AR58" s="33">
        <v>23.0</v>
      </c>
      <c r="AS58" s="33" t="str">
        <f t="shared" si="151"/>
        <v>S</v>
      </c>
      <c r="AT58" s="33">
        <v>22.0</v>
      </c>
      <c r="AU58" s="33" t="str">
        <f t="shared" si="152"/>
        <v>S</v>
      </c>
      <c r="AV58" s="33" t="s">
        <v>300</v>
      </c>
      <c r="AW58" s="26">
        <v>17.0</v>
      </c>
      <c r="AX58" s="26" t="str">
        <f t="shared" si="153"/>
        <v>R</v>
      </c>
      <c r="AY58" s="37">
        <v>19.0</v>
      </c>
      <c r="AZ58" s="37" t="str">
        <f t="shared" si="154"/>
        <v>R</v>
      </c>
      <c r="BA58" s="36">
        <v>32.0</v>
      </c>
      <c r="BB58" s="36" t="str">
        <f t="shared" si="155"/>
        <v>S</v>
      </c>
      <c r="BC58" s="39" t="s">
        <v>357</v>
      </c>
      <c r="BD58" s="39" t="s">
        <v>357</v>
      </c>
      <c r="BE58" s="36">
        <v>31.0</v>
      </c>
      <c r="BF58" s="36" t="str">
        <f t="shared" si="156"/>
        <v>S</v>
      </c>
      <c r="BG58" s="40">
        <v>23.0</v>
      </c>
      <c r="BH58" s="41" t="str">
        <f t="shared" si="157"/>
        <v>S</v>
      </c>
      <c r="BI58" s="41"/>
    </row>
    <row r="59">
      <c r="A59" s="51" t="s">
        <v>369</v>
      </c>
      <c r="B59" s="51" t="s">
        <v>444</v>
      </c>
      <c r="C59" s="51" t="s">
        <v>814</v>
      </c>
      <c r="D59" s="18" t="s">
        <v>182</v>
      </c>
      <c r="E59" s="18" t="s">
        <v>103</v>
      </c>
      <c r="F59" s="18" t="s">
        <v>192</v>
      </c>
      <c r="G59" s="20" t="s">
        <v>815</v>
      </c>
      <c r="H59" s="22" t="s">
        <v>198</v>
      </c>
      <c r="I59" s="26">
        <v>6.0</v>
      </c>
      <c r="J59" s="26" t="str">
        <f t="shared" si="136"/>
        <v>R</v>
      </c>
      <c r="K59" s="26">
        <v>10.0</v>
      </c>
      <c r="L59" s="26" t="str">
        <f t="shared" si="137"/>
        <v>R</v>
      </c>
      <c r="M59" s="26">
        <v>6.0</v>
      </c>
      <c r="N59" s="26" t="str">
        <f t="shared" si="138"/>
        <v>R</v>
      </c>
      <c r="O59" s="32" t="s">
        <v>357</v>
      </c>
      <c r="P59" s="32" t="s">
        <v>357</v>
      </c>
      <c r="Q59" s="26">
        <v>6.0</v>
      </c>
      <c r="R59" s="26" t="str">
        <f t="shared" si="139"/>
        <v>R</v>
      </c>
      <c r="S59" s="26">
        <v>6.0</v>
      </c>
      <c r="T59" s="26" t="str">
        <f t="shared" si="140"/>
        <v>R</v>
      </c>
      <c r="U59" s="26">
        <v>12.0</v>
      </c>
      <c r="V59" s="26" t="str">
        <f t="shared" si="141"/>
        <v>R</v>
      </c>
      <c r="W59" s="32" t="s">
        <v>299</v>
      </c>
      <c r="X59" s="33">
        <v>6.0</v>
      </c>
      <c r="Y59" s="33" t="str">
        <f t="shared" si="142"/>
        <v>R</v>
      </c>
      <c r="Z59" s="33">
        <v>6.0</v>
      </c>
      <c r="AA59" s="33" t="str">
        <f t="shared" si="143"/>
        <v>R</v>
      </c>
      <c r="AB59" s="33">
        <v>6.0</v>
      </c>
      <c r="AC59" s="33" t="str">
        <f t="shared" si="144"/>
        <v>R</v>
      </c>
      <c r="AD59" s="33">
        <v>10.0</v>
      </c>
      <c r="AE59" s="33" t="str">
        <f t="shared" si="145"/>
        <v>R</v>
      </c>
      <c r="AF59" s="33">
        <v>6.0</v>
      </c>
      <c r="AG59" s="33" t="str">
        <f t="shared" si="146"/>
        <v>R</v>
      </c>
      <c r="AH59" s="33" t="s">
        <v>299</v>
      </c>
      <c r="AI59" s="36">
        <v>6.0</v>
      </c>
      <c r="AJ59" s="36" t="str">
        <f t="shared" si="147"/>
        <v>R</v>
      </c>
      <c r="AK59" s="36">
        <v>6.0</v>
      </c>
      <c r="AL59" s="36" t="str">
        <f t="shared" si="148"/>
        <v>R</v>
      </c>
      <c r="AM59" s="36">
        <v>6.0</v>
      </c>
      <c r="AN59" s="36" t="str">
        <f t="shared" si="149"/>
        <v>R</v>
      </c>
      <c r="AO59" s="36" t="s">
        <v>299</v>
      </c>
      <c r="AP59" s="37">
        <v>6.0</v>
      </c>
      <c r="AQ59" s="37" t="str">
        <f t="shared" si="150"/>
        <v>R</v>
      </c>
      <c r="AR59" s="33">
        <v>21.0</v>
      </c>
      <c r="AS59" s="33" t="str">
        <f t="shared" si="151"/>
        <v>S</v>
      </c>
      <c r="AT59" s="33">
        <v>20.0</v>
      </c>
      <c r="AU59" s="33" t="str">
        <f t="shared" si="152"/>
        <v>S</v>
      </c>
      <c r="AV59" s="33" t="s">
        <v>300</v>
      </c>
      <c r="AW59" s="26">
        <v>18.0</v>
      </c>
      <c r="AX59" s="26" t="str">
        <f t="shared" si="153"/>
        <v>R</v>
      </c>
      <c r="AY59" s="37">
        <v>6.0</v>
      </c>
      <c r="AZ59" s="37" t="str">
        <f t="shared" si="154"/>
        <v>R</v>
      </c>
      <c r="BA59" s="36">
        <v>12.0</v>
      </c>
      <c r="BB59" s="36" t="str">
        <f t="shared" si="155"/>
        <v>R</v>
      </c>
      <c r="BC59" s="36">
        <v>2.0</v>
      </c>
      <c r="BD59" s="36" t="str">
        <f>IF((BC59&lt;=0.5),"S",IF(AND(BC59&gt;0.5),"R", "NA"))</f>
        <v>R</v>
      </c>
      <c r="BE59" s="36">
        <v>19.0</v>
      </c>
      <c r="BF59" s="36" t="str">
        <f t="shared" si="156"/>
        <v>I</v>
      </c>
      <c r="BG59" s="40">
        <v>20.0</v>
      </c>
      <c r="BH59" s="41" t="str">
        <f t="shared" si="157"/>
        <v>S</v>
      </c>
      <c r="BI59" s="41"/>
    </row>
    <row r="60">
      <c r="A60" s="76" t="s">
        <v>598</v>
      </c>
      <c r="B60" s="77">
        <v>37.0</v>
      </c>
      <c r="C60" s="76" t="s">
        <v>916</v>
      </c>
      <c r="D60" s="18" t="s">
        <v>190</v>
      </c>
      <c r="E60" s="18" t="s">
        <v>190</v>
      </c>
      <c r="F60" s="18" t="s">
        <v>573</v>
      </c>
      <c r="G60" s="20" t="s">
        <v>357</v>
      </c>
      <c r="H60" s="47" t="s">
        <v>357</v>
      </c>
      <c r="I60" s="32" t="s">
        <v>357</v>
      </c>
      <c r="J60" s="32" t="s">
        <v>357</v>
      </c>
      <c r="K60" s="32" t="s">
        <v>357</v>
      </c>
      <c r="L60" s="32" t="s">
        <v>357</v>
      </c>
      <c r="M60" s="32" t="s">
        <v>357</v>
      </c>
      <c r="N60" s="32" t="s">
        <v>357</v>
      </c>
      <c r="O60" s="32" t="s">
        <v>357</v>
      </c>
      <c r="P60" s="32" t="s">
        <v>357</v>
      </c>
      <c r="Q60" s="32" t="s">
        <v>357</v>
      </c>
      <c r="R60" s="32" t="s">
        <v>357</v>
      </c>
      <c r="S60" s="32" t="s">
        <v>357</v>
      </c>
      <c r="T60" s="32" t="s">
        <v>357</v>
      </c>
      <c r="U60" s="32" t="s">
        <v>357</v>
      </c>
      <c r="V60" s="32" t="s">
        <v>357</v>
      </c>
      <c r="W60" s="32" t="s">
        <v>357</v>
      </c>
      <c r="X60" s="49" t="s">
        <v>357</v>
      </c>
      <c r="Y60" s="49" t="s">
        <v>357</v>
      </c>
      <c r="Z60" s="49" t="s">
        <v>357</v>
      </c>
      <c r="AA60" s="49" t="s">
        <v>357</v>
      </c>
      <c r="AB60" s="49" t="s">
        <v>357</v>
      </c>
      <c r="AC60" s="49" t="s">
        <v>357</v>
      </c>
      <c r="AD60" s="49" t="s">
        <v>357</v>
      </c>
      <c r="AE60" s="49" t="s">
        <v>357</v>
      </c>
      <c r="AF60" s="49" t="s">
        <v>357</v>
      </c>
      <c r="AG60" s="49" t="s">
        <v>357</v>
      </c>
      <c r="AH60" s="49" t="s">
        <v>357</v>
      </c>
      <c r="AI60" s="39" t="s">
        <v>357</v>
      </c>
      <c r="AJ60" s="39" t="s">
        <v>357</v>
      </c>
      <c r="AK60" s="39" t="s">
        <v>357</v>
      </c>
      <c r="AL60" s="39" t="s">
        <v>357</v>
      </c>
      <c r="AM60" s="39" t="s">
        <v>357</v>
      </c>
      <c r="AN60" s="39" t="s">
        <v>357</v>
      </c>
      <c r="AO60" s="39" t="s">
        <v>357</v>
      </c>
      <c r="AP60" s="50" t="s">
        <v>357</v>
      </c>
      <c r="AQ60" s="50" t="s">
        <v>357</v>
      </c>
      <c r="AR60" s="49" t="s">
        <v>357</v>
      </c>
      <c r="AS60" s="49" t="s">
        <v>357</v>
      </c>
      <c r="AT60" s="49" t="s">
        <v>357</v>
      </c>
      <c r="AU60" s="49" t="s">
        <v>357</v>
      </c>
      <c r="AV60" s="49" t="s">
        <v>357</v>
      </c>
      <c r="AW60" s="32" t="s">
        <v>357</v>
      </c>
      <c r="AX60" s="32" t="s">
        <v>357</v>
      </c>
      <c r="AY60" s="50" t="s">
        <v>357</v>
      </c>
      <c r="AZ60" s="50" t="s">
        <v>357</v>
      </c>
      <c r="BA60" s="39" t="s">
        <v>357</v>
      </c>
      <c r="BB60" s="39" t="s">
        <v>357</v>
      </c>
      <c r="BC60" s="39" t="s">
        <v>357</v>
      </c>
      <c r="BD60" s="39" t="s">
        <v>357</v>
      </c>
      <c r="BE60" s="39" t="s">
        <v>357</v>
      </c>
      <c r="BF60" s="39" t="s">
        <v>357</v>
      </c>
      <c r="BG60" s="41" t="s">
        <v>357</v>
      </c>
      <c r="BH60" s="41" t="s">
        <v>357</v>
      </c>
      <c r="BI60" s="41"/>
    </row>
    <row r="61">
      <c r="A61" s="76" t="s">
        <v>598</v>
      </c>
      <c r="B61" s="77">
        <v>38.0</v>
      </c>
      <c r="C61" s="76" t="s">
        <v>923</v>
      </c>
      <c r="D61" s="18" t="s">
        <v>571</v>
      </c>
      <c r="E61" s="18" t="s">
        <v>572</v>
      </c>
      <c r="F61" s="18" t="s">
        <v>573</v>
      </c>
      <c r="G61" s="20" t="s">
        <v>357</v>
      </c>
      <c r="H61" s="47" t="s">
        <v>357</v>
      </c>
      <c r="I61" s="32" t="s">
        <v>357</v>
      </c>
      <c r="J61" s="32" t="s">
        <v>357</v>
      </c>
      <c r="K61" s="32" t="s">
        <v>357</v>
      </c>
      <c r="L61" s="32" t="s">
        <v>357</v>
      </c>
      <c r="M61" s="32" t="s">
        <v>357</v>
      </c>
      <c r="N61" s="32" t="s">
        <v>357</v>
      </c>
      <c r="O61" s="32" t="s">
        <v>357</v>
      </c>
      <c r="P61" s="32" t="s">
        <v>357</v>
      </c>
      <c r="Q61" s="32" t="s">
        <v>357</v>
      </c>
      <c r="R61" s="32" t="s">
        <v>357</v>
      </c>
      <c r="S61" s="32" t="s">
        <v>357</v>
      </c>
      <c r="T61" s="32" t="s">
        <v>357</v>
      </c>
      <c r="U61" s="32" t="s">
        <v>357</v>
      </c>
      <c r="V61" s="32" t="s">
        <v>357</v>
      </c>
      <c r="W61" s="32" t="s">
        <v>357</v>
      </c>
      <c r="X61" s="49" t="s">
        <v>357</v>
      </c>
      <c r="Y61" s="49" t="s">
        <v>357</v>
      </c>
      <c r="Z61" s="49" t="s">
        <v>357</v>
      </c>
      <c r="AA61" s="49" t="s">
        <v>357</v>
      </c>
      <c r="AB61" s="49" t="s">
        <v>357</v>
      </c>
      <c r="AC61" s="49" t="s">
        <v>357</v>
      </c>
      <c r="AD61" s="49" t="s">
        <v>357</v>
      </c>
      <c r="AE61" s="49" t="s">
        <v>357</v>
      </c>
      <c r="AF61" s="49" t="s">
        <v>357</v>
      </c>
      <c r="AG61" s="49" t="s">
        <v>357</v>
      </c>
      <c r="AH61" s="49" t="s">
        <v>357</v>
      </c>
      <c r="AI61" s="39" t="s">
        <v>357</v>
      </c>
      <c r="AJ61" s="39" t="s">
        <v>357</v>
      </c>
      <c r="AK61" s="39" t="s">
        <v>357</v>
      </c>
      <c r="AL61" s="39" t="s">
        <v>357</v>
      </c>
      <c r="AM61" s="39" t="s">
        <v>357</v>
      </c>
      <c r="AN61" s="39" t="s">
        <v>357</v>
      </c>
      <c r="AO61" s="39" t="s">
        <v>357</v>
      </c>
      <c r="AP61" s="50" t="s">
        <v>357</v>
      </c>
      <c r="AQ61" s="50" t="s">
        <v>357</v>
      </c>
      <c r="AR61" s="49" t="s">
        <v>357</v>
      </c>
      <c r="AS61" s="49" t="s">
        <v>357</v>
      </c>
      <c r="AT61" s="49" t="s">
        <v>357</v>
      </c>
      <c r="AU61" s="49" t="s">
        <v>357</v>
      </c>
      <c r="AV61" s="49" t="s">
        <v>357</v>
      </c>
      <c r="AW61" s="32" t="s">
        <v>357</v>
      </c>
      <c r="AX61" s="32" t="s">
        <v>357</v>
      </c>
      <c r="AY61" s="50" t="s">
        <v>357</v>
      </c>
      <c r="AZ61" s="50" t="s">
        <v>357</v>
      </c>
      <c r="BA61" s="39" t="s">
        <v>357</v>
      </c>
      <c r="BB61" s="39" t="s">
        <v>357</v>
      </c>
      <c r="BC61" s="39" t="s">
        <v>357</v>
      </c>
      <c r="BD61" s="39" t="s">
        <v>357</v>
      </c>
      <c r="BE61" s="39" t="s">
        <v>357</v>
      </c>
      <c r="BF61" s="39" t="s">
        <v>357</v>
      </c>
      <c r="BG61" s="41" t="s">
        <v>357</v>
      </c>
      <c r="BH61" s="41" t="s">
        <v>357</v>
      </c>
      <c r="BI61" s="41"/>
    </row>
    <row r="62">
      <c r="A62" s="76" t="s">
        <v>598</v>
      </c>
      <c r="B62" s="77">
        <v>39.0</v>
      </c>
      <c r="C62" s="76" t="s">
        <v>925</v>
      </c>
      <c r="D62" s="18" t="s">
        <v>705</v>
      </c>
      <c r="E62" s="18" t="s">
        <v>572</v>
      </c>
      <c r="F62" s="18" t="s">
        <v>573</v>
      </c>
      <c r="G62" s="20" t="s">
        <v>357</v>
      </c>
      <c r="H62" s="47" t="s">
        <v>357</v>
      </c>
      <c r="I62" s="32" t="s">
        <v>357</v>
      </c>
      <c r="J62" s="32" t="s">
        <v>357</v>
      </c>
      <c r="K62" s="32" t="s">
        <v>357</v>
      </c>
      <c r="L62" s="32" t="s">
        <v>357</v>
      </c>
      <c r="M62" s="32" t="s">
        <v>357</v>
      </c>
      <c r="N62" s="32" t="s">
        <v>357</v>
      </c>
      <c r="O62" s="32" t="s">
        <v>357</v>
      </c>
      <c r="P62" s="32" t="s">
        <v>357</v>
      </c>
      <c r="Q62" s="32" t="s">
        <v>357</v>
      </c>
      <c r="R62" s="32" t="s">
        <v>357</v>
      </c>
      <c r="S62" s="32" t="s">
        <v>357</v>
      </c>
      <c r="T62" s="32" t="s">
        <v>357</v>
      </c>
      <c r="U62" s="32" t="s">
        <v>357</v>
      </c>
      <c r="V62" s="32" t="s">
        <v>357</v>
      </c>
      <c r="W62" s="32" t="s">
        <v>357</v>
      </c>
      <c r="X62" s="49" t="s">
        <v>357</v>
      </c>
      <c r="Y62" s="49" t="s">
        <v>357</v>
      </c>
      <c r="Z62" s="49" t="s">
        <v>357</v>
      </c>
      <c r="AA62" s="49" t="s">
        <v>357</v>
      </c>
      <c r="AB62" s="49" t="s">
        <v>357</v>
      </c>
      <c r="AC62" s="49" t="s">
        <v>357</v>
      </c>
      <c r="AD62" s="49" t="s">
        <v>357</v>
      </c>
      <c r="AE62" s="49" t="s">
        <v>357</v>
      </c>
      <c r="AF62" s="49" t="s">
        <v>357</v>
      </c>
      <c r="AG62" s="49" t="s">
        <v>357</v>
      </c>
      <c r="AH62" s="49" t="s">
        <v>357</v>
      </c>
      <c r="AI62" s="39" t="s">
        <v>357</v>
      </c>
      <c r="AJ62" s="39" t="s">
        <v>357</v>
      </c>
      <c r="AK62" s="39" t="s">
        <v>357</v>
      </c>
      <c r="AL62" s="39" t="s">
        <v>357</v>
      </c>
      <c r="AM62" s="39" t="s">
        <v>357</v>
      </c>
      <c r="AN62" s="39" t="s">
        <v>357</v>
      </c>
      <c r="AO62" s="39" t="s">
        <v>357</v>
      </c>
      <c r="AP62" s="50" t="s">
        <v>357</v>
      </c>
      <c r="AQ62" s="50" t="s">
        <v>357</v>
      </c>
      <c r="AR62" s="49" t="s">
        <v>357</v>
      </c>
      <c r="AS62" s="49" t="s">
        <v>357</v>
      </c>
      <c r="AT62" s="49" t="s">
        <v>357</v>
      </c>
      <c r="AU62" s="49" t="s">
        <v>357</v>
      </c>
      <c r="AV62" s="49" t="s">
        <v>357</v>
      </c>
      <c r="AW62" s="32" t="s">
        <v>357</v>
      </c>
      <c r="AX62" s="32" t="s">
        <v>357</v>
      </c>
      <c r="AY62" s="50" t="s">
        <v>357</v>
      </c>
      <c r="AZ62" s="50" t="s">
        <v>357</v>
      </c>
      <c r="BA62" s="39" t="s">
        <v>357</v>
      </c>
      <c r="BB62" s="39" t="s">
        <v>357</v>
      </c>
      <c r="BC62" s="39" t="s">
        <v>357</v>
      </c>
      <c r="BD62" s="39" t="s">
        <v>357</v>
      </c>
      <c r="BE62" s="39" t="s">
        <v>357</v>
      </c>
      <c r="BF62" s="39" t="s">
        <v>357</v>
      </c>
      <c r="BG62" s="41" t="s">
        <v>357</v>
      </c>
      <c r="BH62" s="41" t="s">
        <v>357</v>
      </c>
      <c r="BI62" s="41"/>
    </row>
    <row r="63">
      <c r="A63" s="51" t="s">
        <v>639</v>
      </c>
      <c r="B63" s="53">
        <v>40.0</v>
      </c>
      <c r="C63" s="51" t="s">
        <v>927</v>
      </c>
      <c r="D63" s="18" t="s">
        <v>190</v>
      </c>
      <c r="E63" s="18" t="s">
        <v>190</v>
      </c>
      <c r="F63" s="18" t="s">
        <v>573</v>
      </c>
      <c r="G63" s="20" t="s">
        <v>357</v>
      </c>
      <c r="H63" s="47" t="s">
        <v>357</v>
      </c>
      <c r="I63" s="32" t="s">
        <v>357</v>
      </c>
      <c r="J63" s="32" t="s">
        <v>357</v>
      </c>
      <c r="K63" s="32" t="s">
        <v>357</v>
      </c>
      <c r="L63" s="32" t="s">
        <v>357</v>
      </c>
      <c r="M63" s="32" t="s">
        <v>357</v>
      </c>
      <c r="N63" s="32" t="s">
        <v>357</v>
      </c>
      <c r="O63" s="32" t="s">
        <v>357</v>
      </c>
      <c r="P63" s="32" t="s">
        <v>357</v>
      </c>
      <c r="Q63" s="32" t="s">
        <v>357</v>
      </c>
      <c r="R63" s="32" t="s">
        <v>357</v>
      </c>
      <c r="S63" s="32" t="s">
        <v>357</v>
      </c>
      <c r="T63" s="32" t="s">
        <v>357</v>
      </c>
      <c r="U63" s="32" t="s">
        <v>357</v>
      </c>
      <c r="V63" s="32" t="s">
        <v>357</v>
      </c>
      <c r="W63" s="32" t="s">
        <v>357</v>
      </c>
      <c r="X63" s="49" t="s">
        <v>357</v>
      </c>
      <c r="Y63" s="49" t="s">
        <v>357</v>
      </c>
      <c r="Z63" s="49" t="s">
        <v>357</v>
      </c>
      <c r="AA63" s="49" t="s">
        <v>357</v>
      </c>
      <c r="AB63" s="49" t="s">
        <v>357</v>
      </c>
      <c r="AC63" s="49" t="s">
        <v>357</v>
      </c>
      <c r="AD63" s="49" t="s">
        <v>357</v>
      </c>
      <c r="AE63" s="49" t="s">
        <v>357</v>
      </c>
      <c r="AF63" s="49" t="s">
        <v>357</v>
      </c>
      <c r="AG63" s="49" t="s">
        <v>357</v>
      </c>
      <c r="AH63" s="49" t="s">
        <v>357</v>
      </c>
      <c r="AI63" s="39" t="s">
        <v>357</v>
      </c>
      <c r="AJ63" s="39" t="s">
        <v>357</v>
      </c>
      <c r="AK63" s="39" t="s">
        <v>357</v>
      </c>
      <c r="AL63" s="39" t="s">
        <v>357</v>
      </c>
      <c r="AM63" s="39" t="s">
        <v>357</v>
      </c>
      <c r="AN63" s="39" t="s">
        <v>357</v>
      </c>
      <c r="AO63" s="39" t="s">
        <v>357</v>
      </c>
      <c r="AP63" s="50" t="s">
        <v>357</v>
      </c>
      <c r="AQ63" s="50" t="s">
        <v>357</v>
      </c>
      <c r="AR63" s="49" t="s">
        <v>357</v>
      </c>
      <c r="AS63" s="49" t="s">
        <v>357</v>
      </c>
      <c r="AT63" s="49" t="s">
        <v>357</v>
      </c>
      <c r="AU63" s="49" t="s">
        <v>357</v>
      </c>
      <c r="AV63" s="49" t="s">
        <v>357</v>
      </c>
      <c r="AW63" s="32" t="s">
        <v>357</v>
      </c>
      <c r="AX63" s="32" t="s">
        <v>357</v>
      </c>
      <c r="AY63" s="50" t="s">
        <v>357</v>
      </c>
      <c r="AZ63" s="50" t="s">
        <v>357</v>
      </c>
      <c r="BA63" s="39" t="s">
        <v>357</v>
      </c>
      <c r="BB63" s="39" t="s">
        <v>357</v>
      </c>
      <c r="BC63" s="39" t="s">
        <v>357</v>
      </c>
      <c r="BD63" s="39" t="s">
        <v>357</v>
      </c>
      <c r="BE63" s="39" t="s">
        <v>357</v>
      </c>
      <c r="BF63" s="39" t="s">
        <v>357</v>
      </c>
      <c r="BG63" s="41" t="s">
        <v>357</v>
      </c>
      <c r="BH63" s="41" t="s">
        <v>357</v>
      </c>
      <c r="BI63" s="41"/>
    </row>
    <row r="64">
      <c r="A64" s="51" t="s">
        <v>639</v>
      </c>
      <c r="B64" s="53">
        <v>41.0</v>
      </c>
      <c r="C64" s="51" t="s">
        <v>577</v>
      </c>
      <c r="D64" s="18" t="s">
        <v>190</v>
      </c>
      <c r="E64" s="18" t="s">
        <v>190</v>
      </c>
      <c r="F64" s="18" t="s">
        <v>192</v>
      </c>
      <c r="G64" s="20" t="s">
        <v>1042</v>
      </c>
      <c r="H64" s="22" t="s">
        <v>198</v>
      </c>
      <c r="I64" s="26">
        <v>6.0</v>
      </c>
      <c r="J64" s="26" t="str">
        <f t="shared" ref="J64:J66" si="159">IF((I64&gt;=19),"S",IF(AND(I64&lt;19),"R", "NA"))</f>
        <v>R</v>
      </c>
      <c r="K64" s="26">
        <v>22.0</v>
      </c>
      <c r="L64" s="26" t="str">
        <f t="shared" ref="L64:L66" si="160">IF((K64&gt;=19),"S",IF(AND(K64&lt;19),"R", "NA"))</f>
        <v>S</v>
      </c>
      <c r="M64" s="26">
        <v>6.0</v>
      </c>
      <c r="N64" s="26" t="str">
        <f t="shared" ref="N64:N66" si="161">IF((M64&gt;=23),"S",IF(AND(M64&lt;23),"R","NA"))</f>
        <v>R</v>
      </c>
      <c r="O64" s="32" t="s">
        <v>357</v>
      </c>
      <c r="P64" s="32" t="s">
        <v>357</v>
      </c>
      <c r="Q64" s="26">
        <v>12.0</v>
      </c>
      <c r="R64" s="26" t="str">
        <f t="shared" ref="R64:R66" si="162">IF((Q64&gt;=20),"S",IF(AND(Q64&lt;20),"R", "NA"))</f>
        <v>R</v>
      </c>
      <c r="S64" s="26">
        <v>26.0</v>
      </c>
      <c r="T64" s="26" t="str">
        <f t="shared" ref="T64:T66" si="163">IF((S64&gt;=20),"S",IF(AND(S64&lt;20),"R", "NA"))</f>
        <v>S</v>
      </c>
      <c r="U64" s="26">
        <v>25.0</v>
      </c>
      <c r="V64" s="26" t="str">
        <f t="shared" ref="V64:V66" si="164">IF((U64&gt;=20),"S",IF(AND(U64&lt;20,U64&gt;=17),"I",IF(AND(U64&lt;17),"R","NA")))</f>
        <v>S</v>
      </c>
      <c r="W64" s="32" t="s">
        <v>299</v>
      </c>
      <c r="X64" s="33">
        <v>6.0</v>
      </c>
      <c r="Y64" s="33" t="str">
        <f t="shared" ref="Y64:Y66" si="165">IF((X64&gt;=20),"S",IF(AND(X64&lt;20,X64&gt;=17),"I",IF(AND(X64&lt;17),"R","NA")))</f>
        <v>R</v>
      </c>
      <c r="Z64" s="33">
        <v>27.0</v>
      </c>
      <c r="AA64" s="33" t="str">
        <f t="shared" ref="AA64:AA66" si="166">IF((Z64&gt;=18),"S",IF(AND(Z64&lt;18),"R", "NA"))</f>
        <v>S</v>
      </c>
      <c r="AB64" s="33">
        <v>20.0</v>
      </c>
      <c r="AC64" s="33" t="str">
        <f t="shared" ref="AC64:AC66" si="167">IF((AB64&gt;=22),"S",IF(AND(AB64&lt;22,AB64&gt;=19),"I",IF(AND(AB64&lt;19),"R","NA")))</f>
        <v>I</v>
      </c>
      <c r="AD64" s="33">
        <v>26.0</v>
      </c>
      <c r="AE64" s="33" t="str">
        <f t="shared" ref="AE64:AE66" si="168">IF((AD64&gt;=13),"S",IF(AND(AD64&lt;13),"R", "NA"))</f>
        <v>S</v>
      </c>
      <c r="AF64" s="33">
        <v>23.0</v>
      </c>
      <c r="AG64" s="33" t="str">
        <f t="shared" ref="AG64:AG66" si="169">IF((AF64&gt;=27),"S",IF(AND(AF64&lt;27,AF64&gt;=24),"I",IF(AND(AF64&lt;24),"R","NA")))</f>
        <v>R</v>
      </c>
      <c r="AH64" s="33" t="s">
        <v>299</v>
      </c>
      <c r="AI64" s="36">
        <v>29.0</v>
      </c>
      <c r="AJ64" s="36" t="str">
        <f t="shared" ref="AJ64:AJ66" si="170">IF((AI64&gt;=25),"S",IF(AND(AI64&lt;25,AI64&gt;=22),"I",IF(AND(AI64&lt;22),"R","NA")))</f>
        <v>S</v>
      </c>
      <c r="AK64" s="36">
        <v>26.0</v>
      </c>
      <c r="AL64" s="36" t="str">
        <f t="shared" ref="AL64:AL66" si="171">IF((AK64&gt;=23),"S",IF(AND(AK64&lt;23,AK64&gt;=19),"I",IF(AND(AK64&lt;19),"R","NA")))</f>
        <v>S</v>
      </c>
      <c r="AM64" s="36">
        <v>9.0</v>
      </c>
      <c r="AN64" s="36" t="str">
        <f t="shared" ref="AN64:AN66" si="172">IF((AM64&gt;=14),"S",IF(AND(AM64&lt;14),"R","NA"))</f>
        <v>R</v>
      </c>
      <c r="AO64" s="36" t="s">
        <v>299</v>
      </c>
      <c r="AP64" s="37">
        <v>6.0</v>
      </c>
      <c r="AQ64" s="37" t="str">
        <f t="shared" ref="AQ64:AQ66" si="173">IF((AP64&gt;=14),"S",IF(AND(AP64&lt;14,AP64&gt;=11),"I",IF(AND(AP64&lt;11),"R","NA")))</f>
        <v>R</v>
      </c>
      <c r="AR64" s="33">
        <v>22.0</v>
      </c>
      <c r="AS64" s="33" t="str">
        <f t="shared" ref="AS64:AS66" si="174">IF((AR64&gt;=18),"S",IF(AND(AR64&lt;18),"R", "NA"))</f>
        <v>S</v>
      </c>
      <c r="AT64" s="33">
        <v>21.0</v>
      </c>
      <c r="AU64" s="33" t="str">
        <f t="shared" ref="AU64:AU66" si="175">IF((AT64&gt;=16),"S",IF(AND(AT64&lt;16),"R", "NA"))</f>
        <v>S</v>
      </c>
      <c r="AV64" s="33" t="s">
        <v>300</v>
      </c>
      <c r="AW64" s="26">
        <v>20.0</v>
      </c>
      <c r="AX64" s="26" t="str">
        <f t="shared" ref="AX64:AX66" si="176">IF((AW64&gt;=20),"S",IF(AND(AW64&lt;20),"R", "NA"))</f>
        <v>S</v>
      </c>
      <c r="AY64" s="37">
        <v>21.0</v>
      </c>
      <c r="AZ64" s="37" t="str">
        <f t="shared" ref="AZ64:AZ66" si="177">IF((AY64&gt;=26),"S",IF(AND(AY64&lt;26,AY64&gt;=21),"I",IF(AND(AY64&lt;21),"R","NA")))</f>
        <v>I</v>
      </c>
      <c r="BA64" s="36">
        <v>29.0</v>
      </c>
      <c r="BB64" s="36" t="str">
        <f t="shared" ref="BB64:BB66" si="178">IF((BA64&gt;=23),"S",IF(AND(BA64&lt;23),"R","NA"))</f>
        <v>S</v>
      </c>
      <c r="BC64" s="39" t="s">
        <v>357</v>
      </c>
      <c r="BD64" s="39" t="s">
        <v>357</v>
      </c>
      <c r="BE64" s="36">
        <v>30.0</v>
      </c>
      <c r="BF64" s="36" t="str">
        <f t="shared" ref="BF64:BF66" si="179">IF((BE64&gt;=22),"S",IF(AND(BE64&lt;22,BE64&gt;=19),"I",IF(AND(BE64&lt;19),"R","NA")))</f>
        <v>S</v>
      </c>
      <c r="BG64" s="40">
        <v>22.0</v>
      </c>
      <c r="BH64" s="41" t="str">
        <f t="shared" ref="BH64:BH66" si="180">IF((BG64&gt;=17),"S",IF(AND(BG64&lt;17),"R", "NA"))</f>
        <v>S</v>
      </c>
      <c r="BI64" s="41"/>
    </row>
    <row r="65">
      <c r="A65" s="51" t="s">
        <v>639</v>
      </c>
      <c r="B65" s="51" t="s">
        <v>444</v>
      </c>
      <c r="C65" s="51" t="s">
        <v>931</v>
      </c>
      <c r="D65" s="18" t="s">
        <v>190</v>
      </c>
      <c r="E65" s="18" t="s">
        <v>190</v>
      </c>
      <c r="F65" s="18" t="s">
        <v>192</v>
      </c>
      <c r="G65" s="20" t="s">
        <v>1077</v>
      </c>
      <c r="H65" s="22" t="s">
        <v>198</v>
      </c>
      <c r="I65" s="26">
        <v>6.0</v>
      </c>
      <c r="J65" s="26" t="str">
        <f t="shared" si="159"/>
        <v>R</v>
      </c>
      <c r="K65" s="26">
        <v>24.0</v>
      </c>
      <c r="L65" s="26" t="str">
        <f t="shared" si="160"/>
        <v>S</v>
      </c>
      <c r="M65" s="26">
        <v>6.0</v>
      </c>
      <c r="N65" s="26" t="str">
        <f t="shared" si="161"/>
        <v>R</v>
      </c>
      <c r="O65" s="32" t="s">
        <v>357</v>
      </c>
      <c r="P65" s="32" t="s">
        <v>357</v>
      </c>
      <c r="Q65" s="26">
        <v>11.0</v>
      </c>
      <c r="R65" s="26" t="str">
        <f t="shared" si="162"/>
        <v>R</v>
      </c>
      <c r="S65" s="26">
        <v>25.0</v>
      </c>
      <c r="T65" s="26" t="str">
        <f t="shared" si="163"/>
        <v>S</v>
      </c>
      <c r="U65" s="26">
        <v>25.0</v>
      </c>
      <c r="V65" s="26" t="str">
        <f t="shared" si="164"/>
        <v>S</v>
      </c>
      <c r="W65" s="32" t="s">
        <v>299</v>
      </c>
      <c r="X65" s="33">
        <v>8.0</v>
      </c>
      <c r="Y65" s="33" t="str">
        <f t="shared" si="165"/>
        <v>R</v>
      </c>
      <c r="Z65" s="33">
        <v>29.0</v>
      </c>
      <c r="AA65" s="33" t="str">
        <f t="shared" si="166"/>
        <v>S</v>
      </c>
      <c r="AB65" s="33">
        <v>22.0</v>
      </c>
      <c r="AC65" s="33" t="str">
        <f t="shared" si="167"/>
        <v>S</v>
      </c>
      <c r="AD65" s="33">
        <v>26.0</v>
      </c>
      <c r="AE65" s="33" t="str">
        <f t="shared" si="168"/>
        <v>S</v>
      </c>
      <c r="AF65" s="33">
        <v>25.0</v>
      </c>
      <c r="AG65" s="33" t="str">
        <f t="shared" si="169"/>
        <v>I</v>
      </c>
      <c r="AH65" s="33" t="s">
        <v>299</v>
      </c>
      <c r="AI65" s="36">
        <v>28.0</v>
      </c>
      <c r="AJ65" s="36" t="str">
        <f t="shared" si="170"/>
        <v>S</v>
      </c>
      <c r="AK65" s="36">
        <v>28.0</v>
      </c>
      <c r="AL65" s="36" t="str">
        <f t="shared" si="171"/>
        <v>S</v>
      </c>
      <c r="AM65" s="36">
        <v>8.0</v>
      </c>
      <c r="AN65" s="36" t="str">
        <f t="shared" si="172"/>
        <v>R</v>
      </c>
      <c r="AO65" s="36" t="s">
        <v>299</v>
      </c>
      <c r="AP65" s="37">
        <v>6.0</v>
      </c>
      <c r="AQ65" s="37" t="str">
        <f t="shared" si="173"/>
        <v>R</v>
      </c>
      <c r="AR65" s="33">
        <v>23.0</v>
      </c>
      <c r="AS65" s="33" t="str">
        <f t="shared" si="174"/>
        <v>S</v>
      </c>
      <c r="AT65" s="33">
        <v>18.0</v>
      </c>
      <c r="AU65" s="33" t="str">
        <f t="shared" si="175"/>
        <v>S</v>
      </c>
      <c r="AV65" s="33" t="s">
        <v>300</v>
      </c>
      <c r="AW65" s="26">
        <v>20.0</v>
      </c>
      <c r="AX65" s="26" t="str">
        <f t="shared" si="176"/>
        <v>S</v>
      </c>
      <c r="AY65" s="37">
        <v>20.0</v>
      </c>
      <c r="AZ65" s="37" t="str">
        <f t="shared" si="177"/>
        <v>R</v>
      </c>
      <c r="BA65" s="36">
        <v>32.0</v>
      </c>
      <c r="BB65" s="36" t="str">
        <f t="shared" si="178"/>
        <v>S</v>
      </c>
      <c r="BC65" s="39" t="s">
        <v>357</v>
      </c>
      <c r="BD65" s="39" t="s">
        <v>357</v>
      </c>
      <c r="BE65" s="36">
        <v>31.0</v>
      </c>
      <c r="BF65" s="36" t="str">
        <f t="shared" si="179"/>
        <v>S</v>
      </c>
      <c r="BG65" s="40">
        <v>21.0</v>
      </c>
      <c r="BH65" s="41" t="str">
        <f t="shared" si="180"/>
        <v>S</v>
      </c>
      <c r="BI65" s="41"/>
    </row>
    <row r="66">
      <c r="A66" s="51" t="s">
        <v>639</v>
      </c>
      <c r="B66" s="53">
        <v>42.0</v>
      </c>
      <c r="C66" s="51" t="s">
        <v>936</v>
      </c>
      <c r="D66" s="18" t="s">
        <v>190</v>
      </c>
      <c r="E66" s="18" t="s">
        <v>190</v>
      </c>
      <c r="F66" s="18" t="s">
        <v>192</v>
      </c>
      <c r="G66" s="20" t="s">
        <v>1082</v>
      </c>
      <c r="H66" s="22" t="s">
        <v>198</v>
      </c>
      <c r="I66" s="26">
        <v>6.0</v>
      </c>
      <c r="J66" s="26" t="str">
        <f t="shared" si="159"/>
        <v>R</v>
      </c>
      <c r="K66" s="26">
        <v>23.0</v>
      </c>
      <c r="L66" s="26" t="str">
        <f t="shared" si="160"/>
        <v>S</v>
      </c>
      <c r="M66" s="26">
        <v>6.0</v>
      </c>
      <c r="N66" s="26" t="str">
        <f t="shared" si="161"/>
        <v>R</v>
      </c>
      <c r="O66" s="32" t="s">
        <v>357</v>
      </c>
      <c r="P66" s="32" t="s">
        <v>357</v>
      </c>
      <c r="Q66" s="26">
        <v>9.0</v>
      </c>
      <c r="R66" s="26" t="str">
        <f t="shared" si="162"/>
        <v>R</v>
      </c>
      <c r="S66" s="26">
        <v>25.0</v>
      </c>
      <c r="T66" s="26" t="str">
        <f t="shared" si="163"/>
        <v>S</v>
      </c>
      <c r="U66" s="26">
        <v>23.0</v>
      </c>
      <c r="V66" s="26" t="str">
        <f t="shared" si="164"/>
        <v>S</v>
      </c>
      <c r="W66" s="32" t="s">
        <v>299</v>
      </c>
      <c r="X66" s="33">
        <v>6.0</v>
      </c>
      <c r="Y66" s="33" t="str">
        <f t="shared" si="165"/>
        <v>R</v>
      </c>
      <c r="Z66" s="33">
        <v>25.0</v>
      </c>
      <c r="AA66" s="33" t="str">
        <f t="shared" si="166"/>
        <v>S</v>
      </c>
      <c r="AB66" s="33">
        <v>17.0</v>
      </c>
      <c r="AC66" s="33" t="str">
        <f t="shared" si="167"/>
        <v>R</v>
      </c>
      <c r="AD66" s="33">
        <v>25.0</v>
      </c>
      <c r="AE66" s="33" t="str">
        <f t="shared" si="168"/>
        <v>S</v>
      </c>
      <c r="AF66" s="33">
        <v>17.0</v>
      </c>
      <c r="AG66" s="33" t="str">
        <f t="shared" si="169"/>
        <v>R</v>
      </c>
      <c r="AH66" s="33" t="s">
        <v>299</v>
      </c>
      <c r="AI66" s="36">
        <v>23.0</v>
      </c>
      <c r="AJ66" s="36" t="str">
        <f t="shared" si="170"/>
        <v>I</v>
      </c>
      <c r="AK66" s="36">
        <v>25.0</v>
      </c>
      <c r="AL66" s="36" t="str">
        <f t="shared" si="171"/>
        <v>S</v>
      </c>
      <c r="AM66" s="36">
        <v>25.0</v>
      </c>
      <c r="AN66" s="36" t="str">
        <f t="shared" si="172"/>
        <v>S</v>
      </c>
      <c r="AO66" s="36" t="s">
        <v>300</v>
      </c>
      <c r="AP66" s="37">
        <v>6.0</v>
      </c>
      <c r="AQ66" s="37" t="str">
        <f t="shared" si="173"/>
        <v>R</v>
      </c>
      <c r="AR66" s="33">
        <v>20.0</v>
      </c>
      <c r="AS66" s="33" t="str">
        <f t="shared" si="174"/>
        <v>S</v>
      </c>
      <c r="AT66" s="33">
        <v>19.0</v>
      </c>
      <c r="AU66" s="33" t="str">
        <f t="shared" si="175"/>
        <v>S</v>
      </c>
      <c r="AV66" s="33" t="s">
        <v>300</v>
      </c>
      <c r="AW66" s="26">
        <v>22.0</v>
      </c>
      <c r="AX66" s="26" t="str">
        <f t="shared" si="176"/>
        <v>S</v>
      </c>
      <c r="AY66" s="37">
        <v>11.0</v>
      </c>
      <c r="AZ66" s="37" t="str">
        <f t="shared" si="177"/>
        <v>R</v>
      </c>
      <c r="BA66" s="36">
        <v>29.0</v>
      </c>
      <c r="BB66" s="36" t="str">
        <f t="shared" si="178"/>
        <v>S</v>
      </c>
      <c r="BC66" s="39" t="s">
        <v>357</v>
      </c>
      <c r="BD66" s="39" t="s">
        <v>357</v>
      </c>
      <c r="BE66" s="36">
        <v>31.0</v>
      </c>
      <c r="BF66" s="36" t="str">
        <f t="shared" si="179"/>
        <v>S</v>
      </c>
      <c r="BG66" s="40">
        <v>19.0</v>
      </c>
      <c r="BH66" s="41" t="str">
        <f t="shared" si="180"/>
        <v>S</v>
      </c>
      <c r="BI66" s="41"/>
    </row>
    <row r="67">
      <c r="A67" s="51" t="s">
        <v>639</v>
      </c>
      <c r="B67" s="53">
        <v>43.0</v>
      </c>
      <c r="C67" s="51" t="s">
        <v>942</v>
      </c>
      <c r="D67" s="18" t="s">
        <v>571</v>
      </c>
      <c r="E67" s="18" t="s">
        <v>572</v>
      </c>
      <c r="F67" s="18" t="s">
        <v>573</v>
      </c>
      <c r="G67" s="20" t="s">
        <v>357</v>
      </c>
      <c r="H67" s="47" t="s">
        <v>357</v>
      </c>
      <c r="I67" s="32" t="s">
        <v>357</v>
      </c>
      <c r="J67" s="32" t="s">
        <v>357</v>
      </c>
      <c r="K67" s="32" t="s">
        <v>357</v>
      </c>
      <c r="L67" s="32" t="s">
        <v>357</v>
      </c>
      <c r="M67" s="32" t="s">
        <v>357</v>
      </c>
      <c r="N67" s="32" t="s">
        <v>357</v>
      </c>
      <c r="O67" s="32" t="s">
        <v>357</v>
      </c>
      <c r="P67" s="32" t="s">
        <v>357</v>
      </c>
      <c r="Q67" s="32" t="s">
        <v>357</v>
      </c>
      <c r="R67" s="32" t="s">
        <v>357</v>
      </c>
      <c r="S67" s="32" t="s">
        <v>357</v>
      </c>
      <c r="T67" s="32" t="s">
        <v>357</v>
      </c>
      <c r="U67" s="32" t="s">
        <v>357</v>
      </c>
      <c r="V67" s="32" t="s">
        <v>357</v>
      </c>
      <c r="W67" s="32" t="s">
        <v>357</v>
      </c>
      <c r="X67" s="49" t="s">
        <v>357</v>
      </c>
      <c r="Y67" s="49" t="s">
        <v>357</v>
      </c>
      <c r="Z67" s="49" t="s">
        <v>357</v>
      </c>
      <c r="AA67" s="49" t="s">
        <v>357</v>
      </c>
      <c r="AB67" s="49" t="s">
        <v>357</v>
      </c>
      <c r="AC67" s="49" t="s">
        <v>357</v>
      </c>
      <c r="AD67" s="49" t="s">
        <v>357</v>
      </c>
      <c r="AE67" s="49" t="s">
        <v>357</v>
      </c>
      <c r="AF67" s="49" t="s">
        <v>357</v>
      </c>
      <c r="AG67" s="49" t="s">
        <v>357</v>
      </c>
      <c r="AH67" s="49" t="s">
        <v>357</v>
      </c>
      <c r="AI67" s="39" t="s">
        <v>357</v>
      </c>
      <c r="AJ67" s="39" t="s">
        <v>357</v>
      </c>
      <c r="AK67" s="39" t="s">
        <v>357</v>
      </c>
      <c r="AL67" s="39" t="s">
        <v>357</v>
      </c>
      <c r="AM67" s="39" t="s">
        <v>357</v>
      </c>
      <c r="AN67" s="39" t="s">
        <v>357</v>
      </c>
      <c r="AO67" s="39" t="s">
        <v>357</v>
      </c>
      <c r="AP67" s="50" t="s">
        <v>357</v>
      </c>
      <c r="AQ67" s="50" t="s">
        <v>357</v>
      </c>
      <c r="AR67" s="49" t="s">
        <v>357</v>
      </c>
      <c r="AS67" s="49" t="s">
        <v>357</v>
      </c>
      <c r="AT67" s="49" t="s">
        <v>357</v>
      </c>
      <c r="AU67" s="49" t="s">
        <v>357</v>
      </c>
      <c r="AV67" s="49" t="s">
        <v>357</v>
      </c>
      <c r="AW67" s="32" t="s">
        <v>357</v>
      </c>
      <c r="AX67" s="32" t="s">
        <v>357</v>
      </c>
      <c r="AY67" s="50" t="s">
        <v>357</v>
      </c>
      <c r="AZ67" s="50" t="s">
        <v>357</v>
      </c>
      <c r="BA67" s="39" t="s">
        <v>357</v>
      </c>
      <c r="BB67" s="39" t="s">
        <v>357</v>
      </c>
      <c r="BC67" s="39" t="s">
        <v>357</v>
      </c>
      <c r="BD67" s="39" t="s">
        <v>357</v>
      </c>
      <c r="BE67" s="39" t="s">
        <v>357</v>
      </c>
      <c r="BF67" s="39" t="s">
        <v>357</v>
      </c>
      <c r="BG67" s="41" t="s">
        <v>357</v>
      </c>
      <c r="BH67" s="41" t="s">
        <v>357</v>
      </c>
      <c r="BI67" s="41"/>
    </row>
    <row r="68">
      <c r="A68" s="51" t="s">
        <v>639</v>
      </c>
      <c r="B68" s="53">
        <v>44.0</v>
      </c>
      <c r="C68" s="51" t="s">
        <v>589</v>
      </c>
      <c r="D68" s="18" t="s">
        <v>705</v>
      </c>
      <c r="E68" s="18" t="s">
        <v>572</v>
      </c>
      <c r="F68" s="18" t="s">
        <v>192</v>
      </c>
      <c r="G68" s="20" t="s">
        <v>1090</v>
      </c>
      <c r="H68" s="59" t="s">
        <v>1092</v>
      </c>
      <c r="I68" s="26">
        <v>6.0</v>
      </c>
      <c r="J68" s="26" t="str">
        <f t="shared" ref="J68:J69" si="181">IF((I68&gt;=19),"S",IF(AND(I68&lt;19),"R", "NA"))</f>
        <v>R</v>
      </c>
      <c r="K68" s="26">
        <v>8.0</v>
      </c>
      <c r="L68" s="26" t="str">
        <f t="shared" ref="L68:L69" si="182">IF((K68&gt;=19),"S",IF(AND(K68&lt;19),"R", "NA"))</f>
        <v>R</v>
      </c>
      <c r="M68" s="26">
        <v>28.0</v>
      </c>
      <c r="N68" s="26" t="str">
        <f t="shared" ref="N68:N69" si="183">IF((M68&gt;=23),"S",IF(AND(M68&lt;23),"R","NA"))</f>
        <v>S</v>
      </c>
      <c r="O68" s="32" t="s">
        <v>357</v>
      </c>
      <c r="P68" s="32" t="s">
        <v>357</v>
      </c>
      <c r="Q68" s="26">
        <v>29.0</v>
      </c>
      <c r="R68" s="26" t="str">
        <f t="shared" ref="R68:R69" si="184">IF((Q68&gt;=20),"S",IF(AND(Q68&lt;20),"R", "NA"))</f>
        <v>S</v>
      </c>
      <c r="S68" s="26">
        <v>25.0</v>
      </c>
      <c r="T68" s="26" t="str">
        <f t="shared" ref="T68:T69" si="185">IF((S68&gt;=20),"S",IF(AND(S68&lt;20),"R", "NA"))</f>
        <v>S</v>
      </c>
      <c r="U68" s="26">
        <v>25.0</v>
      </c>
      <c r="V68" s="26" t="str">
        <f t="shared" ref="V68:V69" si="186">IF((U68&gt;=20),"S",IF(AND(U68&lt;20,U68&gt;=17),"I",IF(AND(U68&lt;17),"R","NA")))</f>
        <v>S</v>
      </c>
      <c r="W68" s="32" t="s">
        <v>299</v>
      </c>
      <c r="X68" s="33">
        <v>26.0</v>
      </c>
      <c r="Y68" s="33" t="str">
        <f t="shared" ref="Y68:Y69" si="187">IF((X68&gt;=20),"S",IF(AND(X68&lt;20,X68&gt;=17),"I",IF(AND(X68&lt;17),"R","NA")))</f>
        <v>S</v>
      </c>
      <c r="Z68" s="33">
        <v>6.0</v>
      </c>
      <c r="AA68" s="33" t="str">
        <f t="shared" ref="AA68:AA69" si="188">IF((Z68&gt;=18),"S",IF(AND(Z68&lt;18),"R", "NA"))</f>
        <v>R</v>
      </c>
      <c r="AB68" s="33">
        <v>28.0</v>
      </c>
      <c r="AC68" s="33" t="str">
        <f t="shared" ref="AC68:AC69" si="189">IF((AB68&gt;=22),"S",IF(AND(AB68&lt;22,AB68&gt;=19),"I",IF(AND(AB68&lt;19),"R","NA")))</f>
        <v>S</v>
      </c>
      <c r="AD68" s="33">
        <v>28.0</v>
      </c>
      <c r="AE68" s="33" t="str">
        <f t="shared" ref="AE68:AE69" si="190">IF((AD68&gt;=13),"S",IF(AND(AD68&lt;13),"R", "NA"))</f>
        <v>S</v>
      </c>
      <c r="AF68" s="33">
        <v>35.0</v>
      </c>
      <c r="AG68" s="33" t="str">
        <f t="shared" ref="AG68:AG69" si="191">IF((AF68&gt;=27),"S",IF(AND(AF68&lt;27,AF68&gt;=24),"I",IF(AND(AF68&lt;24),"R","NA")))</f>
        <v>S</v>
      </c>
      <c r="AH68" s="33" t="s">
        <v>299</v>
      </c>
      <c r="AI68" s="36">
        <v>28.0</v>
      </c>
      <c r="AJ68" s="36" t="str">
        <f t="shared" ref="AJ68:AJ69" si="192">IF((AI68&gt;=25),"S",IF(AND(AI68&lt;25,AI68&gt;=22),"I",IF(AND(AI68&lt;22),"R","NA")))</f>
        <v>S</v>
      </c>
      <c r="AK68" s="36">
        <v>25.0</v>
      </c>
      <c r="AL68" s="36" t="str">
        <f t="shared" ref="AL68:AL69" si="193">IF((AK68&gt;=23),"S",IF(AND(AK68&lt;23,AK68&gt;=19),"I",IF(AND(AK68&lt;19),"R","NA")))</f>
        <v>S</v>
      </c>
      <c r="AM68" s="36">
        <v>23.0</v>
      </c>
      <c r="AN68" s="36" t="str">
        <f t="shared" ref="AN68:AN69" si="194">IF((AM68&gt;=14),"S",IF(AND(AM68&lt;14),"R","NA"))</f>
        <v>S</v>
      </c>
      <c r="AO68" s="36" t="s">
        <v>300</v>
      </c>
      <c r="AP68" s="37">
        <v>30.0</v>
      </c>
      <c r="AQ68" s="37" t="str">
        <f t="shared" ref="AQ68:AQ69" si="195">IF((AP68&gt;=14),"S",IF(AND(AP68&lt;14,AP68&gt;=11),"I",IF(AND(AP68&lt;11),"R","NA")))</f>
        <v>S</v>
      </c>
      <c r="AR68" s="33">
        <v>22.0</v>
      </c>
      <c r="AS68" s="33" t="str">
        <f t="shared" ref="AS68:AS69" si="196">IF((AR68&gt;=18),"S",IF(AND(AR68&lt;18),"R", "NA"))</f>
        <v>S</v>
      </c>
      <c r="AT68" s="33">
        <v>22.0</v>
      </c>
      <c r="AU68" s="33" t="str">
        <f t="shared" ref="AU68:AU69" si="197">IF((AT68&gt;=16),"S",IF(AND(AT68&lt;16),"R", "NA"))</f>
        <v>S</v>
      </c>
      <c r="AV68" s="33" t="s">
        <v>300</v>
      </c>
      <c r="AW68" s="26">
        <v>17.0</v>
      </c>
      <c r="AX68" s="26" t="str">
        <f t="shared" ref="AX68:AX69" si="198">IF((AW68&gt;=20),"S",IF(AND(AW68&lt;20),"R", "NA"))</f>
        <v>R</v>
      </c>
      <c r="AY68" s="37">
        <v>34.0</v>
      </c>
      <c r="AZ68" s="37" t="str">
        <f t="shared" ref="AZ68:AZ69" si="199">IF((AY68&gt;=26),"S",IF(AND(AY68&lt;26,AY68&gt;=21),"I",IF(AND(AY68&lt;21),"R","NA")))</f>
        <v>S</v>
      </c>
      <c r="BA68" s="36">
        <v>31.0</v>
      </c>
      <c r="BB68" s="36" t="str">
        <f t="shared" ref="BB68:BB69" si="200">IF((BA68&gt;=23),"S",IF(AND(BA68&lt;23),"R","NA"))</f>
        <v>S</v>
      </c>
      <c r="BC68" s="39" t="s">
        <v>357</v>
      </c>
      <c r="BD68" s="39" t="s">
        <v>357</v>
      </c>
      <c r="BE68" s="36">
        <v>26.0</v>
      </c>
      <c r="BF68" s="36" t="str">
        <f t="shared" ref="BF68:BF69" si="201">IF((BE68&gt;=22),"S",IF(AND(BE68&lt;22,BE68&gt;=19),"I",IF(AND(BE68&lt;19),"R","NA")))</f>
        <v>S</v>
      </c>
      <c r="BG68" s="40">
        <v>22.0</v>
      </c>
      <c r="BH68" s="41" t="str">
        <f t="shared" ref="BH68:BH69" si="202">IF((BG68&gt;=17),"S",IF(AND(BG68&lt;17),"R", "NA"))</f>
        <v>S</v>
      </c>
      <c r="BI68" s="41"/>
    </row>
    <row r="69">
      <c r="A69" s="51" t="s">
        <v>639</v>
      </c>
      <c r="B69" s="51" t="s">
        <v>444</v>
      </c>
      <c r="C69" s="51" t="s">
        <v>954</v>
      </c>
      <c r="D69" s="18" t="s">
        <v>705</v>
      </c>
      <c r="E69" s="18" t="s">
        <v>572</v>
      </c>
      <c r="F69" s="18" t="s">
        <v>192</v>
      </c>
      <c r="G69" s="20" t="s">
        <v>1125</v>
      </c>
      <c r="H69" s="59" t="s">
        <v>1126</v>
      </c>
      <c r="I69" s="26">
        <v>6.0</v>
      </c>
      <c r="J69" s="26" t="str">
        <f t="shared" si="181"/>
        <v>R</v>
      </c>
      <c r="K69" s="26">
        <v>6.0</v>
      </c>
      <c r="L69" s="26" t="str">
        <f t="shared" si="182"/>
        <v>R</v>
      </c>
      <c r="M69" s="26">
        <v>24.0</v>
      </c>
      <c r="N69" s="26" t="str">
        <f t="shared" si="183"/>
        <v>S</v>
      </c>
      <c r="O69" s="32" t="s">
        <v>357</v>
      </c>
      <c r="P69" s="32" t="s">
        <v>357</v>
      </c>
      <c r="Q69" s="26">
        <v>28.0</v>
      </c>
      <c r="R69" s="26" t="str">
        <f t="shared" si="184"/>
        <v>S</v>
      </c>
      <c r="S69" s="26">
        <v>24.0</v>
      </c>
      <c r="T69" s="26" t="str">
        <f t="shared" si="185"/>
        <v>S</v>
      </c>
      <c r="U69" s="26">
        <v>25.0</v>
      </c>
      <c r="V69" s="26" t="str">
        <f t="shared" si="186"/>
        <v>S</v>
      </c>
      <c r="W69" s="32" t="s">
        <v>299</v>
      </c>
      <c r="X69" s="33">
        <v>23.0</v>
      </c>
      <c r="Y69" s="33" t="str">
        <f t="shared" si="187"/>
        <v>S</v>
      </c>
      <c r="Z69" s="33">
        <v>6.0</v>
      </c>
      <c r="AA69" s="33" t="str">
        <f t="shared" si="188"/>
        <v>R</v>
      </c>
      <c r="AB69" s="33">
        <v>27.0</v>
      </c>
      <c r="AC69" s="33" t="str">
        <f t="shared" si="189"/>
        <v>S</v>
      </c>
      <c r="AD69" s="33">
        <v>25.0</v>
      </c>
      <c r="AE69" s="33" t="str">
        <f t="shared" si="190"/>
        <v>S</v>
      </c>
      <c r="AF69" s="33">
        <v>38.0</v>
      </c>
      <c r="AG69" s="33" t="str">
        <f t="shared" si="191"/>
        <v>S</v>
      </c>
      <c r="AH69" s="33" t="s">
        <v>299</v>
      </c>
      <c r="AI69" s="36">
        <v>27.0</v>
      </c>
      <c r="AJ69" s="36" t="str">
        <f t="shared" si="192"/>
        <v>S</v>
      </c>
      <c r="AK69" s="36">
        <v>24.0</v>
      </c>
      <c r="AL69" s="36" t="str">
        <f t="shared" si="193"/>
        <v>S</v>
      </c>
      <c r="AM69" s="36">
        <v>24.0</v>
      </c>
      <c r="AN69" s="36" t="str">
        <f t="shared" si="194"/>
        <v>S</v>
      </c>
      <c r="AO69" s="36" t="s">
        <v>300</v>
      </c>
      <c r="AP69" s="37">
        <v>29.0</v>
      </c>
      <c r="AQ69" s="37" t="str">
        <f t="shared" si="195"/>
        <v>S</v>
      </c>
      <c r="AR69" s="33">
        <v>24.0</v>
      </c>
      <c r="AS69" s="33" t="str">
        <f t="shared" si="196"/>
        <v>S</v>
      </c>
      <c r="AT69" s="33">
        <v>21.0</v>
      </c>
      <c r="AU69" s="33" t="str">
        <f t="shared" si="197"/>
        <v>S</v>
      </c>
      <c r="AV69" s="33" t="s">
        <v>300</v>
      </c>
      <c r="AW69" s="26">
        <v>18.0</v>
      </c>
      <c r="AX69" s="26" t="str">
        <f t="shared" si="198"/>
        <v>R</v>
      </c>
      <c r="AY69" s="37">
        <v>34.0</v>
      </c>
      <c r="AZ69" s="37" t="str">
        <f t="shared" si="199"/>
        <v>S</v>
      </c>
      <c r="BA69" s="36">
        <v>23.0</v>
      </c>
      <c r="BB69" s="36" t="str">
        <f t="shared" si="200"/>
        <v>S</v>
      </c>
      <c r="BC69" s="36">
        <v>0.25</v>
      </c>
      <c r="BD69" s="36" t="str">
        <f>IF((BC69&lt;=0.5),"S",IF(AND(BC69&gt;0.5),"R", "NA"))</f>
        <v>S</v>
      </c>
      <c r="BE69" s="36">
        <v>26.0</v>
      </c>
      <c r="BF69" s="36" t="str">
        <f t="shared" si="201"/>
        <v>S</v>
      </c>
      <c r="BG69" s="40">
        <v>23.0</v>
      </c>
      <c r="BH69" s="41" t="str">
        <f t="shared" si="202"/>
        <v>S</v>
      </c>
      <c r="BI69" s="41"/>
    </row>
    <row r="70">
      <c r="A70" s="51" t="s">
        <v>639</v>
      </c>
      <c r="B70" s="53">
        <v>45.0</v>
      </c>
      <c r="C70" s="51" t="s">
        <v>963</v>
      </c>
      <c r="D70" s="18" t="s">
        <v>853</v>
      </c>
      <c r="E70" s="18" t="s">
        <v>103</v>
      </c>
      <c r="F70" s="18" t="s">
        <v>573</v>
      </c>
      <c r="G70" s="20" t="s">
        <v>357</v>
      </c>
      <c r="H70" s="47" t="s">
        <v>357</v>
      </c>
      <c r="I70" s="32" t="s">
        <v>357</v>
      </c>
      <c r="J70" s="32" t="s">
        <v>357</v>
      </c>
      <c r="K70" s="32" t="s">
        <v>357</v>
      </c>
      <c r="L70" s="32" t="s">
        <v>357</v>
      </c>
      <c r="M70" s="32" t="s">
        <v>357</v>
      </c>
      <c r="N70" s="32" t="s">
        <v>357</v>
      </c>
      <c r="O70" s="32" t="s">
        <v>357</v>
      </c>
      <c r="P70" s="32" t="s">
        <v>357</v>
      </c>
      <c r="Q70" s="32" t="s">
        <v>357</v>
      </c>
      <c r="R70" s="32" t="s">
        <v>357</v>
      </c>
      <c r="S70" s="32" t="s">
        <v>357</v>
      </c>
      <c r="T70" s="32" t="s">
        <v>357</v>
      </c>
      <c r="U70" s="32" t="s">
        <v>357</v>
      </c>
      <c r="V70" s="32" t="s">
        <v>357</v>
      </c>
      <c r="W70" s="32" t="s">
        <v>357</v>
      </c>
      <c r="X70" s="49" t="s">
        <v>357</v>
      </c>
      <c r="Y70" s="49" t="s">
        <v>357</v>
      </c>
      <c r="Z70" s="49" t="s">
        <v>357</v>
      </c>
      <c r="AA70" s="49" t="s">
        <v>357</v>
      </c>
      <c r="AB70" s="49" t="s">
        <v>357</v>
      </c>
      <c r="AC70" s="49" t="s">
        <v>357</v>
      </c>
      <c r="AD70" s="49" t="s">
        <v>357</v>
      </c>
      <c r="AE70" s="49" t="s">
        <v>357</v>
      </c>
      <c r="AF70" s="49" t="s">
        <v>357</v>
      </c>
      <c r="AG70" s="49" t="s">
        <v>357</v>
      </c>
      <c r="AH70" s="49" t="s">
        <v>357</v>
      </c>
      <c r="AI70" s="39" t="s">
        <v>357</v>
      </c>
      <c r="AJ70" s="39" t="s">
        <v>357</v>
      </c>
      <c r="AK70" s="39" t="s">
        <v>357</v>
      </c>
      <c r="AL70" s="39" t="s">
        <v>357</v>
      </c>
      <c r="AM70" s="39" t="s">
        <v>357</v>
      </c>
      <c r="AN70" s="39" t="s">
        <v>357</v>
      </c>
      <c r="AO70" s="39" t="s">
        <v>357</v>
      </c>
      <c r="AP70" s="50" t="s">
        <v>357</v>
      </c>
      <c r="AQ70" s="50" t="s">
        <v>357</v>
      </c>
      <c r="AR70" s="49" t="s">
        <v>357</v>
      </c>
      <c r="AS70" s="49" t="s">
        <v>357</v>
      </c>
      <c r="AT70" s="49" t="s">
        <v>357</v>
      </c>
      <c r="AU70" s="49" t="s">
        <v>357</v>
      </c>
      <c r="AV70" s="49" t="s">
        <v>357</v>
      </c>
      <c r="AW70" s="32" t="s">
        <v>357</v>
      </c>
      <c r="AX70" s="32" t="s">
        <v>357</v>
      </c>
      <c r="AY70" s="50" t="s">
        <v>357</v>
      </c>
      <c r="AZ70" s="50" t="s">
        <v>357</v>
      </c>
      <c r="BA70" s="39" t="s">
        <v>357</v>
      </c>
      <c r="BB70" s="39" t="s">
        <v>357</v>
      </c>
      <c r="BC70" s="39" t="s">
        <v>357</v>
      </c>
      <c r="BD70" s="39" t="s">
        <v>357</v>
      </c>
      <c r="BE70" s="39" t="s">
        <v>357</v>
      </c>
      <c r="BF70" s="39" t="s">
        <v>357</v>
      </c>
      <c r="BG70" s="41" t="s">
        <v>357</v>
      </c>
      <c r="BH70" s="41" t="s">
        <v>357</v>
      </c>
      <c r="BI70" s="41"/>
    </row>
    <row r="71">
      <c r="A71" s="21" t="s">
        <v>611</v>
      </c>
      <c r="B71" s="23">
        <v>46.0</v>
      </c>
      <c r="C71" s="21" t="s">
        <v>967</v>
      </c>
      <c r="D71" s="18" t="s">
        <v>190</v>
      </c>
      <c r="E71" s="18" t="s">
        <v>190</v>
      </c>
      <c r="F71" s="18" t="s">
        <v>192</v>
      </c>
      <c r="G71" s="20" t="s">
        <v>1138</v>
      </c>
      <c r="H71" s="22" t="s">
        <v>198</v>
      </c>
      <c r="I71" s="26">
        <v>6.0</v>
      </c>
      <c r="J71" s="26" t="str">
        <f>IF((I71&gt;=19),"S",IF(AND(I71&lt;19),"R", "NA"))</f>
        <v>R</v>
      </c>
      <c r="K71" s="26">
        <v>18.0</v>
      </c>
      <c r="L71" s="26" t="str">
        <f>IF((K71&gt;=19),"S",IF(AND(K71&lt;19),"R", "NA"))</f>
        <v>R</v>
      </c>
      <c r="M71" s="26">
        <v>6.0</v>
      </c>
      <c r="N71" s="26" t="str">
        <f>IF((M71&gt;=23),"S",IF(AND(M71&lt;23),"R","NA"))</f>
        <v>R</v>
      </c>
      <c r="O71" s="32" t="s">
        <v>357</v>
      </c>
      <c r="P71" s="32" t="s">
        <v>357</v>
      </c>
      <c r="Q71" s="26">
        <v>12.0</v>
      </c>
      <c r="R71" s="26" t="str">
        <f>IF((Q71&gt;=20),"S",IF(AND(Q71&lt;20),"R", "NA"))</f>
        <v>R</v>
      </c>
      <c r="S71" s="26">
        <v>22.0</v>
      </c>
      <c r="T71" s="26" t="str">
        <f>IF((S71&gt;=20),"S",IF(AND(S71&lt;20),"R", "NA"))</f>
        <v>S</v>
      </c>
      <c r="U71" s="32" t="s">
        <v>357</v>
      </c>
      <c r="V71" s="26" t="s">
        <v>357</v>
      </c>
      <c r="W71" s="32" t="s">
        <v>299</v>
      </c>
      <c r="X71" s="33">
        <v>6.0</v>
      </c>
      <c r="Y71" s="33" t="str">
        <f>IF((X71&gt;=20),"S",IF(AND(X71&lt;20,X71&gt;=17),"I",IF(AND(X71&lt;17),"R","NA")))</f>
        <v>R</v>
      </c>
      <c r="Z71" s="33">
        <v>25.0</v>
      </c>
      <c r="AA71" s="33" t="str">
        <f>IF((Z71&gt;=18),"S",IF(AND(Z71&lt;18),"R", "NA"))</f>
        <v>S</v>
      </c>
      <c r="AB71" s="33">
        <v>18.0</v>
      </c>
      <c r="AC71" s="33" t="str">
        <f>IF((AB71&gt;=22),"S",IF(AND(AB71&lt;22,AB71&gt;=19),"I",IF(AND(AB71&lt;19),"R","NA")))</f>
        <v>R</v>
      </c>
      <c r="AD71" s="33">
        <v>26.0</v>
      </c>
      <c r="AE71" s="33" t="str">
        <f>IF((AD71&gt;=13),"S",IF(AND(AD71&lt;13),"R", "NA"))</f>
        <v>S</v>
      </c>
      <c r="AF71" s="33">
        <v>20.0</v>
      </c>
      <c r="AG71" s="33" t="str">
        <f>IF((AF71&gt;=27),"S",IF(AND(AF71&lt;27,AF71&gt;=24),"I",IF(AND(AF71&lt;24),"R","NA")))</f>
        <v>R</v>
      </c>
      <c r="AH71" s="33" t="s">
        <v>299</v>
      </c>
      <c r="AI71" s="36">
        <v>6.0</v>
      </c>
      <c r="AJ71" s="36" t="str">
        <f>IF((AI71&gt;=25),"S",IF(AND(AI71&lt;25,AI71&gt;=22),"I",IF(AND(AI71&lt;22),"R","NA")))</f>
        <v>R</v>
      </c>
      <c r="AK71" s="36">
        <v>8.0</v>
      </c>
      <c r="AL71" s="36" t="str">
        <f>IF((AK71&gt;=23),"S",IF(AND(AK71&lt;23,AK71&gt;=19),"I",IF(AND(AK71&lt;19),"R","NA")))</f>
        <v>R</v>
      </c>
      <c r="AM71" s="36">
        <v>6.0</v>
      </c>
      <c r="AN71" s="36" t="str">
        <f>IF((AM71&gt;=14),"S",IF(AND(AM71&lt;14),"R","NA"))</f>
        <v>R</v>
      </c>
      <c r="AO71" s="36" t="s">
        <v>299</v>
      </c>
      <c r="AP71" s="37">
        <v>6.0</v>
      </c>
      <c r="AQ71" s="37" t="str">
        <f>IF((AP71&gt;=14),"S",IF(AND(AP71&lt;14,AP71&gt;=11),"I",IF(AND(AP71&lt;11),"R","NA")))</f>
        <v>R</v>
      </c>
      <c r="AR71" s="33">
        <v>20.0</v>
      </c>
      <c r="AS71" s="33" t="str">
        <f>IF((AR71&gt;=18),"S",IF(AND(AR71&lt;18),"R", "NA"))</f>
        <v>S</v>
      </c>
      <c r="AT71" s="33">
        <v>12.0</v>
      </c>
      <c r="AU71" s="33" t="str">
        <f>IF((AT71&gt;=16),"S",IF(AND(AT71&lt;16),"R", "NA"))</f>
        <v>R</v>
      </c>
      <c r="AV71" s="33" t="s">
        <v>299</v>
      </c>
      <c r="AW71" s="26">
        <v>8.0</v>
      </c>
      <c r="AX71" s="26" t="str">
        <f>IF((AW71&gt;=20),"S",IF(AND(AW71&lt;20),"R", "NA"))</f>
        <v>R</v>
      </c>
      <c r="AY71" s="37">
        <v>13.0</v>
      </c>
      <c r="AZ71" s="37" t="str">
        <f>IF((AY71&gt;=26),"S",IF(AND(AY71&lt;26,AY71&gt;=21),"I",IF(AND(AY71&lt;21),"R","NA")))</f>
        <v>R</v>
      </c>
      <c r="BA71" s="36">
        <v>31.0</v>
      </c>
      <c r="BB71" s="36" t="str">
        <f>IF((BA71&gt;=23),"S",IF(AND(BA71&lt;23),"R","NA"))</f>
        <v>S</v>
      </c>
      <c r="BC71" s="39" t="s">
        <v>357</v>
      </c>
      <c r="BD71" s="39" t="s">
        <v>357</v>
      </c>
      <c r="BE71" s="36">
        <v>30.0</v>
      </c>
      <c r="BF71" s="36" t="str">
        <f>IF((BE71&gt;=22),"S",IF(AND(BE71&lt;22,BE71&gt;=19),"I",IF(AND(BE71&lt;19),"R","NA")))</f>
        <v>S</v>
      </c>
      <c r="BG71" s="40">
        <v>20.0</v>
      </c>
      <c r="BH71" s="41" t="str">
        <f>IF((BG71&gt;=17),"S",IF(AND(BG71&lt;17),"R", "NA"))</f>
        <v>S</v>
      </c>
      <c r="BI71" s="41"/>
    </row>
    <row r="72">
      <c r="A72" s="21" t="s">
        <v>611</v>
      </c>
      <c r="B72" s="23">
        <v>47.0</v>
      </c>
      <c r="C72" s="21" t="s">
        <v>971</v>
      </c>
      <c r="D72" s="18" t="s">
        <v>571</v>
      </c>
      <c r="E72" s="18" t="s">
        <v>572</v>
      </c>
      <c r="F72" s="18" t="s">
        <v>573</v>
      </c>
      <c r="G72" s="20" t="s">
        <v>357</v>
      </c>
      <c r="H72" s="47" t="s">
        <v>357</v>
      </c>
      <c r="I72" s="32" t="s">
        <v>357</v>
      </c>
      <c r="J72" s="32" t="s">
        <v>357</v>
      </c>
      <c r="K72" s="32" t="s">
        <v>357</v>
      </c>
      <c r="L72" s="32" t="s">
        <v>357</v>
      </c>
      <c r="M72" s="32" t="s">
        <v>357</v>
      </c>
      <c r="N72" s="32" t="s">
        <v>357</v>
      </c>
      <c r="O72" s="32" t="s">
        <v>357</v>
      </c>
      <c r="P72" s="32" t="s">
        <v>357</v>
      </c>
      <c r="Q72" s="32" t="s">
        <v>357</v>
      </c>
      <c r="R72" s="32" t="s">
        <v>357</v>
      </c>
      <c r="S72" s="32" t="s">
        <v>357</v>
      </c>
      <c r="T72" s="32" t="s">
        <v>357</v>
      </c>
      <c r="U72" s="32" t="s">
        <v>357</v>
      </c>
      <c r="V72" s="32" t="s">
        <v>357</v>
      </c>
      <c r="W72" s="32" t="s">
        <v>357</v>
      </c>
      <c r="X72" s="49" t="s">
        <v>357</v>
      </c>
      <c r="Y72" s="49" t="s">
        <v>357</v>
      </c>
      <c r="Z72" s="49" t="s">
        <v>357</v>
      </c>
      <c r="AA72" s="49" t="s">
        <v>357</v>
      </c>
      <c r="AB72" s="49" t="s">
        <v>357</v>
      </c>
      <c r="AC72" s="49" t="s">
        <v>357</v>
      </c>
      <c r="AD72" s="49" t="s">
        <v>357</v>
      </c>
      <c r="AE72" s="49" t="s">
        <v>357</v>
      </c>
      <c r="AF72" s="49" t="s">
        <v>357</v>
      </c>
      <c r="AG72" s="49" t="s">
        <v>357</v>
      </c>
      <c r="AH72" s="49" t="s">
        <v>357</v>
      </c>
      <c r="AI72" s="39" t="s">
        <v>357</v>
      </c>
      <c r="AJ72" s="39" t="s">
        <v>357</v>
      </c>
      <c r="AK72" s="39" t="s">
        <v>357</v>
      </c>
      <c r="AL72" s="39" t="s">
        <v>357</v>
      </c>
      <c r="AM72" s="39" t="s">
        <v>357</v>
      </c>
      <c r="AN72" s="39" t="s">
        <v>357</v>
      </c>
      <c r="AO72" s="39" t="s">
        <v>357</v>
      </c>
      <c r="AP72" s="50" t="s">
        <v>357</v>
      </c>
      <c r="AQ72" s="50" t="s">
        <v>357</v>
      </c>
      <c r="AR72" s="49" t="s">
        <v>357</v>
      </c>
      <c r="AS72" s="49" t="s">
        <v>357</v>
      </c>
      <c r="AT72" s="49" t="s">
        <v>357</v>
      </c>
      <c r="AU72" s="49" t="s">
        <v>357</v>
      </c>
      <c r="AV72" s="49" t="s">
        <v>357</v>
      </c>
      <c r="AW72" s="32" t="s">
        <v>357</v>
      </c>
      <c r="AX72" s="32" t="s">
        <v>357</v>
      </c>
      <c r="AY72" s="50" t="s">
        <v>357</v>
      </c>
      <c r="AZ72" s="50" t="s">
        <v>357</v>
      </c>
      <c r="BA72" s="39" t="s">
        <v>357</v>
      </c>
      <c r="BB72" s="39" t="s">
        <v>357</v>
      </c>
      <c r="BC72" s="39" t="s">
        <v>357</v>
      </c>
      <c r="BD72" s="39" t="s">
        <v>357</v>
      </c>
      <c r="BE72" s="39" t="s">
        <v>357</v>
      </c>
      <c r="BF72" s="39" t="s">
        <v>357</v>
      </c>
      <c r="BG72" s="41" t="s">
        <v>357</v>
      </c>
      <c r="BH72" s="41" t="s">
        <v>357</v>
      </c>
      <c r="BI72" s="41"/>
    </row>
    <row r="73">
      <c r="A73" s="21" t="s">
        <v>611</v>
      </c>
      <c r="B73" s="23">
        <v>48.0</v>
      </c>
      <c r="C73" s="21" t="s">
        <v>605</v>
      </c>
      <c r="D73" s="18" t="s">
        <v>705</v>
      </c>
      <c r="E73" s="18" t="s">
        <v>572</v>
      </c>
      <c r="F73" s="18" t="s">
        <v>573</v>
      </c>
      <c r="G73" s="20" t="s">
        <v>357</v>
      </c>
      <c r="H73" s="47" t="s">
        <v>357</v>
      </c>
      <c r="I73" s="32" t="s">
        <v>357</v>
      </c>
      <c r="J73" s="32" t="s">
        <v>357</v>
      </c>
      <c r="K73" s="32" t="s">
        <v>357</v>
      </c>
      <c r="L73" s="32" t="s">
        <v>357</v>
      </c>
      <c r="M73" s="32" t="s">
        <v>357</v>
      </c>
      <c r="N73" s="32" t="s">
        <v>357</v>
      </c>
      <c r="O73" s="32" t="s">
        <v>357</v>
      </c>
      <c r="P73" s="32" t="s">
        <v>357</v>
      </c>
      <c r="Q73" s="32" t="s">
        <v>357</v>
      </c>
      <c r="R73" s="32" t="s">
        <v>357</v>
      </c>
      <c r="S73" s="32" t="s">
        <v>357</v>
      </c>
      <c r="T73" s="32" t="s">
        <v>357</v>
      </c>
      <c r="U73" s="32" t="s">
        <v>357</v>
      </c>
      <c r="V73" s="32" t="s">
        <v>357</v>
      </c>
      <c r="W73" s="32" t="s">
        <v>357</v>
      </c>
      <c r="X73" s="49" t="s">
        <v>357</v>
      </c>
      <c r="Y73" s="49" t="s">
        <v>357</v>
      </c>
      <c r="Z73" s="49" t="s">
        <v>357</v>
      </c>
      <c r="AA73" s="49" t="s">
        <v>357</v>
      </c>
      <c r="AB73" s="49" t="s">
        <v>357</v>
      </c>
      <c r="AC73" s="49" t="s">
        <v>357</v>
      </c>
      <c r="AD73" s="49" t="s">
        <v>357</v>
      </c>
      <c r="AE73" s="49" t="s">
        <v>357</v>
      </c>
      <c r="AF73" s="49" t="s">
        <v>357</v>
      </c>
      <c r="AG73" s="49" t="s">
        <v>357</v>
      </c>
      <c r="AH73" s="49" t="s">
        <v>357</v>
      </c>
      <c r="AI73" s="39" t="s">
        <v>357</v>
      </c>
      <c r="AJ73" s="39" t="s">
        <v>357</v>
      </c>
      <c r="AK73" s="39" t="s">
        <v>357</v>
      </c>
      <c r="AL73" s="39" t="s">
        <v>357</v>
      </c>
      <c r="AM73" s="39" t="s">
        <v>357</v>
      </c>
      <c r="AN73" s="39" t="s">
        <v>357</v>
      </c>
      <c r="AO73" s="39" t="s">
        <v>357</v>
      </c>
      <c r="AP73" s="50" t="s">
        <v>357</v>
      </c>
      <c r="AQ73" s="50" t="s">
        <v>357</v>
      </c>
      <c r="AR73" s="49" t="s">
        <v>357</v>
      </c>
      <c r="AS73" s="49" t="s">
        <v>357</v>
      </c>
      <c r="AT73" s="49" t="s">
        <v>357</v>
      </c>
      <c r="AU73" s="49" t="s">
        <v>357</v>
      </c>
      <c r="AV73" s="49" t="s">
        <v>357</v>
      </c>
      <c r="AW73" s="32" t="s">
        <v>357</v>
      </c>
      <c r="AX73" s="32" t="s">
        <v>357</v>
      </c>
      <c r="AY73" s="50" t="s">
        <v>357</v>
      </c>
      <c r="AZ73" s="50" t="s">
        <v>357</v>
      </c>
      <c r="BA73" s="39" t="s">
        <v>357</v>
      </c>
      <c r="BB73" s="39" t="s">
        <v>357</v>
      </c>
      <c r="BC73" s="39" t="s">
        <v>357</v>
      </c>
      <c r="BD73" s="39" t="s">
        <v>357</v>
      </c>
      <c r="BE73" s="39" t="s">
        <v>357</v>
      </c>
      <c r="BF73" s="39" t="s">
        <v>357</v>
      </c>
      <c r="BG73" s="41" t="s">
        <v>357</v>
      </c>
      <c r="BH73" s="41" t="s">
        <v>357</v>
      </c>
      <c r="BI73" s="41"/>
    </row>
    <row r="74">
      <c r="A74" s="21" t="s">
        <v>611</v>
      </c>
      <c r="B74" s="23">
        <v>49.0</v>
      </c>
      <c r="C74" s="21" t="s">
        <v>619</v>
      </c>
      <c r="D74" s="18" t="s">
        <v>708</v>
      </c>
      <c r="E74" s="18" t="s">
        <v>103</v>
      </c>
      <c r="F74" s="18" t="s">
        <v>573</v>
      </c>
      <c r="G74" s="20" t="s">
        <v>357</v>
      </c>
      <c r="H74" s="47" t="s">
        <v>357</v>
      </c>
      <c r="I74" s="32" t="s">
        <v>357</v>
      </c>
      <c r="J74" s="32" t="s">
        <v>357</v>
      </c>
      <c r="K74" s="32" t="s">
        <v>357</v>
      </c>
      <c r="L74" s="32" t="s">
        <v>357</v>
      </c>
      <c r="M74" s="32" t="s">
        <v>357</v>
      </c>
      <c r="N74" s="32" t="s">
        <v>357</v>
      </c>
      <c r="O74" s="32" t="s">
        <v>357</v>
      </c>
      <c r="P74" s="32" t="s">
        <v>357</v>
      </c>
      <c r="Q74" s="32" t="s">
        <v>357</v>
      </c>
      <c r="R74" s="32" t="s">
        <v>357</v>
      </c>
      <c r="S74" s="32" t="s">
        <v>357</v>
      </c>
      <c r="T74" s="32" t="s">
        <v>357</v>
      </c>
      <c r="U74" s="32" t="s">
        <v>357</v>
      </c>
      <c r="V74" s="32" t="s">
        <v>357</v>
      </c>
      <c r="W74" s="32" t="s">
        <v>357</v>
      </c>
      <c r="X74" s="49" t="s">
        <v>357</v>
      </c>
      <c r="Y74" s="49" t="s">
        <v>357</v>
      </c>
      <c r="Z74" s="49" t="s">
        <v>357</v>
      </c>
      <c r="AA74" s="49" t="s">
        <v>357</v>
      </c>
      <c r="AB74" s="49" t="s">
        <v>357</v>
      </c>
      <c r="AC74" s="49" t="s">
        <v>357</v>
      </c>
      <c r="AD74" s="49" t="s">
        <v>357</v>
      </c>
      <c r="AE74" s="49" t="s">
        <v>357</v>
      </c>
      <c r="AF74" s="49" t="s">
        <v>357</v>
      </c>
      <c r="AG74" s="49" t="s">
        <v>357</v>
      </c>
      <c r="AH74" s="49" t="s">
        <v>357</v>
      </c>
      <c r="AI74" s="39" t="s">
        <v>357</v>
      </c>
      <c r="AJ74" s="39" t="s">
        <v>357</v>
      </c>
      <c r="AK74" s="39" t="s">
        <v>357</v>
      </c>
      <c r="AL74" s="39" t="s">
        <v>357</v>
      </c>
      <c r="AM74" s="39" t="s">
        <v>357</v>
      </c>
      <c r="AN74" s="39" t="s">
        <v>357</v>
      </c>
      <c r="AO74" s="39" t="s">
        <v>357</v>
      </c>
      <c r="AP74" s="50" t="s">
        <v>357</v>
      </c>
      <c r="AQ74" s="50" t="s">
        <v>357</v>
      </c>
      <c r="AR74" s="49" t="s">
        <v>357</v>
      </c>
      <c r="AS74" s="49" t="s">
        <v>357</v>
      </c>
      <c r="AT74" s="49" t="s">
        <v>357</v>
      </c>
      <c r="AU74" s="49" t="s">
        <v>357</v>
      </c>
      <c r="AV74" s="49" t="s">
        <v>357</v>
      </c>
      <c r="AW74" s="32" t="s">
        <v>357</v>
      </c>
      <c r="AX74" s="32" t="s">
        <v>357</v>
      </c>
      <c r="AY74" s="50" t="s">
        <v>357</v>
      </c>
      <c r="AZ74" s="50" t="s">
        <v>357</v>
      </c>
      <c r="BA74" s="39" t="s">
        <v>357</v>
      </c>
      <c r="BB74" s="39" t="s">
        <v>357</v>
      </c>
      <c r="BC74" s="39" t="s">
        <v>357</v>
      </c>
      <c r="BD74" s="39" t="s">
        <v>357</v>
      </c>
      <c r="BE74" s="39" t="s">
        <v>357</v>
      </c>
      <c r="BF74" s="39" t="s">
        <v>357</v>
      </c>
      <c r="BG74" s="41" t="s">
        <v>357</v>
      </c>
      <c r="BH74" s="41" t="s">
        <v>357</v>
      </c>
      <c r="BI74" s="41"/>
    </row>
    <row r="75">
      <c r="A75" s="21" t="s">
        <v>611</v>
      </c>
      <c r="B75" s="23">
        <v>50.0</v>
      </c>
      <c r="C75" s="21" t="s">
        <v>982</v>
      </c>
      <c r="D75" s="18" t="s">
        <v>853</v>
      </c>
      <c r="E75" s="18" t="s">
        <v>103</v>
      </c>
      <c r="F75" s="18" t="s">
        <v>573</v>
      </c>
      <c r="G75" s="20" t="s">
        <v>357</v>
      </c>
      <c r="H75" s="47" t="s">
        <v>357</v>
      </c>
      <c r="I75" s="32" t="s">
        <v>357</v>
      </c>
      <c r="J75" s="32" t="s">
        <v>357</v>
      </c>
      <c r="K75" s="32" t="s">
        <v>357</v>
      </c>
      <c r="L75" s="32" t="s">
        <v>357</v>
      </c>
      <c r="M75" s="32" t="s">
        <v>357</v>
      </c>
      <c r="N75" s="32" t="s">
        <v>357</v>
      </c>
      <c r="O75" s="32" t="s">
        <v>357</v>
      </c>
      <c r="P75" s="32" t="s">
        <v>357</v>
      </c>
      <c r="Q75" s="32" t="s">
        <v>357</v>
      </c>
      <c r="R75" s="32" t="s">
        <v>357</v>
      </c>
      <c r="S75" s="32" t="s">
        <v>357</v>
      </c>
      <c r="T75" s="32" t="s">
        <v>357</v>
      </c>
      <c r="U75" s="32" t="s">
        <v>357</v>
      </c>
      <c r="V75" s="32" t="s">
        <v>357</v>
      </c>
      <c r="W75" s="32" t="s">
        <v>357</v>
      </c>
      <c r="X75" s="49" t="s">
        <v>357</v>
      </c>
      <c r="Y75" s="49" t="s">
        <v>357</v>
      </c>
      <c r="Z75" s="49" t="s">
        <v>357</v>
      </c>
      <c r="AA75" s="49" t="s">
        <v>357</v>
      </c>
      <c r="AB75" s="49" t="s">
        <v>357</v>
      </c>
      <c r="AC75" s="49" t="s">
        <v>357</v>
      </c>
      <c r="AD75" s="49" t="s">
        <v>357</v>
      </c>
      <c r="AE75" s="49" t="s">
        <v>357</v>
      </c>
      <c r="AF75" s="49" t="s">
        <v>357</v>
      </c>
      <c r="AG75" s="49" t="s">
        <v>357</v>
      </c>
      <c r="AH75" s="49" t="s">
        <v>357</v>
      </c>
      <c r="AI75" s="39" t="s">
        <v>357</v>
      </c>
      <c r="AJ75" s="39" t="s">
        <v>357</v>
      </c>
      <c r="AK75" s="39" t="s">
        <v>357</v>
      </c>
      <c r="AL75" s="39" t="s">
        <v>357</v>
      </c>
      <c r="AM75" s="39" t="s">
        <v>357</v>
      </c>
      <c r="AN75" s="39" t="s">
        <v>357</v>
      </c>
      <c r="AO75" s="39" t="s">
        <v>357</v>
      </c>
      <c r="AP75" s="50" t="s">
        <v>357</v>
      </c>
      <c r="AQ75" s="50" t="s">
        <v>357</v>
      </c>
      <c r="AR75" s="49" t="s">
        <v>357</v>
      </c>
      <c r="AS75" s="49" t="s">
        <v>357</v>
      </c>
      <c r="AT75" s="49" t="s">
        <v>357</v>
      </c>
      <c r="AU75" s="49" t="s">
        <v>357</v>
      </c>
      <c r="AV75" s="49" t="s">
        <v>357</v>
      </c>
      <c r="AW75" s="32" t="s">
        <v>357</v>
      </c>
      <c r="AX75" s="32" t="s">
        <v>357</v>
      </c>
      <c r="AY75" s="50" t="s">
        <v>357</v>
      </c>
      <c r="AZ75" s="50" t="s">
        <v>357</v>
      </c>
      <c r="BA75" s="39" t="s">
        <v>357</v>
      </c>
      <c r="BB75" s="39" t="s">
        <v>357</v>
      </c>
      <c r="BC75" s="39" t="s">
        <v>357</v>
      </c>
      <c r="BD75" s="39" t="s">
        <v>357</v>
      </c>
      <c r="BE75" s="39" t="s">
        <v>357</v>
      </c>
      <c r="BF75" s="39" t="s">
        <v>357</v>
      </c>
      <c r="BG75" s="41" t="s">
        <v>357</v>
      </c>
      <c r="BH75" s="41" t="s">
        <v>357</v>
      </c>
      <c r="BI75" s="41"/>
    </row>
    <row r="76">
      <c r="A76" s="21" t="s">
        <v>611</v>
      </c>
      <c r="B76" s="23">
        <v>51.0</v>
      </c>
      <c r="C76" s="21" t="s">
        <v>989</v>
      </c>
      <c r="D76" s="18" t="s">
        <v>575</v>
      </c>
      <c r="E76" s="18" t="s">
        <v>103</v>
      </c>
      <c r="F76" s="18" t="s">
        <v>573</v>
      </c>
      <c r="G76" s="20" t="s">
        <v>357</v>
      </c>
      <c r="H76" s="47" t="s">
        <v>357</v>
      </c>
      <c r="I76" s="32" t="s">
        <v>357</v>
      </c>
      <c r="J76" s="32" t="s">
        <v>357</v>
      </c>
      <c r="K76" s="32" t="s">
        <v>357</v>
      </c>
      <c r="L76" s="32" t="s">
        <v>357</v>
      </c>
      <c r="M76" s="32" t="s">
        <v>357</v>
      </c>
      <c r="N76" s="32" t="s">
        <v>357</v>
      </c>
      <c r="O76" s="32" t="s">
        <v>357</v>
      </c>
      <c r="P76" s="32" t="s">
        <v>357</v>
      </c>
      <c r="Q76" s="32" t="s">
        <v>357</v>
      </c>
      <c r="R76" s="32" t="s">
        <v>357</v>
      </c>
      <c r="S76" s="32" t="s">
        <v>357</v>
      </c>
      <c r="T76" s="32" t="s">
        <v>357</v>
      </c>
      <c r="U76" s="32" t="s">
        <v>357</v>
      </c>
      <c r="V76" s="32" t="s">
        <v>357</v>
      </c>
      <c r="W76" s="32" t="s">
        <v>357</v>
      </c>
      <c r="X76" s="49" t="s">
        <v>357</v>
      </c>
      <c r="Y76" s="49" t="s">
        <v>357</v>
      </c>
      <c r="Z76" s="49" t="s">
        <v>357</v>
      </c>
      <c r="AA76" s="49" t="s">
        <v>357</v>
      </c>
      <c r="AB76" s="49" t="s">
        <v>357</v>
      </c>
      <c r="AC76" s="49" t="s">
        <v>357</v>
      </c>
      <c r="AD76" s="49" t="s">
        <v>357</v>
      </c>
      <c r="AE76" s="49" t="s">
        <v>357</v>
      </c>
      <c r="AF76" s="49" t="s">
        <v>357</v>
      </c>
      <c r="AG76" s="49" t="s">
        <v>357</v>
      </c>
      <c r="AH76" s="49" t="s">
        <v>357</v>
      </c>
      <c r="AI76" s="39" t="s">
        <v>357</v>
      </c>
      <c r="AJ76" s="39" t="s">
        <v>357</v>
      </c>
      <c r="AK76" s="39" t="s">
        <v>357</v>
      </c>
      <c r="AL76" s="39" t="s">
        <v>357</v>
      </c>
      <c r="AM76" s="39" t="s">
        <v>357</v>
      </c>
      <c r="AN76" s="39" t="s">
        <v>357</v>
      </c>
      <c r="AO76" s="39" t="s">
        <v>357</v>
      </c>
      <c r="AP76" s="50" t="s">
        <v>357</v>
      </c>
      <c r="AQ76" s="50" t="s">
        <v>357</v>
      </c>
      <c r="AR76" s="49" t="s">
        <v>357</v>
      </c>
      <c r="AS76" s="49" t="s">
        <v>357</v>
      </c>
      <c r="AT76" s="49" t="s">
        <v>357</v>
      </c>
      <c r="AU76" s="49" t="s">
        <v>357</v>
      </c>
      <c r="AV76" s="49" t="s">
        <v>357</v>
      </c>
      <c r="AW76" s="32" t="s">
        <v>357</v>
      </c>
      <c r="AX76" s="32" t="s">
        <v>357</v>
      </c>
      <c r="AY76" s="50" t="s">
        <v>357</v>
      </c>
      <c r="AZ76" s="50" t="s">
        <v>357</v>
      </c>
      <c r="BA76" s="39" t="s">
        <v>357</v>
      </c>
      <c r="BB76" s="39" t="s">
        <v>357</v>
      </c>
      <c r="BC76" s="39" t="s">
        <v>357</v>
      </c>
      <c r="BD76" s="39" t="s">
        <v>357</v>
      </c>
      <c r="BE76" s="39" t="s">
        <v>357</v>
      </c>
      <c r="BF76" s="39" t="s">
        <v>357</v>
      </c>
      <c r="BG76" s="41" t="s">
        <v>357</v>
      </c>
      <c r="BH76" s="41" t="s">
        <v>357</v>
      </c>
      <c r="BI76" s="41"/>
    </row>
    <row r="77">
      <c r="A77" s="51" t="s">
        <v>653</v>
      </c>
      <c r="B77" s="53">
        <v>52.0</v>
      </c>
      <c r="C77" s="51" t="s">
        <v>994</v>
      </c>
      <c r="D77" s="18" t="s">
        <v>190</v>
      </c>
      <c r="E77" s="18" t="s">
        <v>190</v>
      </c>
      <c r="F77" s="18" t="s">
        <v>192</v>
      </c>
      <c r="G77" s="20" t="s">
        <v>1170</v>
      </c>
      <c r="H77" s="22" t="s">
        <v>198</v>
      </c>
      <c r="I77" s="26">
        <v>6.0</v>
      </c>
      <c r="J77" s="26" t="str">
        <f t="shared" ref="J77:J79" si="203">IF((I77&gt;=19),"S",IF(AND(I77&lt;19),"R", "NA"))</f>
        <v>R</v>
      </c>
      <c r="K77" s="26">
        <v>21.0</v>
      </c>
      <c r="L77" s="26" t="str">
        <f t="shared" ref="L77:L79" si="204">IF((K77&gt;=19),"S",IF(AND(K77&lt;19),"R", "NA"))</f>
        <v>S</v>
      </c>
      <c r="M77" s="26">
        <v>6.0</v>
      </c>
      <c r="N77" s="26" t="str">
        <f t="shared" ref="N77:N79" si="205">IF((M77&gt;=23),"S",IF(AND(M77&lt;23),"R","NA"))</f>
        <v>R</v>
      </c>
      <c r="O77" s="32" t="s">
        <v>357</v>
      </c>
      <c r="P77" s="32" t="s">
        <v>357</v>
      </c>
      <c r="Q77" s="26">
        <v>14.0</v>
      </c>
      <c r="R77" s="26" t="str">
        <f t="shared" ref="R77:R79" si="206">IF((Q77&gt;=20),"S",IF(AND(Q77&lt;20),"R", "NA"))</f>
        <v>R</v>
      </c>
      <c r="S77" s="26">
        <v>24.0</v>
      </c>
      <c r="T77" s="26" t="str">
        <f t="shared" ref="T77:T79" si="207">IF((S77&gt;=20),"S",IF(AND(S77&lt;20),"R", "NA"))</f>
        <v>S</v>
      </c>
      <c r="U77" s="26">
        <v>23.0</v>
      </c>
      <c r="V77" s="26" t="str">
        <f t="shared" ref="V77:V79" si="208">IF((U77&gt;=20),"S",IF(AND(U77&lt;20,U77&gt;=17),"I",IF(AND(U77&lt;17),"R","NA")))</f>
        <v>S</v>
      </c>
      <c r="W77" s="32" t="s">
        <v>299</v>
      </c>
      <c r="X77" s="33">
        <v>9.0</v>
      </c>
      <c r="Y77" s="33" t="str">
        <f t="shared" ref="Y77:Y79" si="209">IF((X77&gt;=20),"S",IF(AND(X77&lt;20,X77&gt;=17),"I",IF(AND(X77&lt;17),"R","NA")))</f>
        <v>R</v>
      </c>
      <c r="Z77" s="33">
        <v>25.0</v>
      </c>
      <c r="AA77" s="33" t="str">
        <f t="shared" ref="AA77:AA79" si="210">IF((Z77&gt;=18),"S",IF(AND(Z77&lt;18),"R", "NA"))</f>
        <v>S</v>
      </c>
      <c r="AB77" s="33">
        <v>19.0</v>
      </c>
      <c r="AC77" s="33" t="str">
        <f t="shared" ref="AC77:AC79" si="211">IF((AB77&gt;=22),"S",IF(AND(AB77&lt;22,AB77&gt;=19),"I",IF(AND(AB77&lt;19),"R","NA")))</f>
        <v>I</v>
      </c>
      <c r="AD77" s="33">
        <v>26.0</v>
      </c>
      <c r="AE77" s="33" t="str">
        <f t="shared" ref="AE77:AE79" si="212">IF((AD77&gt;=13),"S",IF(AND(AD77&lt;13),"R", "NA"))</f>
        <v>S</v>
      </c>
      <c r="AF77" s="33">
        <v>24.0</v>
      </c>
      <c r="AG77" s="33" t="str">
        <f t="shared" ref="AG77:AG79" si="213">IF((AF77&gt;=27),"S",IF(AND(AF77&lt;27,AF77&gt;=24),"I",IF(AND(AF77&lt;24),"R","NA")))</f>
        <v>I</v>
      </c>
      <c r="AH77" s="33" t="s">
        <v>299</v>
      </c>
      <c r="AI77" s="36">
        <v>9.0</v>
      </c>
      <c r="AJ77" s="36" t="str">
        <f t="shared" ref="AJ77:AJ79" si="214">IF((AI77&gt;=25),"S",IF(AND(AI77&lt;25,AI77&gt;=22),"I",IF(AND(AI77&lt;22),"R","NA")))</f>
        <v>R</v>
      </c>
      <c r="AK77" s="36">
        <v>8.0</v>
      </c>
      <c r="AL77" s="36" t="str">
        <f t="shared" ref="AL77:AL79" si="215">IF((AK77&gt;=23),"S",IF(AND(AK77&lt;23,AK77&gt;=19),"I",IF(AND(AK77&lt;19),"R","NA")))</f>
        <v>R</v>
      </c>
      <c r="AM77" s="36">
        <v>6.0</v>
      </c>
      <c r="AN77" s="36" t="str">
        <f t="shared" ref="AN77:AN79" si="216">IF((AM77&gt;=14),"S",IF(AND(AM77&lt;14),"R","NA"))</f>
        <v>R</v>
      </c>
      <c r="AO77" s="36" t="s">
        <v>299</v>
      </c>
      <c r="AP77" s="37">
        <v>6.0</v>
      </c>
      <c r="AQ77" s="37" t="str">
        <f t="shared" ref="AQ77:AQ79" si="217">IF((AP77&gt;=14),"S",IF(AND(AP77&lt;14,AP77&gt;=11),"I",IF(AND(AP77&lt;11),"R","NA")))</f>
        <v>R</v>
      </c>
      <c r="AR77" s="33">
        <v>21.0</v>
      </c>
      <c r="AS77" s="33" t="str">
        <f t="shared" ref="AS77:AS79" si="218">IF((AR77&gt;=18),"S",IF(AND(AR77&lt;18),"R", "NA"))</f>
        <v>S</v>
      </c>
      <c r="AT77" s="33">
        <v>20.0</v>
      </c>
      <c r="AU77" s="33" t="str">
        <f t="shared" ref="AU77:AU79" si="219">IF((AT77&gt;=16),"S",IF(AND(AT77&lt;16),"R", "NA"))</f>
        <v>S</v>
      </c>
      <c r="AV77" s="33" t="s">
        <v>300</v>
      </c>
      <c r="AW77" s="26">
        <v>15.0</v>
      </c>
      <c r="AX77" s="26" t="str">
        <f t="shared" ref="AX77:AX79" si="220">IF((AW77&gt;=20),"S",IF(AND(AW77&lt;20),"R", "NA"))</f>
        <v>R</v>
      </c>
      <c r="AY77" s="37">
        <v>18.0</v>
      </c>
      <c r="AZ77" s="37" t="str">
        <f t="shared" ref="AZ77:AZ79" si="221">IF((AY77&gt;=26),"S",IF(AND(AY77&lt;26,AY77&gt;=21),"I",IF(AND(AY77&lt;21),"R","NA")))</f>
        <v>R</v>
      </c>
      <c r="BA77" s="36">
        <v>30.0</v>
      </c>
      <c r="BB77" s="36" t="str">
        <f t="shared" ref="BB77:BB79" si="222">IF((BA77&gt;=23),"S",IF(AND(BA77&lt;23),"R","NA"))</f>
        <v>S</v>
      </c>
      <c r="BC77" s="39" t="s">
        <v>357</v>
      </c>
      <c r="BD77" s="39" t="s">
        <v>357</v>
      </c>
      <c r="BE77" s="36">
        <v>30.0</v>
      </c>
      <c r="BF77" s="36" t="str">
        <f t="shared" ref="BF77:BF79" si="223">IF((BE77&gt;=22),"S",IF(AND(BE77&lt;22,BE77&gt;=19),"I",IF(AND(BE77&lt;19),"R","NA")))</f>
        <v>S</v>
      </c>
      <c r="BG77" s="40">
        <v>20.0</v>
      </c>
      <c r="BH77" s="41" t="str">
        <f t="shared" ref="BH77:BH79" si="224">IF((BG77&gt;=17),"S",IF(AND(BG77&lt;17),"R", "NA"))</f>
        <v>S</v>
      </c>
      <c r="BI77" s="41"/>
    </row>
    <row r="78">
      <c r="A78" s="51" t="s">
        <v>653</v>
      </c>
      <c r="B78" s="51" t="s">
        <v>444</v>
      </c>
      <c r="C78" s="51" t="s">
        <v>999</v>
      </c>
      <c r="D78" s="18" t="s">
        <v>190</v>
      </c>
      <c r="E78" s="18" t="s">
        <v>190</v>
      </c>
      <c r="F78" s="18" t="s">
        <v>192</v>
      </c>
      <c r="G78" s="20" t="s">
        <v>1192</v>
      </c>
      <c r="H78" s="42" t="s">
        <v>479</v>
      </c>
      <c r="I78" s="26">
        <v>6.0</v>
      </c>
      <c r="J78" s="26" t="str">
        <f t="shared" si="203"/>
        <v>R</v>
      </c>
      <c r="K78" s="26">
        <v>15.0</v>
      </c>
      <c r="L78" s="26" t="str">
        <f t="shared" si="204"/>
        <v>R</v>
      </c>
      <c r="M78" s="26">
        <v>6.0</v>
      </c>
      <c r="N78" s="26" t="str">
        <f t="shared" si="205"/>
        <v>R</v>
      </c>
      <c r="O78" s="32" t="s">
        <v>357</v>
      </c>
      <c r="P78" s="32" t="s">
        <v>357</v>
      </c>
      <c r="Q78" s="26">
        <v>10.0</v>
      </c>
      <c r="R78" s="26" t="str">
        <f t="shared" si="206"/>
        <v>R</v>
      </c>
      <c r="S78" s="26">
        <v>20.0</v>
      </c>
      <c r="T78" s="26" t="str">
        <f t="shared" si="207"/>
        <v>S</v>
      </c>
      <c r="U78" s="26">
        <v>28.0</v>
      </c>
      <c r="V78" s="26" t="str">
        <f t="shared" si="208"/>
        <v>S</v>
      </c>
      <c r="W78" s="32" t="s">
        <v>299</v>
      </c>
      <c r="X78" s="33">
        <v>6.0</v>
      </c>
      <c r="Y78" s="33" t="str">
        <f t="shared" si="209"/>
        <v>R</v>
      </c>
      <c r="Z78" s="33">
        <v>26.0</v>
      </c>
      <c r="AA78" s="33" t="str">
        <f t="shared" si="210"/>
        <v>S</v>
      </c>
      <c r="AB78" s="33">
        <v>20.0</v>
      </c>
      <c r="AC78" s="33" t="str">
        <f t="shared" si="211"/>
        <v>I</v>
      </c>
      <c r="AD78" s="33">
        <v>26.0</v>
      </c>
      <c r="AE78" s="33" t="str">
        <f t="shared" si="212"/>
        <v>S</v>
      </c>
      <c r="AF78" s="33">
        <v>23.0</v>
      </c>
      <c r="AG78" s="33" t="str">
        <f t="shared" si="213"/>
        <v>R</v>
      </c>
      <c r="AH78" s="33" t="s">
        <v>299</v>
      </c>
      <c r="AI78" s="36">
        <v>18.0</v>
      </c>
      <c r="AJ78" s="36" t="str">
        <f t="shared" si="214"/>
        <v>R</v>
      </c>
      <c r="AK78" s="36">
        <v>21.0</v>
      </c>
      <c r="AL78" s="36" t="str">
        <f t="shared" si="215"/>
        <v>I</v>
      </c>
      <c r="AM78" s="36">
        <v>16.0</v>
      </c>
      <c r="AN78" s="36" t="str">
        <f t="shared" si="216"/>
        <v>S</v>
      </c>
      <c r="AO78" s="36" t="s">
        <v>299</v>
      </c>
      <c r="AP78" s="37">
        <v>6.0</v>
      </c>
      <c r="AQ78" s="37" t="str">
        <f t="shared" si="217"/>
        <v>R</v>
      </c>
      <c r="AR78" s="33">
        <v>20.0</v>
      </c>
      <c r="AS78" s="33" t="str">
        <f t="shared" si="218"/>
        <v>S</v>
      </c>
      <c r="AT78" s="33">
        <v>9.0</v>
      </c>
      <c r="AU78" s="33" t="str">
        <f t="shared" si="219"/>
        <v>R</v>
      </c>
      <c r="AV78" s="33" t="s">
        <v>299</v>
      </c>
      <c r="AW78" s="26">
        <v>13.0</v>
      </c>
      <c r="AX78" s="26" t="str">
        <f t="shared" si="220"/>
        <v>R</v>
      </c>
      <c r="AY78" s="37">
        <v>18.0</v>
      </c>
      <c r="AZ78" s="37" t="str">
        <f t="shared" si="221"/>
        <v>R</v>
      </c>
      <c r="BA78" s="36">
        <v>28.0</v>
      </c>
      <c r="BB78" s="36" t="str">
        <f t="shared" si="222"/>
        <v>S</v>
      </c>
      <c r="BC78" s="39" t="s">
        <v>357</v>
      </c>
      <c r="BD78" s="39" t="s">
        <v>357</v>
      </c>
      <c r="BE78" s="36">
        <v>28.0</v>
      </c>
      <c r="BF78" s="36" t="str">
        <f t="shared" si="223"/>
        <v>S</v>
      </c>
      <c r="BG78" s="40">
        <v>6.0</v>
      </c>
      <c r="BH78" s="41" t="str">
        <f t="shared" si="224"/>
        <v>R</v>
      </c>
      <c r="BI78" s="41"/>
    </row>
    <row r="79">
      <c r="A79" s="51" t="s">
        <v>653</v>
      </c>
      <c r="B79" s="53">
        <v>53.0</v>
      </c>
      <c r="C79" s="51" t="s">
        <v>1003</v>
      </c>
      <c r="D79" s="18" t="s">
        <v>190</v>
      </c>
      <c r="E79" s="18" t="s">
        <v>190</v>
      </c>
      <c r="F79" s="18" t="s">
        <v>192</v>
      </c>
      <c r="G79" s="20" t="s">
        <v>1195</v>
      </c>
      <c r="H79" s="22" t="s">
        <v>198</v>
      </c>
      <c r="I79" s="26">
        <v>6.0</v>
      </c>
      <c r="J79" s="26" t="str">
        <f t="shared" si="203"/>
        <v>R</v>
      </c>
      <c r="K79" s="26">
        <v>21.0</v>
      </c>
      <c r="L79" s="26" t="str">
        <f t="shared" si="204"/>
        <v>S</v>
      </c>
      <c r="M79" s="26">
        <v>6.0</v>
      </c>
      <c r="N79" s="26" t="str">
        <f t="shared" si="205"/>
        <v>R</v>
      </c>
      <c r="O79" s="32" t="s">
        <v>357</v>
      </c>
      <c r="P79" s="32" t="s">
        <v>357</v>
      </c>
      <c r="Q79" s="26">
        <v>10.0</v>
      </c>
      <c r="R79" s="26" t="str">
        <f t="shared" si="206"/>
        <v>R</v>
      </c>
      <c r="S79" s="26">
        <v>24.0</v>
      </c>
      <c r="T79" s="26" t="str">
        <f t="shared" si="207"/>
        <v>S</v>
      </c>
      <c r="U79" s="26">
        <v>21.0</v>
      </c>
      <c r="V79" s="26" t="str">
        <f t="shared" si="208"/>
        <v>S</v>
      </c>
      <c r="W79" s="32" t="s">
        <v>299</v>
      </c>
      <c r="X79" s="33">
        <v>6.0</v>
      </c>
      <c r="Y79" s="33" t="str">
        <f t="shared" si="209"/>
        <v>R</v>
      </c>
      <c r="Z79" s="33">
        <v>21.0</v>
      </c>
      <c r="AA79" s="33" t="str">
        <f t="shared" si="210"/>
        <v>S</v>
      </c>
      <c r="AB79" s="33">
        <v>14.0</v>
      </c>
      <c r="AC79" s="33" t="str">
        <f t="shared" si="211"/>
        <v>R</v>
      </c>
      <c r="AD79" s="33">
        <v>25.0</v>
      </c>
      <c r="AE79" s="33" t="str">
        <f t="shared" si="212"/>
        <v>S</v>
      </c>
      <c r="AF79" s="33">
        <v>18.0</v>
      </c>
      <c r="AG79" s="33" t="str">
        <f t="shared" si="213"/>
        <v>R</v>
      </c>
      <c r="AH79" s="33" t="s">
        <v>299</v>
      </c>
      <c r="AI79" s="36">
        <v>24.0</v>
      </c>
      <c r="AJ79" s="36" t="str">
        <f t="shared" si="214"/>
        <v>I</v>
      </c>
      <c r="AK79" s="36">
        <v>24.0</v>
      </c>
      <c r="AL79" s="36" t="str">
        <f t="shared" si="215"/>
        <v>S</v>
      </c>
      <c r="AM79" s="36">
        <v>24.0</v>
      </c>
      <c r="AN79" s="36" t="str">
        <f t="shared" si="216"/>
        <v>S</v>
      </c>
      <c r="AO79" s="36" t="s">
        <v>300</v>
      </c>
      <c r="AP79" s="37">
        <v>6.0</v>
      </c>
      <c r="AQ79" s="37" t="str">
        <f t="shared" si="217"/>
        <v>R</v>
      </c>
      <c r="AR79" s="33">
        <v>21.0</v>
      </c>
      <c r="AS79" s="33" t="str">
        <f t="shared" si="218"/>
        <v>S</v>
      </c>
      <c r="AT79" s="33">
        <v>20.0</v>
      </c>
      <c r="AU79" s="33" t="str">
        <f t="shared" si="219"/>
        <v>S</v>
      </c>
      <c r="AV79" s="33" t="s">
        <v>300</v>
      </c>
      <c r="AW79" s="26">
        <v>20.0</v>
      </c>
      <c r="AX79" s="26" t="str">
        <f t="shared" si="220"/>
        <v>S</v>
      </c>
      <c r="AY79" s="37">
        <v>13.0</v>
      </c>
      <c r="AZ79" s="37" t="str">
        <f t="shared" si="221"/>
        <v>R</v>
      </c>
      <c r="BA79" s="36">
        <v>29.0</v>
      </c>
      <c r="BB79" s="36" t="str">
        <f t="shared" si="222"/>
        <v>S</v>
      </c>
      <c r="BC79" s="39" t="s">
        <v>357</v>
      </c>
      <c r="BD79" s="39" t="s">
        <v>357</v>
      </c>
      <c r="BE79" s="36">
        <v>31.0</v>
      </c>
      <c r="BF79" s="36" t="str">
        <f t="shared" si="223"/>
        <v>S</v>
      </c>
      <c r="BG79" s="40">
        <v>20.0</v>
      </c>
      <c r="BH79" s="41" t="str">
        <f t="shared" si="224"/>
        <v>S</v>
      </c>
      <c r="BI79" s="41"/>
    </row>
    <row r="80">
      <c r="A80" s="51" t="s">
        <v>653</v>
      </c>
      <c r="B80" s="53">
        <v>54.0</v>
      </c>
      <c r="C80" s="51" t="s">
        <v>1007</v>
      </c>
      <c r="D80" s="18" t="s">
        <v>190</v>
      </c>
      <c r="E80" s="18" t="s">
        <v>190</v>
      </c>
      <c r="F80" s="18" t="s">
        <v>573</v>
      </c>
      <c r="G80" s="20" t="s">
        <v>357</v>
      </c>
      <c r="H80" s="47" t="s">
        <v>357</v>
      </c>
      <c r="I80" s="32" t="s">
        <v>357</v>
      </c>
      <c r="J80" s="32" t="s">
        <v>357</v>
      </c>
      <c r="K80" s="32" t="s">
        <v>357</v>
      </c>
      <c r="L80" s="32" t="s">
        <v>357</v>
      </c>
      <c r="M80" s="32" t="s">
        <v>357</v>
      </c>
      <c r="N80" s="32" t="s">
        <v>357</v>
      </c>
      <c r="O80" s="32" t="s">
        <v>357</v>
      </c>
      <c r="P80" s="32" t="s">
        <v>357</v>
      </c>
      <c r="Q80" s="32" t="s">
        <v>357</v>
      </c>
      <c r="R80" s="32" t="s">
        <v>357</v>
      </c>
      <c r="S80" s="32" t="s">
        <v>357</v>
      </c>
      <c r="T80" s="32" t="s">
        <v>357</v>
      </c>
      <c r="U80" s="32" t="s">
        <v>357</v>
      </c>
      <c r="V80" s="32" t="s">
        <v>357</v>
      </c>
      <c r="W80" s="32" t="s">
        <v>357</v>
      </c>
      <c r="X80" s="49" t="s">
        <v>357</v>
      </c>
      <c r="Y80" s="49" t="s">
        <v>357</v>
      </c>
      <c r="Z80" s="49" t="s">
        <v>357</v>
      </c>
      <c r="AA80" s="49" t="s">
        <v>357</v>
      </c>
      <c r="AB80" s="49" t="s">
        <v>357</v>
      </c>
      <c r="AC80" s="49" t="s">
        <v>357</v>
      </c>
      <c r="AD80" s="49" t="s">
        <v>357</v>
      </c>
      <c r="AE80" s="49" t="s">
        <v>357</v>
      </c>
      <c r="AF80" s="49" t="s">
        <v>357</v>
      </c>
      <c r="AG80" s="49" t="s">
        <v>357</v>
      </c>
      <c r="AH80" s="49" t="s">
        <v>357</v>
      </c>
      <c r="AI80" s="39" t="s">
        <v>357</v>
      </c>
      <c r="AJ80" s="39" t="s">
        <v>357</v>
      </c>
      <c r="AK80" s="39" t="s">
        <v>357</v>
      </c>
      <c r="AL80" s="39" t="s">
        <v>357</v>
      </c>
      <c r="AM80" s="39" t="s">
        <v>357</v>
      </c>
      <c r="AN80" s="39" t="s">
        <v>357</v>
      </c>
      <c r="AO80" s="39" t="s">
        <v>357</v>
      </c>
      <c r="AP80" s="50" t="s">
        <v>357</v>
      </c>
      <c r="AQ80" s="50" t="s">
        <v>357</v>
      </c>
      <c r="AR80" s="49" t="s">
        <v>357</v>
      </c>
      <c r="AS80" s="49" t="s">
        <v>357</v>
      </c>
      <c r="AT80" s="49" t="s">
        <v>357</v>
      </c>
      <c r="AU80" s="49" t="s">
        <v>357</v>
      </c>
      <c r="AV80" s="49" t="s">
        <v>357</v>
      </c>
      <c r="AW80" s="32" t="s">
        <v>357</v>
      </c>
      <c r="AX80" s="32" t="s">
        <v>357</v>
      </c>
      <c r="AY80" s="50" t="s">
        <v>357</v>
      </c>
      <c r="AZ80" s="50" t="s">
        <v>357</v>
      </c>
      <c r="BA80" s="39" t="s">
        <v>357</v>
      </c>
      <c r="BB80" s="39" t="s">
        <v>357</v>
      </c>
      <c r="BC80" s="39" t="s">
        <v>357</v>
      </c>
      <c r="BD80" s="39" t="s">
        <v>357</v>
      </c>
      <c r="BE80" s="39" t="s">
        <v>357</v>
      </c>
      <c r="BF80" s="39" t="s">
        <v>357</v>
      </c>
      <c r="BG80" s="41" t="s">
        <v>357</v>
      </c>
      <c r="BH80" s="41" t="s">
        <v>357</v>
      </c>
      <c r="BI80" s="41"/>
    </row>
    <row r="81">
      <c r="A81" s="51" t="s">
        <v>653</v>
      </c>
      <c r="B81" s="53">
        <v>55.0</v>
      </c>
      <c r="C81" s="51" t="s">
        <v>1013</v>
      </c>
      <c r="D81" s="18" t="s">
        <v>571</v>
      </c>
      <c r="E81" s="18" t="s">
        <v>572</v>
      </c>
      <c r="F81" s="18" t="s">
        <v>192</v>
      </c>
      <c r="G81" s="20" t="s">
        <v>1200</v>
      </c>
      <c r="H81" s="56" t="s">
        <v>762</v>
      </c>
      <c r="I81" s="26">
        <v>6.0</v>
      </c>
      <c r="J81" s="26" t="str">
        <f>IF((I81&gt;=19),"S",IF(AND(I81&lt;19),"R", "NA"))</f>
        <v>R</v>
      </c>
      <c r="K81" s="26">
        <v>19.0</v>
      </c>
      <c r="L81" s="26" t="str">
        <f>IF((K81&gt;=19),"S",IF(AND(K81&lt;19),"R", "NA"))</f>
        <v>S</v>
      </c>
      <c r="M81" s="26">
        <v>6.0</v>
      </c>
      <c r="N81" s="26" t="str">
        <f>IF((M81&gt;=23),"S",IF(AND(M81&lt;23),"R","NA"))</f>
        <v>R</v>
      </c>
      <c r="O81" s="32" t="s">
        <v>357</v>
      </c>
      <c r="P81" s="32" t="s">
        <v>357</v>
      </c>
      <c r="Q81" s="26">
        <v>15.0</v>
      </c>
      <c r="R81" s="26" t="str">
        <f>IF((Q81&gt;=20),"S",IF(AND(Q81&lt;20),"R", "NA"))</f>
        <v>R</v>
      </c>
      <c r="S81" s="26">
        <v>22.0</v>
      </c>
      <c r="T81" s="26" t="str">
        <f>IF((S81&gt;=20),"S",IF(AND(S81&lt;20),"R", "NA"))</f>
        <v>S</v>
      </c>
      <c r="U81" s="26">
        <v>23.0</v>
      </c>
      <c r="V81" s="26" t="str">
        <f>IF((U81&gt;=20),"S",IF(AND(U81&lt;20,U81&gt;=17),"I",IF(AND(U81&lt;17),"R","NA")))</f>
        <v>S</v>
      </c>
      <c r="W81" s="32" t="s">
        <v>299</v>
      </c>
      <c r="X81" s="33">
        <v>24.0</v>
      </c>
      <c r="Y81" s="33" t="str">
        <f>IF((X81&gt;=20),"S",IF(AND(X81&lt;20,X81&gt;=17),"I",IF(AND(X81&lt;17),"R","NA")))</f>
        <v>S</v>
      </c>
      <c r="Z81" s="33">
        <v>23.0</v>
      </c>
      <c r="AA81" s="33" t="str">
        <f>IF((Z81&gt;=18),"S",IF(AND(Z81&lt;18),"R", "NA"))</f>
        <v>S</v>
      </c>
      <c r="AB81" s="33">
        <v>27.0</v>
      </c>
      <c r="AC81" s="33" t="str">
        <f>IF((AB81&gt;=22),"S",IF(AND(AB81&lt;22,AB81&gt;=19),"I",IF(AND(AB81&lt;19),"R","NA")))</f>
        <v>S</v>
      </c>
      <c r="AD81" s="33">
        <v>24.0</v>
      </c>
      <c r="AE81" s="33" t="str">
        <f>IF((AD81&gt;=13),"S",IF(AND(AD81&lt;13),"R", "NA"))</f>
        <v>S</v>
      </c>
      <c r="AF81" s="33">
        <v>34.0</v>
      </c>
      <c r="AG81" s="33" t="str">
        <f>IF((AF81&gt;=27),"S",IF(AND(AF81&lt;27,AF81&gt;=24),"I",IF(AND(AF81&lt;24),"R","NA")))</f>
        <v>S</v>
      </c>
      <c r="AH81" s="33" t="s">
        <v>300</v>
      </c>
      <c r="AI81" s="36">
        <v>30.0</v>
      </c>
      <c r="AJ81" s="36" t="str">
        <f>IF((AI81&gt;=25),"S",IF(AND(AI81&lt;25,AI81&gt;=22),"I",IF(AND(AI81&lt;22),"R","NA")))</f>
        <v>S</v>
      </c>
      <c r="AK81" s="36">
        <v>26.0</v>
      </c>
      <c r="AL81" s="36" t="str">
        <f>IF((AK81&gt;=23),"S",IF(AND(AK81&lt;23,AK81&gt;=19),"I",IF(AND(AK81&lt;19),"R","NA")))</f>
        <v>S</v>
      </c>
      <c r="AM81" s="36">
        <v>22.0</v>
      </c>
      <c r="AN81" s="36" t="str">
        <f>IF((AM81&gt;=14),"S",IF(AND(AM81&lt;14),"R","NA"))</f>
        <v>S</v>
      </c>
      <c r="AO81" s="36" t="s">
        <v>300</v>
      </c>
      <c r="AP81" s="37">
        <v>6.0</v>
      </c>
      <c r="AQ81" s="37" t="str">
        <f>IF((AP81&gt;=14),"S",IF(AND(AP81&lt;14,AP81&gt;=11),"I",IF(AND(AP81&lt;11),"R","NA")))</f>
        <v>R</v>
      </c>
      <c r="AR81" s="33">
        <v>22.0</v>
      </c>
      <c r="AS81" s="33" t="str">
        <f>IF((AR81&gt;=18),"S",IF(AND(AR81&lt;18),"R", "NA"))</f>
        <v>S</v>
      </c>
      <c r="AT81" s="33">
        <v>20.0</v>
      </c>
      <c r="AU81" s="33" t="str">
        <f>IF((AT81&gt;=16),"S",IF(AND(AT81&lt;16),"R", "NA"))</f>
        <v>S</v>
      </c>
      <c r="AV81" s="33" t="s">
        <v>300</v>
      </c>
      <c r="AW81" s="26">
        <v>15.0</v>
      </c>
      <c r="AX81" s="26" t="str">
        <f>IF((AW81&gt;=20),"S",IF(AND(AW81&lt;20),"R", "NA"))</f>
        <v>R</v>
      </c>
      <c r="AY81" s="37">
        <v>33.0</v>
      </c>
      <c r="AZ81" s="37" t="str">
        <f>IF((AY81&gt;=26),"S",IF(AND(AY81&lt;26,AY81&gt;=21),"I",IF(AND(AY81&lt;21),"R","NA")))</f>
        <v>S</v>
      </c>
      <c r="BA81" s="36">
        <v>34.0</v>
      </c>
      <c r="BB81" s="36" t="str">
        <f>IF((BA81&gt;=23),"S",IF(AND(BA81&lt;23),"R","NA"))</f>
        <v>S</v>
      </c>
      <c r="BC81" s="39" t="s">
        <v>357</v>
      </c>
      <c r="BD81" s="39" t="s">
        <v>357</v>
      </c>
      <c r="BE81" s="36">
        <v>30.0</v>
      </c>
      <c r="BF81" s="36" t="str">
        <f>IF((BE81&gt;=22),"S",IF(AND(BE81&lt;22,BE81&gt;=19),"I",IF(AND(BE81&lt;19),"R","NA")))</f>
        <v>S</v>
      </c>
      <c r="BG81" s="40">
        <v>21.0</v>
      </c>
      <c r="BH81" s="41" t="str">
        <f>IF((BG81&gt;=17),"S",IF(AND(BG81&lt;17),"R", "NA"))</f>
        <v>S</v>
      </c>
      <c r="BI81" s="41"/>
    </row>
    <row r="82">
      <c r="A82" s="51" t="s">
        <v>653</v>
      </c>
      <c r="B82" s="53">
        <v>56.0</v>
      </c>
      <c r="C82" s="51" t="s">
        <v>1019</v>
      </c>
      <c r="D82" s="18" t="s">
        <v>705</v>
      </c>
      <c r="E82" s="18" t="s">
        <v>572</v>
      </c>
      <c r="F82" s="18" t="s">
        <v>573</v>
      </c>
      <c r="G82" s="20" t="s">
        <v>357</v>
      </c>
      <c r="H82" s="47" t="s">
        <v>357</v>
      </c>
      <c r="I82" s="32" t="s">
        <v>357</v>
      </c>
      <c r="J82" s="32" t="s">
        <v>357</v>
      </c>
      <c r="K82" s="32" t="s">
        <v>357</v>
      </c>
      <c r="L82" s="32" t="s">
        <v>357</v>
      </c>
      <c r="M82" s="32" t="s">
        <v>357</v>
      </c>
      <c r="N82" s="32" t="s">
        <v>357</v>
      </c>
      <c r="O82" s="32" t="s">
        <v>357</v>
      </c>
      <c r="P82" s="32" t="s">
        <v>357</v>
      </c>
      <c r="Q82" s="32" t="s">
        <v>357</v>
      </c>
      <c r="R82" s="32" t="s">
        <v>357</v>
      </c>
      <c r="S82" s="32" t="s">
        <v>357</v>
      </c>
      <c r="T82" s="32" t="s">
        <v>357</v>
      </c>
      <c r="U82" s="32" t="s">
        <v>357</v>
      </c>
      <c r="V82" s="32" t="s">
        <v>357</v>
      </c>
      <c r="W82" s="32" t="s">
        <v>357</v>
      </c>
      <c r="X82" s="49" t="s">
        <v>357</v>
      </c>
      <c r="Y82" s="49" t="s">
        <v>357</v>
      </c>
      <c r="Z82" s="49" t="s">
        <v>357</v>
      </c>
      <c r="AA82" s="49" t="s">
        <v>357</v>
      </c>
      <c r="AB82" s="49" t="s">
        <v>357</v>
      </c>
      <c r="AC82" s="49" t="s">
        <v>357</v>
      </c>
      <c r="AD82" s="49" t="s">
        <v>357</v>
      </c>
      <c r="AE82" s="49" t="s">
        <v>357</v>
      </c>
      <c r="AF82" s="49" t="s">
        <v>357</v>
      </c>
      <c r="AG82" s="49" t="s">
        <v>357</v>
      </c>
      <c r="AH82" s="49" t="s">
        <v>357</v>
      </c>
      <c r="AI82" s="39" t="s">
        <v>357</v>
      </c>
      <c r="AJ82" s="39" t="s">
        <v>357</v>
      </c>
      <c r="AK82" s="39" t="s">
        <v>357</v>
      </c>
      <c r="AL82" s="39" t="s">
        <v>357</v>
      </c>
      <c r="AM82" s="39" t="s">
        <v>357</v>
      </c>
      <c r="AN82" s="39" t="s">
        <v>357</v>
      </c>
      <c r="AO82" s="39" t="s">
        <v>357</v>
      </c>
      <c r="AP82" s="50" t="s">
        <v>357</v>
      </c>
      <c r="AQ82" s="50" t="s">
        <v>357</v>
      </c>
      <c r="AR82" s="49" t="s">
        <v>357</v>
      </c>
      <c r="AS82" s="49" t="s">
        <v>357</v>
      </c>
      <c r="AT82" s="49" t="s">
        <v>357</v>
      </c>
      <c r="AU82" s="49" t="s">
        <v>357</v>
      </c>
      <c r="AV82" s="49" t="s">
        <v>357</v>
      </c>
      <c r="AW82" s="32" t="s">
        <v>357</v>
      </c>
      <c r="AX82" s="32" t="s">
        <v>357</v>
      </c>
      <c r="AY82" s="50" t="s">
        <v>357</v>
      </c>
      <c r="AZ82" s="50" t="s">
        <v>357</v>
      </c>
      <c r="BA82" s="39" t="s">
        <v>357</v>
      </c>
      <c r="BB82" s="39" t="s">
        <v>357</v>
      </c>
      <c r="BC82" s="39" t="s">
        <v>357</v>
      </c>
      <c r="BD82" s="39" t="s">
        <v>357</v>
      </c>
      <c r="BE82" s="39" t="s">
        <v>357</v>
      </c>
      <c r="BF82" s="39" t="s">
        <v>357</v>
      </c>
      <c r="BG82" s="41" t="s">
        <v>357</v>
      </c>
      <c r="BH82" s="41" t="s">
        <v>357</v>
      </c>
      <c r="BI82" s="41"/>
    </row>
    <row r="83">
      <c r="A83" s="21" t="s">
        <v>689</v>
      </c>
      <c r="B83" s="23">
        <v>57.0</v>
      </c>
      <c r="C83" s="21" t="s">
        <v>625</v>
      </c>
      <c r="D83" s="18" t="s">
        <v>190</v>
      </c>
      <c r="E83" s="18" t="s">
        <v>190</v>
      </c>
      <c r="F83" s="18" t="s">
        <v>192</v>
      </c>
      <c r="G83" s="20" t="s">
        <v>1216</v>
      </c>
      <c r="H83" s="22" t="s">
        <v>198</v>
      </c>
      <c r="I83" s="26">
        <v>6.0</v>
      </c>
      <c r="J83" s="26" t="str">
        <f>IF((I83&gt;=19),"S",IF(AND(I83&lt;19),"R", "NA"))</f>
        <v>R</v>
      </c>
      <c r="K83" s="26">
        <v>22.0</v>
      </c>
      <c r="L83" s="26" t="str">
        <f>IF((K83&gt;=19),"S",IF(AND(K83&lt;19),"R", "NA"))</f>
        <v>S</v>
      </c>
      <c r="M83" s="26">
        <v>6.0</v>
      </c>
      <c r="N83" s="26" t="str">
        <f>IF((M83&gt;=23),"S",IF(AND(M83&lt;23),"R","NA"))</f>
        <v>R</v>
      </c>
      <c r="O83" s="32" t="s">
        <v>357</v>
      </c>
      <c r="P83" s="32" t="s">
        <v>357</v>
      </c>
      <c r="Q83" s="26">
        <v>11.0</v>
      </c>
      <c r="R83" s="26" t="str">
        <f>IF((Q83&gt;=20),"S",IF(AND(Q83&lt;20),"R", "NA"))</f>
        <v>R</v>
      </c>
      <c r="S83" s="26">
        <v>23.0</v>
      </c>
      <c r="T83" s="26" t="str">
        <f>IF((S83&gt;=20),"S",IF(AND(S83&lt;20),"R", "NA"))</f>
        <v>S</v>
      </c>
      <c r="U83" s="26">
        <v>20.0</v>
      </c>
      <c r="V83" s="26" t="str">
        <f>IF((U83&gt;=20),"S",IF(AND(U83&lt;20,U83&gt;=17),"I",IF(AND(U83&lt;17),"R","NA")))</f>
        <v>S</v>
      </c>
      <c r="W83" s="32" t="s">
        <v>299</v>
      </c>
      <c r="X83" s="33">
        <v>6.0</v>
      </c>
      <c r="Y83" s="33" t="str">
        <f>IF((X83&gt;=20),"S",IF(AND(X83&lt;20,X83&gt;=17),"I",IF(AND(X83&lt;17),"R","NA")))</f>
        <v>R</v>
      </c>
      <c r="Z83" s="33">
        <v>24.0</v>
      </c>
      <c r="AA83" s="33" t="str">
        <f>IF((Z83&gt;=18),"S",IF(AND(Z83&lt;18),"R", "NA"))</f>
        <v>S</v>
      </c>
      <c r="AB83" s="33">
        <v>16.0</v>
      </c>
      <c r="AC83" s="33" t="str">
        <f>IF((AB83&gt;=22),"S",IF(AND(AB83&lt;22,AB83&gt;=19),"I",IF(AND(AB83&lt;19),"R","NA")))</f>
        <v>R</v>
      </c>
      <c r="AD83" s="33">
        <v>24.0</v>
      </c>
      <c r="AE83" s="33" t="str">
        <f>IF((AD83&gt;=13),"S",IF(AND(AD83&lt;13),"R", "NA"))</f>
        <v>S</v>
      </c>
      <c r="AF83" s="33">
        <v>22.0</v>
      </c>
      <c r="AG83" s="33" t="str">
        <f>IF((AF83&gt;=27),"S",IF(AND(AF83&lt;27,AF83&gt;=24),"I",IF(AND(AF83&lt;24),"R","NA")))</f>
        <v>R</v>
      </c>
      <c r="AH83" s="33" t="s">
        <v>299</v>
      </c>
      <c r="AI83" s="36">
        <v>6.0</v>
      </c>
      <c r="AJ83" s="36" t="str">
        <f>IF((AI83&gt;=25),"S",IF(AND(AI83&lt;25,AI83&gt;=22),"I",IF(AND(AI83&lt;22),"R","NA")))</f>
        <v>R</v>
      </c>
      <c r="AK83" s="36">
        <v>8.0</v>
      </c>
      <c r="AL83" s="36" t="str">
        <f>IF((AK83&gt;=23),"S",IF(AND(AK83&lt;23,AK83&gt;=19),"I",IF(AND(AK83&lt;19),"R","NA")))</f>
        <v>R</v>
      </c>
      <c r="AM83" s="36">
        <v>6.0</v>
      </c>
      <c r="AN83" s="36" t="str">
        <f>IF((AM83&gt;=14),"S",IF(AND(AM83&lt;14),"R","NA"))</f>
        <v>R</v>
      </c>
      <c r="AO83" s="36" t="s">
        <v>299</v>
      </c>
      <c r="AP83" s="37">
        <v>6.0</v>
      </c>
      <c r="AQ83" s="37" t="str">
        <f>IF((AP83&gt;=14),"S",IF(AND(AP83&lt;14,AP83&gt;=11),"I",IF(AND(AP83&lt;11),"R","NA")))</f>
        <v>R</v>
      </c>
      <c r="AR83" s="33">
        <v>20.0</v>
      </c>
      <c r="AS83" s="33" t="str">
        <f>IF((AR83&gt;=18),"S",IF(AND(AR83&lt;18),"R", "NA"))</f>
        <v>S</v>
      </c>
      <c r="AT83" s="33">
        <v>19.0</v>
      </c>
      <c r="AU83" s="33" t="str">
        <f>IF((AT83&gt;=16),"S",IF(AND(AT83&lt;16),"R", "NA"))</f>
        <v>S</v>
      </c>
      <c r="AV83" s="33" t="s">
        <v>300</v>
      </c>
      <c r="AW83" s="26">
        <v>12.0</v>
      </c>
      <c r="AX83" s="26" t="str">
        <f>IF((AW83&gt;=20),"S",IF(AND(AW83&lt;20),"R", "NA"))</f>
        <v>R</v>
      </c>
      <c r="AY83" s="37">
        <v>16.0</v>
      </c>
      <c r="AZ83" s="37" t="str">
        <f>IF((AY83&gt;=26),"S",IF(AND(AY83&lt;26,AY83&gt;=21),"I",IF(AND(AY83&lt;21),"R","NA")))</f>
        <v>R</v>
      </c>
      <c r="BA83" s="36">
        <v>31.0</v>
      </c>
      <c r="BB83" s="36" t="str">
        <f>IF((BA83&gt;=23),"S",IF(AND(BA83&lt;23),"R","NA"))</f>
        <v>S</v>
      </c>
      <c r="BC83" s="39" t="s">
        <v>357</v>
      </c>
      <c r="BD83" s="39" t="s">
        <v>357</v>
      </c>
      <c r="BE83" s="36">
        <v>30.0</v>
      </c>
      <c r="BF83" s="36" t="str">
        <f>IF((BE83&gt;=22),"S",IF(AND(BE83&lt;22,BE83&gt;=19),"I",IF(AND(BE83&lt;19),"R","NA")))</f>
        <v>S</v>
      </c>
      <c r="BG83" s="40">
        <v>21.0</v>
      </c>
      <c r="BH83" s="41" t="str">
        <f>IF((BG83&gt;=17),"S",IF(AND(BG83&lt;17),"R", "NA"))</f>
        <v>S</v>
      </c>
      <c r="BI83" s="41"/>
    </row>
    <row r="84">
      <c r="A84" s="21" t="s">
        <v>689</v>
      </c>
      <c r="B84" s="23">
        <v>58.0</v>
      </c>
      <c r="C84" s="21" t="s">
        <v>1027</v>
      </c>
      <c r="D84" s="18" t="s">
        <v>571</v>
      </c>
      <c r="E84" s="18" t="s">
        <v>572</v>
      </c>
      <c r="F84" s="18" t="s">
        <v>573</v>
      </c>
      <c r="G84" s="20" t="s">
        <v>357</v>
      </c>
      <c r="H84" s="47" t="s">
        <v>357</v>
      </c>
      <c r="I84" s="32" t="s">
        <v>357</v>
      </c>
      <c r="J84" s="32" t="s">
        <v>357</v>
      </c>
      <c r="K84" s="32" t="s">
        <v>357</v>
      </c>
      <c r="L84" s="32" t="s">
        <v>357</v>
      </c>
      <c r="M84" s="32" t="s">
        <v>357</v>
      </c>
      <c r="N84" s="32" t="s">
        <v>357</v>
      </c>
      <c r="O84" s="32" t="s">
        <v>357</v>
      </c>
      <c r="P84" s="32" t="s">
        <v>357</v>
      </c>
      <c r="Q84" s="32" t="s">
        <v>357</v>
      </c>
      <c r="R84" s="32" t="s">
        <v>357</v>
      </c>
      <c r="S84" s="32" t="s">
        <v>357</v>
      </c>
      <c r="T84" s="32" t="s">
        <v>357</v>
      </c>
      <c r="U84" s="32" t="s">
        <v>357</v>
      </c>
      <c r="V84" s="32" t="s">
        <v>357</v>
      </c>
      <c r="W84" s="32" t="s">
        <v>357</v>
      </c>
      <c r="X84" s="49" t="s">
        <v>357</v>
      </c>
      <c r="Y84" s="49" t="s">
        <v>357</v>
      </c>
      <c r="Z84" s="49" t="s">
        <v>357</v>
      </c>
      <c r="AA84" s="49" t="s">
        <v>357</v>
      </c>
      <c r="AB84" s="49" t="s">
        <v>357</v>
      </c>
      <c r="AC84" s="49" t="s">
        <v>357</v>
      </c>
      <c r="AD84" s="49" t="s">
        <v>357</v>
      </c>
      <c r="AE84" s="49" t="s">
        <v>357</v>
      </c>
      <c r="AF84" s="49" t="s">
        <v>357</v>
      </c>
      <c r="AG84" s="49" t="s">
        <v>357</v>
      </c>
      <c r="AH84" s="49" t="s">
        <v>357</v>
      </c>
      <c r="AI84" s="39" t="s">
        <v>357</v>
      </c>
      <c r="AJ84" s="39" t="s">
        <v>357</v>
      </c>
      <c r="AK84" s="39" t="s">
        <v>357</v>
      </c>
      <c r="AL84" s="39" t="s">
        <v>357</v>
      </c>
      <c r="AM84" s="39" t="s">
        <v>357</v>
      </c>
      <c r="AN84" s="39" t="s">
        <v>357</v>
      </c>
      <c r="AO84" s="39" t="s">
        <v>357</v>
      </c>
      <c r="AP84" s="50" t="s">
        <v>357</v>
      </c>
      <c r="AQ84" s="50" t="s">
        <v>357</v>
      </c>
      <c r="AR84" s="49" t="s">
        <v>357</v>
      </c>
      <c r="AS84" s="49" t="s">
        <v>357</v>
      </c>
      <c r="AT84" s="49" t="s">
        <v>357</v>
      </c>
      <c r="AU84" s="49" t="s">
        <v>357</v>
      </c>
      <c r="AV84" s="49" t="s">
        <v>357</v>
      </c>
      <c r="AW84" s="32" t="s">
        <v>357</v>
      </c>
      <c r="AX84" s="32" t="s">
        <v>357</v>
      </c>
      <c r="AY84" s="50" t="s">
        <v>357</v>
      </c>
      <c r="AZ84" s="50" t="s">
        <v>357</v>
      </c>
      <c r="BA84" s="39" t="s">
        <v>357</v>
      </c>
      <c r="BB84" s="39" t="s">
        <v>357</v>
      </c>
      <c r="BC84" s="39" t="s">
        <v>357</v>
      </c>
      <c r="BD84" s="39" t="s">
        <v>357</v>
      </c>
      <c r="BE84" s="39" t="s">
        <v>357</v>
      </c>
      <c r="BF84" s="39" t="s">
        <v>357</v>
      </c>
      <c r="BG84" s="41" t="s">
        <v>357</v>
      </c>
      <c r="BH84" s="41" t="s">
        <v>357</v>
      </c>
      <c r="BI84" s="41"/>
    </row>
    <row r="85">
      <c r="A85" s="21" t="s">
        <v>689</v>
      </c>
      <c r="B85" s="23">
        <v>59.0</v>
      </c>
      <c r="C85" s="21" t="s">
        <v>1030</v>
      </c>
      <c r="D85" s="18" t="s">
        <v>827</v>
      </c>
      <c r="E85" s="18" t="s">
        <v>572</v>
      </c>
      <c r="F85" s="18" t="s">
        <v>192</v>
      </c>
      <c r="G85" s="20" t="s">
        <v>1233</v>
      </c>
      <c r="H85" s="22" t="s">
        <v>198</v>
      </c>
      <c r="I85" s="26">
        <v>6.0</v>
      </c>
      <c r="J85" s="26" t="str">
        <f t="shared" ref="J85:J90" si="225">IF((I85&gt;=19),"S",IF(AND(I85&lt;19),"R", "NA"))</f>
        <v>R</v>
      </c>
      <c r="K85" s="26">
        <v>21.0</v>
      </c>
      <c r="L85" s="26" t="str">
        <f t="shared" ref="L85:L90" si="226">IF((K85&gt;=19),"S",IF(AND(K85&lt;19),"R", "NA"))</f>
        <v>S</v>
      </c>
      <c r="M85" s="26">
        <v>6.0</v>
      </c>
      <c r="N85" s="26" t="str">
        <f t="shared" ref="N85:N90" si="227">IF((M85&gt;=23),"S",IF(AND(M85&lt;23),"R","NA"))</f>
        <v>R</v>
      </c>
      <c r="O85" s="32" t="s">
        <v>357</v>
      </c>
      <c r="P85" s="32" t="s">
        <v>357</v>
      </c>
      <c r="Q85" s="26">
        <v>17.0</v>
      </c>
      <c r="R85" s="26" t="str">
        <f t="shared" ref="R85:R90" si="228">IF((Q85&gt;=20),"S",IF(AND(Q85&lt;20),"R", "NA"))</f>
        <v>R</v>
      </c>
      <c r="S85" s="26">
        <v>27.0</v>
      </c>
      <c r="T85" s="26" t="str">
        <f t="shared" ref="T85:T90" si="229">IF((S85&gt;=20),"S",IF(AND(S85&lt;20),"R", "NA"))</f>
        <v>S</v>
      </c>
      <c r="U85" s="26">
        <v>27.0</v>
      </c>
      <c r="V85" s="26" t="str">
        <f t="shared" ref="V85:V90" si="230">IF((U85&gt;=20),"S",IF(AND(U85&lt;20,U85&gt;=17),"I",IF(AND(U85&lt;17),"R","NA")))</f>
        <v>S</v>
      </c>
      <c r="W85" s="32" t="s">
        <v>299</v>
      </c>
      <c r="X85" s="33">
        <v>18.0</v>
      </c>
      <c r="Y85" s="33" t="str">
        <f t="shared" ref="Y85:Y90" si="231">IF((X85&gt;=20),"S",IF(AND(X85&lt;20,X85&gt;=17),"I",IF(AND(X85&lt;17),"R","NA")))</f>
        <v>I</v>
      </c>
      <c r="Z85" s="33">
        <v>27.0</v>
      </c>
      <c r="AA85" s="33" t="str">
        <f t="shared" ref="AA85:AA90" si="232">IF((Z85&gt;=18),"S",IF(AND(Z85&lt;18),"R", "NA"))</f>
        <v>S</v>
      </c>
      <c r="AB85" s="33">
        <v>24.0</v>
      </c>
      <c r="AC85" s="33" t="str">
        <f t="shared" ref="AC85:AC90" si="233">IF((AB85&gt;=22),"S",IF(AND(AB85&lt;22,AB85&gt;=19),"I",IF(AND(AB85&lt;19),"R","NA")))</f>
        <v>S</v>
      </c>
      <c r="AD85" s="33">
        <v>28.0</v>
      </c>
      <c r="AE85" s="33" t="str">
        <f t="shared" ref="AE85:AE90" si="234">IF((AD85&gt;=13),"S",IF(AND(AD85&lt;13),"R", "NA"))</f>
        <v>S</v>
      </c>
      <c r="AF85" s="33">
        <v>30.0</v>
      </c>
      <c r="AG85" s="33" t="str">
        <f t="shared" ref="AG85:AG90" si="235">IF((AF85&gt;=27),"S",IF(AND(AF85&lt;27,AF85&gt;=24),"I",IF(AND(AF85&lt;24),"R","NA")))</f>
        <v>S</v>
      </c>
      <c r="AH85" s="33" t="s">
        <v>300</v>
      </c>
      <c r="AI85" s="36">
        <v>28.0</v>
      </c>
      <c r="AJ85" s="36" t="str">
        <f t="shared" ref="AJ85:AJ90" si="236">IF((AI85&gt;=25),"S",IF(AND(AI85&lt;25,AI85&gt;=22),"I",IF(AND(AI85&lt;22),"R","NA")))</f>
        <v>S</v>
      </c>
      <c r="AK85" s="36">
        <v>24.0</v>
      </c>
      <c r="AL85" s="36" t="str">
        <f t="shared" ref="AL85:AL90" si="237">IF((AK85&gt;=23),"S",IF(AND(AK85&lt;23,AK85&gt;=19),"I",IF(AND(AK85&lt;19),"R","NA")))</f>
        <v>S</v>
      </c>
      <c r="AM85" s="36">
        <v>18.0</v>
      </c>
      <c r="AN85" s="36" t="str">
        <f t="shared" ref="AN85:AN90" si="238">IF((AM85&gt;=14),"S",IF(AND(AM85&lt;14),"R","NA"))</f>
        <v>S</v>
      </c>
      <c r="AO85" s="36" t="s">
        <v>300</v>
      </c>
      <c r="AP85" s="37">
        <v>6.0</v>
      </c>
      <c r="AQ85" s="37" t="str">
        <f t="shared" ref="AQ85:AQ90" si="239">IF((AP85&gt;=14),"S",IF(AND(AP85&lt;14,AP85&gt;=11),"I",IF(AND(AP85&lt;11),"R","NA")))</f>
        <v>R</v>
      </c>
      <c r="AR85" s="33">
        <v>21.0</v>
      </c>
      <c r="AS85" s="33" t="str">
        <f t="shared" ref="AS85:AS90" si="240">IF((AR85&gt;=18),"S",IF(AND(AR85&lt;18),"R", "NA"))</f>
        <v>S</v>
      </c>
      <c r="AT85" s="33">
        <v>20.0</v>
      </c>
      <c r="AU85" s="33" t="str">
        <f t="shared" ref="AU85:AU90" si="241">IF((AT85&gt;=16),"S",IF(AND(AT85&lt;16),"R", "NA"))</f>
        <v>S</v>
      </c>
      <c r="AV85" s="33" t="s">
        <v>300</v>
      </c>
      <c r="AW85" s="26">
        <v>18.0</v>
      </c>
      <c r="AX85" s="26" t="str">
        <f t="shared" ref="AX85:AX90" si="242">IF((AW85&gt;=20),"S",IF(AND(AW85&lt;20),"R", "NA"))</f>
        <v>R</v>
      </c>
      <c r="AY85" s="37">
        <v>25.0</v>
      </c>
      <c r="AZ85" s="37" t="str">
        <f t="shared" ref="AZ85:AZ90" si="243">IF((AY85&gt;=26),"S",IF(AND(AY85&lt;26,AY85&gt;=21),"I",IF(AND(AY85&lt;21),"R","NA")))</f>
        <v>I</v>
      </c>
      <c r="BA85" s="36">
        <v>30.0</v>
      </c>
      <c r="BB85" s="36" t="str">
        <f t="shared" ref="BB85:BB90" si="244">IF((BA85&gt;=23),"S",IF(AND(BA85&lt;23),"R","NA"))</f>
        <v>S</v>
      </c>
      <c r="BC85" s="39" t="s">
        <v>357</v>
      </c>
      <c r="BD85" s="39" t="s">
        <v>357</v>
      </c>
      <c r="BE85" s="36">
        <v>32.0</v>
      </c>
      <c r="BF85" s="36" t="str">
        <f t="shared" ref="BF85:BF90" si="245">IF((BE85&gt;=22),"S",IF(AND(BE85&lt;22,BE85&gt;=19),"I",IF(AND(BE85&lt;19),"R","NA")))</f>
        <v>S</v>
      </c>
      <c r="BG85" s="40">
        <v>21.0</v>
      </c>
      <c r="BH85" s="41" t="str">
        <f t="shared" ref="BH85:BH90" si="246">IF((BG85&gt;=17),"S",IF(AND(BG85&lt;17),"R", "NA"))</f>
        <v>S</v>
      </c>
      <c r="BI85" s="41"/>
    </row>
    <row r="86">
      <c r="A86" s="21" t="s">
        <v>689</v>
      </c>
      <c r="B86" s="21" t="s">
        <v>444</v>
      </c>
      <c r="C86" s="21" t="s">
        <v>634</v>
      </c>
      <c r="D86" s="18" t="s">
        <v>827</v>
      </c>
      <c r="E86" s="18" t="s">
        <v>572</v>
      </c>
      <c r="F86" s="18" t="s">
        <v>192</v>
      </c>
      <c r="G86" s="20" t="s">
        <v>1242</v>
      </c>
      <c r="H86" s="22" t="s">
        <v>198</v>
      </c>
      <c r="I86" s="26">
        <v>6.0</v>
      </c>
      <c r="J86" s="26" t="str">
        <f t="shared" si="225"/>
        <v>R</v>
      </c>
      <c r="K86" s="26">
        <v>22.0</v>
      </c>
      <c r="L86" s="26" t="str">
        <f t="shared" si="226"/>
        <v>S</v>
      </c>
      <c r="M86" s="26">
        <v>6.0</v>
      </c>
      <c r="N86" s="26" t="str">
        <f t="shared" si="227"/>
        <v>R</v>
      </c>
      <c r="O86" s="32" t="s">
        <v>357</v>
      </c>
      <c r="P86" s="32" t="s">
        <v>357</v>
      </c>
      <c r="Q86" s="26">
        <v>16.0</v>
      </c>
      <c r="R86" s="26" t="str">
        <f t="shared" si="228"/>
        <v>R</v>
      </c>
      <c r="S86" s="26">
        <v>26.0</v>
      </c>
      <c r="T86" s="26" t="str">
        <f t="shared" si="229"/>
        <v>S</v>
      </c>
      <c r="U86" s="26">
        <v>27.0</v>
      </c>
      <c r="V86" s="26" t="str">
        <f t="shared" si="230"/>
        <v>S</v>
      </c>
      <c r="W86" s="32" t="s">
        <v>299</v>
      </c>
      <c r="X86" s="33">
        <v>12.0</v>
      </c>
      <c r="Y86" s="33" t="str">
        <f t="shared" si="231"/>
        <v>R</v>
      </c>
      <c r="Z86" s="33">
        <v>28.0</v>
      </c>
      <c r="AA86" s="33" t="str">
        <f t="shared" si="232"/>
        <v>S</v>
      </c>
      <c r="AB86" s="33">
        <v>24.0</v>
      </c>
      <c r="AC86" s="33" t="str">
        <f t="shared" si="233"/>
        <v>S</v>
      </c>
      <c r="AD86" s="33">
        <v>27.0</v>
      </c>
      <c r="AE86" s="33" t="str">
        <f t="shared" si="234"/>
        <v>S</v>
      </c>
      <c r="AF86" s="33">
        <v>28.0</v>
      </c>
      <c r="AG86" s="33" t="str">
        <f t="shared" si="235"/>
        <v>S</v>
      </c>
      <c r="AH86" s="33" t="s">
        <v>299</v>
      </c>
      <c r="AI86" s="36">
        <v>25.0</v>
      </c>
      <c r="AJ86" s="36" t="str">
        <f t="shared" si="236"/>
        <v>S</v>
      </c>
      <c r="AK86" s="36">
        <v>22.0</v>
      </c>
      <c r="AL86" s="36" t="str">
        <f t="shared" si="237"/>
        <v>I</v>
      </c>
      <c r="AM86" s="36">
        <v>13.0</v>
      </c>
      <c r="AN86" s="36" t="str">
        <f t="shared" si="238"/>
        <v>R</v>
      </c>
      <c r="AO86" s="36" t="s">
        <v>299</v>
      </c>
      <c r="AP86" s="37">
        <v>6.0</v>
      </c>
      <c r="AQ86" s="37" t="str">
        <f t="shared" si="239"/>
        <v>R</v>
      </c>
      <c r="AR86" s="33">
        <v>21.0</v>
      </c>
      <c r="AS86" s="33" t="str">
        <f t="shared" si="240"/>
        <v>S</v>
      </c>
      <c r="AT86" s="33">
        <v>20.0</v>
      </c>
      <c r="AU86" s="33" t="str">
        <f t="shared" si="241"/>
        <v>S</v>
      </c>
      <c r="AV86" s="33" t="s">
        <v>300</v>
      </c>
      <c r="AW86" s="26">
        <v>15.0</v>
      </c>
      <c r="AX86" s="26" t="str">
        <f t="shared" si="242"/>
        <v>R</v>
      </c>
      <c r="AY86" s="37">
        <v>25.0</v>
      </c>
      <c r="AZ86" s="37" t="str">
        <f t="shared" si="243"/>
        <v>I</v>
      </c>
      <c r="BA86" s="36">
        <v>33.0</v>
      </c>
      <c r="BB86" s="36" t="str">
        <f t="shared" si="244"/>
        <v>S</v>
      </c>
      <c r="BC86" s="39" t="s">
        <v>357</v>
      </c>
      <c r="BD86" s="39" t="s">
        <v>357</v>
      </c>
      <c r="BE86" s="36">
        <v>32.0</v>
      </c>
      <c r="BF86" s="36" t="str">
        <f t="shared" si="245"/>
        <v>S</v>
      </c>
      <c r="BG86" s="40">
        <v>21.0</v>
      </c>
      <c r="BH86" s="41" t="str">
        <f t="shared" si="246"/>
        <v>S</v>
      </c>
      <c r="BI86" s="41"/>
    </row>
    <row r="87">
      <c r="A87" s="21" t="s">
        <v>689</v>
      </c>
      <c r="B87" s="23">
        <v>60.0</v>
      </c>
      <c r="C87" s="21" t="s">
        <v>638</v>
      </c>
      <c r="D87" s="18" t="s">
        <v>705</v>
      </c>
      <c r="E87" s="18" t="s">
        <v>572</v>
      </c>
      <c r="F87" s="18" t="s">
        <v>192</v>
      </c>
      <c r="G87" s="20" t="s">
        <v>1245</v>
      </c>
      <c r="H87" s="22" t="s">
        <v>198</v>
      </c>
      <c r="I87" s="26">
        <v>6.0</v>
      </c>
      <c r="J87" s="26" t="str">
        <f t="shared" si="225"/>
        <v>R</v>
      </c>
      <c r="K87" s="26">
        <v>23.0</v>
      </c>
      <c r="L87" s="26" t="str">
        <f t="shared" si="226"/>
        <v>S</v>
      </c>
      <c r="M87" s="26">
        <v>6.0</v>
      </c>
      <c r="N87" s="26" t="str">
        <f t="shared" si="227"/>
        <v>R</v>
      </c>
      <c r="O87" s="32" t="s">
        <v>357</v>
      </c>
      <c r="P87" s="32" t="s">
        <v>357</v>
      </c>
      <c r="Q87" s="26">
        <v>17.0</v>
      </c>
      <c r="R87" s="26" t="str">
        <f t="shared" si="228"/>
        <v>R</v>
      </c>
      <c r="S87" s="26">
        <v>26.0</v>
      </c>
      <c r="T87" s="26" t="str">
        <f t="shared" si="229"/>
        <v>S</v>
      </c>
      <c r="U87" s="26">
        <v>24.0</v>
      </c>
      <c r="V87" s="26" t="str">
        <f t="shared" si="230"/>
        <v>S</v>
      </c>
      <c r="W87" s="32" t="s">
        <v>299</v>
      </c>
      <c r="X87" s="33">
        <v>10.0</v>
      </c>
      <c r="Y87" s="33" t="str">
        <f t="shared" si="231"/>
        <v>R</v>
      </c>
      <c r="Z87" s="33">
        <v>25.0</v>
      </c>
      <c r="AA87" s="33" t="str">
        <f t="shared" si="232"/>
        <v>S</v>
      </c>
      <c r="AB87" s="33">
        <v>22.0</v>
      </c>
      <c r="AC87" s="33" t="str">
        <f t="shared" si="233"/>
        <v>S</v>
      </c>
      <c r="AD87" s="33">
        <v>26.0</v>
      </c>
      <c r="AE87" s="33" t="str">
        <f t="shared" si="234"/>
        <v>S</v>
      </c>
      <c r="AF87" s="33">
        <v>25.0</v>
      </c>
      <c r="AG87" s="33" t="str">
        <f t="shared" si="235"/>
        <v>I</v>
      </c>
      <c r="AH87" s="33" t="s">
        <v>299</v>
      </c>
      <c r="AI87" s="36">
        <v>26.0</v>
      </c>
      <c r="AJ87" s="36" t="str">
        <f t="shared" si="236"/>
        <v>S</v>
      </c>
      <c r="AK87" s="36">
        <v>25.0</v>
      </c>
      <c r="AL87" s="36" t="str">
        <f t="shared" si="237"/>
        <v>S</v>
      </c>
      <c r="AM87" s="36">
        <v>18.0</v>
      </c>
      <c r="AN87" s="36" t="str">
        <f t="shared" si="238"/>
        <v>S</v>
      </c>
      <c r="AO87" s="36" t="s">
        <v>300</v>
      </c>
      <c r="AP87" s="37">
        <v>32.0</v>
      </c>
      <c r="AQ87" s="37" t="str">
        <f t="shared" si="239"/>
        <v>S</v>
      </c>
      <c r="AR87" s="33">
        <v>21.0</v>
      </c>
      <c r="AS87" s="33" t="str">
        <f t="shared" si="240"/>
        <v>S</v>
      </c>
      <c r="AT87" s="33">
        <v>19.0</v>
      </c>
      <c r="AU87" s="33" t="str">
        <f t="shared" si="241"/>
        <v>S</v>
      </c>
      <c r="AV87" s="33" t="s">
        <v>300</v>
      </c>
      <c r="AW87" s="26">
        <v>19.0</v>
      </c>
      <c r="AX87" s="26" t="str">
        <f t="shared" si="242"/>
        <v>R</v>
      </c>
      <c r="AY87" s="37">
        <v>22.0</v>
      </c>
      <c r="AZ87" s="37" t="str">
        <f t="shared" si="243"/>
        <v>I</v>
      </c>
      <c r="BA87" s="36">
        <v>31.0</v>
      </c>
      <c r="BB87" s="36" t="str">
        <f t="shared" si="244"/>
        <v>S</v>
      </c>
      <c r="BC87" s="39" t="s">
        <v>357</v>
      </c>
      <c r="BD87" s="39" t="s">
        <v>357</v>
      </c>
      <c r="BE87" s="36">
        <v>31.0</v>
      </c>
      <c r="BF87" s="36" t="str">
        <f t="shared" si="245"/>
        <v>S</v>
      </c>
      <c r="BG87" s="40">
        <v>20.0</v>
      </c>
      <c r="BH87" s="41" t="str">
        <f t="shared" si="246"/>
        <v>S</v>
      </c>
      <c r="BI87" s="41"/>
    </row>
    <row r="88">
      <c r="A88" s="21" t="s">
        <v>689</v>
      </c>
      <c r="B88" s="23">
        <v>61.0</v>
      </c>
      <c r="C88" s="21" t="s">
        <v>648</v>
      </c>
      <c r="D88" s="18" t="s">
        <v>708</v>
      </c>
      <c r="E88" s="18" t="s">
        <v>103</v>
      </c>
      <c r="F88" s="18" t="s">
        <v>192</v>
      </c>
      <c r="G88" s="20" t="s">
        <v>1248</v>
      </c>
      <c r="H88" s="22" t="s">
        <v>198</v>
      </c>
      <c r="I88" s="26">
        <v>6.0</v>
      </c>
      <c r="J88" s="26" t="str">
        <f t="shared" si="225"/>
        <v>R</v>
      </c>
      <c r="K88" s="26">
        <v>24.0</v>
      </c>
      <c r="L88" s="26" t="str">
        <f t="shared" si="226"/>
        <v>S</v>
      </c>
      <c r="M88" s="26">
        <v>6.0</v>
      </c>
      <c r="N88" s="26" t="str">
        <f t="shared" si="227"/>
        <v>R</v>
      </c>
      <c r="O88" s="32" t="s">
        <v>357</v>
      </c>
      <c r="P88" s="32" t="s">
        <v>357</v>
      </c>
      <c r="Q88" s="26">
        <v>14.0</v>
      </c>
      <c r="R88" s="26" t="str">
        <f t="shared" si="228"/>
        <v>R</v>
      </c>
      <c r="S88" s="26">
        <v>25.0</v>
      </c>
      <c r="T88" s="26" t="str">
        <f t="shared" si="229"/>
        <v>S</v>
      </c>
      <c r="U88" s="26">
        <v>24.0</v>
      </c>
      <c r="V88" s="26" t="str">
        <f t="shared" si="230"/>
        <v>S</v>
      </c>
      <c r="W88" s="32" t="s">
        <v>299</v>
      </c>
      <c r="X88" s="33">
        <v>6.0</v>
      </c>
      <c r="Y88" s="33" t="str">
        <f t="shared" si="231"/>
        <v>R</v>
      </c>
      <c r="Z88" s="33">
        <v>25.0</v>
      </c>
      <c r="AA88" s="33" t="str">
        <f t="shared" si="232"/>
        <v>S</v>
      </c>
      <c r="AB88" s="33">
        <v>19.0</v>
      </c>
      <c r="AC88" s="33" t="str">
        <f t="shared" si="233"/>
        <v>I</v>
      </c>
      <c r="AD88" s="33">
        <v>26.0</v>
      </c>
      <c r="AE88" s="33" t="str">
        <f t="shared" si="234"/>
        <v>S</v>
      </c>
      <c r="AF88" s="33">
        <v>22.0</v>
      </c>
      <c r="AG88" s="33" t="str">
        <f t="shared" si="235"/>
        <v>R</v>
      </c>
      <c r="AH88" s="33" t="s">
        <v>299</v>
      </c>
      <c r="AI88" s="36">
        <v>26.0</v>
      </c>
      <c r="AJ88" s="36" t="str">
        <f t="shared" si="236"/>
        <v>S</v>
      </c>
      <c r="AK88" s="36">
        <v>25.0</v>
      </c>
      <c r="AL88" s="36" t="str">
        <f t="shared" si="237"/>
        <v>S</v>
      </c>
      <c r="AM88" s="36">
        <v>25.0</v>
      </c>
      <c r="AN88" s="36" t="str">
        <f t="shared" si="238"/>
        <v>S</v>
      </c>
      <c r="AO88" s="36" t="s">
        <v>300</v>
      </c>
      <c r="AP88" s="37">
        <v>29.0</v>
      </c>
      <c r="AQ88" s="37" t="str">
        <f t="shared" si="239"/>
        <v>S</v>
      </c>
      <c r="AR88" s="33">
        <v>20.0</v>
      </c>
      <c r="AS88" s="33" t="str">
        <f t="shared" si="240"/>
        <v>S</v>
      </c>
      <c r="AT88" s="33">
        <v>20.0</v>
      </c>
      <c r="AU88" s="33" t="str">
        <f t="shared" si="241"/>
        <v>S</v>
      </c>
      <c r="AV88" s="33" t="s">
        <v>300</v>
      </c>
      <c r="AW88" s="26">
        <v>16.0</v>
      </c>
      <c r="AX88" s="26" t="str">
        <f t="shared" si="242"/>
        <v>R</v>
      </c>
      <c r="AY88" s="37">
        <v>17.0</v>
      </c>
      <c r="AZ88" s="37" t="str">
        <f t="shared" si="243"/>
        <v>R</v>
      </c>
      <c r="BA88" s="36">
        <v>30.0</v>
      </c>
      <c r="BB88" s="36" t="str">
        <f t="shared" si="244"/>
        <v>S</v>
      </c>
      <c r="BC88" s="39" t="s">
        <v>357</v>
      </c>
      <c r="BD88" s="39" t="s">
        <v>357</v>
      </c>
      <c r="BE88" s="36">
        <v>30.0</v>
      </c>
      <c r="BF88" s="36" t="str">
        <f t="shared" si="245"/>
        <v>S</v>
      </c>
      <c r="BG88" s="40">
        <v>20.0</v>
      </c>
      <c r="BH88" s="41" t="str">
        <f t="shared" si="246"/>
        <v>S</v>
      </c>
      <c r="BI88" s="41"/>
    </row>
    <row r="89">
      <c r="A89" s="21" t="s">
        <v>689</v>
      </c>
      <c r="B89" s="23">
        <v>62.0</v>
      </c>
      <c r="C89" s="21" t="s">
        <v>1041</v>
      </c>
      <c r="D89" s="18" t="s">
        <v>555</v>
      </c>
      <c r="E89" s="18" t="s">
        <v>103</v>
      </c>
      <c r="F89" s="18" t="s">
        <v>192</v>
      </c>
      <c r="G89" s="20" t="s">
        <v>1251</v>
      </c>
      <c r="H89" s="22" t="s">
        <v>198</v>
      </c>
      <c r="I89" s="26">
        <v>6.0</v>
      </c>
      <c r="J89" s="26" t="str">
        <f t="shared" si="225"/>
        <v>R</v>
      </c>
      <c r="K89" s="26">
        <v>22.0</v>
      </c>
      <c r="L89" s="26" t="str">
        <f t="shared" si="226"/>
        <v>S</v>
      </c>
      <c r="M89" s="26">
        <v>6.0</v>
      </c>
      <c r="N89" s="26" t="str">
        <f t="shared" si="227"/>
        <v>R</v>
      </c>
      <c r="O89" s="32" t="s">
        <v>357</v>
      </c>
      <c r="P89" s="32" t="s">
        <v>357</v>
      </c>
      <c r="Q89" s="26">
        <v>14.0</v>
      </c>
      <c r="R89" s="26" t="str">
        <f t="shared" si="228"/>
        <v>R</v>
      </c>
      <c r="S89" s="26">
        <v>26.0</v>
      </c>
      <c r="T89" s="26" t="str">
        <f t="shared" si="229"/>
        <v>S</v>
      </c>
      <c r="U89" s="26">
        <v>22.0</v>
      </c>
      <c r="V89" s="26" t="str">
        <f t="shared" si="230"/>
        <v>S</v>
      </c>
      <c r="W89" s="32" t="s">
        <v>299</v>
      </c>
      <c r="X89" s="33">
        <v>6.0</v>
      </c>
      <c r="Y89" s="33" t="str">
        <f t="shared" si="231"/>
        <v>R</v>
      </c>
      <c r="Z89" s="33">
        <v>26.0</v>
      </c>
      <c r="AA89" s="33" t="str">
        <f t="shared" si="232"/>
        <v>S</v>
      </c>
      <c r="AB89" s="33">
        <v>14.0</v>
      </c>
      <c r="AC89" s="33" t="str">
        <f t="shared" si="233"/>
        <v>R</v>
      </c>
      <c r="AD89" s="33">
        <v>24.0</v>
      </c>
      <c r="AE89" s="33" t="str">
        <f t="shared" si="234"/>
        <v>S</v>
      </c>
      <c r="AF89" s="33">
        <v>22.0</v>
      </c>
      <c r="AG89" s="33" t="str">
        <f t="shared" si="235"/>
        <v>R</v>
      </c>
      <c r="AH89" s="33" t="s">
        <v>299</v>
      </c>
      <c r="AI89" s="36">
        <v>8.0</v>
      </c>
      <c r="AJ89" s="36" t="str">
        <f t="shared" si="236"/>
        <v>R</v>
      </c>
      <c r="AK89" s="36">
        <v>8.0</v>
      </c>
      <c r="AL89" s="36" t="str">
        <f t="shared" si="237"/>
        <v>R</v>
      </c>
      <c r="AM89" s="36">
        <v>6.0</v>
      </c>
      <c r="AN89" s="36" t="str">
        <f t="shared" si="238"/>
        <v>R</v>
      </c>
      <c r="AO89" s="36" t="s">
        <v>299</v>
      </c>
      <c r="AP89" s="37">
        <v>6.0</v>
      </c>
      <c r="AQ89" s="37" t="str">
        <f t="shared" si="239"/>
        <v>R</v>
      </c>
      <c r="AR89" s="33">
        <v>21.0</v>
      </c>
      <c r="AS89" s="33" t="str">
        <f t="shared" si="240"/>
        <v>S</v>
      </c>
      <c r="AT89" s="33">
        <v>19.0</v>
      </c>
      <c r="AU89" s="33" t="str">
        <f t="shared" si="241"/>
        <v>S</v>
      </c>
      <c r="AV89" s="33" t="s">
        <v>300</v>
      </c>
      <c r="AW89" s="26">
        <v>6.0</v>
      </c>
      <c r="AX89" s="26" t="str">
        <f t="shared" si="242"/>
        <v>R</v>
      </c>
      <c r="AY89" s="37">
        <v>17.0</v>
      </c>
      <c r="AZ89" s="37" t="str">
        <f t="shared" si="243"/>
        <v>R</v>
      </c>
      <c r="BA89" s="36">
        <v>31.0</v>
      </c>
      <c r="BB89" s="36" t="str">
        <f t="shared" si="244"/>
        <v>S</v>
      </c>
      <c r="BC89" s="39" t="s">
        <v>357</v>
      </c>
      <c r="BD89" s="39" t="s">
        <v>357</v>
      </c>
      <c r="BE89" s="36">
        <v>32.0</v>
      </c>
      <c r="BF89" s="36" t="str">
        <f t="shared" si="245"/>
        <v>S</v>
      </c>
      <c r="BG89" s="40">
        <v>20.0</v>
      </c>
      <c r="BH89" s="41" t="str">
        <f t="shared" si="246"/>
        <v>S</v>
      </c>
      <c r="BI89" s="41"/>
    </row>
    <row r="90">
      <c r="A90" s="21" t="s">
        <v>689</v>
      </c>
      <c r="B90" s="21" t="s">
        <v>444</v>
      </c>
      <c r="C90" s="21" t="s">
        <v>661</v>
      </c>
      <c r="D90" s="18" t="s">
        <v>555</v>
      </c>
      <c r="E90" s="18" t="s">
        <v>103</v>
      </c>
      <c r="F90" s="18" t="s">
        <v>192</v>
      </c>
      <c r="G90" s="20" t="s">
        <v>1254</v>
      </c>
      <c r="H90" s="42" t="s">
        <v>479</v>
      </c>
      <c r="I90" s="26">
        <v>6.0</v>
      </c>
      <c r="J90" s="26" t="str">
        <f t="shared" si="225"/>
        <v>R</v>
      </c>
      <c r="K90" s="26">
        <v>25.0</v>
      </c>
      <c r="L90" s="26" t="str">
        <f t="shared" si="226"/>
        <v>S</v>
      </c>
      <c r="M90" s="26">
        <v>6.0</v>
      </c>
      <c r="N90" s="26" t="str">
        <f t="shared" si="227"/>
        <v>R</v>
      </c>
      <c r="O90" s="32" t="s">
        <v>357</v>
      </c>
      <c r="P90" s="32" t="s">
        <v>357</v>
      </c>
      <c r="Q90" s="26">
        <v>12.0</v>
      </c>
      <c r="R90" s="26" t="str">
        <f t="shared" si="228"/>
        <v>R</v>
      </c>
      <c r="S90" s="26">
        <v>24.0</v>
      </c>
      <c r="T90" s="26" t="str">
        <f t="shared" si="229"/>
        <v>S</v>
      </c>
      <c r="U90" s="26">
        <v>28.0</v>
      </c>
      <c r="V90" s="26" t="str">
        <f t="shared" si="230"/>
        <v>S</v>
      </c>
      <c r="W90" s="32" t="s">
        <v>299</v>
      </c>
      <c r="X90" s="33">
        <v>6.0</v>
      </c>
      <c r="Y90" s="33" t="str">
        <f t="shared" si="231"/>
        <v>R</v>
      </c>
      <c r="Z90" s="33">
        <v>25.0</v>
      </c>
      <c r="AA90" s="33" t="str">
        <f t="shared" si="232"/>
        <v>S</v>
      </c>
      <c r="AB90" s="33">
        <v>16.0</v>
      </c>
      <c r="AC90" s="33" t="str">
        <f t="shared" si="233"/>
        <v>R</v>
      </c>
      <c r="AD90" s="33">
        <v>26.0</v>
      </c>
      <c r="AE90" s="33" t="str">
        <f t="shared" si="234"/>
        <v>S</v>
      </c>
      <c r="AF90" s="33">
        <v>23.0</v>
      </c>
      <c r="AG90" s="33" t="str">
        <f t="shared" si="235"/>
        <v>R</v>
      </c>
      <c r="AH90" s="33" t="s">
        <v>299</v>
      </c>
      <c r="AI90" s="36">
        <v>24.0</v>
      </c>
      <c r="AJ90" s="36" t="str">
        <f t="shared" si="236"/>
        <v>I</v>
      </c>
      <c r="AK90" s="36">
        <v>24.0</v>
      </c>
      <c r="AL90" s="36" t="str">
        <f t="shared" si="237"/>
        <v>S</v>
      </c>
      <c r="AM90" s="36">
        <v>20.0</v>
      </c>
      <c r="AN90" s="36" t="str">
        <f t="shared" si="238"/>
        <v>S</v>
      </c>
      <c r="AO90" s="36" t="s">
        <v>300</v>
      </c>
      <c r="AP90" s="37">
        <v>25.0</v>
      </c>
      <c r="AQ90" s="37" t="str">
        <f t="shared" si="239"/>
        <v>S</v>
      </c>
      <c r="AR90" s="33">
        <v>22.0</v>
      </c>
      <c r="AS90" s="33" t="str">
        <f t="shared" si="240"/>
        <v>S</v>
      </c>
      <c r="AT90" s="33">
        <v>19.0</v>
      </c>
      <c r="AU90" s="33" t="str">
        <f t="shared" si="241"/>
        <v>S</v>
      </c>
      <c r="AV90" s="33" t="s">
        <v>300</v>
      </c>
      <c r="AW90" s="26">
        <v>14.0</v>
      </c>
      <c r="AX90" s="26" t="str">
        <f t="shared" si="242"/>
        <v>R</v>
      </c>
      <c r="AY90" s="37">
        <v>21.0</v>
      </c>
      <c r="AZ90" s="37" t="str">
        <f t="shared" si="243"/>
        <v>I</v>
      </c>
      <c r="BA90" s="36">
        <v>30.0</v>
      </c>
      <c r="BB90" s="36" t="str">
        <f t="shared" si="244"/>
        <v>S</v>
      </c>
      <c r="BC90" s="39" t="s">
        <v>357</v>
      </c>
      <c r="BD90" s="39" t="s">
        <v>357</v>
      </c>
      <c r="BE90" s="36">
        <v>28.0</v>
      </c>
      <c r="BF90" s="36" t="str">
        <f t="shared" si="245"/>
        <v>S</v>
      </c>
      <c r="BG90" s="40">
        <v>22.0</v>
      </c>
      <c r="BH90" s="41" t="str">
        <f t="shared" si="246"/>
        <v>S</v>
      </c>
      <c r="BI90" s="41"/>
    </row>
    <row r="91">
      <c r="A91" s="51" t="s">
        <v>710</v>
      </c>
      <c r="B91" s="53">
        <v>63.0</v>
      </c>
      <c r="C91" s="51" t="s">
        <v>1051</v>
      </c>
      <c r="D91" s="18" t="s">
        <v>190</v>
      </c>
      <c r="E91" s="18" t="s">
        <v>190</v>
      </c>
      <c r="F91" s="18" t="s">
        <v>573</v>
      </c>
      <c r="G91" s="20" t="s">
        <v>357</v>
      </c>
      <c r="H91" s="47" t="s">
        <v>357</v>
      </c>
      <c r="I91" s="32" t="s">
        <v>357</v>
      </c>
      <c r="J91" s="32" t="s">
        <v>357</v>
      </c>
      <c r="K91" s="32" t="s">
        <v>357</v>
      </c>
      <c r="L91" s="32" t="s">
        <v>357</v>
      </c>
      <c r="M91" s="32" t="s">
        <v>357</v>
      </c>
      <c r="N91" s="32" t="s">
        <v>357</v>
      </c>
      <c r="O91" s="32" t="s">
        <v>357</v>
      </c>
      <c r="P91" s="32" t="s">
        <v>357</v>
      </c>
      <c r="Q91" s="32" t="s">
        <v>357</v>
      </c>
      <c r="R91" s="32" t="s">
        <v>357</v>
      </c>
      <c r="S91" s="32" t="s">
        <v>357</v>
      </c>
      <c r="T91" s="32" t="s">
        <v>357</v>
      </c>
      <c r="U91" s="32" t="s">
        <v>357</v>
      </c>
      <c r="V91" s="32" t="s">
        <v>357</v>
      </c>
      <c r="W91" s="32" t="s">
        <v>357</v>
      </c>
      <c r="X91" s="49" t="s">
        <v>357</v>
      </c>
      <c r="Y91" s="49" t="s">
        <v>357</v>
      </c>
      <c r="Z91" s="49" t="s">
        <v>357</v>
      </c>
      <c r="AA91" s="49" t="s">
        <v>357</v>
      </c>
      <c r="AB91" s="49" t="s">
        <v>357</v>
      </c>
      <c r="AC91" s="49" t="s">
        <v>357</v>
      </c>
      <c r="AD91" s="49" t="s">
        <v>357</v>
      </c>
      <c r="AE91" s="49" t="s">
        <v>357</v>
      </c>
      <c r="AF91" s="49" t="s">
        <v>357</v>
      </c>
      <c r="AG91" s="49" t="s">
        <v>357</v>
      </c>
      <c r="AH91" s="49" t="s">
        <v>357</v>
      </c>
      <c r="AI91" s="39" t="s">
        <v>357</v>
      </c>
      <c r="AJ91" s="39" t="s">
        <v>357</v>
      </c>
      <c r="AK91" s="39" t="s">
        <v>357</v>
      </c>
      <c r="AL91" s="39" t="s">
        <v>357</v>
      </c>
      <c r="AM91" s="39" t="s">
        <v>357</v>
      </c>
      <c r="AN91" s="39" t="s">
        <v>357</v>
      </c>
      <c r="AO91" s="39" t="s">
        <v>357</v>
      </c>
      <c r="AP91" s="50" t="s">
        <v>357</v>
      </c>
      <c r="AQ91" s="50" t="s">
        <v>357</v>
      </c>
      <c r="AR91" s="49" t="s">
        <v>357</v>
      </c>
      <c r="AS91" s="49" t="s">
        <v>357</v>
      </c>
      <c r="AT91" s="49" t="s">
        <v>357</v>
      </c>
      <c r="AU91" s="49" t="s">
        <v>357</v>
      </c>
      <c r="AV91" s="49" t="s">
        <v>357</v>
      </c>
      <c r="AW91" s="32" t="s">
        <v>357</v>
      </c>
      <c r="AX91" s="32" t="s">
        <v>357</v>
      </c>
      <c r="AY91" s="50" t="s">
        <v>357</v>
      </c>
      <c r="AZ91" s="50" t="s">
        <v>357</v>
      </c>
      <c r="BA91" s="39" t="s">
        <v>357</v>
      </c>
      <c r="BB91" s="39" t="s">
        <v>357</v>
      </c>
      <c r="BC91" s="39" t="s">
        <v>357</v>
      </c>
      <c r="BD91" s="39" t="s">
        <v>357</v>
      </c>
      <c r="BE91" s="39" t="s">
        <v>357</v>
      </c>
      <c r="BF91" s="39" t="s">
        <v>357</v>
      </c>
      <c r="BG91" s="41" t="s">
        <v>357</v>
      </c>
      <c r="BH91" s="41" t="s">
        <v>357</v>
      </c>
      <c r="BI91" s="41"/>
    </row>
    <row r="92">
      <c r="A92" s="51" t="s">
        <v>710</v>
      </c>
      <c r="B92" s="53">
        <v>64.0</v>
      </c>
      <c r="C92" s="51" t="s">
        <v>1057</v>
      </c>
      <c r="D92" s="18" t="s">
        <v>190</v>
      </c>
      <c r="E92" s="18" t="s">
        <v>190</v>
      </c>
      <c r="F92" s="18" t="s">
        <v>192</v>
      </c>
      <c r="G92" s="20" t="s">
        <v>1259</v>
      </c>
      <c r="H92" s="22" t="s">
        <v>198</v>
      </c>
      <c r="I92" s="26">
        <v>6.0</v>
      </c>
      <c r="J92" s="26" t="str">
        <f>IF((I92&gt;=19),"S",IF(AND(I92&lt;19),"R", "NA"))</f>
        <v>R</v>
      </c>
      <c r="K92" s="26">
        <v>21.0</v>
      </c>
      <c r="L92" s="26" t="str">
        <f>IF((K92&gt;=19),"S",IF(AND(K92&lt;19),"R", "NA"))</f>
        <v>S</v>
      </c>
      <c r="M92" s="26">
        <v>6.0</v>
      </c>
      <c r="N92" s="26" t="str">
        <f>IF((M92&gt;=23),"S",IF(AND(M92&lt;23),"R","NA"))</f>
        <v>R</v>
      </c>
      <c r="O92" s="32" t="s">
        <v>357</v>
      </c>
      <c r="P92" s="32" t="s">
        <v>357</v>
      </c>
      <c r="Q92" s="26">
        <v>15.0</v>
      </c>
      <c r="R92" s="26" t="str">
        <f>IF((Q92&gt;=20),"S",IF(AND(Q92&lt;20),"R", "NA"))</f>
        <v>R</v>
      </c>
      <c r="S92" s="26">
        <v>24.0</v>
      </c>
      <c r="T92" s="26" t="str">
        <f>IF((S92&gt;=20),"S",IF(AND(S92&lt;20),"R", "NA"))</f>
        <v>S</v>
      </c>
      <c r="U92" s="26">
        <v>25.0</v>
      </c>
      <c r="V92" s="26" t="str">
        <f>IF((U92&gt;=20),"S",IF(AND(U92&lt;20,U92&gt;=17),"I",IF(AND(U92&lt;17),"R","NA")))</f>
        <v>S</v>
      </c>
      <c r="W92" s="32" t="s">
        <v>299</v>
      </c>
      <c r="X92" s="33">
        <v>12.0</v>
      </c>
      <c r="Y92" s="33" t="str">
        <f>IF((X92&gt;=20),"S",IF(AND(X92&lt;20,X92&gt;=17),"I",IF(AND(X92&lt;17),"R","NA")))</f>
        <v>R</v>
      </c>
      <c r="Z92" s="33">
        <v>26.0</v>
      </c>
      <c r="AA92" s="33" t="str">
        <f>IF((Z92&gt;=18),"S",IF(AND(Z92&lt;18),"R", "NA"))</f>
        <v>S</v>
      </c>
      <c r="AB92" s="33">
        <v>23.0</v>
      </c>
      <c r="AC92" s="33" t="str">
        <f>IF((AB92&gt;=22),"S",IF(AND(AB92&lt;22,AB92&gt;=19),"I",IF(AND(AB92&lt;19),"R","NA")))</f>
        <v>S</v>
      </c>
      <c r="AD92" s="33">
        <v>28.0</v>
      </c>
      <c r="AE92" s="33" t="str">
        <f>IF((AD92&gt;=13),"S",IF(AND(AD92&lt;13),"R", "NA"))</f>
        <v>S</v>
      </c>
      <c r="AF92" s="33">
        <v>27.0</v>
      </c>
      <c r="AG92" s="33" t="str">
        <f>IF((AF92&gt;=27),"S",IF(AND(AF92&lt;27,AF92&gt;=24),"I",IF(AND(AF92&lt;24),"R","NA")))</f>
        <v>S</v>
      </c>
      <c r="AH92" s="33" t="s">
        <v>299</v>
      </c>
      <c r="AI92" s="36">
        <v>25.0</v>
      </c>
      <c r="AJ92" s="36" t="str">
        <f>IF((AI92&gt;=25),"S",IF(AND(AI92&lt;25,AI92&gt;=22),"I",IF(AND(AI92&lt;22),"R","NA")))</f>
        <v>S</v>
      </c>
      <c r="AK92" s="36">
        <v>22.0</v>
      </c>
      <c r="AL92" s="36" t="str">
        <f>IF((AK92&gt;=23),"S",IF(AND(AK92&lt;23,AK92&gt;=19),"I",IF(AND(AK92&lt;19),"R","NA")))</f>
        <v>I</v>
      </c>
      <c r="AM92" s="36">
        <v>17.0</v>
      </c>
      <c r="AN92" s="36" t="str">
        <f>IF((AM92&gt;=14),"S",IF(AND(AM92&lt;14),"R","NA"))</f>
        <v>S</v>
      </c>
      <c r="AO92" s="36" t="s">
        <v>300</v>
      </c>
      <c r="AP92" s="37">
        <v>6.0</v>
      </c>
      <c r="AQ92" s="37" t="str">
        <f>IF((AP92&gt;=14),"S",IF(AND(AP92&lt;14,AP92&gt;=11),"I",IF(AND(AP92&lt;11),"R","NA")))</f>
        <v>R</v>
      </c>
      <c r="AR92" s="33">
        <v>22.0</v>
      </c>
      <c r="AS92" s="33" t="str">
        <f>IF((AR92&gt;=18),"S",IF(AND(AR92&lt;18),"R", "NA"))</f>
        <v>S</v>
      </c>
      <c r="AT92" s="33">
        <v>19.0</v>
      </c>
      <c r="AU92" s="33" t="str">
        <f>IF((AT92&gt;=16),"S",IF(AND(AT92&lt;16),"R", "NA"))</f>
        <v>S</v>
      </c>
      <c r="AV92" s="33" t="s">
        <v>300</v>
      </c>
      <c r="AW92" s="26">
        <v>13.0</v>
      </c>
      <c r="AX92" s="26" t="str">
        <f>IF((AW92&gt;=20),"S",IF(AND(AW92&lt;20),"R", "NA"))</f>
        <v>R</v>
      </c>
      <c r="AY92" s="37">
        <v>24.0</v>
      </c>
      <c r="AZ92" s="37" t="str">
        <f>IF((AY92&gt;=26),"S",IF(AND(AY92&lt;26,AY92&gt;=21),"I",IF(AND(AY92&lt;21),"R","NA")))</f>
        <v>I</v>
      </c>
      <c r="BA92" s="36">
        <v>33.0</v>
      </c>
      <c r="BB92" s="36" t="str">
        <f>IF((BA92&gt;=23),"S",IF(AND(BA92&lt;23),"R","NA"))</f>
        <v>S</v>
      </c>
      <c r="BC92" s="39" t="s">
        <v>357</v>
      </c>
      <c r="BD92" s="39" t="s">
        <v>357</v>
      </c>
      <c r="BE92" s="36">
        <v>30.0</v>
      </c>
      <c r="BF92" s="36" t="str">
        <f>IF((BE92&gt;=22),"S",IF(AND(BE92&lt;22,BE92&gt;=19),"I",IF(AND(BE92&lt;19),"R","NA")))</f>
        <v>S</v>
      </c>
      <c r="BG92" s="40">
        <v>20.0</v>
      </c>
      <c r="BH92" s="41" t="str">
        <f>IF((BG92&gt;=17),"S",IF(AND(BG92&lt;17),"R", "NA"))</f>
        <v>S</v>
      </c>
      <c r="BI92" s="41"/>
    </row>
    <row r="93">
      <c r="A93" s="51" t="s">
        <v>710</v>
      </c>
      <c r="B93" s="53">
        <v>65.0</v>
      </c>
      <c r="C93" s="51" t="s">
        <v>1066</v>
      </c>
      <c r="D93" s="18" t="s">
        <v>571</v>
      </c>
      <c r="E93" s="18" t="s">
        <v>572</v>
      </c>
      <c r="F93" s="18" t="s">
        <v>573</v>
      </c>
      <c r="G93" s="20" t="s">
        <v>357</v>
      </c>
      <c r="H93" s="47" t="s">
        <v>357</v>
      </c>
      <c r="I93" s="32" t="s">
        <v>357</v>
      </c>
      <c r="J93" s="32" t="s">
        <v>357</v>
      </c>
      <c r="K93" s="32" t="s">
        <v>357</v>
      </c>
      <c r="L93" s="32" t="s">
        <v>357</v>
      </c>
      <c r="M93" s="32" t="s">
        <v>357</v>
      </c>
      <c r="N93" s="32" t="s">
        <v>357</v>
      </c>
      <c r="O93" s="32" t="s">
        <v>357</v>
      </c>
      <c r="P93" s="32" t="s">
        <v>357</v>
      </c>
      <c r="Q93" s="32" t="s">
        <v>357</v>
      </c>
      <c r="R93" s="32" t="s">
        <v>357</v>
      </c>
      <c r="S93" s="32" t="s">
        <v>357</v>
      </c>
      <c r="T93" s="32" t="s">
        <v>357</v>
      </c>
      <c r="U93" s="32" t="s">
        <v>357</v>
      </c>
      <c r="V93" s="32" t="s">
        <v>357</v>
      </c>
      <c r="W93" s="32" t="s">
        <v>357</v>
      </c>
      <c r="X93" s="49" t="s">
        <v>357</v>
      </c>
      <c r="Y93" s="49" t="s">
        <v>357</v>
      </c>
      <c r="Z93" s="49" t="s">
        <v>357</v>
      </c>
      <c r="AA93" s="49" t="s">
        <v>357</v>
      </c>
      <c r="AB93" s="49" t="s">
        <v>357</v>
      </c>
      <c r="AC93" s="49" t="s">
        <v>357</v>
      </c>
      <c r="AD93" s="49" t="s">
        <v>357</v>
      </c>
      <c r="AE93" s="49" t="s">
        <v>357</v>
      </c>
      <c r="AF93" s="49" t="s">
        <v>357</v>
      </c>
      <c r="AG93" s="49" t="s">
        <v>357</v>
      </c>
      <c r="AH93" s="49" t="s">
        <v>357</v>
      </c>
      <c r="AI93" s="39" t="s">
        <v>357</v>
      </c>
      <c r="AJ93" s="39" t="s">
        <v>357</v>
      </c>
      <c r="AK93" s="39" t="s">
        <v>357</v>
      </c>
      <c r="AL93" s="39" t="s">
        <v>357</v>
      </c>
      <c r="AM93" s="39" t="s">
        <v>357</v>
      </c>
      <c r="AN93" s="39" t="s">
        <v>357</v>
      </c>
      <c r="AO93" s="39" t="s">
        <v>357</v>
      </c>
      <c r="AP93" s="50" t="s">
        <v>357</v>
      </c>
      <c r="AQ93" s="50" t="s">
        <v>357</v>
      </c>
      <c r="AR93" s="49" t="s">
        <v>357</v>
      </c>
      <c r="AS93" s="49" t="s">
        <v>357</v>
      </c>
      <c r="AT93" s="49" t="s">
        <v>357</v>
      </c>
      <c r="AU93" s="49" t="s">
        <v>357</v>
      </c>
      <c r="AV93" s="49" t="s">
        <v>357</v>
      </c>
      <c r="AW93" s="32" t="s">
        <v>357</v>
      </c>
      <c r="AX93" s="32" t="s">
        <v>357</v>
      </c>
      <c r="AY93" s="50" t="s">
        <v>357</v>
      </c>
      <c r="AZ93" s="50" t="s">
        <v>357</v>
      </c>
      <c r="BA93" s="39" t="s">
        <v>357</v>
      </c>
      <c r="BB93" s="39" t="s">
        <v>357</v>
      </c>
      <c r="BC93" s="39" t="s">
        <v>357</v>
      </c>
      <c r="BD93" s="39" t="s">
        <v>357</v>
      </c>
      <c r="BE93" s="39" t="s">
        <v>357</v>
      </c>
      <c r="BF93" s="39" t="s">
        <v>357</v>
      </c>
      <c r="BG93" s="41" t="s">
        <v>357</v>
      </c>
      <c r="BH93" s="41" t="s">
        <v>357</v>
      </c>
      <c r="BI93" s="41"/>
    </row>
    <row r="94">
      <c r="A94" s="51" t="s">
        <v>710</v>
      </c>
      <c r="B94" s="53">
        <v>66.0</v>
      </c>
      <c r="C94" s="51" t="s">
        <v>1072</v>
      </c>
      <c r="D94" s="18" t="s">
        <v>705</v>
      </c>
      <c r="E94" s="18" t="s">
        <v>572</v>
      </c>
      <c r="F94" s="18" t="s">
        <v>573</v>
      </c>
      <c r="G94" s="20" t="s">
        <v>357</v>
      </c>
      <c r="H94" s="47" t="s">
        <v>357</v>
      </c>
      <c r="I94" s="32" t="s">
        <v>357</v>
      </c>
      <c r="J94" s="32" t="s">
        <v>357</v>
      </c>
      <c r="K94" s="32" t="s">
        <v>357</v>
      </c>
      <c r="L94" s="32" t="s">
        <v>357</v>
      </c>
      <c r="M94" s="32" t="s">
        <v>357</v>
      </c>
      <c r="N94" s="32" t="s">
        <v>357</v>
      </c>
      <c r="O94" s="32" t="s">
        <v>357</v>
      </c>
      <c r="P94" s="32" t="s">
        <v>357</v>
      </c>
      <c r="Q94" s="32" t="s">
        <v>357</v>
      </c>
      <c r="R94" s="32" t="s">
        <v>357</v>
      </c>
      <c r="S94" s="32" t="s">
        <v>357</v>
      </c>
      <c r="T94" s="32" t="s">
        <v>357</v>
      </c>
      <c r="U94" s="32" t="s">
        <v>357</v>
      </c>
      <c r="V94" s="32" t="s">
        <v>357</v>
      </c>
      <c r="W94" s="32" t="s">
        <v>357</v>
      </c>
      <c r="X94" s="49" t="s">
        <v>357</v>
      </c>
      <c r="Y94" s="49" t="s">
        <v>357</v>
      </c>
      <c r="Z94" s="49" t="s">
        <v>357</v>
      </c>
      <c r="AA94" s="49" t="s">
        <v>357</v>
      </c>
      <c r="AB94" s="49" t="s">
        <v>357</v>
      </c>
      <c r="AC94" s="49" t="s">
        <v>357</v>
      </c>
      <c r="AD94" s="49" t="s">
        <v>357</v>
      </c>
      <c r="AE94" s="49" t="s">
        <v>357</v>
      </c>
      <c r="AF94" s="49" t="s">
        <v>357</v>
      </c>
      <c r="AG94" s="49" t="s">
        <v>357</v>
      </c>
      <c r="AH94" s="49" t="s">
        <v>357</v>
      </c>
      <c r="AI94" s="39" t="s">
        <v>357</v>
      </c>
      <c r="AJ94" s="39" t="s">
        <v>357</v>
      </c>
      <c r="AK94" s="39" t="s">
        <v>357</v>
      </c>
      <c r="AL94" s="39" t="s">
        <v>357</v>
      </c>
      <c r="AM94" s="39" t="s">
        <v>357</v>
      </c>
      <c r="AN94" s="39" t="s">
        <v>357</v>
      </c>
      <c r="AO94" s="39" t="s">
        <v>357</v>
      </c>
      <c r="AP94" s="50" t="s">
        <v>357</v>
      </c>
      <c r="AQ94" s="50" t="s">
        <v>357</v>
      </c>
      <c r="AR94" s="49" t="s">
        <v>357</v>
      </c>
      <c r="AS94" s="49" t="s">
        <v>357</v>
      </c>
      <c r="AT94" s="49" t="s">
        <v>357</v>
      </c>
      <c r="AU94" s="49" t="s">
        <v>357</v>
      </c>
      <c r="AV94" s="49" t="s">
        <v>357</v>
      </c>
      <c r="AW94" s="32" t="s">
        <v>357</v>
      </c>
      <c r="AX94" s="32" t="s">
        <v>357</v>
      </c>
      <c r="AY94" s="50" t="s">
        <v>357</v>
      </c>
      <c r="AZ94" s="50" t="s">
        <v>357</v>
      </c>
      <c r="BA94" s="39" t="s">
        <v>357</v>
      </c>
      <c r="BB94" s="39" t="s">
        <v>357</v>
      </c>
      <c r="BC94" s="39" t="s">
        <v>357</v>
      </c>
      <c r="BD94" s="39" t="s">
        <v>357</v>
      </c>
      <c r="BE94" s="39" t="s">
        <v>357</v>
      </c>
      <c r="BF94" s="39" t="s">
        <v>357</v>
      </c>
      <c r="BG94" s="41" t="s">
        <v>357</v>
      </c>
      <c r="BH94" s="41" t="s">
        <v>357</v>
      </c>
      <c r="BI94" s="41"/>
    </row>
    <row r="95">
      <c r="A95" s="51" t="s">
        <v>710</v>
      </c>
      <c r="B95" s="53">
        <v>67.0</v>
      </c>
      <c r="C95" s="51" t="s">
        <v>671</v>
      </c>
      <c r="D95" s="18" t="s">
        <v>853</v>
      </c>
      <c r="E95" s="18" t="s">
        <v>103</v>
      </c>
      <c r="F95" s="18" t="s">
        <v>192</v>
      </c>
      <c r="G95" s="20" t="s">
        <v>1262</v>
      </c>
      <c r="H95" s="22" t="s">
        <v>198</v>
      </c>
      <c r="I95" s="26">
        <v>6.0</v>
      </c>
      <c r="J95" s="26" t="str">
        <f t="shared" ref="J95:J102" si="247">IF((I95&gt;=19),"S",IF(AND(I95&lt;19),"R", "NA"))</f>
        <v>R</v>
      </c>
      <c r="K95" s="26">
        <v>20.0</v>
      </c>
      <c r="L95" s="26" t="str">
        <f t="shared" ref="L95:L102" si="248">IF((K95&gt;=19),"S",IF(AND(K95&lt;19),"R", "NA"))</f>
        <v>S</v>
      </c>
      <c r="M95" s="26">
        <v>6.0</v>
      </c>
      <c r="N95" s="26" t="str">
        <f t="shared" ref="N95:N102" si="249">IF((M95&gt;=23),"S",IF(AND(M95&lt;23),"R","NA"))</f>
        <v>R</v>
      </c>
      <c r="O95" s="32" t="s">
        <v>357</v>
      </c>
      <c r="P95" s="32" t="s">
        <v>357</v>
      </c>
      <c r="Q95" s="26">
        <v>13.0</v>
      </c>
      <c r="R95" s="26" t="str">
        <f t="shared" ref="R95:R102" si="250">IF((Q95&gt;=20),"S",IF(AND(Q95&lt;20),"R", "NA"))</f>
        <v>R</v>
      </c>
      <c r="S95" s="26">
        <v>24.0</v>
      </c>
      <c r="T95" s="26" t="str">
        <f t="shared" ref="T95:T102" si="251">IF((S95&gt;=20),"S",IF(AND(S95&lt;20),"R", "NA"))</f>
        <v>S</v>
      </c>
      <c r="U95" s="26">
        <v>25.0</v>
      </c>
      <c r="V95" s="26" t="str">
        <f t="shared" ref="V95:V102" si="252">IF((U95&gt;=20),"S",IF(AND(U95&lt;20,U95&gt;=17),"I",IF(AND(U95&lt;17),"R","NA")))</f>
        <v>S</v>
      </c>
      <c r="W95" s="32" t="s">
        <v>299</v>
      </c>
      <c r="X95" s="33">
        <v>6.0</v>
      </c>
      <c r="Y95" s="33" t="str">
        <f t="shared" ref="Y95:Y102" si="253">IF((X95&gt;=20),"S",IF(AND(X95&lt;20,X95&gt;=17),"I",IF(AND(X95&lt;17),"R","NA")))</f>
        <v>R</v>
      </c>
      <c r="Z95" s="33">
        <v>27.0</v>
      </c>
      <c r="AA95" s="33" t="str">
        <f t="shared" ref="AA95:AA102" si="254">IF((Z95&gt;=18),"S",IF(AND(Z95&lt;18),"R", "NA"))</f>
        <v>S</v>
      </c>
      <c r="AB95" s="33">
        <v>13.0</v>
      </c>
      <c r="AC95" s="33" t="str">
        <f t="shared" ref="AC95:AC102" si="255">IF((AB95&gt;=22),"S",IF(AND(AB95&lt;22,AB95&gt;=19),"I",IF(AND(AB95&lt;19),"R","NA")))</f>
        <v>R</v>
      </c>
      <c r="AD95" s="33">
        <v>24.0</v>
      </c>
      <c r="AE95" s="33" t="str">
        <f t="shared" ref="AE95:AE102" si="256">IF((AD95&gt;=13),"S",IF(AND(AD95&lt;13),"R", "NA"))</f>
        <v>S</v>
      </c>
      <c r="AF95" s="33">
        <v>26.0</v>
      </c>
      <c r="AG95" s="33" t="str">
        <f t="shared" ref="AG95:AG102" si="257">IF((AF95&gt;=27),"S",IF(AND(AF95&lt;27,AF95&gt;=24),"I",IF(AND(AF95&lt;24),"R","NA")))</f>
        <v>I</v>
      </c>
      <c r="AH95" s="33" t="s">
        <v>299</v>
      </c>
      <c r="AI95" s="36">
        <v>24.0</v>
      </c>
      <c r="AJ95" s="36" t="str">
        <f t="shared" ref="AJ95:AJ102" si="258">IF((AI95&gt;=25),"S",IF(AND(AI95&lt;25,AI95&gt;=22),"I",IF(AND(AI95&lt;22),"R","NA")))</f>
        <v>I</v>
      </c>
      <c r="AK95" s="36">
        <v>21.0</v>
      </c>
      <c r="AL95" s="36" t="str">
        <f t="shared" ref="AL95:AL102" si="259">IF((AK95&gt;=23),"S",IF(AND(AK95&lt;23,AK95&gt;=19),"I",IF(AND(AK95&lt;19),"R","NA")))</f>
        <v>I</v>
      </c>
      <c r="AM95" s="36">
        <v>14.0</v>
      </c>
      <c r="AN95" s="36" t="str">
        <f t="shared" ref="AN95:AN102" si="260">IF((AM95&gt;=14),"S",IF(AND(AM95&lt;14),"R","NA"))</f>
        <v>S</v>
      </c>
      <c r="AO95" s="36" t="s">
        <v>300</v>
      </c>
      <c r="AP95" s="37">
        <v>6.0</v>
      </c>
      <c r="AQ95" s="37" t="str">
        <f t="shared" ref="AQ95:AQ102" si="261">IF((AP95&gt;=14),"S",IF(AND(AP95&lt;14,AP95&gt;=11),"I",IF(AND(AP95&lt;11),"R","NA")))</f>
        <v>R</v>
      </c>
      <c r="AR95" s="33">
        <v>22.0</v>
      </c>
      <c r="AS95" s="33" t="str">
        <f t="shared" ref="AS95:AS102" si="262">IF((AR95&gt;=18),"S",IF(AND(AR95&lt;18),"R", "NA"))</f>
        <v>S</v>
      </c>
      <c r="AT95" s="33">
        <v>18.0</v>
      </c>
      <c r="AU95" s="33" t="str">
        <f t="shared" ref="AU95:AU102" si="263">IF((AT95&gt;=16),"S",IF(AND(AT95&lt;16),"R", "NA"))</f>
        <v>S</v>
      </c>
      <c r="AV95" s="33" t="s">
        <v>300</v>
      </c>
      <c r="AW95" s="26">
        <v>13.0</v>
      </c>
      <c r="AX95" s="26" t="str">
        <f t="shared" ref="AX95:AX102" si="264">IF((AW95&gt;=20),"S",IF(AND(AW95&lt;20),"R", "NA"))</f>
        <v>R</v>
      </c>
      <c r="AY95" s="37">
        <v>22.0</v>
      </c>
      <c r="AZ95" s="37" t="str">
        <f t="shared" ref="AZ95:AZ102" si="265">IF((AY95&gt;=26),"S",IF(AND(AY95&lt;26,AY95&gt;=21),"I",IF(AND(AY95&lt;21),"R","NA")))</f>
        <v>I</v>
      </c>
      <c r="BA95" s="36">
        <v>33.0</v>
      </c>
      <c r="BB95" s="36" t="str">
        <f t="shared" ref="BB95:BB102" si="266">IF((BA95&gt;=23),"S",IF(AND(BA95&lt;23),"R","NA"))</f>
        <v>S</v>
      </c>
      <c r="BC95" s="39" t="s">
        <v>357</v>
      </c>
      <c r="BD95" s="39" t="s">
        <v>357</v>
      </c>
      <c r="BE95" s="36">
        <v>32.0</v>
      </c>
      <c r="BF95" s="36" t="str">
        <f t="shared" ref="BF95:BF102" si="267">IF((BE95&gt;=22),"S",IF(AND(BE95&lt;22,BE95&gt;=19),"I",IF(AND(BE95&lt;19),"R","NA")))</f>
        <v>S</v>
      </c>
      <c r="BG95" s="40">
        <v>21.0</v>
      </c>
      <c r="BH95" s="41" t="str">
        <f t="shared" ref="BH95:BH102" si="268">IF((BG95&gt;=17),"S",IF(AND(BG95&lt;17),"R", "NA"))</f>
        <v>S</v>
      </c>
      <c r="BI95" s="41"/>
    </row>
    <row r="96">
      <c r="A96" s="51" t="s">
        <v>710</v>
      </c>
      <c r="B96" s="53">
        <v>68.0</v>
      </c>
      <c r="C96" s="51" t="s">
        <v>681</v>
      </c>
      <c r="D96" s="18" t="s">
        <v>555</v>
      </c>
      <c r="E96" s="18" t="s">
        <v>103</v>
      </c>
      <c r="F96" s="18" t="s">
        <v>192</v>
      </c>
      <c r="G96" s="20" t="s">
        <v>1263</v>
      </c>
      <c r="H96" s="22" t="s">
        <v>198</v>
      </c>
      <c r="I96" s="26">
        <v>6.0</v>
      </c>
      <c r="J96" s="26" t="str">
        <f t="shared" si="247"/>
        <v>R</v>
      </c>
      <c r="K96" s="26">
        <v>20.0</v>
      </c>
      <c r="L96" s="26" t="str">
        <f t="shared" si="248"/>
        <v>S</v>
      </c>
      <c r="M96" s="26">
        <v>6.0</v>
      </c>
      <c r="N96" s="26" t="str">
        <f t="shared" si="249"/>
        <v>R</v>
      </c>
      <c r="O96" s="32" t="s">
        <v>357</v>
      </c>
      <c r="P96" s="32" t="s">
        <v>357</v>
      </c>
      <c r="Q96" s="26">
        <v>18.0</v>
      </c>
      <c r="R96" s="26" t="str">
        <f t="shared" si="250"/>
        <v>R</v>
      </c>
      <c r="S96" s="26">
        <v>25.0</v>
      </c>
      <c r="T96" s="26" t="str">
        <f t="shared" si="251"/>
        <v>S</v>
      </c>
      <c r="U96" s="26">
        <v>10.0</v>
      </c>
      <c r="V96" s="26" t="str">
        <f t="shared" si="252"/>
        <v>R</v>
      </c>
      <c r="W96" s="32" t="s">
        <v>299</v>
      </c>
      <c r="X96" s="33">
        <v>10.0</v>
      </c>
      <c r="Y96" s="33" t="str">
        <f t="shared" si="253"/>
        <v>R</v>
      </c>
      <c r="Z96" s="33">
        <v>14.0</v>
      </c>
      <c r="AA96" s="33" t="str">
        <f t="shared" si="254"/>
        <v>R</v>
      </c>
      <c r="AB96" s="33">
        <v>19.0</v>
      </c>
      <c r="AC96" s="33" t="str">
        <f t="shared" si="255"/>
        <v>I</v>
      </c>
      <c r="AD96" s="33">
        <v>18.0</v>
      </c>
      <c r="AE96" s="33" t="str">
        <f t="shared" si="256"/>
        <v>S</v>
      </c>
      <c r="AF96" s="33">
        <v>30.0</v>
      </c>
      <c r="AG96" s="33" t="str">
        <f t="shared" si="257"/>
        <v>S</v>
      </c>
      <c r="AH96" s="33" t="s">
        <v>299</v>
      </c>
      <c r="AI96" s="36">
        <v>27.0</v>
      </c>
      <c r="AJ96" s="36" t="str">
        <f t="shared" si="258"/>
        <v>S</v>
      </c>
      <c r="AK96" s="36">
        <v>26.0</v>
      </c>
      <c r="AL96" s="36" t="str">
        <f t="shared" si="259"/>
        <v>S</v>
      </c>
      <c r="AM96" s="36">
        <v>17.0</v>
      </c>
      <c r="AN96" s="36" t="str">
        <f t="shared" si="260"/>
        <v>S</v>
      </c>
      <c r="AO96" s="36" t="s">
        <v>300</v>
      </c>
      <c r="AP96" s="37">
        <v>6.0</v>
      </c>
      <c r="AQ96" s="37" t="str">
        <f t="shared" si="261"/>
        <v>R</v>
      </c>
      <c r="AR96" s="33">
        <v>22.0</v>
      </c>
      <c r="AS96" s="33" t="str">
        <f t="shared" si="262"/>
        <v>S</v>
      </c>
      <c r="AT96" s="33">
        <v>19.0</v>
      </c>
      <c r="AU96" s="33" t="str">
        <f t="shared" si="263"/>
        <v>S</v>
      </c>
      <c r="AV96" s="33" t="s">
        <v>300</v>
      </c>
      <c r="AW96" s="26">
        <v>12.0</v>
      </c>
      <c r="AX96" s="26" t="str">
        <f t="shared" si="264"/>
        <v>R</v>
      </c>
      <c r="AY96" s="37">
        <v>19.0</v>
      </c>
      <c r="AZ96" s="37" t="str">
        <f t="shared" si="265"/>
        <v>R</v>
      </c>
      <c r="BA96" s="36">
        <v>34.0</v>
      </c>
      <c r="BB96" s="36" t="str">
        <f t="shared" si="266"/>
        <v>S</v>
      </c>
      <c r="BC96" s="39" t="s">
        <v>357</v>
      </c>
      <c r="BD96" s="39" t="s">
        <v>357</v>
      </c>
      <c r="BE96" s="36">
        <v>31.0</v>
      </c>
      <c r="BF96" s="36" t="str">
        <f t="shared" si="267"/>
        <v>S</v>
      </c>
      <c r="BG96" s="40">
        <v>20.0</v>
      </c>
      <c r="BH96" s="41" t="str">
        <f t="shared" si="268"/>
        <v>S</v>
      </c>
      <c r="BI96" s="41"/>
    </row>
    <row r="97">
      <c r="A97" s="21" t="s">
        <v>715</v>
      </c>
      <c r="B97" s="23">
        <v>69.0</v>
      </c>
      <c r="C97" s="21" t="s">
        <v>688</v>
      </c>
      <c r="D97" s="18" t="s">
        <v>190</v>
      </c>
      <c r="E97" s="18" t="s">
        <v>190</v>
      </c>
      <c r="F97" s="18" t="s">
        <v>192</v>
      </c>
      <c r="G97" s="20" t="s">
        <v>1264</v>
      </c>
      <c r="H97" s="22" t="s">
        <v>198</v>
      </c>
      <c r="I97" s="26">
        <v>6.0</v>
      </c>
      <c r="J97" s="26" t="str">
        <f t="shared" si="247"/>
        <v>R</v>
      </c>
      <c r="K97" s="26">
        <v>11.0</v>
      </c>
      <c r="L97" s="26" t="str">
        <f t="shared" si="248"/>
        <v>R</v>
      </c>
      <c r="M97" s="26">
        <v>6.0</v>
      </c>
      <c r="N97" s="26" t="str">
        <f t="shared" si="249"/>
        <v>R</v>
      </c>
      <c r="O97" s="32" t="s">
        <v>357</v>
      </c>
      <c r="P97" s="32" t="s">
        <v>357</v>
      </c>
      <c r="Q97" s="26">
        <v>6.0</v>
      </c>
      <c r="R97" s="26" t="str">
        <f t="shared" si="250"/>
        <v>R</v>
      </c>
      <c r="S97" s="26">
        <v>8.0</v>
      </c>
      <c r="T97" s="26" t="str">
        <f t="shared" si="251"/>
        <v>R</v>
      </c>
      <c r="U97" s="26">
        <v>8.0</v>
      </c>
      <c r="V97" s="26" t="str">
        <f t="shared" si="252"/>
        <v>R</v>
      </c>
      <c r="W97" s="32" t="s">
        <v>299</v>
      </c>
      <c r="X97" s="33">
        <v>6.0</v>
      </c>
      <c r="Y97" s="33" t="str">
        <f t="shared" si="253"/>
        <v>R</v>
      </c>
      <c r="Z97" s="33">
        <v>9.0</v>
      </c>
      <c r="AA97" s="33" t="str">
        <f t="shared" si="254"/>
        <v>R</v>
      </c>
      <c r="AB97" s="33">
        <v>6.0</v>
      </c>
      <c r="AC97" s="33" t="str">
        <f t="shared" si="255"/>
        <v>R</v>
      </c>
      <c r="AD97" s="33">
        <v>20.0</v>
      </c>
      <c r="AE97" s="33" t="str">
        <f t="shared" si="256"/>
        <v>S</v>
      </c>
      <c r="AF97" s="33">
        <v>8.0</v>
      </c>
      <c r="AG97" s="33" t="str">
        <f t="shared" si="257"/>
        <v>R</v>
      </c>
      <c r="AH97" s="33" t="s">
        <v>299</v>
      </c>
      <c r="AI97" s="36">
        <v>6.0</v>
      </c>
      <c r="AJ97" s="36" t="str">
        <f t="shared" si="258"/>
        <v>R</v>
      </c>
      <c r="AK97" s="36">
        <v>6.0</v>
      </c>
      <c r="AL97" s="36" t="str">
        <f t="shared" si="259"/>
        <v>R</v>
      </c>
      <c r="AM97" s="36">
        <v>6.0</v>
      </c>
      <c r="AN97" s="36" t="str">
        <f t="shared" si="260"/>
        <v>R</v>
      </c>
      <c r="AO97" s="36" t="s">
        <v>299</v>
      </c>
      <c r="AP97" s="37">
        <v>6.0</v>
      </c>
      <c r="AQ97" s="37" t="str">
        <f t="shared" si="261"/>
        <v>R</v>
      </c>
      <c r="AR97" s="33">
        <v>21.0</v>
      </c>
      <c r="AS97" s="33" t="str">
        <f t="shared" si="262"/>
        <v>S</v>
      </c>
      <c r="AT97" s="33">
        <v>13.0</v>
      </c>
      <c r="AU97" s="33" t="str">
        <f t="shared" si="263"/>
        <v>R</v>
      </c>
      <c r="AV97" s="33" t="s">
        <v>299</v>
      </c>
      <c r="AW97" s="26">
        <v>6.0</v>
      </c>
      <c r="AX97" s="26" t="str">
        <f t="shared" si="264"/>
        <v>R</v>
      </c>
      <c r="AY97" s="37">
        <v>6.0</v>
      </c>
      <c r="AZ97" s="37" t="str">
        <f t="shared" si="265"/>
        <v>R</v>
      </c>
      <c r="BA97" s="36">
        <v>27.0</v>
      </c>
      <c r="BB97" s="36" t="str">
        <f t="shared" si="266"/>
        <v>S</v>
      </c>
      <c r="BC97" s="39" t="s">
        <v>357</v>
      </c>
      <c r="BD97" s="39" t="s">
        <v>357</v>
      </c>
      <c r="BE97" s="36">
        <v>30.0</v>
      </c>
      <c r="BF97" s="36" t="str">
        <f t="shared" si="267"/>
        <v>S</v>
      </c>
      <c r="BG97" s="40">
        <v>8.0</v>
      </c>
      <c r="BH97" s="41" t="str">
        <f t="shared" si="268"/>
        <v>R</v>
      </c>
      <c r="BI97" s="41"/>
    </row>
    <row r="98">
      <c r="A98" s="21" t="s">
        <v>715</v>
      </c>
      <c r="B98" s="21" t="s">
        <v>444</v>
      </c>
      <c r="C98" s="21" t="s">
        <v>1104</v>
      </c>
      <c r="D98" s="18" t="s">
        <v>190</v>
      </c>
      <c r="E98" s="18" t="s">
        <v>190</v>
      </c>
      <c r="F98" s="18" t="s">
        <v>192</v>
      </c>
      <c r="G98" s="20" t="s">
        <v>1265</v>
      </c>
      <c r="H98" s="52" t="s">
        <v>581</v>
      </c>
      <c r="I98" s="26">
        <v>6.0</v>
      </c>
      <c r="J98" s="26" t="str">
        <f t="shared" si="247"/>
        <v>R</v>
      </c>
      <c r="K98" s="26">
        <v>15.0</v>
      </c>
      <c r="L98" s="26" t="str">
        <f t="shared" si="248"/>
        <v>R</v>
      </c>
      <c r="M98" s="26">
        <v>6.0</v>
      </c>
      <c r="N98" s="26" t="str">
        <f t="shared" si="249"/>
        <v>R</v>
      </c>
      <c r="O98" s="32" t="s">
        <v>357</v>
      </c>
      <c r="P98" s="32" t="s">
        <v>357</v>
      </c>
      <c r="Q98" s="26">
        <v>8.0</v>
      </c>
      <c r="R98" s="26" t="str">
        <f t="shared" si="250"/>
        <v>R</v>
      </c>
      <c r="S98" s="26">
        <v>18.0</v>
      </c>
      <c r="T98" s="26" t="str">
        <f t="shared" si="251"/>
        <v>R</v>
      </c>
      <c r="U98" s="26">
        <v>21.0</v>
      </c>
      <c r="V98" s="26" t="str">
        <f t="shared" si="252"/>
        <v>S</v>
      </c>
      <c r="W98" s="32" t="s">
        <v>299</v>
      </c>
      <c r="X98" s="33">
        <v>6.0</v>
      </c>
      <c r="Y98" s="33" t="str">
        <f t="shared" si="253"/>
        <v>R</v>
      </c>
      <c r="Z98" s="33">
        <v>22.0</v>
      </c>
      <c r="AA98" s="33" t="str">
        <f t="shared" si="254"/>
        <v>S</v>
      </c>
      <c r="AB98" s="33">
        <v>13.0</v>
      </c>
      <c r="AC98" s="33" t="str">
        <f t="shared" si="255"/>
        <v>R</v>
      </c>
      <c r="AD98" s="33">
        <v>25.0</v>
      </c>
      <c r="AE98" s="33" t="str">
        <f t="shared" si="256"/>
        <v>S</v>
      </c>
      <c r="AF98" s="33">
        <v>22.0</v>
      </c>
      <c r="AG98" s="33" t="str">
        <f t="shared" si="257"/>
        <v>R</v>
      </c>
      <c r="AH98" s="33" t="s">
        <v>299</v>
      </c>
      <c r="AI98" s="36">
        <v>8.0</v>
      </c>
      <c r="AJ98" s="36" t="str">
        <f t="shared" si="258"/>
        <v>R</v>
      </c>
      <c r="AK98" s="36">
        <v>12.0</v>
      </c>
      <c r="AL98" s="36" t="str">
        <f t="shared" si="259"/>
        <v>R</v>
      </c>
      <c r="AM98" s="36">
        <v>6.0</v>
      </c>
      <c r="AN98" s="36" t="str">
        <f t="shared" si="260"/>
        <v>R</v>
      </c>
      <c r="AO98" s="36" t="s">
        <v>299</v>
      </c>
      <c r="AP98" s="37">
        <v>6.0</v>
      </c>
      <c r="AQ98" s="37" t="str">
        <f t="shared" si="261"/>
        <v>R</v>
      </c>
      <c r="AR98" s="33">
        <v>21.0</v>
      </c>
      <c r="AS98" s="33" t="str">
        <f t="shared" si="262"/>
        <v>S</v>
      </c>
      <c r="AT98" s="33">
        <v>11.0</v>
      </c>
      <c r="AU98" s="33" t="str">
        <f t="shared" si="263"/>
        <v>R</v>
      </c>
      <c r="AV98" s="33" t="s">
        <v>299</v>
      </c>
      <c r="AW98" s="26">
        <v>8.0</v>
      </c>
      <c r="AX98" s="26" t="str">
        <f t="shared" si="264"/>
        <v>R</v>
      </c>
      <c r="AY98" s="37">
        <v>13.0</v>
      </c>
      <c r="AZ98" s="37" t="str">
        <f t="shared" si="265"/>
        <v>R</v>
      </c>
      <c r="BA98" s="36">
        <v>33.0</v>
      </c>
      <c r="BB98" s="36" t="str">
        <f t="shared" si="266"/>
        <v>S</v>
      </c>
      <c r="BC98" s="39" t="s">
        <v>357</v>
      </c>
      <c r="BD98" s="39" t="s">
        <v>357</v>
      </c>
      <c r="BE98" s="36">
        <v>33.0</v>
      </c>
      <c r="BF98" s="36" t="str">
        <f t="shared" si="267"/>
        <v>S</v>
      </c>
      <c r="BG98" s="40">
        <v>9.0</v>
      </c>
      <c r="BH98" s="41" t="str">
        <f t="shared" si="268"/>
        <v>R</v>
      </c>
      <c r="BI98" s="41"/>
    </row>
    <row r="99">
      <c r="A99" s="21" t="s">
        <v>715</v>
      </c>
      <c r="B99" s="21" t="s">
        <v>444</v>
      </c>
      <c r="C99" s="21" t="s">
        <v>1114</v>
      </c>
      <c r="D99" s="18" t="s">
        <v>190</v>
      </c>
      <c r="E99" s="18" t="s">
        <v>190</v>
      </c>
      <c r="F99" s="18" t="s">
        <v>192</v>
      </c>
      <c r="G99" s="20" t="s">
        <v>1266</v>
      </c>
      <c r="H99" s="22" t="s">
        <v>198</v>
      </c>
      <c r="I99" s="26">
        <v>6.0</v>
      </c>
      <c r="J99" s="26" t="str">
        <f t="shared" si="247"/>
        <v>R</v>
      </c>
      <c r="K99" s="26">
        <v>14.0</v>
      </c>
      <c r="L99" s="26" t="str">
        <f t="shared" si="248"/>
        <v>R</v>
      </c>
      <c r="M99" s="26">
        <v>6.0</v>
      </c>
      <c r="N99" s="26" t="str">
        <f t="shared" si="249"/>
        <v>R</v>
      </c>
      <c r="O99" s="32" t="s">
        <v>357</v>
      </c>
      <c r="P99" s="32" t="s">
        <v>357</v>
      </c>
      <c r="Q99" s="26">
        <v>6.0</v>
      </c>
      <c r="R99" s="26" t="str">
        <f t="shared" si="250"/>
        <v>R</v>
      </c>
      <c r="S99" s="26">
        <v>9.0</v>
      </c>
      <c r="T99" s="26" t="str">
        <f t="shared" si="251"/>
        <v>R</v>
      </c>
      <c r="U99" s="26">
        <v>8.0</v>
      </c>
      <c r="V99" s="26" t="str">
        <f t="shared" si="252"/>
        <v>R</v>
      </c>
      <c r="W99" s="32" t="s">
        <v>299</v>
      </c>
      <c r="X99" s="33">
        <v>6.0</v>
      </c>
      <c r="Y99" s="33" t="str">
        <f t="shared" si="253"/>
        <v>R</v>
      </c>
      <c r="Z99" s="33">
        <v>6.0</v>
      </c>
      <c r="AA99" s="33" t="str">
        <f t="shared" si="254"/>
        <v>R</v>
      </c>
      <c r="AB99" s="33">
        <v>8.0</v>
      </c>
      <c r="AC99" s="33" t="str">
        <f t="shared" si="255"/>
        <v>R</v>
      </c>
      <c r="AD99" s="33">
        <v>22.0</v>
      </c>
      <c r="AE99" s="33" t="str">
        <f t="shared" si="256"/>
        <v>S</v>
      </c>
      <c r="AF99" s="33">
        <v>6.0</v>
      </c>
      <c r="AG99" s="33" t="str">
        <f t="shared" si="257"/>
        <v>R</v>
      </c>
      <c r="AH99" s="33" t="s">
        <v>299</v>
      </c>
      <c r="AI99" s="36">
        <v>6.0</v>
      </c>
      <c r="AJ99" s="36" t="str">
        <f t="shared" si="258"/>
        <v>R</v>
      </c>
      <c r="AK99" s="36">
        <v>6.0</v>
      </c>
      <c r="AL99" s="36" t="str">
        <f t="shared" si="259"/>
        <v>R</v>
      </c>
      <c r="AM99" s="36">
        <v>6.0</v>
      </c>
      <c r="AN99" s="36" t="str">
        <f t="shared" si="260"/>
        <v>R</v>
      </c>
      <c r="AO99" s="36" t="s">
        <v>299</v>
      </c>
      <c r="AP99" s="37">
        <v>6.0</v>
      </c>
      <c r="AQ99" s="37" t="str">
        <f t="shared" si="261"/>
        <v>R</v>
      </c>
      <c r="AR99" s="33">
        <v>25.0</v>
      </c>
      <c r="AS99" s="33" t="str">
        <f t="shared" si="262"/>
        <v>S</v>
      </c>
      <c r="AT99" s="33">
        <v>16.0</v>
      </c>
      <c r="AU99" s="33" t="str">
        <f t="shared" si="263"/>
        <v>S</v>
      </c>
      <c r="AV99" s="33" t="s">
        <v>300</v>
      </c>
      <c r="AW99" s="26">
        <v>6.0</v>
      </c>
      <c r="AX99" s="26" t="str">
        <f t="shared" si="264"/>
        <v>R</v>
      </c>
      <c r="AY99" s="37">
        <v>6.0</v>
      </c>
      <c r="AZ99" s="37" t="str">
        <f t="shared" si="265"/>
        <v>R</v>
      </c>
      <c r="BA99" s="36">
        <v>30.0</v>
      </c>
      <c r="BB99" s="36" t="str">
        <f t="shared" si="266"/>
        <v>S</v>
      </c>
      <c r="BC99" s="39" t="s">
        <v>357</v>
      </c>
      <c r="BD99" s="39" t="s">
        <v>357</v>
      </c>
      <c r="BE99" s="36">
        <v>35.0</v>
      </c>
      <c r="BF99" s="36" t="str">
        <f t="shared" si="267"/>
        <v>S</v>
      </c>
      <c r="BG99" s="40">
        <v>6.0</v>
      </c>
      <c r="BH99" s="41" t="str">
        <f t="shared" si="268"/>
        <v>R</v>
      </c>
      <c r="BI99" s="41"/>
    </row>
    <row r="100">
      <c r="A100" s="21" t="s">
        <v>715</v>
      </c>
      <c r="B100" s="23">
        <v>70.0</v>
      </c>
      <c r="C100" s="21" t="s">
        <v>1122</v>
      </c>
      <c r="D100" s="18" t="s">
        <v>571</v>
      </c>
      <c r="E100" s="18" t="s">
        <v>572</v>
      </c>
      <c r="F100" s="18" t="s">
        <v>192</v>
      </c>
      <c r="G100" s="20" t="s">
        <v>1267</v>
      </c>
      <c r="H100" s="52" t="s">
        <v>581</v>
      </c>
      <c r="I100" s="26">
        <v>6.0</v>
      </c>
      <c r="J100" s="26" t="str">
        <f t="shared" si="247"/>
        <v>R</v>
      </c>
      <c r="K100" s="26">
        <v>14.0</v>
      </c>
      <c r="L100" s="26" t="str">
        <f t="shared" si="248"/>
        <v>R</v>
      </c>
      <c r="M100" s="26">
        <v>6.0</v>
      </c>
      <c r="N100" s="26" t="str">
        <f t="shared" si="249"/>
        <v>R</v>
      </c>
      <c r="O100" s="32" t="s">
        <v>357</v>
      </c>
      <c r="P100" s="32" t="s">
        <v>357</v>
      </c>
      <c r="Q100" s="26">
        <v>8.0</v>
      </c>
      <c r="R100" s="26" t="str">
        <f t="shared" si="250"/>
        <v>R</v>
      </c>
      <c r="S100" s="26">
        <v>20.0</v>
      </c>
      <c r="T100" s="26" t="str">
        <f t="shared" si="251"/>
        <v>S</v>
      </c>
      <c r="U100" s="26">
        <v>25.0</v>
      </c>
      <c r="V100" s="26" t="str">
        <f t="shared" si="252"/>
        <v>S</v>
      </c>
      <c r="W100" s="32" t="s">
        <v>299</v>
      </c>
      <c r="X100" s="33">
        <v>6.0</v>
      </c>
      <c r="Y100" s="33" t="str">
        <f t="shared" si="253"/>
        <v>R</v>
      </c>
      <c r="Z100" s="33">
        <v>25.0</v>
      </c>
      <c r="AA100" s="33" t="str">
        <f t="shared" si="254"/>
        <v>S</v>
      </c>
      <c r="AB100" s="33">
        <v>17.0</v>
      </c>
      <c r="AC100" s="33" t="str">
        <f t="shared" si="255"/>
        <v>R</v>
      </c>
      <c r="AD100" s="33">
        <v>28.0</v>
      </c>
      <c r="AE100" s="33" t="str">
        <f t="shared" si="256"/>
        <v>S</v>
      </c>
      <c r="AF100" s="33">
        <v>21.0</v>
      </c>
      <c r="AG100" s="33" t="str">
        <f t="shared" si="257"/>
        <v>R</v>
      </c>
      <c r="AH100" s="33" t="s">
        <v>299</v>
      </c>
      <c r="AI100" s="36">
        <v>14.0</v>
      </c>
      <c r="AJ100" s="36" t="str">
        <f t="shared" si="258"/>
        <v>R</v>
      </c>
      <c r="AK100" s="36">
        <v>20.0</v>
      </c>
      <c r="AL100" s="36" t="str">
        <f t="shared" si="259"/>
        <v>I</v>
      </c>
      <c r="AM100" s="36">
        <v>6.0</v>
      </c>
      <c r="AN100" s="36" t="str">
        <f t="shared" si="260"/>
        <v>R</v>
      </c>
      <c r="AO100" s="36" t="s">
        <v>299</v>
      </c>
      <c r="AP100" s="37">
        <v>6.0</v>
      </c>
      <c r="AQ100" s="37" t="str">
        <f t="shared" si="261"/>
        <v>R</v>
      </c>
      <c r="AR100" s="33">
        <v>19.0</v>
      </c>
      <c r="AS100" s="33" t="str">
        <f t="shared" si="262"/>
        <v>S</v>
      </c>
      <c r="AT100" s="33">
        <v>10.0</v>
      </c>
      <c r="AU100" s="33" t="str">
        <f t="shared" si="263"/>
        <v>R</v>
      </c>
      <c r="AV100" s="33" t="s">
        <v>299</v>
      </c>
      <c r="AW100" s="26">
        <v>13.0</v>
      </c>
      <c r="AX100" s="26" t="str">
        <f t="shared" si="264"/>
        <v>R</v>
      </c>
      <c r="AY100" s="37">
        <v>15.0</v>
      </c>
      <c r="AZ100" s="37" t="str">
        <f t="shared" si="265"/>
        <v>R</v>
      </c>
      <c r="BA100" s="36">
        <v>31.0</v>
      </c>
      <c r="BB100" s="36" t="str">
        <f t="shared" si="266"/>
        <v>S</v>
      </c>
      <c r="BC100" s="39" t="s">
        <v>357</v>
      </c>
      <c r="BD100" s="39" t="s">
        <v>357</v>
      </c>
      <c r="BE100" s="36">
        <v>30.0</v>
      </c>
      <c r="BF100" s="36" t="str">
        <f t="shared" si="267"/>
        <v>S</v>
      </c>
      <c r="BG100" s="40">
        <v>9.0</v>
      </c>
      <c r="BH100" s="41" t="str">
        <f t="shared" si="268"/>
        <v>R</v>
      </c>
      <c r="BI100" s="41"/>
    </row>
    <row r="101">
      <c r="A101" s="21" t="s">
        <v>715</v>
      </c>
      <c r="B101" s="21" t="s">
        <v>444</v>
      </c>
      <c r="C101" s="21" t="s">
        <v>1130</v>
      </c>
      <c r="D101" s="18" t="s">
        <v>571</v>
      </c>
      <c r="E101" s="18" t="s">
        <v>572</v>
      </c>
      <c r="F101" s="18" t="s">
        <v>192</v>
      </c>
      <c r="G101" s="20" t="s">
        <v>1268</v>
      </c>
      <c r="H101" s="59" t="s">
        <v>785</v>
      </c>
      <c r="I101" s="26">
        <v>6.0</v>
      </c>
      <c r="J101" s="26" t="str">
        <f t="shared" si="247"/>
        <v>R</v>
      </c>
      <c r="K101" s="26">
        <v>10.0</v>
      </c>
      <c r="L101" s="26" t="str">
        <f t="shared" si="248"/>
        <v>R</v>
      </c>
      <c r="M101" s="26">
        <v>6.0</v>
      </c>
      <c r="N101" s="26" t="str">
        <f t="shared" si="249"/>
        <v>R</v>
      </c>
      <c r="O101" s="32" t="s">
        <v>357</v>
      </c>
      <c r="P101" s="32" t="s">
        <v>357</v>
      </c>
      <c r="Q101" s="26">
        <v>8.0</v>
      </c>
      <c r="R101" s="26" t="str">
        <f t="shared" si="250"/>
        <v>R</v>
      </c>
      <c r="S101" s="26">
        <v>20.0</v>
      </c>
      <c r="T101" s="26" t="str">
        <f t="shared" si="251"/>
        <v>S</v>
      </c>
      <c r="U101" s="26">
        <v>26.0</v>
      </c>
      <c r="V101" s="26" t="str">
        <f t="shared" si="252"/>
        <v>S</v>
      </c>
      <c r="W101" s="32" t="s">
        <v>299</v>
      </c>
      <c r="X101" s="33">
        <v>6.0</v>
      </c>
      <c r="Y101" s="33" t="str">
        <f t="shared" si="253"/>
        <v>R</v>
      </c>
      <c r="Z101" s="33">
        <v>8.0</v>
      </c>
      <c r="AA101" s="33" t="str">
        <f t="shared" si="254"/>
        <v>R</v>
      </c>
      <c r="AB101" s="33">
        <v>18.0</v>
      </c>
      <c r="AC101" s="33" t="str">
        <f t="shared" si="255"/>
        <v>R</v>
      </c>
      <c r="AD101" s="33">
        <v>25.0</v>
      </c>
      <c r="AE101" s="33" t="str">
        <f t="shared" si="256"/>
        <v>S</v>
      </c>
      <c r="AF101" s="33">
        <v>22.0</v>
      </c>
      <c r="AG101" s="33" t="str">
        <f t="shared" si="257"/>
        <v>R</v>
      </c>
      <c r="AH101" s="33" t="s">
        <v>299</v>
      </c>
      <c r="AI101" s="36">
        <v>18.0</v>
      </c>
      <c r="AJ101" s="36" t="str">
        <f t="shared" si="258"/>
        <v>R</v>
      </c>
      <c r="AK101" s="36">
        <v>24.0</v>
      </c>
      <c r="AL101" s="36" t="str">
        <f t="shared" si="259"/>
        <v>S</v>
      </c>
      <c r="AM101" s="36">
        <v>18.0</v>
      </c>
      <c r="AN101" s="36" t="str">
        <f t="shared" si="260"/>
        <v>S</v>
      </c>
      <c r="AO101" s="36" t="s">
        <v>299</v>
      </c>
      <c r="AP101" s="37">
        <v>6.0</v>
      </c>
      <c r="AQ101" s="37" t="str">
        <f t="shared" si="261"/>
        <v>R</v>
      </c>
      <c r="AR101" s="33">
        <v>19.0</v>
      </c>
      <c r="AS101" s="33" t="str">
        <f t="shared" si="262"/>
        <v>S</v>
      </c>
      <c r="AT101" s="33">
        <v>11.0</v>
      </c>
      <c r="AU101" s="33" t="str">
        <f t="shared" si="263"/>
        <v>R</v>
      </c>
      <c r="AV101" s="33" t="s">
        <v>299</v>
      </c>
      <c r="AW101" s="26">
        <v>18.0</v>
      </c>
      <c r="AX101" s="26" t="str">
        <f t="shared" si="264"/>
        <v>R</v>
      </c>
      <c r="AY101" s="37">
        <v>16.0</v>
      </c>
      <c r="AZ101" s="37" t="str">
        <f t="shared" si="265"/>
        <v>R</v>
      </c>
      <c r="BA101" s="36">
        <v>29.0</v>
      </c>
      <c r="BB101" s="36" t="str">
        <f t="shared" si="266"/>
        <v>S</v>
      </c>
      <c r="BC101" s="39" t="s">
        <v>357</v>
      </c>
      <c r="BD101" s="39" t="s">
        <v>357</v>
      </c>
      <c r="BE101" s="36">
        <v>28.0</v>
      </c>
      <c r="BF101" s="36" t="str">
        <f t="shared" si="267"/>
        <v>S</v>
      </c>
      <c r="BG101" s="40">
        <v>21.0</v>
      </c>
      <c r="BH101" s="41" t="str">
        <f t="shared" si="268"/>
        <v>S</v>
      </c>
      <c r="BI101" s="41"/>
    </row>
    <row r="102">
      <c r="A102" s="21" t="s">
        <v>715</v>
      </c>
      <c r="B102" s="21" t="s">
        <v>444</v>
      </c>
      <c r="C102" s="21" t="s">
        <v>1140</v>
      </c>
      <c r="D102" s="18" t="s">
        <v>571</v>
      </c>
      <c r="E102" s="18" t="s">
        <v>572</v>
      </c>
      <c r="F102" s="18" t="s">
        <v>192</v>
      </c>
      <c r="G102" s="20" t="s">
        <v>1269</v>
      </c>
      <c r="H102" s="59" t="s">
        <v>1092</v>
      </c>
      <c r="I102" s="26">
        <v>7.0</v>
      </c>
      <c r="J102" s="26" t="str">
        <f t="shared" si="247"/>
        <v>R</v>
      </c>
      <c r="K102" s="26">
        <v>9.0</v>
      </c>
      <c r="L102" s="26" t="str">
        <f t="shared" si="248"/>
        <v>R</v>
      </c>
      <c r="M102" s="26">
        <v>6.0</v>
      </c>
      <c r="N102" s="26" t="str">
        <f t="shared" si="249"/>
        <v>R</v>
      </c>
      <c r="O102" s="32" t="s">
        <v>357</v>
      </c>
      <c r="P102" s="32" t="s">
        <v>357</v>
      </c>
      <c r="Q102" s="26">
        <v>6.0</v>
      </c>
      <c r="R102" s="26" t="str">
        <f t="shared" si="250"/>
        <v>R</v>
      </c>
      <c r="S102" s="26">
        <v>14.0</v>
      </c>
      <c r="T102" s="26" t="str">
        <f t="shared" si="251"/>
        <v>R</v>
      </c>
      <c r="U102" s="26">
        <v>19.0</v>
      </c>
      <c r="V102" s="26" t="str">
        <f t="shared" si="252"/>
        <v>I</v>
      </c>
      <c r="W102" s="32" t="s">
        <v>299</v>
      </c>
      <c r="X102" s="33">
        <v>6.0</v>
      </c>
      <c r="Y102" s="33" t="str">
        <f t="shared" si="253"/>
        <v>R</v>
      </c>
      <c r="Z102" s="33">
        <v>6.0</v>
      </c>
      <c r="AA102" s="33" t="str">
        <f t="shared" si="254"/>
        <v>R</v>
      </c>
      <c r="AB102" s="33">
        <v>6.0</v>
      </c>
      <c r="AC102" s="33" t="str">
        <f t="shared" si="255"/>
        <v>R</v>
      </c>
      <c r="AD102" s="33">
        <v>24.0</v>
      </c>
      <c r="AE102" s="33" t="str">
        <f t="shared" si="256"/>
        <v>S</v>
      </c>
      <c r="AF102" s="33">
        <v>6.0</v>
      </c>
      <c r="AG102" s="33" t="str">
        <f t="shared" si="257"/>
        <v>R</v>
      </c>
      <c r="AH102" s="33" t="s">
        <v>299</v>
      </c>
      <c r="AI102" s="36">
        <v>6.0</v>
      </c>
      <c r="AJ102" s="36" t="str">
        <f t="shared" si="258"/>
        <v>R</v>
      </c>
      <c r="AK102" s="36">
        <v>9.0</v>
      </c>
      <c r="AL102" s="36" t="str">
        <f t="shared" si="259"/>
        <v>R</v>
      </c>
      <c r="AM102" s="36">
        <v>6.0</v>
      </c>
      <c r="AN102" s="36" t="str">
        <f t="shared" si="260"/>
        <v>R</v>
      </c>
      <c r="AO102" s="36" t="s">
        <v>299</v>
      </c>
      <c r="AP102" s="37">
        <v>23.0</v>
      </c>
      <c r="AQ102" s="37" t="str">
        <f t="shared" si="261"/>
        <v>S</v>
      </c>
      <c r="AR102" s="33">
        <v>24.0</v>
      </c>
      <c r="AS102" s="33" t="str">
        <f t="shared" si="262"/>
        <v>S</v>
      </c>
      <c r="AT102" s="33">
        <v>13.0</v>
      </c>
      <c r="AU102" s="33" t="str">
        <f t="shared" si="263"/>
        <v>R</v>
      </c>
      <c r="AV102" s="33" t="s">
        <v>299</v>
      </c>
      <c r="AW102" s="26">
        <v>12.0</v>
      </c>
      <c r="AX102" s="26" t="str">
        <f t="shared" si="264"/>
        <v>R</v>
      </c>
      <c r="AY102" s="37">
        <v>6.0</v>
      </c>
      <c r="AZ102" s="37" t="str">
        <f t="shared" si="265"/>
        <v>R</v>
      </c>
      <c r="BA102" s="36">
        <v>21.0</v>
      </c>
      <c r="BB102" s="36" t="str">
        <f t="shared" si="266"/>
        <v>R</v>
      </c>
      <c r="BC102" s="36">
        <v>0.5</v>
      </c>
      <c r="BD102" s="36" t="str">
        <f>IF((BC102&lt;=0.5),"S",IF(AND(BC102&gt;0.5),"R", "NA"))</f>
        <v>S</v>
      </c>
      <c r="BE102" s="36">
        <v>26.0</v>
      </c>
      <c r="BF102" s="36" t="str">
        <f t="shared" si="267"/>
        <v>S</v>
      </c>
      <c r="BG102" s="40">
        <v>6.0</v>
      </c>
      <c r="BH102" s="41" t="str">
        <f t="shared" si="268"/>
        <v>R</v>
      </c>
      <c r="BI102" s="41"/>
    </row>
    <row r="103">
      <c r="A103" s="21" t="s">
        <v>715</v>
      </c>
      <c r="B103" s="23">
        <v>71.0</v>
      </c>
      <c r="C103" s="21" t="s">
        <v>1144</v>
      </c>
      <c r="D103" s="18" t="s">
        <v>705</v>
      </c>
      <c r="E103" s="18" t="s">
        <v>572</v>
      </c>
      <c r="F103" s="18" t="s">
        <v>573</v>
      </c>
      <c r="G103" s="20" t="s">
        <v>357</v>
      </c>
      <c r="H103" s="47" t="s">
        <v>357</v>
      </c>
      <c r="I103" s="32" t="s">
        <v>357</v>
      </c>
      <c r="J103" s="32" t="s">
        <v>357</v>
      </c>
      <c r="K103" s="32" t="s">
        <v>357</v>
      </c>
      <c r="L103" s="32" t="s">
        <v>357</v>
      </c>
      <c r="M103" s="32" t="s">
        <v>357</v>
      </c>
      <c r="N103" s="32" t="s">
        <v>357</v>
      </c>
      <c r="O103" s="32" t="s">
        <v>357</v>
      </c>
      <c r="P103" s="32" t="s">
        <v>357</v>
      </c>
      <c r="Q103" s="32" t="s">
        <v>357</v>
      </c>
      <c r="R103" s="32" t="s">
        <v>357</v>
      </c>
      <c r="S103" s="32" t="s">
        <v>357</v>
      </c>
      <c r="T103" s="32" t="s">
        <v>357</v>
      </c>
      <c r="U103" s="32" t="s">
        <v>357</v>
      </c>
      <c r="V103" s="32" t="s">
        <v>357</v>
      </c>
      <c r="W103" s="32" t="s">
        <v>357</v>
      </c>
      <c r="X103" s="49" t="s">
        <v>357</v>
      </c>
      <c r="Y103" s="49" t="s">
        <v>357</v>
      </c>
      <c r="Z103" s="49" t="s">
        <v>357</v>
      </c>
      <c r="AA103" s="49" t="s">
        <v>357</v>
      </c>
      <c r="AB103" s="49" t="s">
        <v>357</v>
      </c>
      <c r="AC103" s="49" t="s">
        <v>357</v>
      </c>
      <c r="AD103" s="49" t="s">
        <v>357</v>
      </c>
      <c r="AE103" s="49" t="s">
        <v>357</v>
      </c>
      <c r="AF103" s="49" t="s">
        <v>357</v>
      </c>
      <c r="AG103" s="49" t="s">
        <v>357</v>
      </c>
      <c r="AH103" s="49" t="s">
        <v>357</v>
      </c>
      <c r="AI103" s="39" t="s">
        <v>357</v>
      </c>
      <c r="AJ103" s="39" t="s">
        <v>357</v>
      </c>
      <c r="AK103" s="39" t="s">
        <v>357</v>
      </c>
      <c r="AL103" s="39" t="s">
        <v>357</v>
      </c>
      <c r="AM103" s="39" t="s">
        <v>357</v>
      </c>
      <c r="AN103" s="39" t="s">
        <v>357</v>
      </c>
      <c r="AO103" s="39" t="s">
        <v>357</v>
      </c>
      <c r="AP103" s="50" t="s">
        <v>357</v>
      </c>
      <c r="AQ103" s="50" t="s">
        <v>357</v>
      </c>
      <c r="AR103" s="49" t="s">
        <v>357</v>
      </c>
      <c r="AS103" s="49" t="s">
        <v>357</v>
      </c>
      <c r="AT103" s="49" t="s">
        <v>357</v>
      </c>
      <c r="AU103" s="49" t="s">
        <v>357</v>
      </c>
      <c r="AV103" s="49" t="s">
        <v>357</v>
      </c>
      <c r="AW103" s="32" t="s">
        <v>357</v>
      </c>
      <c r="AX103" s="32" t="s">
        <v>357</v>
      </c>
      <c r="AY103" s="50" t="s">
        <v>357</v>
      </c>
      <c r="AZ103" s="50" t="s">
        <v>357</v>
      </c>
      <c r="BA103" s="39" t="s">
        <v>357</v>
      </c>
      <c r="BB103" s="39" t="s">
        <v>357</v>
      </c>
      <c r="BC103" s="39" t="s">
        <v>357</v>
      </c>
      <c r="BD103" s="39" t="s">
        <v>357</v>
      </c>
      <c r="BE103" s="39" t="s">
        <v>357</v>
      </c>
      <c r="BF103" s="39" t="s">
        <v>357</v>
      </c>
      <c r="BG103" s="41" t="s">
        <v>357</v>
      </c>
      <c r="BH103" s="41" t="s">
        <v>357</v>
      </c>
      <c r="BI103" s="41"/>
    </row>
    <row r="104">
      <c r="A104" s="21" t="s">
        <v>715</v>
      </c>
      <c r="B104" s="23">
        <v>72.0</v>
      </c>
      <c r="C104" s="21" t="s">
        <v>1150</v>
      </c>
      <c r="D104" s="18" t="s">
        <v>182</v>
      </c>
      <c r="E104" s="18" t="s">
        <v>103</v>
      </c>
      <c r="F104" s="18" t="s">
        <v>192</v>
      </c>
      <c r="G104" s="20" t="s">
        <v>1270</v>
      </c>
      <c r="H104" s="22" t="s">
        <v>198</v>
      </c>
      <c r="I104" s="26">
        <v>6.0</v>
      </c>
      <c r="J104" s="26" t="str">
        <f t="shared" ref="J104:J121" si="269">IF((I104&gt;=19),"S",IF(AND(I104&lt;19),"R", "NA"))</f>
        <v>R</v>
      </c>
      <c r="K104" s="26">
        <v>25.0</v>
      </c>
      <c r="L104" s="26" t="str">
        <f t="shared" ref="L104:L121" si="270">IF((K104&gt;=19),"S",IF(AND(K104&lt;19),"R", "NA"))</f>
        <v>S</v>
      </c>
      <c r="M104" s="26">
        <v>6.0</v>
      </c>
      <c r="N104" s="26" t="str">
        <f t="shared" ref="N104:N121" si="271">IF((M104&gt;=23),"S",IF(AND(M104&lt;23),"R","NA"))</f>
        <v>R</v>
      </c>
      <c r="O104" s="32" t="s">
        <v>357</v>
      </c>
      <c r="P104" s="32" t="s">
        <v>357</v>
      </c>
      <c r="Q104" s="26">
        <v>15.0</v>
      </c>
      <c r="R104" s="26" t="str">
        <f t="shared" ref="R104:R121" si="272">IF((Q104&gt;=20),"S",IF(AND(Q104&lt;20),"R", "NA"))</f>
        <v>R</v>
      </c>
      <c r="S104" s="26">
        <v>27.0</v>
      </c>
      <c r="T104" s="26" t="str">
        <f t="shared" ref="T104:T121" si="273">IF((S104&gt;=20),"S",IF(AND(S104&lt;20),"R", "NA"))</f>
        <v>S</v>
      </c>
      <c r="U104" s="26">
        <v>24.0</v>
      </c>
      <c r="V104" s="26" t="str">
        <f t="shared" ref="V104:V121" si="274">IF((U104&gt;=20),"S",IF(AND(U104&lt;20,U104&gt;=17),"I",IF(AND(U104&lt;17),"R","NA")))</f>
        <v>S</v>
      </c>
      <c r="W104" s="32" t="s">
        <v>299</v>
      </c>
      <c r="X104" s="33">
        <v>9.0</v>
      </c>
      <c r="Y104" s="33" t="str">
        <f t="shared" ref="Y104:Y121" si="275">IF((X104&gt;=20),"S",IF(AND(X104&lt;20,X104&gt;=17),"I",IF(AND(X104&lt;17),"R","NA")))</f>
        <v>R</v>
      </c>
      <c r="Z104" s="33">
        <v>28.0</v>
      </c>
      <c r="AA104" s="33" t="str">
        <f t="shared" ref="AA104:AA121" si="276">IF((Z104&gt;=18),"S",IF(AND(Z104&lt;18),"R", "NA"))</f>
        <v>S</v>
      </c>
      <c r="AB104" s="33">
        <v>20.0</v>
      </c>
      <c r="AC104" s="33" t="str">
        <f t="shared" ref="AC104:AC121" si="277">IF((AB104&gt;=22),"S",IF(AND(AB104&lt;22,AB104&gt;=19),"I",IF(AND(AB104&lt;19),"R","NA")))</f>
        <v>I</v>
      </c>
      <c r="AD104" s="33">
        <v>29.0</v>
      </c>
      <c r="AE104" s="33" t="str">
        <f t="shared" ref="AE104:AE121" si="278">IF((AD104&gt;=13),"S",IF(AND(AD104&lt;13),"R", "NA"))</f>
        <v>S</v>
      </c>
      <c r="AF104" s="33">
        <v>26.0</v>
      </c>
      <c r="AG104" s="33" t="str">
        <f t="shared" ref="AG104:AG121" si="279">IF((AF104&gt;=27),"S",IF(AND(AF104&lt;27,AF104&gt;=24),"I",IF(AND(AF104&lt;24),"R","NA")))</f>
        <v>I</v>
      </c>
      <c r="AH104" s="33" t="s">
        <v>299</v>
      </c>
      <c r="AI104" s="36">
        <v>26.0</v>
      </c>
      <c r="AJ104" s="36" t="str">
        <f t="shared" ref="AJ104:AJ121" si="280">IF((AI104&gt;=25),"S",IF(AND(AI104&lt;25,AI104&gt;=22),"I",IF(AND(AI104&lt;22),"R","NA")))</f>
        <v>S</v>
      </c>
      <c r="AK104" s="36">
        <v>26.0</v>
      </c>
      <c r="AL104" s="36" t="str">
        <f t="shared" ref="AL104:AL121" si="281">IF((AK104&gt;=23),"S",IF(AND(AK104&lt;23,AK104&gt;=19),"I",IF(AND(AK104&lt;19),"R","NA")))</f>
        <v>S</v>
      </c>
      <c r="AM104" s="36">
        <v>24.0</v>
      </c>
      <c r="AN104" s="36" t="str">
        <f t="shared" ref="AN104:AN121" si="282">IF((AM104&gt;=14),"S",IF(AND(AM104&lt;14),"R","NA"))</f>
        <v>S</v>
      </c>
      <c r="AO104" s="36" t="s">
        <v>300</v>
      </c>
      <c r="AP104" s="37">
        <v>34.0</v>
      </c>
      <c r="AQ104" s="37" t="str">
        <f t="shared" ref="AQ104:AQ121" si="283">IF((AP104&gt;=14),"S",IF(AND(AP104&lt;14,AP104&gt;=11),"I",IF(AND(AP104&lt;11),"R","NA")))</f>
        <v>S</v>
      </c>
      <c r="AR104" s="33">
        <v>23.0</v>
      </c>
      <c r="AS104" s="33" t="str">
        <f t="shared" ref="AS104:AS121" si="284">IF((AR104&gt;=18),"S",IF(AND(AR104&lt;18),"R", "NA"))</f>
        <v>S</v>
      </c>
      <c r="AT104" s="33">
        <v>22.0</v>
      </c>
      <c r="AU104" s="33" t="str">
        <f t="shared" ref="AU104:AU121" si="285">IF((AT104&gt;=16),"S",IF(AND(AT104&lt;16),"R", "NA"))</f>
        <v>S</v>
      </c>
      <c r="AV104" s="33" t="s">
        <v>300</v>
      </c>
      <c r="AW104" s="26">
        <v>19.0</v>
      </c>
      <c r="AX104" s="26" t="str">
        <f t="shared" ref="AX104:AX121" si="286">IF((AW104&gt;=20),"S",IF(AND(AW104&lt;20),"R", "NA"))</f>
        <v>R</v>
      </c>
      <c r="AY104" s="37">
        <v>21.0</v>
      </c>
      <c r="AZ104" s="37" t="str">
        <f t="shared" ref="AZ104:AZ121" si="287">IF((AY104&gt;=26),"S",IF(AND(AY104&lt;26,AY104&gt;=21),"I",IF(AND(AY104&lt;21),"R","NA")))</f>
        <v>I</v>
      </c>
      <c r="BA104" s="36">
        <v>33.0</v>
      </c>
      <c r="BB104" s="36" t="str">
        <f t="shared" ref="BB104:BB121" si="288">IF((BA104&gt;=23),"S",IF(AND(BA104&lt;23),"R","NA"))</f>
        <v>S</v>
      </c>
      <c r="BC104" s="39" t="s">
        <v>357</v>
      </c>
      <c r="BD104" s="39" t="s">
        <v>357</v>
      </c>
      <c r="BE104" s="36">
        <v>32.0</v>
      </c>
      <c r="BF104" s="36" t="str">
        <f t="shared" ref="BF104:BF121" si="289">IF((BE104&gt;=22),"S",IF(AND(BE104&lt;22,BE104&gt;=19),"I",IF(AND(BE104&lt;19),"R","NA")))</f>
        <v>S</v>
      </c>
      <c r="BG104" s="40">
        <v>22.0</v>
      </c>
      <c r="BH104" s="41" t="str">
        <f t="shared" ref="BH104:BH121" si="290">IF((BG104&gt;=17),"S",IF(AND(BG104&lt;17),"R", "NA"))</f>
        <v>S</v>
      </c>
      <c r="BI104" s="41"/>
    </row>
    <row r="105">
      <c r="A105" s="21" t="s">
        <v>715</v>
      </c>
      <c r="B105" s="21" t="s">
        <v>444</v>
      </c>
      <c r="C105" s="21" t="s">
        <v>1157</v>
      </c>
      <c r="D105" s="18" t="s">
        <v>182</v>
      </c>
      <c r="E105" s="18" t="s">
        <v>103</v>
      </c>
      <c r="F105" s="18" t="s">
        <v>192</v>
      </c>
      <c r="G105" s="20" t="s">
        <v>1271</v>
      </c>
      <c r="H105" s="42" t="s">
        <v>479</v>
      </c>
      <c r="I105" s="26">
        <v>6.0</v>
      </c>
      <c r="J105" s="26" t="str">
        <f t="shared" si="269"/>
        <v>R</v>
      </c>
      <c r="K105" s="26">
        <v>24.0</v>
      </c>
      <c r="L105" s="26" t="str">
        <f t="shared" si="270"/>
        <v>S</v>
      </c>
      <c r="M105" s="26">
        <v>6.0</v>
      </c>
      <c r="N105" s="26" t="str">
        <f t="shared" si="271"/>
        <v>R</v>
      </c>
      <c r="O105" s="32" t="s">
        <v>357</v>
      </c>
      <c r="P105" s="32" t="s">
        <v>357</v>
      </c>
      <c r="Q105" s="26">
        <v>14.0</v>
      </c>
      <c r="R105" s="26" t="str">
        <f t="shared" si="272"/>
        <v>R</v>
      </c>
      <c r="S105" s="26">
        <v>28.0</v>
      </c>
      <c r="T105" s="26" t="str">
        <f t="shared" si="273"/>
        <v>S</v>
      </c>
      <c r="U105" s="26">
        <v>29.0</v>
      </c>
      <c r="V105" s="26" t="str">
        <f t="shared" si="274"/>
        <v>S</v>
      </c>
      <c r="W105" s="32" t="s">
        <v>299</v>
      </c>
      <c r="X105" s="33">
        <v>6.0</v>
      </c>
      <c r="Y105" s="33" t="str">
        <f t="shared" si="275"/>
        <v>R</v>
      </c>
      <c r="Z105" s="33">
        <v>29.0</v>
      </c>
      <c r="AA105" s="33" t="str">
        <f t="shared" si="276"/>
        <v>S</v>
      </c>
      <c r="AB105" s="33">
        <v>24.0</v>
      </c>
      <c r="AC105" s="33" t="str">
        <f t="shared" si="277"/>
        <v>S</v>
      </c>
      <c r="AD105" s="33">
        <v>29.0</v>
      </c>
      <c r="AE105" s="33" t="str">
        <f t="shared" si="278"/>
        <v>S</v>
      </c>
      <c r="AF105" s="33">
        <v>26.0</v>
      </c>
      <c r="AG105" s="33" t="str">
        <f t="shared" si="279"/>
        <v>I</v>
      </c>
      <c r="AH105" s="33" t="s">
        <v>299</v>
      </c>
      <c r="AI105" s="36">
        <v>23.0</v>
      </c>
      <c r="AJ105" s="36" t="str">
        <f t="shared" si="280"/>
        <v>I</v>
      </c>
      <c r="AK105" s="36">
        <v>23.0</v>
      </c>
      <c r="AL105" s="36" t="str">
        <f t="shared" si="281"/>
        <v>S</v>
      </c>
      <c r="AM105" s="36">
        <v>24.0</v>
      </c>
      <c r="AN105" s="36" t="str">
        <f t="shared" si="282"/>
        <v>S</v>
      </c>
      <c r="AO105" s="36" t="s">
        <v>300</v>
      </c>
      <c r="AP105" s="37">
        <v>6.0</v>
      </c>
      <c r="AQ105" s="37" t="str">
        <f t="shared" si="283"/>
        <v>R</v>
      </c>
      <c r="AR105" s="33">
        <v>23.0</v>
      </c>
      <c r="AS105" s="33" t="str">
        <f t="shared" si="284"/>
        <v>S</v>
      </c>
      <c r="AT105" s="33">
        <v>23.0</v>
      </c>
      <c r="AU105" s="33" t="str">
        <f t="shared" si="285"/>
        <v>S</v>
      </c>
      <c r="AV105" s="33" t="s">
        <v>300</v>
      </c>
      <c r="AW105" s="26">
        <v>18.0</v>
      </c>
      <c r="AX105" s="26" t="str">
        <f t="shared" si="286"/>
        <v>R</v>
      </c>
      <c r="AY105" s="37">
        <v>23.0</v>
      </c>
      <c r="AZ105" s="37" t="str">
        <f t="shared" si="287"/>
        <v>I</v>
      </c>
      <c r="BA105" s="36">
        <v>32.0</v>
      </c>
      <c r="BB105" s="36" t="str">
        <f t="shared" si="288"/>
        <v>S</v>
      </c>
      <c r="BC105" s="39" t="s">
        <v>357</v>
      </c>
      <c r="BD105" s="39" t="s">
        <v>357</v>
      </c>
      <c r="BE105" s="36">
        <v>33.0</v>
      </c>
      <c r="BF105" s="36" t="str">
        <f t="shared" si="289"/>
        <v>S</v>
      </c>
      <c r="BG105" s="40">
        <v>23.0</v>
      </c>
      <c r="BH105" s="41" t="str">
        <f t="shared" si="290"/>
        <v>S</v>
      </c>
      <c r="BI105" s="41"/>
    </row>
    <row r="106">
      <c r="A106" s="51" t="s">
        <v>725</v>
      </c>
      <c r="B106" s="53">
        <v>73.0</v>
      </c>
      <c r="C106" s="51" t="s">
        <v>1167</v>
      </c>
      <c r="D106" s="18" t="s">
        <v>190</v>
      </c>
      <c r="E106" s="18" t="s">
        <v>190</v>
      </c>
      <c r="F106" s="18" t="s">
        <v>192</v>
      </c>
      <c r="G106" s="20" t="s">
        <v>1272</v>
      </c>
      <c r="H106" s="22" t="s">
        <v>198</v>
      </c>
      <c r="I106" s="26">
        <v>6.0</v>
      </c>
      <c r="J106" s="26" t="str">
        <f t="shared" si="269"/>
        <v>R</v>
      </c>
      <c r="K106" s="26">
        <v>26.0</v>
      </c>
      <c r="L106" s="26" t="str">
        <f t="shared" si="270"/>
        <v>S</v>
      </c>
      <c r="M106" s="26">
        <v>6.0</v>
      </c>
      <c r="N106" s="26" t="str">
        <f t="shared" si="271"/>
        <v>R</v>
      </c>
      <c r="O106" s="32" t="s">
        <v>357</v>
      </c>
      <c r="P106" s="32" t="s">
        <v>357</v>
      </c>
      <c r="Q106" s="26">
        <v>13.0</v>
      </c>
      <c r="R106" s="26" t="str">
        <f t="shared" si="272"/>
        <v>R</v>
      </c>
      <c r="S106" s="26">
        <v>28.0</v>
      </c>
      <c r="T106" s="26" t="str">
        <f t="shared" si="273"/>
        <v>S</v>
      </c>
      <c r="U106" s="26">
        <v>25.0</v>
      </c>
      <c r="V106" s="26" t="str">
        <f t="shared" si="274"/>
        <v>S</v>
      </c>
      <c r="W106" s="32" t="s">
        <v>299</v>
      </c>
      <c r="X106" s="33">
        <v>6.0</v>
      </c>
      <c r="Y106" s="33" t="str">
        <f t="shared" si="275"/>
        <v>R</v>
      </c>
      <c r="Z106" s="33">
        <v>27.0</v>
      </c>
      <c r="AA106" s="33" t="str">
        <f t="shared" si="276"/>
        <v>S</v>
      </c>
      <c r="AB106" s="33">
        <v>21.0</v>
      </c>
      <c r="AC106" s="33" t="str">
        <f t="shared" si="277"/>
        <v>I</v>
      </c>
      <c r="AD106" s="33">
        <v>27.0</v>
      </c>
      <c r="AE106" s="33" t="str">
        <f t="shared" si="278"/>
        <v>S</v>
      </c>
      <c r="AF106" s="33">
        <v>24.0</v>
      </c>
      <c r="AG106" s="33" t="str">
        <f t="shared" si="279"/>
        <v>I</v>
      </c>
      <c r="AH106" s="33" t="s">
        <v>299</v>
      </c>
      <c r="AI106" s="36">
        <v>30.0</v>
      </c>
      <c r="AJ106" s="36" t="str">
        <f t="shared" si="280"/>
        <v>S</v>
      </c>
      <c r="AK106" s="36">
        <v>26.0</v>
      </c>
      <c r="AL106" s="36" t="str">
        <f t="shared" si="281"/>
        <v>S</v>
      </c>
      <c r="AM106" s="36">
        <v>26.0</v>
      </c>
      <c r="AN106" s="36" t="str">
        <f t="shared" si="282"/>
        <v>S</v>
      </c>
      <c r="AO106" s="36" t="s">
        <v>300</v>
      </c>
      <c r="AP106" s="37">
        <v>6.0</v>
      </c>
      <c r="AQ106" s="37" t="str">
        <f t="shared" si="283"/>
        <v>R</v>
      </c>
      <c r="AR106" s="33">
        <v>21.0</v>
      </c>
      <c r="AS106" s="33" t="str">
        <f t="shared" si="284"/>
        <v>S</v>
      </c>
      <c r="AT106" s="33">
        <v>21.0</v>
      </c>
      <c r="AU106" s="33" t="str">
        <f t="shared" si="285"/>
        <v>S</v>
      </c>
      <c r="AV106" s="33" t="s">
        <v>300</v>
      </c>
      <c r="AW106" s="26">
        <v>20.0</v>
      </c>
      <c r="AX106" s="26" t="str">
        <f t="shared" si="286"/>
        <v>S</v>
      </c>
      <c r="AY106" s="37">
        <v>18.0</v>
      </c>
      <c r="AZ106" s="37" t="str">
        <f t="shared" si="287"/>
        <v>R</v>
      </c>
      <c r="BA106" s="36">
        <v>33.0</v>
      </c>
      <c r="BB106" s="36" t="str">
        <f t="shared" si="288"/>
        <v>S</v>
      </c>
      <c r="BC106" s="39" t="s">
        <v>357</v>
      </c>
      <c r="BD106" s="39" t="s">
        <v>357</v>
      </c>
      <c r="BE106" s="36">
        <v>34.0</v>
      </c>
      <c r="BF106" s="36" t="str">
        <f t="shared" si="289"/>
        <v>S</v>
      </c>
      <c r="BG106" s="40">
        <v>21.0</v>
      </c>
      <c r="BH106" s="41" t="str">
        <f t="shared" si="290"/>
        <v>S</v>
      </c>
      <c r="BI106" s="41"/>
    </row>
    <row r="107">
      <c r="A107" s="51" t="s">
        <v>725</v>
      </c>
      <c r="B107" s="51" t="s">
        <v>444</v>
      </c>
      <c r="C107" s="51" t="s">
        <v>695</v>
      </c>
      <c r="D107" s="18" t="s">
        <v>190</v>
      </c>
      <c r="E107" s="18" t="s">
        <v>190</v>
      </c>
      <c r="F107" s="18" t="s">
        <v>192</v>
      </c>
      <c r="G107" s="20" t="s">
        <v>1273</v>
      </c>
      <c r="H107" s="22" t="s">
        <v>198</v>
      </c>
      <c r="I107" s="26">
        <v>6.0</v>
      </c>
      <c r="J107" s="26" t="str">
        <f t="shared" si="269"/>
        <v>R</v>
      </c>
      <c r="K107" s="26">
        <v>25.0</v>
      </c>
      <c r="L107" s="26" t="str">
        <f t="shared" si="270"/>
        <v>S</v>
      </c>
      <c r="M107" s="26">
        <v>6.0</v>
      </c>
      <c r="N107" s="26" t="str">
        <f t="shared" si="271"/>
        <v>R</v>
      </c>
      <c r="O107" s="32" t="s">
        <v>357</v>
      </c>
      <c r="P107" s="32" t="s">
        <v>357</v>
      </c>
      <c r="Q107" s="26">
        <v>12.0</v>
      </c>
      <c r="R107" s="26" t="str">
        <f t="shared" si="272"/>
        <v>R</v>
      </c>
      <c r="S107" s="26">
        <v>29.0</v>
      </c>
      <c r="T107" s="26" t="str">
        <f t="shared" si="273"/>
        <v>S</v>
      </c>
      <c r="U107" s="26">
        <v>24.0</v>
      </c>
      <c r="V107" s="26" t="str">
        <f t="shared" si="274"/>
        <v>S</v>
      </c>
      <c r="W107" s="32" t="s">
        <v>299</v>
      </c>
      <c r="X107" s="33">
        <v>6.0</v>
      </c>
      <c r="Y107" s="33" t="str">
        <f t="shared" si="275"/>
        <v>R</v>
      </c>
      <c r="Z107" s="33">
        <v>28.0</v>
      </c>
      <c r="AA107" s="33" t="str">
        <f t="shared" si="276"/>
        <v>S</v>
      </c>
      <c r="AB107" s="33">
        <v>20.0</v>
      </c>
      <c r="AC107" s="33" t="str">
        <f t="shared" si="277"/>
        <v>I</v>
      </c>
      <c r="AD107" s="33">
        <v>28.0</v>
      </c>
      <c r="AE107" s="33" t="str">
        <f t="shared" si="278"/>
        <v>S</v>
      </c>
      <c r="AF107" s="33">
        <v>22.0</v>
      </c>
      <c r="AG107" s="33" t="str">
        <f t="shared" si="279"/>
        <v>R</v>
      </c>
      <c r="AH107" s="33" t="s">
        <v>299</v>
      </c>
      <c r="AI107" s="36">
        <v>30.0</v>
      </c>
      <c r="AJ107" s="36" t="str">
        <f t="shared" si="280"/>
        <v>S</v>
      </c>
      <c r="AK107" s="36">
        <v>27.0</v>
      </c>
      <c r="AL107" s="36" t="str">
        <f t="shared" si="281"/>
        <v>S</v>
      </c>
      <c r="AM107" s="36">
        <v>26.0</v>
      </c>
      <c r="AN107" s="36" t="str">
        <f t="shared" si="282"/>
        <v>S</v>
      </c>
      <c r="AO107" s="36" t="s">
        <v>300</v>
      </c>
      <c r="AP107" s="37">
        <v>34.0</v>
      </c>
      <c r="AQ107" s="37" t="str">
        <f t="shared" si="283"/>
        <v>S</v>
      </c>
      <c r="AR107" s="33">
        <v>23.0</v>
      </c>
      <c r="AS107" s="33" t="str">
        <f t="shared" si="284"/>
        <v>S</v>
      </c>
      <c r="AT107" s="33">
        <v>21.0</v>
      </c>
      <c r="AU107" s="33" t="str">
        <f t="shared" si="285"/>
        <v>S</v>
      </c>
      <c r="AV107" s="33" t="s">
        <v>300</v>
      </c>
      <c r="AW107" s="26">
        <v>19.0</v>
      </c>
      <c r="AX107" s="26" t="str">
        <f t="shared" si="286"/>
        <v>R</v>
      </c>
      <c r="AY107" s="37">
        <v>19.0</v>
      </c>
      <c r="AZ107" s="37" t="str">
        <f t="shared" si="287"/>
        <v>R</v>
      </c>
      <c r="BA107" s="36">
        <v>34.0</v>
      </c>
      <c r="BB107" s="36" t="str">
        <f t="shared" si="288"/>
        <v>S</v>
      </c>
      <c r="BC107" s="39" t="s">
        <v>357</v>
      </c>
      <c r="BD107" s="39" t="s">
        <v>357</v>
      </c>
      <c r="BE107" s="36">
        <v>33.0</v>
      </c>
      <c r="BF107" s="36" t="str">
        <f t="shared" si="289"/>
        <v>S</v>
      </c>
      <c r="BG107" s="40">
        <v>22.0</v>
      </c>
      <c r="BH107" s="41" t="str">
        <f t="shared" si="290"/>
        <v>S</v>
      </c>
      <c r="BI107" s="41"/>
    </row>
    <row r="108">
      <c r="A108" s="51" t="s">
        <v>725</v>
      </c>
      <c r="B108" s="51" t="s">
        <v>444</v>
      </c>
      <c r="C108" s="51" t="s">
        <v>1178</v>
      </c>
      <c r="D108" s="18" t="s">
        <v>190</v>
      </c>
      <c r="E108" s="18" t="s">
        <v>190</v>
      </c>
      <c r="F108" s="18" t="s">
        <v>192</v>
      </c>
      <c r="G108" s="20" t="s">
        <v>1274</v>
      </c>
      <c r="H108" s="22" t="s">
        <v>198</v>
      </c>
      <c r="I108" s="26">
        <v>23.0</v>
      </c>
      <c r="J108" s="26" t="str">
        <f t="shared" si="269"/>
        <v>S</v>
      </c>
      <c r="K108" s="26">
        <v>24.0</v>
      </c>
      <c r="L108" s="26" t="str">
        <f t="shared" si="270"/>
        <v>S</v>
      </c>
      <c r="M108" s="26">
        <v>29.0</v>
      </c>
      <c r="N108" s="26" t="str">
        <f t="shared" si="271"/>
        <v>S</v>
      </c>
      <c r="O108" s="32" t="s">
        <v>357</v>
      </c>
      <c r="P108" s="32" t="s">
        <v>357</v>
      </c>
      <c r="Q108" s="26">
        <v>29.0</v>
      </c>
      <c r="R108" s="26" t="str">
        <f t="shared" si="272"/>
        <v>S</v>
      </c>
      <c r="S108" s="26">
        <v>28.0</v>
      </c>
      <c r="T108" s="26" t="str">
        <f t="shared" si="273"/>
        <v>S</v>
      </c>
      <c r="U108" s="26">
        <v>26.0</v>
      </c>
      <c r="V108" s="26" t="str">
        <f t="shared" si="274"/>
        <v>S</v>
      </c>
      <c r="W108" s="32" t="s">
        <v>300</v>
      </c>
      <c r="X108" s="33">
        <v>29.0</v>
      </c>
      <c r="Y108" s="33" t="str">
        <f t="shared" si="275"/>
        <v>S</v>
      </c>
      <c r="Z108" s="33">
        <v>28.0</v>
      </c>
      <c r="AA108" s="33" t="str">
        <f t="shared" si="276"/>
        <v>S</v>
      </c>
      <c r="AB108" s="33">
        <v>31.0</v>
      </c>
      <c r="AC108" s="33" t="str">
        <f t="shared" si="277"/>
        <v>S</v>
      </c>
      <c r="AD108" s="33">
        <v>29.0</v>
      </c>
      <c r="AE108" s="33" t="str">
        <f t="shared" si="278"/>
        <v>S</v>
      </c>
      <c r="AF108" s="33">
        <v>37.0</v>
      </c>
      <c r="AG108" s="33" t="str">
        <f t="shared" si="279"/>
        <v>S</v>
      </c>
      <c r="AH108" s="33" t="s">
        <v>300</v>
      </c>
      <c r="AI108" s="36">
        <v>35.0</v>
      </c>
      <c r="AJ108" s="36" t="str">
        <f t="shared" si="280"/>
        <v>S</v>
      </c>
      <c r="AK108" s="36">
        <v>36.0</v>
      </c>
      <c r="AL108" s="36" t="str">
        <f t="shared" si="281"/>
        <v>S</v>
      </c>
      <c r="AM108" s="36">
        <v>28.0</v>
      </c>
      <c r="AN108" s="36" t="str">
        <f t="shared" si="282"/>
        <v>S</v>
      </c>
      <c r="AO108" s="36" t="s">
        <v>300</v>
      </c>
      <c r="AP108" s="37">
        <v>34.0</v>
      </c>
      <c r="AQ108" s="37" t="str">
        <f t="shared" si="283"/>
        <v>S</v>
      </c>
      <c r="AR108" s="33">
        <v>21.0</v>
      </c>
      <c r="AS108" s="33" t="str">
        <f t="shared" si="284"/>
        <v>S</v>
      </c>
      <c r="AT108" s="33">
        <v>21.0</v>
      </c>
      <c r="AU108" s="33" t="str">
        <f t="shared" si="285"/>
        <v>S</v>
      </c>
      <c r="AV108" s="33" t="s">
        <v>300</v>
      </c>
      <c r="AW108" s="26">
        <v>19.0</v>
      </c>
      <c r="AX108" s="26" t="str">
        <f t="shared" si="286"/>
        <v>R</v>
      </c>
      <c r="AY108" s="37">
        <v>34.0</v>
      </c>
      <c r="AZ108" s="37" t="str">
        <f t="shared" si="287"/>
        <v>S</v>
      </c>
      <c r="BA108" s="36">
        <v>34.0</v>
      </c>
      <c r="BB108" s="36" t="str">
        <f t="shared" si="288"/>
        <v>S</v>
      </c>
      <c r="BC108" s="39" t="s">
        <v>357</v>
      </c>
      <c r="BD108" s="39" t="s">
        <v>357</v>
      </c>
      <c r="BE108" s="36">
        <v>31.0</v>
      </c>
      <c r="BF108" s="36" t="str">
        <f t="shared" si="289"/>
        <v>S</v>
      </c>
      <c r="BG108" s="40">
        <v>21.0</v>
      </c>
      <c r="BH108" s="41" t="str">
        <f t="shared" si="290"/>
        <v>S</v>
      </c>
      <c r="BI108" s="41"/>
    </row>
    <row r="109">
      <c r="A109" s="51" t="s">
        <v>725</v>
      </c>
      <c r="B109" s="51" t="s">
        <v>444</v>
      </c>
      <c r="C109" s="51" t="s">
        <v>1275</v>
      </c>
      <c r="D109" s="18" t="s">
        <v>190</v>
      </c>
      <c r="E109" s="18" t="s">
        <v>190</v>
      </c>
      <c r="F109" s="18" t="s">
        <v>192</v>
      </c>
      <c r="G109" s="20" t="s">
        <v>1276</v>
      </c>
      <c r="H109" s="42" t="s">
        <v>479</v>
      </c>
      <c r="I109" s="26">
        <v>14.0</v>
      </c>
      <c r="J109" s="26" t="str">
        <f t="shared" si="269"/>
        <v>R</v>
      </c>
      <c r="K109" s="26">
        <v>28.0</v>
      </c>
      <c r="L109" s="26" t="str">
        <f t="shared" si="270"/>
        <v>S</v>
      </c>
      <c r="M109" s="26">
        <v>14.0</v>
      </c>
      <c r="N109" s="26" t="str">
        <f t="shared" si="271"/>
        <v>R</v>
      </c>
      <c r="O109" s="32" t="s">
        <v>357</v>
      </c>
      <c r="P109" s="32" t="s">
        <v>357</v>
      </c>
      <c r="Q109" s="26">
        <v>25.0</v>
      </c>
      <c r="R109" s="26" t="str">
        <f t="shared" si="272"/>
        <v>S</v>
      </c>
      <c r="S109" s="26">
        <v>26.0</v>
      </c>
      <c r="T109" s="26" t="str">
        <f t="shared" si="273"/>
        <v>S</v>
      </c>
      <c r="U109" s="26">
        <v>29.0</v>
      </c>
      <c r="V109" s="26" t="str">
        <f t="shared" si="274"/>
        <v>S</v>
      </c>
      <c r="W109" s="32" t="s">
        <v>299</v>
      </c>
      <c r="X109" s="33">
        <v>31.0</v>
      </c>
      <c r="Y109" s="33" t="str">
        <f t="shared" si="275"/>
        <v>S</v>
      </c>
      <c r="Z109" s="33">
        <v>28.0</v>
      </c>
      <c r="AA109" s="33" t="str">
        <f t="shared" si="276"/>
        <v>S</v>
      </c>
      <c r="AB109" s="33">
        <v>32.0</v>
      </c>
      <c r="AC109" s="33" t="str">
        <f t="shared" si="277"/>
        <v>S</v>
      </c>
      <c r="AD109" s="33">
        <v>28.0</v>
      </c>
      <c r="AE109" s="33" t="str">
        <f t="shared" si="278"/>
        <v>S</v>
      </c>
      <c r="AF109" s="33">
        <v>38.0</v>
      </c>
      <c r="AG109" s="33" t="str">
        <f t="shared" si="279"/>
        <v>S</v>
      </c>
      <c r="AH109" s="33" t="s">
        <v>300</v>
      </c>
      <c r="AI109" s="36">
        <v>32.0</v>
      </c>
      <c r="AJ109" s="36" t="str">
        <f t="shared" si="280"/>
        <v>S</v>
      </c>
      <c r="AK109" s="36">
        <v>30.0</v>
      </c>
      <c r="AL109" s="36" t="str">
        <f t="shared" si="281"/>
        <v>S</v>
      </c>
      <c r="AM109" s="36">
        <v>25.0</v>
      </c>
      <c r="AN109" s="36" t="str">
        <f t="shared" si="282"/>
        <v>S</v>
      </c>
      <c r="AO109" s="36" t="s">
        <v>300</v>
      </c>
      <c r="AP109" s="37">
        <v>30.0</v>
      </c>
      <c r="AQ109" s="37" t="str">
        <f t="shared" si="283"/>
        <v>S</v>
      </c>
      <c r="AR109" s="33">
        <v>22.0</v>
      </c>
      <c r="AS109" s="33" t="str">
        <f t="shared" si="284"/>
        <v>S</v>
      </c>
      <c r="AT109" s="33">
        <v>22.0</v>
      </c>
      <c r="AU109" s="33" t="str">
        <f t="shared" si="285"/>
        <v>S</v>
      </c>
      <c r="AV109" s="33" t="s">
        <v>300</v>
      </c>
      <c r="AW109" s="26">
        <v>17.0</v>
      </c>
      <c r="AX109" s="26" t="str">
        <f t="shared" si="286"/>
        <v>R</v>
      </c>
      <c r="AY109" s="37">
        <v>37.0</v>
      </c>
      <c r="AZ109" s="37" t="str">
        <f t="shared" si="287"/>
        <v>S</v>
      </c>
      <c r="BA109" s="36">
        <v>33.0</v>
      </c>
      <c r="BB109" s="36" t="str">
        <f t="shared" si="288"/>
        <v>S</v>
      </c>
      <c r="BC109" s="39" t="s">
        <v>357</v>
      </c>
      <c r="BD109" s="39" t="s">
        <v>357</v>
      </c>
      <c r="BE109" s="36">
        <v>30.0</v>
      </c>
      <c r="BF109" s="36" t="str">
        <f t="shared" si="289"/>
        <v>S</v>
      </c>
      <c r="BG109" s="40">
        <v>22.0</v>
      </c>
      <c r="BH109" s="41" t="str">
        <f t="shared" si="290"/>
        <v>S</v>
      </c>
      <c r="BI109" s="41"/>
    </row>
    <row r="110">
      <c r="A110" s="51" t="s">
        <v>725</v>
      </c>
      <c r="B110" s="53">
        <v>74.0</v>
      </c>
      <c r="C110" s="51" t="s">
        <v>1277</v>
      </c>
      <c r="D110" s="18" t="s">
        <v>571</v>
      </c>
      <c r="E110" s="18" t="s">
        <v>572</v>
      </c>
      <c r="F110" s="18" t="s">
        <v>192</v>
      </c>
      <c r="G110" s="20" t="s">
        <v>1278</v>
      </c>
      <c r="H110" s="59" t="s">
        <v>1126</v>
      </c>
      <c r="I110" s="26">
        <v>6.0</v>
      </c>
      <c r="J110" s="26" t="str">
        <f t="shared" si="269"/>
        <v>R</v>
      </c>
      <c r="K110" s="26">
        <v>9.0</v>
      </c>
      <c r="L110" s="26" t="str">
        <f t="shared" si="270"/>
        <v>R</v>
      </c>
      <c r="M110" s="26">
        <v>15.0</v>
      </c>
      <c r="N110" s="26" t="str">
        <f t="shared" si="271"/>
        <v>R</v>
      </c>
      <c r="O110" s="32" t="s">
        <v>357</v>
      </c>
      <c r="P110" s="32" t="s">
        <v>357</v>
      </c>
      <c r="Q110" s="26">
        <v>33.0</v>
      </c>
      <c r="R110" s="26" t="str">
        <f t="shared" si="272"/>
        <v>S</v>
      </c>
      <c r="S110" s="26">
        <v>30.0</v>
      </c>
      <c r="T110" s="26" t="str">
        <f t="shared" si="273"/>
        <v>S</v>
      </c>
      <c r="U110" s="26">
        <v>30.0</v>
      </c>
      <c r="V110" s="26" t="str">
        <f t="shared" si="274"/>
        <v>S</v>
      </c>
      <c r="W110" s="32" t="s">
        <v>299</v>
      </c>
      <c r="X110" s="33">
        <v>30.0</v>
      </c>
      <c r="Y110" s="33" t="str">
        <f t="shared" si="275"/>
        <v>S</v>
      </c>
      <c r="Z110" s="33">
        <v>6.0</v>
      </c>
      <c r="AA110" s="33" t="str">
        <f t="shared" si="276"/>
        <v>R</v>
      </c>
      <c r="AB110" s="33">
        <v>31.0</v>
      </c>
      <c r="AC110" s="33" t="str">
        <f t="shared" si="277"/>
        <v>S</v>
      </c>
      <c r="AD110" s="33">
        <v>28.0</v>
      </c>
      <c r="AE110" s="33" t="str">
        <f t="shared" si="278"/>
        <v>S</v>
      </c>
      <c r="AF110" s="33">
        <v>39.0</v>
      </c>
      <c r="AG110" s="33" t="str">
        <f t="shared" si="279"/>
        <v>S</v>
      </c>
      <c r="AH110" s="33" t="s">
        <v>299</v>
      </c>
      <c r="AI110" s="36">
        <v>39.0</v>
      </c>
      <c r="AJ110" s="36" t="str">
        <f t="shared" si="280"/>
        <v>S</v>
      </c>
      <c r="AK110" s="36">
        <v>30.0</v>
      </c>
      <c r="AL110" s="36" t="str">
        <f t="shared" si="281"/>
        <v>S</v>
      </c>
      <c r="AM110" s="36">
        <v>29.0</v>
      </c>
      <c r="AN110" s="36" t="str">
        <f t="shared" si="282"/>
        <v>S</v>
      </c>
      <c r="AO110" s="36" t="s">
        <v>300</v>
      </c>
      <c r="AP110" s="37">
        <v>32.0</v>
      </c>
      <c r="AQ110" s="37" t="str">
        <f t="shared" si="283"/>
        <v>S</v>
      </c>
      <c r="AR110" s="33">
        <v>24.0</v>
      </c>
      <c r="AS110" s="33" t="str">
        <f t="shared" si="284"/>
        <v>S</v>
      </c>
      <c r="AT110" s="33">
        <v>21.0</v>
      </c>
      <c r="AU110" s="33" t="str">
        <f t="shared" si="285"/>
        <v>S</v>
      </c>
      <c r="AV110" s="33" t="s">
        <v>300</v>
      </c>
      <c r="AW110" s="26">
        <v>19.0</v>
      </c>
      <c r="AX110" s="26" t="str">
        <f t="shared" si="286"/>
        <v>R</v>
      </c>
      <c r="AY110" s="37">
        <v>33.0</v>
      </c>
      <c r="AZ110" s="37" t="str">
        <f t="shared" si="287"/>
        <v>S</v>
      </c>
      <c r="BA110" s="36">
        <v>25.0</v>
      </c>
      <c r="BB110" s="36" t="str">
        <f t="shared" si="288"/>
        <v>S</v>
      </c>
      <c r="BC110" s="39" t="s">
        <v>357</v>
      </c>
      <c r="BD110" s="39" t="s">
        <v>357</v>
      </c>
      <c r="BE110" s="36">
        <v>20.0</v>
      </c>
      <c r="BF110" s="36" t="str">
        <f t="shared" si="289"/>
        <v>I</v>
      </c>
      <c r="BG110" s="40">
        <v>23.0</v>
      </c>
      <c r="BH110" s="41" t="str">
        <f t="shared" si="290"/>
        <v>S</v>
      </c>
      <c r="BI110" s="41"/>
    </row>
    <row r="111">
      <c r="A111" s="51" t="s">
        <v>725</v>
      </c>
      <c r="B111" s="51" t="s">
        <v>444</v>
      </c>
      <c r="C111" s="51" t="s">
        <v>1279</v>
      </c>
      <c r="D111" s="18" t="s">
        <v>571</v>
      </c>
      <c r="E111" s="18" t="s">
        <v>572</v>
      </c>
      <c r="F111" s="18" t="s">
        <v>192</v>
      </c>
      <c r="G111" s="20" t="s">
        <v>1280</v>
      </c>
      <c r="H111" s="59" t="s">
        <v>1126</v>
      </c>
      <c r="I111" s="26">
        <v>6.0</v>
      </c>
      <c r="J111" s="26" t="str">
        <f t="shared" si="269"/>
        <v>R</v>
      </c>
      <c r="K111" s="26">
        <v>10.0</v>
      </c>
      <c r="L111" s="26" t="str">
        <f t="shared" si="270"/>
        <v>R</v>
      </c>
      <c r="M111" s="26">
        <v>6.0</v>
      </c>
      <c r="N111" s="26" t="str">
        <f t="shared" si="271"/>
        <v>R</v>
      </c>
      <c r="O111" s="32" t="s">
        <v>357</v>
      </c>
      <c r="P111" s="32" t="s">
        <v>357</v>
      </c>
      <c r="Q111" s="26">
        <v>17.0</v>
      </c>
      <c r="R111" s="26" t="str">
        <f t="shared" si="272"/>
        <v>R</v>
      </c>
      <c r="S111" s="26">
        <v>21.0</v>
      </c>
      <c r="T111" s="26" t="str">
        <f t="shared" si="273"/>
        <v>S</v>
      </c>
      <c r="U111" s="26">
        <v>23.0</v>
      </c>
      <c r="V111" s="26" t="str">
        <f t="shared" si="274"/>
        <v>S</v>
      </c>
      <c r="W111" s="32" t="s">
        <v>299</v>
      </c>
      <c r="X111" s="33">
        <v>10.0</v>
      </c>
      <c r="Y111" s="33" t="str">
        <f t="shared" si="275"/>
        <v>R</v>
      </c>
      <c r="Z111" s="33">
        <v>6.0</v>
      </c>
      <c r="AA111" s="33" t="str">
        <f t="shared" si="276"/>
        <v>R</v>
      </c>
      <c r="AB111" s="33">
        <v>15.0</v>
      </c>
      <c r="AC111" s="33" t="str">
        <f t="shared" si="277"/>
        <v>R</v>
      </c>
      <c r="AD111" s="33">
        <v>24.0</v>
      </c>
      <c r="AE111" s="33" t="str">
        <f t="shared" si="278"/>
        <v>S</v>
      </c>
      <c r="AF111" s="33">
        <v>35.0</v>
      </c>
      <c r="AG111" s="33" t="str">
        <f t="shared" si="279"/>
        <v>S</v>
      </c>
      <c r="AH111" s="33" t="s">
        <v>299</v>
      </c>
      <c r="AI111" s="36">
        <v>40.0</v>
      </c>
      <c r="AJ111" s="36" t="str">
        <f t="shared" si="280"/>
        <v>S</v>
      </c>
      <c r="AK111" s="36">
        <v>33.0</v>
      </c>
      <c r="AL111" s="36" t="str">
        <f t="shared" si="281"/>
        <v>S</v>
      </c>
      <c r="AM111" s="36">
        <v>29.0</v>
      </c>
      <c r="AN111" s="36" t="str">
        <f t="shared" si="282"/>
        <v>S</v>
      </c>
      <c r="AO111" s="36" t="s">
        <v>300</v>
      </c>
      <c r="AP111" s="37">
        <v>33.0</v>
      </c>
      <c r="AQ111" s="37" t="str">
        <f t="shared" si="283"/>
        <v>S</v>
      </c>
      <c r="AR111" s="33">
        <v>25.0</v>
      </c>
      <c r="AS111" s="33" t="str">
        <f t="shared" si="284"/>
        <v>S</v>
      </c>
      <c r="AT111" s="33">
        <v>21.0</v>
      </c>
      <c r="AU111" s="33" t="str">
        <f t="shared" si="285"/>
        <v>S</v>
      </c>
      <c r="AV111" s="33" t="s">
        <v>300</v>
      </c>
      <c r="AW111" s="26">
        <v>17.0</v>
      </c>
      <c r="AX111" s="26" t="str">
        <f t="shared" si="286"/>
        <v>R</v>
      </c>
      <c r="AY111" s="37">
        <v>14.0</v>
      </c>
      <c r="AZ111" s="37" t="str">
        <f t="shared" si="287"/>
        <v>R</v>
      </c>
      <c r="BA111" s="36">
        <v>17.0</v>
      </c>
      <c r="BB111" s="36" t="str">
        <f t="shared" si="288"/>
        <v>R</v>
      </c>
      <c r="BC111" s="36">
        <v>1.5</v>
      </c>
      <c r="BD111" s="36" t="str">
        <f>IF((BC111&lt;=0.5),"S",IF(AND(BC111&gt;0.5),"R", "NA"))</f>
        <v>R</v>
      </c>
      <c r="BE111" s="36">
        <v>21.0</v>
      </c>
      <c r="BF111" s="36" t="str">
        <f t="shared" si="289"/>
        <v>I</v>
      </c>
      <c r="BG111" s="40">
        <v>26.0</v>
      </c>
      <c r="BH111" s="41" t="str">
        <f t="shared" si="290"/>
        <v>S</v>
      </c>
      <c r="BI111" s="41"/>
    </row>
    <row r="112">
      <c r="A112" s="51" t="s">
        <v>725</v>
      </c>
      <c r="B112" s="51" t="s">
        <v>444</v>
      </c>
      <c r="C112" s="51" t="s">
        <v>1281</v>
      </c>
      <c r="D112" s="18" t="s">
        <v>571</v>
      </c>
      <c r="E112" s="18" t="s">
        <v>572</v>
      </c>
      <c r="F112" s="18" t="s">
        <v>192</v>
      </c>
      <c r="G112" s="20" t="s">
        <v>1282</v>
      </c>
      <c r="H112" s="59" t="s">
        <v>1092</v>
      </c>
      <c r="I112" s="26">
        <v>6.0</v>
      </c>
      <c r="J112" s="26" t="str">
        <f t="shared" si="269"/>
        <v>R</v>
      </c>
      <c r="K112" s="26">
        <v>6.0</v>
      </c>
      <c r="L112" s="26" t="str">
        <f t="shared" si="270"/>
        <v>R</v>
      </c>
      <c r="M112" s="26">
        <v>17.0</v>
      </c>
      <c r="N112" s="26" t="str">
        <f t="shared" si="271"/>
        <v>R</v>
      </c>
      <c r="O112" s="32" t="s">
        <v>357</v>
      </c>
      <c r="P112" s="32" t="s">
        <v>357</v>
      </c>
      <c r="Q112" s="26">
        <v>31.0</v>
      </c>
      <c r="R112" s="26" t="str">
        <f t="shared" si="272"/>
        <v>S</v>
      </c>
      <c r="S112" s="26">
        <v>30.0</v>
      </c>
      <c r="T112" s="26" t="str">
        <f t="shared" si="273"/>
        <v>S</v>
      </c>
      <c r="U112" s="26">
        <v>28.0</v>
      </c>
      <c r="V112" s="26" t="str">
        <f t="shared" si="274"/>
        <v>S</v>
      </c>
      <c r="W112" s="32" t="s">
        <v>299</v>
      </c>
      <c r="X112" s="33">
        <v>30.0</v>
      </c>
      <c r="Y112" s="33" t="str">
        <f t="shared" si="275"/>
        <v>S</v>
      </c>
      <c r="Z112" s="33">
        <v>6.0</v>
      </c>
      <c r="AA112" s="33" t="str">
        <f t="shared" si="276"/>
        <v>R</v>
      </c>
      <c r="AB112" s="33">
        <v>30.0</v>
      </c>
      <c r="AC112" s="33" t="str">
        <f t="shared" si="277"/>
        <v>S</v>
      </c>
      <c r="AD112" s="33">
        <v>29.0</v>
      </c>
      <c r="AE112" s="33" t="str">
        <f t="shared" si="278"/>
        <v>S</v>
      </c>
      <c r="AF112" s="33">
        <v>38.0</v>
      </c>
      <c r="AG112" s="33" t="str">
        <f t="shared" si="279"/>
        <v>S</v>
      </c>
      <c r="AH112" s="33" t="s">
        <v>299</v>
      </c>
      <c r="AI112" s="36">
        <v>35.0</v>
      </c>
      <c r="AJ112" s="36" t="str">
        <f t="shared" si="280"/>
        <v>S</v>
      </c>
      <c r="AK112" s="36">
        <v>33.0</v>
      </c>
      <c r="AL112" s="36" t="str">
        <f t="shared" si="281"/>
        <v>S</v>
      </c>
      <c r="AM112" s="36">
        <v>29.0</v>
      </c>
      <c r="AN112" s="36" t="str">
        <f t="shared" si="282"/>
        <v>S</v>
      </c>
      <c r="AO112" s="36" t="s">
        <v>300</v>
      </c>
      <c r="AP112" s="37">
        <v>33.0</v>
      </c>
      <c r="AQ112" s="37" t="str">
        <f t="shared" si="283"/>
        <v>S</v>
      </c>
      <c r="AR112" s="33">
        <v>23.0</v>
      </c>
      <c r="AS112" s="33" t="str">
        <f t="shared" si="284"/>
        <v>S</v>
      </c>
      <c r="AT112" s="33">
        <v>22.0</v>
      </c>
      <c r="AU112" s="33" t="str">
        <f t="shared" si="285"/>
        <v>S</v>
      </c>
      <c r="AV112" s="33" t="s">
        <v>300</v>
      </c>
      <c r="AW112" s="26">
        <v>18.0</v>
      </c>
      <c r="AX112" s="26" t="str">
        <f t="shared" si="286"/>
        <v>R</v>
      </c>
      <c r="AY112" s="37">
        <v>30.0</v>
      </c>
      <c r="AZ112" s="37" t="str">
        <f t="shared" si="287"/>
        <v>S</v>
      </c>
      <c r="BA112" s="36">
        <v>25.0</v>
      </c>
      <c r="BB112" s="36" t="str">
        <f t="shared" si="288"/>
        <v>S</v>
      </c>
      <c r="BC112" s="39" t="s">
        <v>357</v>
      </c>
      <c r="BD112" s="39" t="s">
        <v>357</v>
      </c>
      <c r="BE112" s="36">
        <v>20.0</v>
      </c>
      <c r="BF112" s="36" t="str">
        <f t="shared" si="289"/>
        <v>I</v>
      </c>
      <c r="BG112" s="40">
        <v>23.0</v>
      </c>
      <c r="BH112" s="41" t="str">
        <f t="shared" si="290"/>
        <v>S</v>
      </c>
      <c r="BI112" s="41"/>
    </row>
    <row r="113">
      <c r="A113" s="51" t="s">
        <v>725</v>
      </c>
      <c r="B113" s="53">
        <v>75.0</v>
      </c>
      <c r="C113" s="51" t="s">
        <v>1283</v>
      </c>
      <c r="D113" s="18" t="s">
        <v>705</v>
      </c>
      <c r="E113" s="18" t="s">
        <v>572</v>
      </c>
      <c r="F113" s="18" t="s">
        <v>192</v>
      </c>
      <c r="G113" s="20" t="s">
        <v>1284</v>
      </c>
      <c r="H113" s="22" t="s">
        <v>198</v>
      </c>
      <c r="I113" s="26">
        <v>6.0</v>
      </c>
      <c r="J113" s="26" t="str">
        <f t="shared" si="269"/>
        <v>R</v>
      </c>
      <c r="K113" s="26">
        <v>22.0</v>
      </c>
      <c r="L113" s="26" t="str">
        <f t="shared" si="270"/>
        <v>S</v>
      </c>
      <c r="M113" s="26">
        <v>6.0</v>
      </c>
      <c r="N113" s="26" t="str">
        <f t="shared" si="271"/>
        <v>R</v>
      </c>
      <c r="O113" s="32" t="s">
        <v>357</v>
      </c>
      <c r="P113" s="32" t="s">
        <v>357</v>
      </c>
      <c r="Q113" s="26">
        <v>12.0</v>
      </c>
      <c r="R113" s="26" t="str">
        <f t="shared" si="272"/>
        <v>R</v>
      </c>
      <c r="S113" s="26">
        <v>26.0</v>
      </c>
      <c r="T113" s="26" t="str">
        <f t="shared" si="273"/>
        <v>S</v>
      </c>
      <c r="U113" s="26">
        <v>23.0</v>
      </c>
      <c r="V113" s="26" t="str">
        <f t="shared" si="274"/>
        <v>S</v>
      </c>
      <c r="W113" s="32" t="s">
        <v>299</v>
      </c>
      <c r="X113" s="33">
        <v>6.0</v>
      </c>
      <c r="Y113" s="33" t="str">
        <f t="shared" si="275"/>
        <v>R</v>
      </c>
      <c r="Z113" s="33">
        <v>27.0</v>
      </c>
      <c r="AA113" s="33" t="str">
        <f t="shared" si="276"/>
        <v>S</v>
      </c>
      <c r="AB113" s="33">
        <v>18.0</v>
      </c>
      <c r="AC113" s="33" t="str">
        <f t="shared" si="277"/>
        <v>R</v>
      </c>
      <c r="AD113" s="33">
        <v>27.0</v>
      </c>
      <c r="AE113" s="33" t="str">
        <f t="shared" si="278"/>
        <v>S</v>
      </c>
      <c r="AF113" s="33">
        <v>23.0</v>
      </c>
      <c r="AG113" s="33" t="str">
        <f t="shared" si="279"/>
        <v>R</v>
      </c>
      <c r="AH113" s="33" t="s">
        <v>299</v>
      </c>
      <c r="AI113" s="36">
        <v>24.0</v>
      </c>
      <c r="AJ113" s="36" t="str">
        <f t="shared" si="280"/>
        <v>I</v>
      </c>
      <c r="AK113" s="36">
        <v>23.0</v>
      </c>
      <c r="AL113" s="36" t="str">
        <f t="shared" si="281"/>
        <v>S</v>
      </c>
      <c r="AM113" s="36">
        <v>21.0</v>
      </c>
      <c r="AN113" s="36" t="str">
        <f t="shared" si="282"/>
        <v>S</v>
      </c>
      <c r="AO113" s="36" t="s">
        <v>300</v>
      </c>
      <c r="AP113" s="37">
        <v>28.0</v>
      </c>
      <c r="AQ113" s="37" t="str">
        <f t="shared" si="283"/>
        <v>S</v>
      </c>
      <c r="AR113" s="33">
        <v>20.0</v>
      </c>
      <c r="AS113" s="33" t="str">
        <f t="shared" si="284"/>
        <v>S</v>
      </c>
      <c r="AT113" s="33">
        <v>20.0</v>
      </c>
      <c r="AU113" s="33" t="str">
        <f t="shared" si="285"/>
        <v>S</v>
      </c>
      <c r="AV113" s="33" t="s">
        <v>300</v>
      </c>
      <c r="AW113" s="26">
        <v>18.0</v>
      </c>
      <c r="AX113" s="26" t="str">
        <f t="shared" si="286"/>
        <v>R</v>
      </c>
      <c r="AY113" s="37">
        <v>18.0</v>
      </c>
      <c r="AZ113" s="37" t="str">
        <f t="shared" si="287"/>
        <v>R</v>
      </c>
      <c r="BA113" s="36">
        <v>29.0</v>
      </c>
      <c r="BB113" s="36" t="str">
        <f t="shared" si="288"/>
        <v>S</v>
      </c>
      <c r="BC113" s="39" t="s">
        <v>357</v>
      </c>
      <c r="BD113" s="39" t="s">
        <v>357</v>
      </c>
      <c r="BE113" s="36">
        <v>29.0</v>
      </c>
      <c r="BF113" s="36" t="str">
        <f t="shared" si="289"/>
        <v>S</v>
      </c>
      <c r="BG113" s="40">
        <v>20.0</v>
      </c>
      <c r="BH113" s="41" t="str">
        <f t="shared" si="290"/>
        <v>S</v>
      </c>
      <c r="BI113" s="41"/>
    </row>
    <row r="114">
      <c r="A114" s="51" t="s">
        <v>725</v>
      </c>
      <c r="B114" s="51" t="s">
        <v>444</v>
      </c>
      <c r="C114" s="51" t="s">
        <v>1285</v>
      </c>
      <c r="D114" s="18" t="s">
        <v>705</v>
      </c>
      <c r="E114" s="18" t="s">
        <v>572</v>
      </c>
      <c r="F114" s="18" t="s">
        <v>192</v>
      </c>
      <c r="G114" s="20" t="s">
        <v>1286</v>
      </c>
      <c r="H114" s="22" t="s">
        <v>198</v>
      </c>
      <c r="I114" s="26">
        <v>6.0</v>
      </c>
      <c r="J114" s="26" t="str">
        <f t="shared" si="269"/>
        <v>R</v>
      </c>
      <c r="K114" s="26">
        <v>25.0</v>
      </c>
      <c r="L114" s="26" t="str">
        <f t="shared" si="270"/>
        <v>S</v>
      </c>
      <c r="M114" s="26">
        <v>6.0</v>
      </c>
      <c r="N114" s="26" t="str">
        <f t="shared" si="271"/>
        <v>R</v>
      </c>
      <c r="O114" s="32" t="s">
        <v>357</v>
      </c>
      <c r="P114" s="32" t="s">
        <v>357</v>
      </c>
      <c r="Q114" s="26">
        <v>13.0</v>
      </c>
      <c r="R114" s="26" t="str">
        <f t="shared" si="272"/>
        <v>R</v>
      </c>
      <c r="S114" s="26">
        <v>28.0</v>
      </c>
      <c r="T114" s="26" t="str">
        <f t="shared" si="273"/>
        <v>S</v>
      </c>
      <c r="U114" s="26">
        <v>25.0</v>
      </c>
      <c r="V114" s="26" t="str">
        <f t="shared" si="274"/>
        <v>S</v>
      </c>
      <c r="W114" s="32" t="s">
        <v>299</v>
      </c>
      <c r="X114" s="33">
        <v>9.0</v>
      </c>
      <c r="Y114" s="33" t="str">
        <f t="shared" si="275"/>
        <v>R</v>
      </c>
      <c r="Z114" s="33">
        <v>28.0</v>
      </c>
      <c r="AA114" s="33" t="str">
        <f t="shared" si="276"/>
        <v>S</v>
      </c>
      <c r="AB114" s="33">
        <v>20.0</v>
      </c>
      <c r="AC114" s="33" t="str">
        <f t="shared" si="277"/>
        <v>I</v>
      </c>
      <c r="AD114" s="33">
        <v>26.0</v>
      </c>
      <c r="AE114" s="33" t="str">
        <f t="shared" si="278"/>
        <v>S</v>
      </c>
      <c r="AF114" s="33">
        <v>25.0</v>
      </c>
      <c r="AG114" s="33" t="str">
        <f t="shared" si="279"/>
        <v>I</v>
      </c>
      <c r="AH114" s="33" t="s">
        <v>299</v>
      </c>
      <c r="AI114" s="36">
        <v>25.0</v>
      </c>
      <c r="AJ114" s="36" t="str">
        <f t="shared" si="280"/>
        <v>S</v>
      </c>
      <c r="AK114" s="36">
        <v>23.0</v>
      </c>
      <c r="AL114" s="36" t="str">
        <f t="shared" si="281"/>
        <v>S</v>
      </c>
      <c r="AM114" s="36">
        <v>20.0</v>
      </c>
      <c r="AN114" s="36" t="str">
        <f t="shared" si="282"/>
        <v>S</v>
      </c>
      <c r="AO114" s="36" t="s">
        <v>300</v>
      </c>
      <c r="AP114" s="37">
        <v>29.0</v>
      </c>
      <c r="AQ114" s="37" t="str">
        <f t="shared" si="283"/>
        <v>S</v>
      </c>
      <c r="AR114" s="33">
        <v>21.0</v>
      </c>
      <c r="AS114" s="33" t="str">
        <f t="shared" si="284"/>
        <v>S</v>
      </c>
      <c r="AT114" s="33">
        <v>21.0</v>
      </c>
      <c r="AU114" s="33" t="str">
        <f t="shared" si="285"/>
        <v>S</v>
      </c>
      <c r="AV114" s="33" t="s">
        <v>300</v>
      </c>
      <c r="AW114" s="26">
        <v>18.0</v>
      </c>
      <c r="AX114" s="26" t="str">
        <f t="shared" si="286"/>
        <v>R</v>
      </c>
      <c r="AY114" s="37">
        <v>20.0</v>
      </c>
      <c r="AZ114" s="37" t="str">
        <f t="shared" si="287"/>
        <v>R</v>
      </c>
      <c r="BA114" s="36">
        <v>31.0</v>
      </c>
      <c r="BB114" s="36" t="str">
        <f t="shared" si="288"/>
        <v>S</v>
      </c>
      <c r="BC114" s="39" t="s">
        <v>357</v>
      </c>
      <c r="BD114" s="39" t="s">
        <v>357</v>
      </c>
      <c r="BE114" s="36">
        <v>32.0</v>
      </c>
      <c r="BF114" s="36" t="str">
        <f t="shared" si="289"/>
        <v>S</v>
      </c>
      <c r="BG114" s="40">
        <v>21.0</v>
      </c>
      <c r="BH114" s="41" t="str">
        <f t="shared" si="290"/>
        <v>S</v>
      </c>
      <c r="BI114" s="41"/>
    </row>
    <row r="115">
      <c r="A115" s="21" t="s">
        <v>731</v>
      </c>
      <c r="B115" s="23">
        <v>76.0</v>
      </c>
      <c r="C115" s="21" t="s">
        <v>1287</v>
      </c>
      <c r="D115" s="18" t="s">
        <v>571</v>
      </c>
      <c r="E115" s="18" t="s">
        <v>572</v>
      </c>
      <c r="F115" s="18" t="s">
        <v>192</v>
      </c>
      <c r="G115" s="20" t="s">
        <v>1288</v>
      </c>
      <c r="H115" s="59" t="s">
        <v>1126</v>
      </c>
      <c r="I115" s="26">
        <v>10.0</v>
      </c>
      <c r="J115" s="26" t="str">
        <f t="shared" si="269"/>
        <v>R</v>
      </c>
      <c r="K115" s="26">
        <v>10.0</v>
      </c>
      <c r="L115" s="26" t="str">
        <f t="shared" si="270"/>
        <v>R</v>
      </c>
      <c r="M115" s="26">
        <v>27.0</v>
      </c>
      <c r="N115" s="26" t="str">
        <f t="shared" si="271"/>
        <v>S</v>
      </c>
      <c r="O115" s="32" t="s">
        <v>357</v>
      </c>
      <c r="P115" s="32" t="s">
        <v>357</v>
      </c>
      <c r="Q115" s="26">
        <v>29.0</v>
      </c>
      <c r="R115" s="26" t="str">
        <f t="shared" si="272"/>
        <v>S</v>
      </c>
      <c r="S115" s="26">
        <v>25.0</v>
      </c>
      <c r="T115" s="26" t="str">
        <f t="shared" si="273"/>
        <v>S</v>
      </c>
      <c r="U115" s="26">
        <v>26.0</v>
      </c>
      <c r="V115" s="26" t="str">
        <f t="shared" si="274"/>
        <v>S</v>
      </c>
      <c r="W115" s="32" t="s">
        <v>299</v>
      </c>
      <c r="X115" s="33">
        <v>27.0</v>
      </c>
      <c r="Y115" s="33" t="str">
        <f t="shared" si="275"/>
        <v>S</v>
      </c>
      <c r="Z115" s="33">
        <v>10.0</v>
      </c>
      <c r="AA115" s="33" t="str">
        <f t="shared" si="276"/>
        <v>R</v>
      </c>
      <c r="AB115" s="33">
        <v>29.0</v>
      </c>
      <c r="AC115" s="33" t="str">
        <f t="shared" si="277"/>
        <v>S</v>
      </c>
      <c r="AD115" s="33">
        <v>25.0</v>
      </c>
      <c r="AE115" s="33" t="str">
        <f t="shared" si="278"/>
        <v>S</v>
      </c>
      <c r="AF115" s="33">
        <v>35.0</v>
      </c>
      <c r="AG115" s="33" t="str">
        <f t="shared" si="279"/>
        <v>S</v>
      </c>
      <c r="AH115" s="33" t="s">
        <v>299</v>
      </c>
      <c r="AI115" s="36">
        <v>29.0</v>
      </c>
      <c r="AJ115" s="36" t="str">
        <f t="shared" si="280"/>
        <v>S</v>
      </c>
      <c r="AK115" s="36">
        <v>26.0</v>
      </c>
      <c r="AL115" s="36" t="str">
        <f t="shared" si="281"/>
        <v>S</v>
      </c>
      <c r="AM115" s="36">
        <v>21.0</v>
      </c>
      <c r="AN115" s="36" t="str">
        <f t="shared" si="282"/>
        <v>S</v>
      </c>
      <c r="AO115" s="36" t="s">
        <v>300</v>
      </c>
      <c r="AP115" s="37">
        <v>31.0</v>
      </c>
      <c r="AQ115" s="37" t="str">
        <f t="shared" si="283"/>
        <v>S</v>
      </c>
      <c r="AR115" s="33">
        <v>22.0</v>
      </c>
      <c r="AS115" s="33" t="str">
        <f t="shared" si="284"/>
        <v>S</v>
      </c>
      <c r="AT115" s="33">
        <v>20.0</v>
      </c>
      <c r="AU115" s="33" t="str">
        <f t="shared" si="285"/>
        <v>S</v>
      </c>
      <c r="AV115" s="33" t="s">
        <v>300</v>
      </c>
      <c r="AW115" s="26">
        <v>15.0</v>
      </c>
      <c r="AX115" s="26" t="str">
        <f t="shared" si="286"/>
        <v>R</v>
      </c>
      <c r="AY115" s="37">
        <v>35.0</v>
      </c>
      <c r="AZ115" s="37" t="str">
        <f t="shared" si="287"/>
        <v>S</v>
      </c>
      <c r="BA115" s="36">
        <v>32.0</v>
      </c>
      <c r="BB115" s="36" t="str">
        <f t="shared" si="288"/>
        <v>S</v>
      </c>
      <c r="BC115" s="39" t="s">
        <v>357</v>
      </c>
      <c r="BD115" s="39" t="s">
        <v>357</v>
      </c>
      <c r="BE115" s="36">
        <v>30.0</v>
      </c>
      <c r="BF115" s="36" t="str">
        <f t="shared" si="289"/>
        <v>S</v>
      </c>
      <c r="BG115" s="40">
        <v>21.0</v>
      </c>
      <c r="BH115" s="41" t="str">
        <f t="shared" si="290"/>
        <v>S</v>
      </c>
      <c r="BI115" s="41"/>
    </row>
    <row r="116">
      <c r="A116" s="21" t="s">
        <v>731</v>
      </c>
      <c r="B116" s="23">
        <v>77.0</v>
      </c>
      <c r="C116" s="21" t="s">
        <v>1289</v>
      </c>
      <c r="D116" s="18" t="s">
        <v>705</v>
      </c>
      <c r="E116" s="18" t="s">
        <v>572</v>
      </c>
      <c r="F116" s="18" t="s">
        <v>192</v>
      </c>
      <c r="G116" s="20" t="s">
        <v>1290</v>
      </c>
      <c r="H116" s="59" t="s">
        <v>1291</v>
      </c>
      <c r="I116" s="26">
        <v>6.0</v>
      </c>
      <c r="J116" s="26" t="str">
        <f t="shared" si="269"/>
        <v>R</v>
      </c>
      <c r="K116" s="26">
        <v>6.0</v>
      </c>
      <c r="L116" s="26" t="str">
        <f t="shared" si="270"/>
        <v>R</v>
      </c>
      <c r="M116" s="26">
        <v>23.0</v>
      </c>
      <c r="N116" s="26" t="str">
        <f t="shared" si="271"/>
        <v>S</v>
      </c>
      <c r="O116" s="32" t="s">
        <v>357</v>
      </c>
      <c r="P116" s="32" t="s">
        <v>357</v>
      </c>
      <c r="Q116" s="26">
        <v>28.0</v>
      </c>
      <c r="R116" s="26" t="str">
        <f t="shared" si="272"/>
        <v>S</v>
      </c>
      <c r="S116" s="26">
        <v>22.0</v>
      </c>
      <c r="T116" s="26" t="str">
        <f t="shared" si="273"/>
        <v>S</v>
      </c>
      <c r="U116" s="26">
        <v>20.0</v>
      </c>
      <c r="V116" s="26" t="str">
        <f t="shared" si="274"/>
        <v>S</v>
      </c>
      <c r="W116" s="32" t="s">
        <v>299</v>
      </c>
      <c r="X116" s="33">
        <v>24.0</v>
      </c>
      <c r="Y116" s="33" t="str">
        <f t="shared" si="275"/>
        <v>S</v>
      </c>
      <c r="Z116" s="33">
        <v>6.0</v>
      </c>
      <c r="AA116" s="33" t="str">
        <f t="shared" si="276"/>
        <v>R</v>
      </c>
      <c r="AB116" s="33">
        <v>26.0</v>
      </c>
      <c r="AC116" s="33" t="str">
        <f t="shared" si="277"/>
        <v>S</v>
      </c>
      <c r="AD116" s="33">
        <v>24.0</v>
      </c>
      <c r="AE116" s="33" t="str">
        <f t="shared" si="278"/>
        <v>S</v>
      </c>
      <c r="AF116" s="33">
        <v>33.0</v>
      </c>
      <c r="AG116" s="33" t="str">
        <f t="shared" si="279"/>
        <v>S</v>
      </c>
      <c r="AH116" s="33" t="s">
        <v>299</v>
      </c>
      <c r="AI116" s="36">
        <v>31.0</v>
      </c>
      <c r="AJ116" s="36" t="str">
        <f t="shared" si="280"/>
        <v>S</v>
      </c>
      <c r="AK116" s="36">
        <v>29.0</v>
      </c>
      <c r="AL116" s="36" t="str">
        <f t="shared" si="281"/>
        <v>S</v>
      </c>
      <c r="AM116" s="36">
        <v>22.0</v>
      </c>
      <c r="AN116" s="36" t="str">
        <f t="shared" si="282"/>
        <v>S</v>
      </c>
      <c r="AO116" s="36" t="s">
        <v>300</v>
      </c>
      <c r="AP116" s="37">
        <v>28.0</v>
      </c>
      <c r="AQ116" s="37" t="str">
        <f t="shared" si="283"/>
        <v>S</v>
      </c>
      <c r="AR116" s="33">
        <v>20.0</v>
      </c>
      <c r="AS116" s="33" t="str">
        <f t="shared" si="284"/>
        <v>S</v>
      </c>
      <c r="AT116" s="33">
        <v>20.0</v>
      </c>
      <c r="AU116" s="33" t="str">
        <f t="shared" si="285"/>
        <v>S</v>
      </c>
      <c r="AV116" s="33" t="s">
        <v>300</v>
      </c>
      <c r="AW116" s="26">
        <v>16.0</v>
      </c>
      <c r="AX116" s="26" t="str">
        <f t="shared" si="286"/>
        <v>R</v>
      </c>
      <c r="AY116" s="37">
        <v>30.0</v>
      </c>
      <c r="AZ116" s="37" t="str">
        <f t="shared" si="287"/>
        <v>S</v>
      </c>
      <c r="BA116" s="36">
        <v>26.0</v>
      </c>
      <c r="BB116" s="36" t="str">
        <f t="shared" si="288"/>
        <v>S</v>
      </c>
      <c r="BC116" s="39" t="s">
        <v>357</v>
      </c>
      <c r="BD116" s="39" t="s">
        <v>357</v>
      </c>
      <c r="BE116" s="36">
        <v>24.0</v>
      </c>
      <c r="BF116" s="36" t="str">
        <f t="shared" si="289"/>
        <v>S</v>
      </c>
      <c r="BG116" s="40">
        <v>20.0</v>
      </c>
      <c r="BH116" s="41" t="str">
        <f t="shared" si="290"/>
        <v>S</v>
      </c>
      <c r="BI116" s="41"/>
    </row>
    <row r="117">
      <c r="A117" s="21" t="s">
        <v>731</v>
      </c>
      <c r="B117" s="21" t="s">
        <v>444</v>
      </c>
      <c r="C117" s="21" t="s">
        <v>1292</v>
      </c>
      <c r="D117" s="18" t="s">
        <v>705</v>
      </c>
      <c r="E117" s="18" t="s">
        <v>572</v>
      </c>
      <c r="F117" s="18" t="s">
        <v>192</v>
      </c>
      <c r="G117" s="20" t="s">
        <v>1293</v>
      </c>
      <c r="H117" s="59" t="s">
        <v>785</v>
      </c>
      <c r="I117" s="26">
        <v>6.0</v>
      </c>
      <c r="J117" s="26" t="str">
        <f t="shared" si="269"/>
        <v>R</v>
      </c>
      <c r="K117" s="26">
        <v>10.0</v>
      </c>
      <c r="L117" s="26" t="str">
        <f t="shared" si="270"/>
        <v>R</v>
      </c>
      <c r="M117" s="26">
        <v>27.0</v>
      </c>
      <c r="N117" s="26" t="str">
        <f t="shared" si="271"/>
        <v>S</v>
      </c>
      <c r="O117" s="32" t="s">
        <v>357</v>
      </c>
      <c r="P117" s="32" t="s">
        <v>357</v>
      </c>
      <c r="Q117" s="26">
        <v>30.0</v>
      </c>
      <c r="R117" s="26" t="str">
        <f t="shared" si="272"/>
        <v>S</v>
      </c>
      <c r="S117" s="26">
        <v>28.0</v>
      </c>
      <c r="T117" s="26" t="str">
        <f t="shared" si="273"/>
        <v>S</v>
      </c>
      <c r="U117" s="26">
        <v>28.0</v>
      </c>
      <c r="V117" s="26" t="str">
        <f t="shared" si="274"/>
        <v>S</v>
      </c>
      <c r="W117" s="32" t="s">
        <v>299</v>
      </c>
      <c r="X117" s="33">
        <v>26.0</v>
      </c>
      <c r="Y117" s="33" t="str">
        <f t="shared" si="275"/>
        <v>S</v>
      </c>
      <c r="Z117" s="33">
        <v>6.0</v>
      </c>
      <c r="AA117" s="33" t="str">
        <f t="shared" si="276"/>
        <v>R</v>
      </c>
      <c r="AB117" s="33">
        <v>30.0</v>
      </c>
      <c r="AC117" s="33" t="str">
        <f t="shared" si="277"/>
        <v>S</v>
      </c>
      <c r="AD117" s="33">
        <v>27.0</v>
      </c>
      <c r="AE117" s="33" t="str">
        <f t="shared" si="278"/>
        <v>S</v>
      </c>
      <c r="AF117" s="33">
        <v>36.0</v>
      </c>
      <c r="AG117" s="33" t="str">
        <f t="shared" si="279"/>
        <v>S</v>
      </c>
      <c r="AH117" s="33" t="s">
        <v>299</v>
      </c>
      <c r="AI117" s="36">
        <v>33.0</v>
      </c>
      <c r="AJ117" s="36" t="str">
        <f t="shared" si="280"/>
        <v>S</v>
      </c>
      <c r="AK117" s="36">
        <v>32.0</v>
      </c>
      <c r="AL117" s="36" t="str">
        <f t="shared" si="281"/>
        <v>S</v>
      </c>
      <c r="AM117" s="36">
        <v>26.0</v>
      </c>
      <c r="AN117" s="36" t="str">
        <f t="shared" si="282"/>
        <v>S</v>
      </c>
      <c r="AO117" s="36" t="s">
        <v>300</v>
      </c>
      <c r="AP117" s="37">
        <v>32.0</v>
      </c>
      <c r="AQ117" s="37" t="str">
        <f t="shared" si="283"/>
        <v>S</v>
      </c>
      <c r="AR117" s="33">
        <v>23.0</v>
      </c>
      <c r="AS117" s="33" t="str">
        <f t="shared" si="284"/>
        <v>S</v>
      </c>
      <c r="AT117" s="33">
        <v>22.0</v>
      </c>
      <c r="AU117" s="33" t="str">
        <f t="shared" si="285"/>
        <v>S</v>
      </c>
      <c r="AV117" s="33" t="s">
        <v>300</v>
      </c>
      <c r="AW117" s="26">
        <v>18.0</v>
      </c>
      <c r="AX117" s="26" t="str">
        <f t="shared" si="286"/>
        <v>R</v>
      </c>
      <c r="AY117" s="37">
        <v>35.0</v>
      </c>
      <c r="AZ117" s="37" t="str">
        <f t="shared" si="287"/>
        <v>S</v>
      </c>
      <c r="BA117" s="36">
        <v>33.0</v>
      </c>
      <c r="BB117" s="36" t="str">
        <f t="shared" si="288"/>
        <v>S</v>
      </c>
      <c r="BC117" s="39" t="s">
        <v>357</v>
      </c>
      <c r="BD117" s="39" t="s">
        <v>357</v>
      </c>
      <c r="BE117" s="36">
        <v>29.0</v>
      </c>
      <c r="BF117" s="36" t="str">
        <f t="shared" si="289"/>
        <v>S</v>
      </c>
      <c r="BG117" s="40">
        <v>22.0</v>
      </c>
      <c r="BH117" s="41" t="str">
        <f t="shared" si="290"/>
        <v>S</v>
      </c>
      <c r="BI117" s="41"/>
    </row>
    <row r="118">
      <c r="A118" s="51" t="s">
        <v>1294</v>
      </c>
      <c r="B118" s="53">
        <v>78.0</v>
      </c>
      <c r="C118" s="51" t="s">
        <v>1295</v>
      </c>
      <c r="D118" s="18" t="s">
        <v>190</v>
      </c>
      <c r="E118" s="18" t="s">
        <v>190</v>
      </c>
      <c r="F118" s="18" t="s">
        <v>192</v>
      </c>
      <c r="G118" s="20" t="s">
        <v>1296</v>
      </c>
      <c r="H118" s="22" t="s">
        <v>198</v>
      </c>
      <c r="I118" s="26">
        <v>6.0</v>
      </c>
      <c r="J118" s="26" t="str">
        <f t="shared" si="269"/>
        <v>R</v>
      </c>
      <c r="K118" s="26">
        <v>22.0</v>
      </c>
      <c r="L118" s="26" t="str">
        <f t="shared" si="270"/>
        <v>S</v>
      </c>
      <c r="M118" s="26">
        <v>6.0</v>
      </c>
      <c r="N118" s="26" t="str">
        <f t="shared" si="271"/>
        <v>R</v>
      </c>
      <c r="O118" s="32" t="s">
        <v>357</v>
      </c>
      <c r="P118" s="32" t="s">
        <v>357</v>
      </c>
      <c r="Q118" s="26">
        <v>10.0</v>
      </c>
      <c r="R118" s="26" t="str">
        <f t="shared" si="272"/>
        <v>R</v>
      </c>
      <c r="S118" s="26">
        <v>27.0</v>
      </c>
      <c r="T118" s="26" t="str">
        <f t="shared" si="273"/>
        <v>S</v>
      </c>
      <c r="U118" s="26">
        <v>26.0</v>
      </c>
      <c r="V118" s="26" t="str">
        <f t="shared" si="274"/>
        <v>S</v>
      </c>
      <c r="W118" s="32" t="s">
        <v>299</v>
      </c>
      <c r="X118" s="33">
        <v>6.0</v>
      </c>
      <c r="Y118" s="33" t="str">
        <f t="shared" si="275"/>
        <v>R</v>
      </c>
      <c r="Z118" s="33">
        <v>28.0</v>
      </c>
      <c r="AA118" s="33" t="str">
        <f t="shared" si="276"/>
        <v>S</v>
      </c>
      <c r="AB118" s="33">
        <v>20.0</v>
      </c>
      <c r="AC118" s="33" t="str">
        <f t="shared" si="277"/>
        <v>I</v>
      </c>
      <c r="AD118" s="33">
        <v>27.0</v>
      </c>
      <c r="AE118" s="33" t="str">
        <f t="shared" si="278"/>
        <v>S</v>
      </c>
      <c r="AF118" s="33">
        <v>23.0</v>
      </c>
      <c r="AG118" s="33" t="str">
        <f t="shared" si="279"/>
        <v>R</v>
      </c>
      <c r="AH118" s="33" t="s">
        <v>299</v>
      </c>
      <c r="AI118" s="36">
        <v>8.0</v>
      </c>
      <c r="AJ118" s="36" t="str">
        <f t="shared" si="280"/>
        <v>R</v>
      </c>
      <c r="AK118" s="36">
        <v>12.0</v>
      </c>
      <c r="AL118" s="36" t="str">
        <f t="shared" si="281"/>
        <v>R</v>
      </c>
      <c r="AM118" s="36">
        <v>6.0</v>
      </c>
      <c r="AN118" s="36" t="str">
        <f t="shared" si="282"/>
        <v>R</v>
      </c>
      <c r="AO118" s="36" t="s">
        <v>299</v>
      </c>
      <c r="AP118" s="37">
        <v>30.0</v>
      </c>
      <c r="AQ118" s="37" t="str">
        <f t="shared" si="283"/>
        <v>S</v>
      </c>
      <c r="AR118" s="33">
        <v>21.0</v>
      </c>
      <c r="AS118" s="33" t="str">
        <f t="shared" si="284"/>
        <v>S</v>
      </c>
      <c r="AT118" s="33">
        <v>22.0</v>
      </c>
      <c r="AU118" s="33" t="str">
        <f t="shared" si="285"/>
        <v>S</v>
      </c>
      <c r="AV118" s="33" t="s">
        <v>300</v>
      </c>
      <c r="AW118" s="26">
        <v>20.0</v>
      </c>
      <c r="AX118" s="26" t="str">
        <f t="shared" si="286"/>
        <v>S</v>
      </c>
      <c r="AY118" s="37">
        <v>17.0</v>
      </c>
      <c r="AZ118" s="37" t="str">
        <f t="shared" si="287"/>
        <v>R</v>
      </c>
      <c r="BA118" s="36">
        <v>33.0</v>
      </c>
      <c r="BB118" s="36" t="str">
        <f t="shared" si="288"/>
        <v>S</v>
      </c>
      <c r="BC118" s="39" t="s">
        <v>357</v>
      </c>
      <c r="BD118" s="39" t="s">
        <v>357</v>
      </c>
      <c r="BE118" s="36">
        <v>32.0</v>
      </c>
      <c r="BF118" s="36" t="str">
        <f t="shared" si="289"/>
        <v>S</v>
      </c>
      <c r="BG118" s="40">
        <v>21.0</v>
      </c>
      <c r="BH118" s="41" t="str">
        <f t="shared" si="290"/>
        <v>S</v>
      </c>
      <c r="BI118" s="41"/>
    </row>
    <row r="119">
      <c r="A119" s="51" t="s">
        <v>1294</v>
      </c>
      <c r="B119" s="51" t="s">
        <v>444</v>
      </c>
      <c r="C119" s="51" t="s">
        <v>1297</v>
      </c>
      <c r="D119" s="18" t="s">
        <v>190</v>
      </c>
      <c r="E119" s="18" t="s">
        <v>190</v>
      </c>
      <c r="F119" s="18" t="s">
        <v>192</v>
      </c>
      <c r="G119" s="20" t="s">
        <v>1298</v>
      </c>
      <c r="H119" s="22" t="s">
        <v>198</v>
      </c>
      <c r="I119" s="26">
        <v>6.0</v>
      </c>
      <c r="J119" s="26" t="str">
        <f t="shared" si="269"/>
        <v>R</v>
      </c>
      <c r="K119" s="26">
        <v>14.0</v>
      </c>
      <c r="L119" s="26" t="str">
        <f t="shared" si="270"/>
        <v>R</v>
      </c>
      <c r="M119" s="26">
        <v>6.0</v>
      </c>
      <c r="N119" s="26" t="str">
        <f t="shared" si="271"/>
        <v>R</v>
      </c>
      <c r="O119" s="32" t="s">
        <v>357</v>
      </c>
      <c r="P119" s="32" t="s">
        <v>357</v>
      </c>
      <c r="Q119" s="26">
        <v>6.0</v>
      </c>
      <c r="R119" s="26" t="str">
        <f t="shared" si="272"/>
        <v>R</v>
      </c>
      <c r="S119" s="26">
        <v>8.0</v>
      </c>
      <c r="T119" s="26" t="str">
        <f t="shared" si="273"/>
        <v>R</v>
      </c>
      <c r="U119" s="26">
        <v>6.0</v>
      </c>
      <c r="V119" s="26" t="str">
        <f t="shared" si="274"/>
        <v>R</v>
      </c>
      <c r="W119" s="32" t="s">
        <v>299</v>
      </c>
      <c r="X119" s="33">
        <v>6.0</v>
      </c>
      <c r="Y119" s="33" t="str">
        <f t="shared" si="275"/>
        <v>R</v>
      </c>
      <c r="Z119" s="33">
        <v>13.0</v>
      </c>
      <c r="AA119" s="33" t="str">
        <f t="shared" si="276"/>
        <v>R</v>
      </c>
      <c r="AB119" s="33">
        <v>6.0</v>
      </c>
      <c r="AC119" s="33" t="str">
        <f t="shared" si="277"/>
        <v>R</v>
      </c>
      <c r="AD119" s="33">
        <v>18.0</v>
      </c>
      <c r="AE119" s="33" t="str">
        <f t="shared" si="278"/>
        <v>S</v>
      </c>
      <c r="AF119" s="33">
        <v>8.0</v>
      </c>
      <c r="AG119" s="33" t="str">
        <f t="shared" si="279"/>
        <v>R</v>
      </c>
      <c r="AH119" s="33" t="s">
        <v>299</v>
      </c>
      <c r="AI119" s="36">
        <v>6.0</v>
      </c>
      <c r="AJ119" s="36" t="str">
        <f t="shared" si="280"/>
        <v>R</v>
      </c>
      <c r="AK119" s="36">
        <v>6.0</v>
      </c>
      <c r="AL119" s="36" t="str">
        <f t="shared" si="281"/>
        <v>R</v>
      </c>
      <c r="AM119" s="36">
        <v>6.0</v>
      </c>
      <c r="AN119" s="36" t="str">
        <f t="shared" si="282"/>
        <v>R</v>
      </c>
      <c r="AO119" s="36" t="s">
        <v>299</v>
      </c>
      <c r="AP119" s="37">
        <v>28.0</v>
      </c>
      <c r="AQ119" s="37" t="str">
        <f t="shared" si="283"/>
        <v>S</v>
      </c>
      <c r="AR119" s="33">
        <v>22.0</v>
      </c>
      <c r="AS119" s="33" t="str">
        <f t="shared" si="284"/>
        <v>S</v>
      </c>
      <c r="AT119" s="33">
        <v>22.0</v>
      </c>
      <c r="AU119" s="33" t="str">
        <f t="shared" si="285"/>
        <v>S</v>
      </c>
      <c r="AV119" s="33" t="s">
        <v>300</v>
      </c>
      <c r="AW119" s="26">
        <v>6.0</v>
      </c>
      <c r="AX119" s="26" t="str">
        <f t="shared" si="286"/>
        <v>R</v>
      </c>
      <c r="AY119" s="37">
        <v>6.0</v>
      </c>
      <c r="AZ119" s="37" t="str">
        <f t="shared" si="287"/>
        <v>R</v>
      </c>
      <c r="BA119" s="36">
        <v>27.0</v>
      </c>
      <c r="BB119" s="36" t="str">
        <f t="shared" si="288"/>
        <v>S</v>
      </c>
      <c r="BC119" s="39" t="s">
        <v>357</v>
      </c>
      <c r="BD119" s="39" t="s">
        <v>357</v>
      </c>
      <c r="BE119" s="36">
        <v>31.0</v>
      </c>
      <c r="BF119" s="36" t="str">
        <f t="shared" si="289"/>
        <v>S</v>
      </c>
      <c r="BG119" s="40">
        <v>22.0</v>
      </c>
      <c r="BH119" s="41" t="str">
        <f t="shared" si="290"/>
        <v>S</v>
      </c>
      <c r="BI119" s="41"/>
    </row>
    <row r="120">
      <c r="A120" s="51" t="s">
        <v>1294</v>
      </c>
      <c r="B120" s="51" t="s">
        <v>444</v>
      </c>
      <c r="C120" s="51" t="s">
        <v>1299</v>
      </c>
      <c r="D120" s="18" t="s">
        <v>190</v>
      </c>
      <c r="E120" s="18" t="s">
        <v>190</v>
      </c>
      <c r="F120" s="18" t="s">
        <v>192</v>
      </c>
      <c r="G120" s="20" t="s">
        <v>1300</v>
      </c>
      <c r="H120" s="42" t="s">
        <v>479</v>
      </c>
      <c r="I120" s="26">
        <v>17.0</v>
      </c>
      <c r="J120" s="26" t="str">
        <f t="shared" si="269"/>
        <v>R</v>
      </c>
      <c r="K120" s="26">
        <v>28.0</v>
      </c>
      <c r="L120" s="26" t="str">
        <f t="shared" si="270"/>
        <v>S</v>
      </c>
      <c r="M120" s="26">
        <v>24.0</v>
      </c>
      <c r="N120" s="26" t="str">
        <f t="shared" si="271"/>
        <v>S</v>
      </c>
      <c r="O120" s="32" t="s">
        <v>357</v>
      </c>
      <c r="P120" s="32" t="s">
        <v>357</v>
      </c>
      <c r="Q120" s="26">
        <v>28.0</v>
      </c>
      <c r="R120" s="26" t="str">
        <f t="shared" si="272"/>
        <v>S</v>
      </c>
      <c r="S120" s="26">
        <v>30.0</v>
      </c>
      <c r="T120" s="26" t="str">
        <f t="shared" si="273"/>
        <v>S</v>
      </c>
      <c r="U120" s="26">
        <v>31.0</v>
      </c>
      <c r="V120" s="26" t="str">
        <f t="shared" si="274"/>
        <v>S</v>
      </c>
      <c r="W120" s="32" t="s">
        <v>299</v>
      </c>
      <c r="X120" s="33">
        <v>35.0</v>
      </c>
      <c r="Y120" s="33" t="str">
        <f t="shared" si="275"/>
        <v>S</v>
      </c>
      <c r="Z120" s="33">
        <v>31.0</v>
      </c>
      <c r="AA120" s="33" t="str">
        <f t="shared" si="276"/>
        <v>S</v>
      </c>
      <c r="AB120" s="33">
        <v>34.0</v>
      </c>
      <c r="AC120" s="33" t="str">
        <f t="shared" si="277"/>
        <v>S</v>
      </c>
      <c r="AD120" s="33">
        <v>33.0</v>
      </c>
      <c r="AE120" s="33" t="str">
        <f t="shared" si="278"/>
        <v>S</v>
      </c>
      <c r="AF120" s="33">
        <v>38.0</v>
      </c>
      <c r="AG120" s="33" t="str">
        <f t="shared" si="279"/>
        <v>S</v>
      </c>
      <c r="AH120" s="33" t="s">
        <v>300</v>
      </c>
      <c r="AI120" s="36">
        <v>25.0</v>
      </c>
      <c r="AJ120" s="36" t="str">
        <f t="shared" si="280"/>
        <v>S</v>
      </c>
      <c r="AK120" s="36">
        <v>24.0</v>
      </c>
      <c r="AL120" s="36" t="str">
        <f t="shared" si="281"/>
        <v>S</v>
      </c>
      <c r="AM120" s="36">
        <v>18.0</v>
      </c>
      <c r="AN120" s="36" t="str">
        <f t="shared" si="282"/>
        <v>S</v>
      </c>
      <c r="AO120" s="36" t="s">
        <v>300</v>
      </c>
      <c r="AP120" s="37">
        <v>6.0</v>
      </c>
      <c r="AQ120" s="37" t="str">
        <f t="shared" si="283"/>
        <v>R</v>
      </c>
      <c r="AR120" s="33">
        <v>24.0</v>
      </c>
      <c r="AS120" s="33" t="str">
        <f t="shared" si="284"/>
        <v>S</v>
      </c>
      <c r="AT120" s="33">
        <v>19.0</v>
      </c>
      <c r="AU120" s="33" t="str">
        <f t="shared" si="285"/>
        <v>S</v>
      </c>
      <c r="AV120" s="33" t="s">
        <v>300</v>
      </c>
      <c r="AW120" s="26">
        <v>15.0</v>
      </c>
      <c r="AX120" s="26" t="str">
        <f t="shared" si="286"/>
        <v>R</v>
      </c>
      <c r="AY120" s="37">
        <v>38.0</v>
      </c>
      <c r="AZ120" s="37" t="str">
        <f t="shared" si="287"/>
        <v>S</v>
      </c>
      <c r="BA120" s="36">
        <v>37.0</v>
      </c>
      <c r="BB120" s="36" t="str">
        <f t="shared" si="288"/>
        <v>S</v>
      </c>
      <c r="BC120" s="39" t="s">
        <v>357</v>
      </c>
      <c r="BD120" s="39" t="s">
        <v>357</v>
      </c>
      <c r="BE120" s="36">
        <v>34.0</v>
      </c>
      <c r="BF120" s="36" t="str">
        <f t="shared" si="289"/>
        <v>S</v>
      </c>
      <c r="BG120" s="40">
        <v>25.0</v>
      </c>
      <c r="BH120" s="41" t="str">
        <f t="shared" si="290"/>
        <v>S</v>
      </c>
      <c r="BI120" s="41"/>
    </row>
    <row r="121">
      <c r="A121" s="51" t="s">
        <v>1294</v>
      </c>
      <c r="B121" s="51" t="s">
        <v>444</v>
      </c>
      <c r="C121" s="51" t="s">
        <v>1301</v>
      </c>
      <c r="D121" s="18" t="s">
        <v>190</v>
      </c>
      <c r="E121" s="18" t="s">
        <v>190</v>
      </c>
      <c r="F121" s="18" t="s">
        <v>192</v>
      </c>
      <c r="G121" s="20" t="s">
        <v>1302</v>
      </c>
      <c r="H121" s="42" t="s">
        <v>479</v>
      </c>
      <c r="I121" s="26">
        <v>6.0</v>
      </c>
      <c r="J121" s="26" t="str">
        <f t="shared" si="269"/>
        <v>R</v>
      </c>
      <c r="K121" s="26">
        <v>25.0</v>
      </c>
      <c r="L121" s="26" t="str">
        <f t="shared" si="270"/>
        <v>S</v>
      </c>
      <c r="M121" s="26">
        <v>6.0</v>
      </c>
      <c r="N121" s="26" t="str">
        <f t="shared" si="271"/>
        <v>R</v>
      </c>
      <c r="O121" s="32" t="s">
        <v>357</v>
      </c>
      <c r="P121" s="32" t="s">
        <v>357</v>
      </c>
      <c r="Q121" s="26">
        <v>12.0</v>
      </c>
      <c r="R121" s="26" t="str">
        <f t="shared" si="272"/>
        <v>R</v>
      </c>
      <c r="S121" s="26">
        <v>26.0</v>
      </c>
      <c r="T121" s="26" t="str">
        <f t="shared" si="273"/>
        <v>S</v>
      </c>
      <c r="U121" s="26">
        <v>25.0</v>
      </c>
      <c r="V121" s="26" t="str">
        <f t="shared" si="274"/>
        <v>S</v>
      </c>
      <c r="W121" s="32" t="s">
        <v>299</v>
      </c>
      <c r="X121" s="33">
        <v>6.0</v>
      </c>
      <c r="Y121" s="33" t="str">
        <f t="shared" si="275"/>
        <v>R</v>
      </c>
      <c r="Z121" s="33">
        <v>28.0</v>
      </c>
      <c r="AA121" s="33" t="str">
        <f t="shared" si="276"/>
        <v>S</v>
      </c>
      <c r="AB121" s="33">
        <v>17.0</v>
      </c>
      <c r="AC121" s="33" t="str">
        <f t="shared" si="277"/>
        <v>R</v>
      </c>
      <c r="AD121" s="33">
        <v>25.0</v>
      </c>
      <c r="AE121" s="33" t="str">
        <f t="shared" si="278"/>
        <v>S</v>
      </c>
      <c r="AF121" s="33">
        <v>23.0</v>
      </c>
      <c r="AG121" s="33" t="str">
        <f t="shared" si="279"/>
        <v>R</v>
      </c>
      <c r="AH121" s="33" t="s">
        <v>299</v>
      </c>
      <c r="AI121" s="36">
        <v>8.0</v>
      </c>
      <c r="AJ121" s="36" t="str">
        <f t="shared" si="280"/>
        <v>R</v>
      </c>
      <c r="AK121" s="36">
        <v>12.0</v>
      </c>
      <c r="AL121" s="36" t="str">
        <f t="shared" si="281"/>
        <v>R</v>
      </c>
      <c r="AM121" s="36">
        <v>6.0</v>
      </c>
      <c r="AN121" s="36" t="str">
        <f t="shared" si="282"/>
        <v>R</v>
      </c>
      <c r="AO121" s="36" t="s">
        <v>299</v>
      </c>
      <c r="AP121" s="37">
        <v>31.0</v>
      </c>
      <c r="AQ121" s="37" t="str">
        <f t="shared" si="283"/>
        <v>S</v>
      </c>
      <c r="AR121" s="33">
        <v>22.0</v>
      </c>
      <c r="AS121" s="33" t="str">
        <f t="shared" si="284"/>
        <v>S</v>
      </c>
      <c r="AT121" s="33">
        <v>21.0</v>
      </c>
      <c r="AU121" s="33" t="str">
        <f t="shared" si="285"/>
        <v>S</v>
      </c>
      <c r="AV121" s="33" t="s">
        <v>300</v>
      </c>
      <c r="AW121" s="26">
        <v>18.0</v>
      </c>
      <c r="AX121" s="26" t="str">
        <f t="shared" si="286"/>
        <v>R</v>
      </c>
      <c r="AY121" s="37">
        <v>16.0</v>
      </c>
      <c r="AZ121" s="37" t="str">
        <f t="shared" si="287"/>
        <v>R</v>
      </c>
      <c r="BA121" s="36">
        <v>30.0</v>
      </c>
      <c r="BB121" s="36" t="str">
        <f t="shared" si="288"/>
        <v>S</v>
      </c>
      <c r="BC121" s="39" t="s">
        <v>357</v>
      </c>
      <c r="BD121" s="39" t="s">
        <v>357</v>
      </c>
      <c r="BE121" s="36">
        <v>30.0</v>
      </c>
      <c r="BF121" s="36" t="str">
        <f t="shared" si="289"/>
        <v>S</v>
      </c>
      <c r="BG121" s="40">
        <v>22.0</v>
      </c>
      <c r="BH121" s="41" t="str">
        <f t="shared" si="290"/>
        <v>S</v>
      </c>
      <c r="BI121" s="41"/>
    </row>
    <row r="122">
      <c r="A122" s="51" t="s">
        <v>1294</v>
      </c>
      <c r="B122" s="53">
        <v>79.0</v>
      </c>
      <c r="C122" s="51" t="s">
        <v>1303</v>
      </c>
      <c r="D122" s="18" t="s">
        <v>571</v>
      </c>
      <c r="E122" s="18" t="s">
        <v>572</v>
      </c>
      <c r="F122" s="18" t="s">
        <v>573</v>
      </c>
      <c r="G122" s="20" t="s">
        <v>357</v>
      </c>
      <c r="H122" s="47" t="s">
        <v>357</v>
      </c>
      <c r="I122" s="32" t="s">
        <v>357</v>
      </c>
      <c r="J122" s="32" t="s">
        <v>357</v>
      </c>
      <c r="K122" s="32" t="s">
        <v>357</v>
      </c>
      <c r="L122" s="32" t="s">
        <v>357</v>
      </c>
      <c r="M122" s="32" t="s">
        <v>357</v>
      </c>
      <c r="N122" s="32" t="s">
        <v>357</v>
      </c>
      <c r="O122" s="32" t="s">
        <v>357</v>
      </c>
      <c r="P122" s="32" t="s">
        <v>357</v>
      </c>
      <c r="Q122" s="32" t="s">
        <v>357</v>
      </c>
      <c r="R122" s="32" t="s">
        <v>357</v>
      </c>
      <c r="S122" s="32" t="s">
        <v>357</v>
      </c>
      <c r="T122" s="32" t="s">
        <v>357</v>
      </c>
      <c r="U122" s="32" t="s">
        <v>357</v>
      </c>
      <c r="V122" s="32" t="s">
        <v>357</v>
      </c>
      <c r="W122" s="32" t="s">
        <v>357</v>
      </c>
      <c r="X122" s="49" t="s">
        <v>357</v>
      </c>
      <c r="Y122" s="49" t="s">
        <v>357</v>
      </c>
      <c r="Z122" s="49" t="s">
        <v>357</v>
      </c>
      <c r="AA122" s="49" t="s">
        <v>357</v>
      </c>
      <c r="AB122" s="49" t="s">
        <v>357</v>
      </c>
      <c r="AC122" s="49" t="s">
        <v>357</v>
      </c>
      <c r="AD122" s="49" t="s">
        <v>357</v>
      </c>
      <c r="AE122" s="49" t="s">
        <v>357</v>
      </c>
      <c r="AF122" s="49" t="s">
        <v>357</v>
      </c>
      <c r="AG122" s="49" t="s">
        <v>357</v>
      </c>
      <c r="AH122" s="49" t="s">
        <v>357</v>
      </c>
      <c r="AI122" s="39" t="s">
        <v>357</v>
      </c>
      <c r="AJ122" s="39" t="s">
        <v>357</v>
      </c>
      <c r="AK122" s="39" t="s">
        <v>357</v>
      </c>
      <c r="AL122" s="39" t="s">
        <v>357</v>
      </c>
      <c r="AM122" s="39" t="s">
        <v>357</v>
      </c>
      <c r="AN122" s="39" t="s">
        <v>357</v>
      </c>
      <c r="AO122" s="39" t="s">
        <v>357</v>
      </c>
      <c r="AP122" s="50" t="s">
        <v>357</v>
      </c>
      <c r="AQ122" s="50" t="s">
        <v>357</v>
      </c>
      <c r="AR122" s="49" t="s">
        <v>357</v>
      </c>
      <c r="AS122" s="49" t="s">
        <v>357</v>
      </c>
      <c r="AT122" s="49" t="s">
        <v>357</v>
      </c>
      <c r="AU122" s="49" t="s">
        <v>357</v>
      </c>
      <c r="AV122" s="49" t="s">
        <v>357</v>
      </c>
      <c r="AW122" s="32" t="s">
        <v>357</v>
      </c>
      <c r="AX122" s="32" t="s">
        <v>357</v>
      </c>
      <c r="AY122" s="50" t="s">
        <v>357</v>
      </c>
      <c r="AZ122" s="50" t="s">
        <v>357</v>
      </c>
      <c r="BA122" s="39" t="s">
        <v>357</v>
      </c>
      <c r="BB122" s="39" t="s">
        <v>357</v>
      </c>
      <c r="BC122" s="39" t="s">
        <v>357</v>
      </c>
      <c r="BD122" s="39" t="s">
        <v>357</v>
      </c>
      <c r="BE122" s="39" t="s">
        <v>357</v>
      </c>
      <c r="BF122" s="39" t="s">
        <v>357</v>
      </c>
      <c r="BG122" s="41" t="s">
        <v>357</v>
      </c>
      <c r="BH122" s="41" t="s">
        <v>357</v>
      </c>
      <c r="BI122" s="41"/>
    </row>
    <row r="123">
      <c r="A123" s="51" t="s">
        <v>1294</v>
      </c>
      <c r="B123" s="53">
        <v>80.0</v>
      </c>
      <c r="C123" s="51" t="s">
        <v>1304</v>
      </c>
      <c r="D123" s="18" t="s">
        <v>705</v>
      </c>
      <c r="E123" s="18" t="s">
        <v>572</v>
      </c>
      <c r="F123" s="18" t="s">
        <v>573</v>
      </c>
      <c r="G123" s="20" t="s">
        <v>357</v>
      </c>
      <c r="H123" s="47" t="s">
        <v>357</v>
      </c>
      <c r="I123" s="32" t="s">
        <v>357</v>
      </c>
      <c r="J123" s="32" t="s">
        <v>357</v>
      </c>
      <c r="K123" s="32" t="s">
        <v>357</v>
      </c>
      <c r="L123" s="32" t="s">
        <v>357</v>
      </c>
      <c r="M123" s="32" t="s">
        <v>357</v>
      </c>
      <c r="N123" s="32" t="s">
        <v>357</v>
      </c>
      <c r="O123" s="32" t="s">
        <v>357</v>
      </c>
      <c r="P123" s="32" t="s">
        <v>357</v>
      </c>
      <c r="Q123" s="32" t="s">
        <v>357</v>
      </c>
      <c r="R123" s="32" t="s">
        <v>357</v>
      </c>
      <c r="S123" s="32" t="s">
        <v>357</v>
      </c>
      <c r="T123" s="32" t="s">
        <v>357</v>
      </c>
      <c r="U123" s="32" t="s">
        <v>357</v>
      </c>
      <c r="V123" s="32" t="s">
        <v>357</v>
      </c>
      <c r="W123" s="32" t="s">
        <v>357</v>
      </c>
      <c r="X123" s="49" t="s">
        <v>357</v>
      </c>
      <c r="Y123" s="49" t="s">
        <v>357</v>
      </c>
      <c r="Z123" s="49" t="s">
        <v>357</v>
      </c>
      <c r="AA123" s="49" t="s">
        <v>357</v>
      </c>
      <c r="AB123" s="49" t="s">
        <v>357</v>
      </c>
      <c r="AC123" s="49" t="s">
        <v>357</v>
      </c>
      <c r="AD123" s="49" t="s">
        <v>357</v>
      </c>
      <c r="AE123" s="49" t="s">
        <v>357</v>
      </c>
      <c r="AF123" s="49" t="s">
        <v>357</v>
      </c>
      <c r="AG123" s="49" t="s">
        <v>357</v>
      </c>
      <c r="AH123" s="49" t="s">
        <v>357</v>
      </c>
      <c r="AI123" s="39" t="s">
        <v>357</v>
      </c>
      <c r="AJ123" s="39" t="s">
        <v>357</v>
      </c>
      <c r="AK123" s="39" t="s">
        <v>357</v>
      </c>
      <c r="AL123" s="39" t="s">
        <v>357</v>
      </c>
      <c r="AM123" s="39" t="s">
        <v>357</v>
      </c>
      <c r="AN123" s="39" t="s">
        <v>357</v>
      </c>
      <c r="AO123" s="39" t="s">
        <v>357</v>
      </c>
      <c r="AP123" s="50" t="s">
        <v>357</v>
      </c>
      <c r="AQ123" s="50" t="s">
        <v>357</v>
      </c>
      <c r="AR123" s="49" t="s">
        <v>357</v>
      </c>
      <c r="AS123" s="49" t="s">
        <v>357</v>
      </c>
      <c r="AT123" s="49" t="s">
        <v>357</v>
      </c>
      <c r="AU123" s="49" t="s">
        <v>357</v>
      </c>
      <c r="AV123" s="49" t="s">
        <v>357</v>
      </c>
      <c r="AW123" s="32" t="s">
        <v>357</v>
      </c>
      <c r="AX123" s="32" t="s">
        <v>357</v>
      </c>
      <c r="AY123" s="50" t="s">
        <v>357</v>
      </c>
      <c r="AZ123" s="50" t="s">
        <v>357</v>
      </c>
      <c r="BA123" s="39" t="s">
        <v>357</v>
      </c>
      <c r="BB123" s="39" t="s">
        <v>357</v>
      </c>
      <c r="BC123" s="39" t="s">
        <v>357</v>
      </c>
      <c r="BD123" s="39" t="s">
        <v>357</v>
      </c>
      <c r="BE123" s="39" t="s">
        <v>357</v>
      </c>
      <c r="BF123" s="39" t="s">
        <v>357</v>
      </c>
      <c r="BG123" s="41" t="s">
        <v>357</v>
      </c>
      <c r="BH123" s="41" t="s">
        <v>357</v>
      </c>
      <c r="BI123" s="41"/>
    </row>
    <row r="124">
      <c r="A124" s="51" t="s">
        <v>1294</v>
      </c>
      <c r="B124" s="53">
        <v>81.0</v>
      </c>
      <c r="C124" s="51" t="s">
        <v>1305</v>
      </c>
      <c r="D124" s="18" t="s">
        <v>853</v>
      </c>
      <c r="E124" s="18" t="s">
        <v>103</v>
      </c>
      <c r="F124" s="18" t="s">
        <v>573</v>
      </c>
      <c r="G124" s="20" t="s">
        <v>357</v>
      </c>
      <c r="H124" s="47" t="s">
        <v>357</v>
      </c>
      <c r="I124" s="32" t="s">
        <v>357</v>
      </c>
      <c r="J124" s="32" t="s">
        <v>357</v>
      </c>
      <c r="K124" s="32" t="s">
        <v>357</v>
      </c>
      <c r="L124" s="32" t="s">
        <v>357</v>
      </c>
      <c r="M124" s="32" t="s">
        <v>357</v>
      </c>
      <c r="N124" s="32" t="s">
        <v>357</v>
      </c>
      <c r="O124" s="32" t="s">
        <v>357</v>
      </c>
      <c r="P124" s="32" t="s">
        <v>357</v>
      </c>
      <c r="Q124" s="32" t="s">
        <v>357</v>
      </c>
      <c r="R124" s="32" t="s">
        <v>357</v>
      </c>
      <c r="S124" s="32" t="s">
        <v>357</v>
      </c>
      <c r="T124" s="32" t="s">
        <v>357</v>
      </c>
      <c r="U124" s="32" t="s">
        <v>357</v>
      </c>
      <c r="V124" s="32" t="s">
        <v>357</v>
      </c>
      <c r="W124" s="32" t="s">
        <v>357</v>
      </c>
      <c r="X124" s="49" t="s">
        <v>357</v>
      </c>
      <c r="Y124" s="49" t="s">
        <v>357</v>
      </c>
      <c r="Z124" s="49" t="s">
        <v>357</v>
      </c>
      <c r="AA124" s="49" t="s">
        <v>357</v>
      </c>
      <c r="AB124" s="49" t="s">
        <v>357</v>
      </c>
      <c r="AC124" s="49" t="s">
        <v>357</v>
      </c>
      <c r="AD124" s="49" t="s">
        <v>357</v>
      </c>
      <c r="AE124" s="49" t="s">
        <v>357</v>
      </c>
      <c r="AF124" s="49" t="s">
        <v>357</v>
      </c>
      <c r="AG124" s="49" t="s">
        <v>357</v>
      </c>
      <c r="AH124" s="49" t="s">
        <v>357</v>
      </c>
      <c r="AI124" s="39" t="s">
        <v>357</v>
      </c>
      <c r="AJ124" s="39" t="s">
        <v>357</v>
      </c>
      <c r="AK124" s="39" t="s">
        <v>357</v>
      </c>
      <c r="AL124" s="39" t="s">
        <v>357</v>
      </c>
      <c r="AM124" s="39" t="s">
        <v>357</v>
      </c>
      <c r="AN124" s="39" t="s">
        <v>357</v>
      </c>
      <c r="AO124" s="39" t="s">
        <v>357</v>
      </c>
      <c r="AP124" s="50" t="s">
        <v>357</v>
      </c>
      <c r="AQ124" s="50" t="s">
        <v>357</v>
      </c>
      <c r="AR124" s="49" t="s">
        <v>357</v>
      </c>
      <c r="AS124" s="49" t="s">
        <v>357</v>
      </c>
      <c r="AT124" s="49" t="s">
        <v>357</v>
      </c>
      <c r="AU124" s="49" t="s">
        <v>357</v>
      </c>
      <c r="AV124" s="49" t="s">
        <v>357</v>
      </c>
      <c r="AW124" s="32" t="s">
        <v>357</v>
      </c>
      <c r="AX124" s="32" t="s">
        <v>357</v>
      </c>
      <c r="AY124" s="50" t="s">
        <v>357</v>
      </c>
      <c r="AZ124" s="50" t="s">
        <v>357</v>
      </c>
      <c r="BA124" s="39" t="s">
        <v>357</v>
      </c>
      <c r="BB124" s="39" t="s">
        <v>357</v>
      </c>
      <c r="BC124" s="39" t="s">
        <v>357</v>
      </c>
      <c r="BD124" s="39" t="s">
        <v>357</v>
      </c>
      <c r="BE124" s="39" t="s">
        <v>357</v>
      </c>
      <c r="BF124" s="39" t="s">
        <v>357</v>
      </c>
      <c r="BG124" s="41" t="s">
        <v>357</v>
      </c>
      <c r="BH124" s="41" t="s">
        <v>357</v>
      </c>
      <c r="BI124" s="41"/>
    </row>
    <row r="125">
      <c r="A125" s="21" t="s">
        <v>768</v>
      </c>
      <c r="B125" s="23">
        <v>82.0</v>
      </c>
      <c r="C125" s="21" t="s">
        <v>1306</v>
      </c>
      <c r="D125" s="18" t="s">
        <v>190</v>
      </c>
      <c r="E125" s="18" t="s">
        <v>190</v>
      </c>
      <c r="F125" s="18" t="s">
        <v>192</v>
      </c>
      <c r="G125" s="20" t="s">
        <v>1307</v>
      </c>
      <c r="H125" s="22" t="s">
        <v>198</v>
      </c>
      <c r="I125" s="26">
        <v>6.0</v>
      </c>
      <c r="J125" s="26" t="str">
        <f t="shared" ref="J125:J130" si="291">IF((I125&gt;=19),"S",IF(AND(I125&lt;19),"R", "NA"))</f>
        <v>R</v>
      </c>
      <c r="K125" s="26">
        <v>26.0</v>
      </c>
      <c r="L125" s="26" t="str">
        <f t="shared" ref="L125:L130" si="292">IF((K125&gt;=19),"S",IF(AND(K125&lt;19),"R", "NA"))</f>
        <v>S</v>
      </c>
      <c r="M125" s="26">
        <v>6.0</v>
      </c>
      <c r="N125" s="26" t="str">
        <f t="shared" ref="N125:N130" si="293">IF((M125&gt;=23),"S",IF(AND(M125&lt;23),"R","NA"))</f>
        <v>R</v>
      </c>
      <c r="O125" s="32" t="s">
        <v>357</v>
      </c>
      <c r="P125" s="32" t="s">
        <v>357</v>
      </c>
      <c r="Q125" s="26">
        <v>17.0</v>
      </c>
      <c r="R125" s="26" t="str">
        <f t="shared" ref="R125:R130" si="294">IF((Q125&gt;=20),"S",IF(AND(Q125&lt;20),"R", "NA"))</f>
        <v>R</v>
      </c>
      <c r="S125" s="26">
        <v>29.0</v>
      </c>
      <c r="T125" s="26" t="str">
        <f t="shared" ref="T125:T130" si="295">IF((S125&gt;=20),"S",IF(AND(S125&lt;20),"R", "NA"))</f>
        <v>S</v>
      </c>
      <c r="U125" s="26">
        <v>26.0</v>
      </c>
      <c r="V125" s="26" t="str">
        <f t="shared" ref="V125:V130" si="296">IF((U125&gt;=20),"S",IF(AND(U125&lt;20,U125&gt;=17),"I",IF(AND(U125&lt;17),"R","NA")))</f>
        <v>S</v>
      </c>
      <c r="W125" s="32" t="s">
        <v>299</v>
      </c>
      <c r="X125" s="33">
        <v>9.0</v>
      </c>
      <c r="Y125" s="33" t="str">
        <f t="shared" ref="Y125:Y130" si="297">IF((X125&gt;=20),"S",IF(AND(X125&lt;20,X125&gt;=17),"I",IF(AND(X125&lt;17),"R","NA")))</f>
        <v>R</v>
      </c>
      <c r="Z125" s="33">
        <v>27.0</v>
      </c>
      <c r="AA125" s="33" t="str">
        <f t="shared" ref="AA125:AA130" si="298">IF((Z125&gt;=18),"S",IF(AND(Z125&lt;18),"R", "NA"))</f>
        <v>S</v>
      </c>
      <c r="AB125" s="33">
        <v>23.0</v>
      </c>
      <c r="AC125" s="33" t="str">
        <f t="shared" ref="AC125:AC130" si="299">IF((AB125&gt;=22),"S",IF(AND(AB125&lt;22,AB125&gt;=19),"I",IF(AND(AB125&lt;19),"R","NA")))</f>
        <v>S</v>
      </c>
      <c r="AD125" s="33">
        <v>29.0</v>
      </c>
      <c r="AE125" s="33" t="str">
        <f t="shared" ref="AE125:AE130" si="300">IF((AD125&gt;=13),"S",IF(AND(AD125&lt;13),"R", "NA"))</f>
        <v>S</v>
      </c>
      <c r="AF125" s="33">
        <v>25.0</v>
      </c>
      <c r="AG125" s="33" t="str">
        <f t="shared" ref="AG125:AG130" si="301">IF((AF125&gt;=27),"S",IF(AND(AF125&lt;27,AF125&gt;=24),"I",IF(AND(AF125&lt;24),"R","NA")))</f>
        <v>I</v>
      </c>
      <c r="AH125" s="33" t="s">
        <v>299</v>
      </c>
      <c r="AI125" s="36">
        <v>26.0</v>
      </c>
      <c r="AJ125" s="36" t="str">
        <f t="shared" ref="AJ125:AJ130" si="302">IF((AI125&gt;=25),"S",IF(AND(AI125&lt;25,AI125&gt;=22),"I",IF(AND(AI125&lt;22),"R","NA")))</f>
        <v>S</v>
      </c>
      <c r="AK125" s="36">
        <v>25.0</v>
      </c>
      <c r="AL125" s="36" t="str">
        <f t="shared" ref="AL125:AL130" si="303">IF((AK125&gt;=23),"S",IF(AND(AK125&lt;23,AK125&gt;=19),"I",IF(AND(AK125&lt;19),"R","NA")))</f>
        <v>S</v>
      </c>
      <c r="AM125" s="36">
        <v>23.0</v>
      </c>
      <c r="AN125" s="36" t="str">
        <f t="shared" ref="AN125:AN130" si="304">IF((AM125&gt;=14),"S",IF(AND(AM125&lt;14),"R","NA"))</f>
        <v>S</v>
      </c>
      <c r="AO125" s="36" t="s">
        <v>300</v>
      </c>
      <c r="AP125" s="37">
        <v>32.0</v>
      </c>
      <c r="AQ125" s="37" t="str">
        <f t="shared" ref="AQ125:AQ130" si="305">IF((AP125&gt;=14),"S",IF(AND(AP125&lt;14,AP125&gt;=11),"I",IF(AND(AP125&lt;11),"R","NA")))</f>
        <v>S</v>
      </c>
      <c r="AR125" s="33">
        <v>20.0</v>
      </c>
      <c r="AS125" s="33" t="str">
        <f t="shared" ref="AS125:AS130" si="306">IF((AR125&gt;=18),"S",IF(AND(AR125&lt;18),"R", "NA"))</f>
        <v>S</v>
      </c>
      <c r="AT125" s="33">
        <v>21.0</v>
      </c>
      <c r="AU125" s="33" t="str">
        <f t="shared" ref="AU125:AU130" si="307">IF((AT125&gt;=16),"S",IF(AND(AT125&lt;16),"R", "NA"))</f>
        <v>S</v>
      </c>
      <c r="AV125" s="33" t="s">
        <v>300</v>
      </c>
      <c r="AW125" s="26">
        <v>20.0</v>
      </c>
      <c r="AX125" s="26" t="str">
        <f t="shared" ref="AX125:AX130" si="308">IF((AW125&gt;=20),"S",IF(AND(AW125&lt;20),"R", "NA"))</f>
        <v>S</v>
      </c>
      <c r="AY125" s="37">
        <v>22.0</v>
      </c>
      <c r="AZ125" s="37" t="str">
        <f t="shared" ref="AZ125:AZ130" si="309">IF((AY125&gt;=26),"S",IF(AND(AY125&lt;26,AY125&gt;=21),"I",IF(AND(AY125&lt;21),"R","NA")))</f>
        <v>I</v>
      </c>
      <c r="BA125" s="36">
        <v>32.0</v>
      </c>
      <c r="BB125" s="36" t="str">
        <f t="shared" ref="BB125:BB130" si="310">IF((BA125&gt;=23),"S",IF(AND(BA125&lt;23),"R","NA"))</f>
        <v>S</v>
      </c>
      <c r="BC125" s="39" t="s">
        <v>357</v>
      </c>
      <c r="BD125" s="39" t="s">
        <v>357</v>
      </c>
      <c r="BE125" s="36">
        <v>30.0</v>
      </c>
      <c r="BF125" s="36" t="str">
        <f t="shared" ref="BF125:BF130" si="311">IF((BE125&gt;=22),"S",IF(AND(BE125&lt;22,BE125&gt;=19),"I",IF(AND(BE125&lt;19),"R","NA")))</f>
        <v>S</v>
      </c>
      <c r="BG125" s="40">
        <v>21.0</v>
      </c>
      <c r="BH125" s="41" t="str">
        <f t="shared" ref="BH125:BH130" si="312">IF((BG125&gt;=17),"S",IF(AND(BG125&lt;17),"R", "NA"))</f>
        <v>S</v>
      </c>
      <c r="BI125" s="41"/>
    </row>
    <row r="126">
      <c r="A126" s="21" t="s">
        <v>768</v>
      </c>
      <c r="B126" s="21" t="s">
        <v>444</v>
      </c>
      <c r="C126" s="21" t="s">
        <v>1308</v>
      </c>
      <c r="D126" s="18" t="s">
        <v>190</v>
      </c>
      <c r="E126" s="18" t="s">
        <v>190</v>
      </c>
      <c r="F126" s="18" t="s">
        <v>192</v>
      </c>
      <c r="G126" s="20" t="s">
        <v>1309</v>
      </c>
      <c r="H126" s="22" t="s">
        <v>198</v>
      </c>
      <c r="I126" s="26">
        <v>26.0</v>
      </c>
      <c r="J126" s="26" t="str">
        <f t="shared" si="291"/>
        <v>S</v>
      </c>
      <c r="K126" s="26">
        <v>25.0</v>
      </c>
      <c r="L126" s="26" t="str">
        <f t="shared" si="292"/>
        <v>S</v>
      </c>
      <c r="M126" s="26">
        <v>32.0</v>
      </c>
      <c r="N126" s="26" t="str">
        <f t="shared" si="293"/>
        <v>S</v>
      </c>
      <c r="O126" s="32" t="s">
        <v>357</v>
      </c>
      <c r="P126" s="32" t="s">
        <v>357</v>
      </c>
      <c r="Q126" s="26">
        <v>33.0</v>
      </c>
      <c r="R126" s="26" t="str">
        <f t="shared" si="294"/>
        <v>S</v>
      </c>
      <c r="S126" s="26">
        <v>30.0</v>
      </c>
      <c r="T126" s="26" t="str">
        <f t="shared" si="295"/>
        <v>S</v>
      </c>
      <c r="U126" s="26">
        <v>28.0</v>
      </c>
      <c r="V126" s="26" t="str">
        <f t="shared" si="296"/>
        <v>S</v>
      </c>
      <c r="W126" s="32" t="s">
        <v>300</v>
      </c>
      <c r="X126" s="33">
        <v>32.0</v>
      </c>
      <c r="Y126" s="33" t="str">
        <f t="shared" si="297"/>
        <v>S</v>
      </c>
      <c r="Z126" s="33">
        <v>30.0</v>
      </c>
      <c r="AA126" s="33" t="str">
        <f t="shared" si="298"/>
        <v>S</v>
      </c>
      <c r="AB126" s="33">
        <v>33.0</v>
      </c>
      <c r="AC126" s="33" t="str">
        <f t="shared" si="299"/>
        <v>S</v>
      </c>
      <c r="AD126" s="33">
        <v>32.0</v>
      </c>
      <c r="AE126" s="33" t="str">
        <f t="shared" si="300"/>
        <v>S</v>
      </c>
      <c r="AF126" s="33">
        <v>38.0</v>
      </c>
      <c r="AG126" s="33" t="str">
        <f t="shared" si="301"/>
        <v>S</v>
      </c>
      <c r="AH126" s="33" t="s">
        <v>300</v>
      </c>
      <c r="AI126" s="36">
        <v>30.0</v>
      </c>
      <c r="AJ126" s="36" t="str">
        <f t="shared" si="302"/>
        <v>S</v>
      </c>
      <c r="AK126" s="36">
        <v>27.0</v>
      </c>
      <c r="AL126" s="36" t="str">
        <f t="shared" si="303"/>
        <v>S</v>
      </c>
      <c r="AM126" s="36">
        <v>6.0</v>
      </c>
      <c r="AN126" s="36" t="str">
        <f t="shared" si="304"/>
        <v>R</v>
      </c>
      <c r="AO126" s="36" t="s">
        <v>299</v>
      </c>
      <c r="AP126" s="37">
        <v>35.0</v>
      </c>
      <c r="AQ126" s="37" t="str">
        <f t="shared" si="305"/>
        <v>S</v>
      </c>
      <c r="AR126" s="33">
        <v>24.0</v>
      </c>
      <c r="AS126" s="33" t="str">
        <f t="shared" si="306"/>
        <v>S</v>
      </c>
      <c r="AT126" s="33">
        <v>23.0</v>
      </c>
      <c r="AU126" s="33" t="str">
        <f t="shared" si="307"/>
        <v>S</v>
      </c>
      <c r="AV126" s="33" t="s">
        <v>300</v>
      </c>
      <c r="AW126" s="26">
        <v>24.0</v>
      </c>
      <c r="AX126" s="26" t="str">
        <f t="shared" si="308"/>
        <v>S</v>
      </c>
      <c r="AY126" s="37">
        <v>39.0</v>
      </c>
      <c r="AZ126" s="37" t="str">
        <f t="shared" si="309"/>
        <v>S</v>
      </c>
      <c r="BA126" s="36">
        <v>36.0</v>
      </c>
      <c r="BB126" s="36" t="str">
        <f t="shared" si="310"/>
        <v>S</v>
      </c>
      <c r="BC126" s="39" t="s">
        <v>357</v>
      </c>
      <c r="BD126" s="39" t="s">
        <v>357</v>
      </c>
      <c r="BE126" s="36">
        <v>35.0</v>
      </c>
      <c r="BF126" s="36" t="str">
        <f t="shared" si="311"/>
        <v>S</v>
      </c>
      <c r="BG126" s="40">
        <v>24.0</v>
      </c>
      <c r="BH126" s="41" t="str">
        <f t="shared" si="312"/>
        <v>S</v>
      </c>
      <c r="BI126" s="41"/>
    </row>
    <row r="127">
      <c r="A127" s="21" t="s">
        <v>768</v>
      </c>
      <c r="B127" s="21" t="s">
        <v>444</v>
      </c>
      <c r="C127" s="21" t="s">
        <v>1310</v>
      </c>
      <c r="D127" s="18" t="s">
        <v>190</v>
      </c>
      <c r="E127" s="18" t="s">
        <v>190</v>
      </c>
      <c r="F127" s="18" t="s">
        <v>192</v>
      </c>
      <c r="G127" s="20" t="s">
        <v>1311</v>
      </c>
      <c r="H127" s="42" t="s">
        <v>479</v>
      </c>
      <c r="I127" s="26">
        <v>11.0</v>
      </c>
      <c r="J127" s="26" t="str">
        <f t="shared" si="291"/>
        <v>R</v>
      </c>
      <c r="K127" s="26">
        <v>26.0</v>
      </c>
      <c r="L127" s="26" t="str">
        <f t="shared" si="292"/>
        <v>S</v>
      </c>
      <c r="M127" s="26">
        <v>17.0</v>
      </c>
      <c r="N127" s="26" t="str">
        <f t="shared" si="293"/>
        <v>R</v>
      </c>
      <c r="O127" s="32" t="s">
        <v>357</v>
      </c>
      <c r="P127" s="32" t="s">
        <v>357</v>
      </c>
      <c r="Q127" s="26">
        <v>26.0</v>
      </c>
      <c r="R127" s="26" t="str">
        <f t="shared" si="294"/>
        <v>S</v>
      </c>
      <c r="S127" s="26">
        <v>25.0</v>
      </c>
      <c r="T127" s="26" t="str">
        <f t="shared" si="295"/>
        <v>S</v>
      </c>
      <c r="U127" s="26">
        <v>26.0</v>
      </c>
      <c r="V127" s="26" t="str">
        <f t="shared" si="296"/>
        <v>S</v>
      </c>
      <c r="W127" s="32" t="s">
        <v>299</v>
      </c>
      <c r="X127" s="33">
        <v>29.0</v>
      </c>
      <c r="Y127" s="33" t="str">
        <f t="shared" si="297"/>
        <v>S</v>
      </c>
      <c r="Z127" s="33">
        <v>25.0</v>
      </c>
      <c r="AA127" s="33" t="str">
        <f t="shared" si="298"/>
        <v>S</v>
      </c>
      <c r="AB127" s="33">
        <v>30.0</v>
      </c>
      <c r="AC127" s="33" t="str">
        <f t="shared" si="299"/>
        <v>S</v>
      </c>
      <c r="AD127" s="33">
        <v>27.0</v>
      </c>
      <c r="AE127" s="33" t="str">
        <f t="shared" si="300"/>
        <v>S</v>
      </c>
      <c r="AF127" s="33">
        <v>34.0</v>
      </c>
      <c r="AG127" s="33" t="str">
        <f t="shared" si="301"/>
        <v>S</v>
      </c>
      <c r="AH127" s="33" t="s">
        <v>300</v>
      </c>
      <c r="AI127" s="36">
        <v>30.0</v>
      </c>
      <c r="AJ127" s="36" t="str">
        <f t="shared" si="302"/>
        <v>S</v>
      </c>
      <c r="AK127" s="36">
        <v>30.0</v>
      </c>
      <c r="AL127" s="36" t="str">
        <f t="shared" si="303"/>
        <v>S</v>
      </c>
      <c r="AM127" s="36">
        <v>21.0</v>
      </c>
      <c r="AN127" s="36" t="str">
        <f t="shared" si="304"/>
        <v>S</v>
      </c>
      <c r="AO127" s="36" t="s">
        <v>300</v>
      </c>
      <c r="AP127" s="37">
        <v>29.0</v>
      </c>
      <c r="AQ127" s="37" t="str">
        <f t="shared" si="305"/>
        <v>S</v>
      </c>
      <c r="AR127" s="33">
        <v>23.0</v>
      </c>
      <c r="AS127" s="33" t="str">
        <f t="shared" si="306"/>
        <v>S</v>
      </c>
      <c r="AT127" s="33">
        <v>22.0</v>
      </c>
      <c r="AU127" s="33" t="str">
        <f t="shared" si="307"/>
        <v>S</v>
      </c>
      <c r="AV127" s="33" t="s">
        <v>300</v>
      </c>
      <c r="AW127" s="26">
        <v>13.0</v>
      </c>
      <c r="AX127" s="26" t="str">
        <f t="shared" si="308"/>
        <v>R</v>
      </c>
      <c r="AY127" s="37">
        <v>34.0</v>
      </c>
      <c r="AZ127" s="37" t="str">
        <f t="shared" si="309"/>
        <v>S</v>
      </c>
      <c r="BA127" s="36">
        <v>32.0</v>
      </c>
      <c r="BB127" s="36" t="str">
        <f t="shared" si="310"/>
        <v>S</v>
      </c>
      <c r="BC127" s="39" t="s">
        <v>357</v>
      </c>
      <c r="BD127" s="39" t="s">
        <v>357</v>
      </c>
      <c r="BE127" s="36">
        <v>28.0</v>
      </c>
      <c r="BF127" s="36" t="str">
        <f t="shared" si="311"/>
        <v>S</v>
      </c>
      <c r="BG127" s="40">
        <v>23.0</v>
      </c>
      <c r="BH127" s="41" t="str">
        <f t="shared" si="312"/>
        <v>S</v>
      </c>
      <c r="BI127" s="41"/>
    </row>
    <row r="128">
      <c r="A128" s="21" t="s">
        <v>768</v>
      </c>
      <c r="B128" s="23">
        <v>83.0</v>
      </c>
      <c r="C128" s="21" t="s">
        <v>1312</v>
      </c>
      <c r="D128" s="18" t="s">
        <v>571</v>
      </c>
      <c r="E128" s="18" t="s">
        <v>572</v>
      </c>
      <c r="F128" s="18" t="s">
        <v>192</v>
      </c>
      <c r="G128" s="20" t="s">
        <v>1313</v>
      </c>
      <c r="H128" s="42" t="s">
        <v>479</v>
      </c>
      <c r="I128" s="26">
        <v>6.0</v>
      </c>
      <c r="J128" s="26" t="str">
        <f t="shared" si="291"/>
        <v>R</v>
      </c>
      <c r="K128" s="26">
        <v>24.0</v>
      </c>
      <c r="L128" s="26" t="str">
        <f t="shared" si="292"/>
        <v>S</v>
      </c>
      <c r="M128" s="26">
        <v>6.0</v>
      </c>
      <c r="N128" s="26" t="str">
        <f t="shared" si="293"/>
        <v>R</v>
      </c>
      <c r="O128" s="32" t="s">
        <v>357</v>
      </c>
      <c r="P128" s="32" t="s">
        <v>357</v>
      </c>
      <c r="Q128" s="26">
        <v>14.0</v>
      </c>
      <c r="R128" s="26" t="str">
        <f t="shared" si="294"/>
        <v>R</v>
      </c>
      <c r="S128" s="26">
        <v>27.0</v>
      </c>
      <c r="T128" s="26" t="str">
        <f t="shared" si="295"/>
        <v>S</v>
      </c>
      <c r="U128" s="26">
        <v>29.0</v>
      </c>
      <c r="V128" s="26" t="str">
        <f t="shared" si="296"/>
        <v>S</v>
      </c>
      <c r="W128" s="32" t="s">
        <v>299</v>
      </c>
      <c r="X128" s="33">
        <v>6.0</v>
      </c>
      <c r="Y128" s="33" t="str">
        <f t="shared" si="297"/>
        <v>R</v>
      </c>
      <c r="Z128" s="33">
        <v>26.0</v>
      </c>
      <c r="AA128" s="33" t="str">
        <f t="shared" si="298"/>
        <v>S</v>
      </c>
      <c r="AB128" s="33">
        <v>22.0</v>
      </c>
      <c r="AC128" s="33" t="str">
        <f t="shared" si="299"/>
        <v>S</v>
      </c>
      <c r="AD128" s="33">
        <v>28.0</v>
      </c>
      <c r="AE128" s="33" t="str">
        <f t="shared" si="300"/>
        <v>S</v>
      </c>
      <c r="AF128" s="33">
        <v>25.0</v>
      </c>
      <c r="AG128" s="33" t="str">
        <f t="shared" si="301"/>
        <v>I</v>
      </c>
      <c r="AH128" s="33" t="s">
        <v>299</v>
      </c>
      <c r="AI128" s="36">
        <v>22.0</v>
      </c>
      <c r="AJ128" s="36" t="str">
        <f t="shared" si="302"/>
        <v>I</v>
      </c>
      <c r="AK128" s="36">
        <v>22.0</v>
      </c>
      <c r="AL128" s="36" t="str">
        <f t="shared" si="303"/>
        <v>I</v>
      </c>
      <c r="AM128" s="36">
        <v>20.0</v>
      </c>
      <c r="AN128" s="36" t="str">
        <f t="shared" si="304"/>
        <v>S</v>
      </c>
      <c r="AO128" s="36" t="s">
        <v>300</v>
      </c>
      <c r="AP128" s="37">
        <v>28.0</v>
      </c>
      <c r="AQ128" s="37" t="str">
        <f t="shared" si="305"/>
        <v>S</v>
      </c>
      <c r="AR128" s="33">
        <v>20.0</v>
      </c>
      <c r="AS128" s="33" t="str">
        <f t="shared" si="306"/>
        <v>S</v>
      </c>
      <c r="AT128" s="33">
        <v>22.0</v>
      </c>
      <c r="AU128" s="33" t="str">
        <f t="shared" si="307"/>
        <v>S</v>
      </c>
      <c r="AV128" s="33" t="s">
        <v>300</v>
      </c>
      <c r="AW128" s="26">
        <v>17.0</v>
      </c>
      <c r="AX128" s="26" t="str">
        <f t="shared" si="308"/>
        <v>R</v>
      </c>
      <c r="AY128" s="37">
        <v>22.0</v>
      </c>
      <c r="AZ128" s="37" t="str">
        <f t="shared" si="309"/>
        <v>I</v>
      </c>
      <c r="BA128" s="36">
        <v>29.0</v>
      </c>
      <c r="BB128" s="36" t="str">
        <f t="shared" si="310"/>
        <v>S</v>
      </c>
      <c r="BC128" s="39" t="s">
        <v>357</v>
      </c>
      <c r="BD128" s="39" t="s">
        <v>357</v>
      </c>
      <c r="BE128" s="36">
        <v>30.0</v>
      </c>
      <c r="BF128" s="36" t="str">
        <f t="shared" si="311"/>
        <v>S</v>
      </c>
      <c r="BG128" s="40">
        <v>21.0</v>
      </c>
      <c r="BH128" s="41" t="str">
        <f t="shared" si="312"/>
        <v>S</v>
      </c>
      <c r="BI128" s="41"/>
    </row>
    <row r="129">
      <c r="A129" s="21" t="s">
        <v>768</v>
      </c>
      <c r="B129" s="21" t="s">
        <v>444</v>
      </c>
      <c r="C129" s="21" t="s">
        <v>1314</v>
      </c>
      <c r="D129" s="18" t="s">
        <v>571</v>
      </c>
      <c r="E129" s="18" t="s">
        <v>572</v>
      </c>
      <c r="F129" s="18" t="s">
        <v>192</v>
      </c>
      <c r="G129" s="20" t="s">
        <v>1315</v>
      </c>
      <c r="H129" s="42" t="s">
        <v>479</v>
      </c>
      <c r="I129" s="26">
        <v>12.0</v>
      </c>
      <c r="J129" s="26" t="str">
        <f t="shared" si="291"/>
        <v>R</v>
      </c>
      <c r="K129" s="26">
        <v>27.0</v>
      </c>
      <c r="L129" s="26" t="str">
        <f t="shared" si="292"/>
        <v>S</v>
      </c>
      <c r="M129" s="26">
        <v>18.0</v>
      </c>
      <c r="N129" s="26" t="str">
        <f t="shared" si="293"/>
        <v>R</v>
      </c>
      <c r="O129" s="32" t="s">
        <v>357</v>
      </c>
      <c r="P129" s="32" t="s">
        <v>357</v>
      </c>
      <c r="Q129" s="26">
        <v>25.0</v>
      </c>
      <c r="R129" s="26" t="str">
        <f t="shared" si="294"/>
        <v>S</v>
      </c>
      <c r="S129" s="26">
        <v>28.0</v>
      </c>
      <c r="T129" s="26" t="str">
        <f t="shared" si="295"/>
        <v>S</v>
      </c>
      <c r="U129" s="26">
        <v>29.0</v>
      </c>
      <c r="V129" s="26" t="str">
        <f t="shared" si="296"/>
        <v>S</v>
      </c>
      <c r="W129" s="32" t="s">
        <v>299</v>
      </c>
      <c r="X129" s="33">
        <v>30.0</v>
      </c>
      <c r="Y129" s="33" t="str">
        <f t="shared" si="297"/>
        <v>S</v>
      </c>
      <c r="Z129" s="33">
        <v>28.0</v>
      </c>
      <c r="AA129" s="33" t="str">
        <f t="shared" si="298"/>
        <v>S</v>
      </c>
      <c r="AB129" s="33">
        <v>30.0</v>
      </c>
      <c r="AC129" s="33" t="str">
        <f t="shared" si="299"/>
        <v>S</v>
      </c>
      <c r="AD129" s="33">
        <v>30.0</v>
      </c>
      <c r="AE129" s="33" t="str">
        <f t="shared" si="300"/>
        <v>S</v>
      </c>
      <c r="AF129" s="33">
        <v>36.0</v>
      </c>
      <c r="AG129" s="33" t="str">
        <f t="shared" si="301"/>
        <v>S</v>
      </c>
      <c r="AH129" s="33" t="s">
        <v>300</v>
      </c>
      <c r="AI129" s="36">
        <v>30.0</v>
      </c>
      <c r="AJ129" s="36" t="str">
        <f t="shared" si="302"/>
        <v>S</v>
      </c>
      <c r="AK129" s="36">
        <v>29.0</v>
      </c>
      <c r="AL129" s="36" t="str">
        <f t="shared" si="303"/>
        <v>S</v>
      </c>
      <c r="AM129" s="36">
        <v>22.0</v>
      </c>
      <c r="AN129" s="36" t="str">
        <f t="shared" si="304"/>
        <v>S</v>
      </c>
      <c r="AO129" s="36" t="s">
        <v>300</v>
      </c>
      <c r="AP129" s="37">
        <v>19.0</v>
      </c>
      <c r="AQ129" s="37" t="str">
        <f t="shared" si="305"/>
        <v>S</v>
      </c>
      <c r="AR129" s="33">
        <v>22.0</v>
      </c>
      <c r="AS129" s="33" t="str">
        <f t="shared" si="306"/>
        <v>S</v>
      </c>
      <c r="AT129" s="33">
        <v>23.0</v>
      </c>
      <c r="AU129" s="33" t="str">
        <f t="shared" si="307"/>
        <v>S</v>
      </c>
      <c r="AV129" s="33" t="s">
        <v>300</v>
      </c>
      <c r="AW129" s="26">
        <v>17.0</v>
      </c>
      <c r="AX129" s="26" t="str">
        <f t="shared" si="308"/>
        <v>R</v>
      </c>
      <c r="AY129" s="37">
        <v>38.0</v>
      </c>
      <c r="AZ129" s="37" t="str">
        <f t="shared" si="309"/>
        <v>S</v>
      </c>
      <c r="BA129" s="36">
        <v>31.0</v>
      </c>
      <c r="BB129" s="36" t="str">
        <f t="shared" si="310"/>
        <v>S</v>
      </c>
      <c r="BC129" s="39" t="s">
        <v>357</v>
      </c>
      <c r="BD129" s="39" t="s">
        <v>357</v>
      </c>
      <c r="BE129" s="36">
        <v>30.0</v>
      </c>
      <c r="BF129" s="36" t="str">
        <f t="shared" si="311"/>
        <v>S</v>
      </c>
      <c r="BG129" s="40">
        <v>22.0</v>
      </c>
      <c r="BH129" s="41" t="str">
        <f t="shared" si="312"/>
        <v>S</v>
      </c>
      <c r="BI129" s="41"/>
    </row>
    <row r="130">
      <c r="A130" s="21" t="s">
        <v>768</v>
      </c>
      <c r="B130" s="21" t="s">
        <v>444</v>
      </c>
      <c r="C130" s="21" t="s">
        <v>1316</v>
      </c>
      <c r="D130" s="18" t="s">
        <v>571</v>
      </c>
      <c r="E130" s="18" t="s">
        <v>572</v>
      </c>
      <c r="F130" s="18" t="s">
        <v>192</v>
      </c>
      <c r="G130" s="20" t="s">
        <v>1317</v>
      </c>
      <c r="H130" s="59" t="s">
        <v>1092</v>
      </c>
      <c r="I130" s="26">
        <v>29.0</v>
      </c>
      <c r="J130" s="26" t="str">
        <f t="shared" si="291"/>
        <v>S</v>
      </c>
      <c r="K130" s="26">
        <v>27.0</v>
      </c>
      <c r="L130" s="26" t="str">
        <f t="shared" si="292"/>
        <v>S</v>
      </c>
      <c r="M130" s="26">
        <v>32.0</v>
      </c>
      <c r="N130" s="26" t="str">
        <f t="shared" si="293"/>
        <v>S</v>
      </c>
      <c r="O130" s="32" t="s">
        <v>357</v>
      </c>
      <c r="P130" s="32" t="s">
        <v>357</v>
      </c>
      <c r="Q130" s="26">
        <v>25.0</v>
      </c>
      <c r="R130" s="26" t="str">
        <f t="shared" si="294"/>
        <v>S</v>
      </c>
      <c r="S130" s="26">
        <v>28.0</v>
      </c>
      <c r="T130" s="26" t="str">
        <f t="shared" si="295"/>
        <v>S</v>
      </c>
      <c r="U130" s="26">
        <v>27.0</v>
      </c>
      <c r="V130" s="26" t="str">
        <f t="shared" si="296"/>
        <v>S</v>
      </c>
      <c r="W130" s="32" t="s">
        <v>300</v>
      </c>
      <c r="X130" s="33">
        <v>27.0</v>
      </c>
      <c r="Y130" s="33" t="str">
        <f t="shared" si="297"/>
        <v>S</v>
      </c>
      <c r="Z130" s="33">
        <v>30.0</v>
      </c>
      <c r="AA130" s="33" t="str">
        <f t="shared" si="298"/>
        <v>S</v>
      </c>
      <c r="AB130" s="33">
        <v>29.0</v>
      </c>
      <c r="AC130" s="33" t="str">
        <f t="shared" si="299"/>
        <v>S</v>
      </c>
      <c r="AD130" s="33">
        <v>29.0</v>
      </c>
      <c r="AE130" s="33" t="str">
        <f t="shared" si="300"/>
        <v>S</v>
      </c>
      <c r="AF130" s="33">
        <v>33.0</v>
      </c>
      <c r="AG130" s="33" t="str">
        <f t="shared" si="301"/>
        <v>S</v>
      </c>
      <c r="AH130" s="33" t="s">
        <v>300</v>
      </c>
      <c r="AI130" s="36">
        <v>31.0</v>
      </c>
      <c r="AJ130" s="36" t="str">
        <f t="shared" si="302"/>
        <v>S</v>
      </c>
      <c r="AK130" s="36">
        <v>27.0</v>
      </c>
      <c r="AL130" s="36" t="str">
        <f t="shared" si="303"/>
        <v>S</v>
      </c>
      <c r="AM130" s="36">
        <v>19.0</v>
      </c>
      <c r="AN130" s="36" t="str">
        <f t="shared" si="304"/>
        <v>S</v>
      </c>
      <c r="AO130" s="36" t="s">
        <v>300</v>
      </c>
      <c r="AP130" s="37">
        <v>30.0</v>
      </c>
      <c r="AQ130" s="37" t="str">
        <f t="shared" si="305"/>
        <v>S</v>
      </c>
      <c r="AR130" s="33">
        <v>22.0</v>
      </c>
      <c r="AS130" s="33" t="str">
        <f t="shared" si="306"/>
        <v>S</v>
      </c>
      <c r="AT130" s="33">
        <v>22.0</v>
      </c>
      <c r="AU130" s="33" t="str">
        <f t="shared" si="307"/>
        <v>S</v>
      </c>
      <c r="AV130" s="33" t="s">
        <v>300</v>
      </c>
      <c r="AW130" s="26">
        <v>15.0</v>
      </c>
      <c r="AX130" s="26" t="str">
        <f t="shared" si="308"/>
        <v>R</v>
      </c>
      <c r="AY130" s="37">
        <v>36.0</v>
      </c>
      <c r="AZ130" s="37" t="str">
        <f t="shared" si="309"/>
        <v>S</v>
      </c>
      <c r="BA130" s="36">
        <v>34.0</v>
      </c>
      <c r="BB130" s="36" t="str">
        <f t="shared" si="310"/>
        <v>S</v>
      </c>
      <c r="BC130" s="39" t="s">
        <v>357</v>
      </c>
      <c r="BD130" s="39" t="s">
        <v>357</v>
      </c>
      <c r="BE130" s="36">
        <v>33.0</v>
      </c>
      <c r="BF130" s="36" t="str">
        <f t="shared" si="311"/>
        <v>S</v>
      </c>
      <c r="BG130" s="40">
        <v>22.0</v>
      </c>
      <c r="BH130" s="41" t="str">
        <f t="shared" si="312"/>
        <v>S</v>
      </c>
      <c r="BI130" s="41"/>
    </row>
    <row r="131">
      <c r="A131" s="21" t="s">
        <v>768</v>
      </c>
      <c r="B131" s="23">
        <v>84.0</v>
      </c>
      <c r="C131" s="21" t="s">
        <v>1318</v>
      </c>
      <c r="D131" s="18" t="s">
        <v>705</v>
      </c>
      <c r="E131" s="18" t="s">
        <v>572</v>
      </c>
      <c r="F131" s="18" t="s">
        <v>573</v>
      </c>
      <c r="G131" s="20" t="s">
        <v>357</v>
      </c>
      <c r="H131" s="47" t="s">
        <v>357</v>
      </c>
      <c r="I131" s="32" t="s">
        <v>357</v>
      </c>
      <c r="J131" s="32" t="s">
        <v>357</v>
      </c>
      <c r="K131" s="32" t="s">
        <v>357</v>
      </c>
      <c r="L131" s="32" t="s">
        <v>357</v>
      </c>
      <c r="M131" s="32" t="s">
        <v>357</v>
      </c>
      <c r="N131" s="32" t="s">
        <v>357</v>
      </c>
      <c r="O131" s="32" t="s">
        <v>357</v>
      </c>
      <c r="P131" s="32" t="s">
        <v>357</v>
      </c>
      <c r="Q131" s="32" t="s">
        <v>357</v>
      </c>
      <c r="R131" s="32" t="s">
        <v>357</v>
      </c>
      <c r="S131" s="32" t="s">
        <v>357</v>
      </c>
      <c r="T131" s="32" t="s">
        <v>357</v>
      </c>
      <c r="U131" s="32" t="s">
        <v>357</v>
      </c>
      <c r="V131" s="32" t="s">
        <v>357</v>
      </c>
      <c r="W131" s="32" t="s">
        <v>357</v>
      </c>
      <c r="X131" s="49" t="s">
        <v>357</v>
      </c>
      <c r="Y131" s="49" t="s">
        <v>357</v>
      </c>
      <c r="Z131" s="49" t="s">
        <v>357</v>
      </c>
      <c r="AA131" s="49" t="s">
        <v>357</v>
      </c>
      <c r="AB131" s="49" t="s">
        <v>357</v>
      </c>
      <c r="AC131" s="49" t="s">
        <v>357</v>
      </c>
      <c r="AD131" s="49" t="s">
        <v>357</v>
      </c>
      <c r="AE131" s="49" t="s">
        <v>357</v>
      </c>
      <c r="AF131" s="49" t="s">
        <v>357</v>
      </c>
      <c r="AG131" s="49" t="s">
        <v>357</v>
      </c>
      <c r="AH131" s="49" t="s">
        <v>357</v>
      </c>
      <c r="AI131" s="39" t="s">
        <v>357</v>
      </c>
      <c r="AJ131" s="39" t="s">
        <v>357</v>
      </c>
      <c r="AK131" s="39" t="s">
        <v>357</v>
      </c>
      <c r="AL131" s="39" t="s">
        <v>357</v>
      </c>
      <c r="AM131" s="39" t="s">
        <v>357</v>
      </c>
      <c r="AN131" s="39" t="s">
        <v>357</v>
      </c>
      <c r="AO131" s="39" t="s">
        <v>357</v>
      </c>
      <c r="AP131" s="50" t="s">
        <v>357</v>
      </c>
      <c r="AQ131" s="50" t="s">
        <v>357</v>
      </c>
      <c r="AR131" s="49" t="s">
        <v>357</v>
      </c>
      <c r="AS131" s="49" t="s">
        <v>357</v>
      </c>
      <c r="AT131" s="49" t="s">
        <v>357</v>
      </c>
      <c r="AU131" s="49" t="s">
        <v>357</v>
      </c>
      <c r="AV131" s="49" t="s">
        <v>357</v>
      </c>
      <c r="AW131" s="32" t="s">
        <v>357</v>
      </c>
      <c r="AX131" s="32" t="s">
        <v>357</v>
      </c>
      <c r="AY131" s="50" t="s">
        <v>357</v>
      </c>
      <c r="AZ131" s="50" t="s">
        <v>357</v>
      </c>
      <c r="BA131" s="39" t="s">
        <v>357</v>
      </c>
      <c r="BB131" s="39" t="s">
        <v>357</v>
      </c>
      <c r="BC131" s="39" t="s">
        <v>357</v>
      </c>
      <c r="BD131" s="39" t="s">
        <v>357</v>
      </c>
      <c r="BE131" s="39" t="s">
        <v>357</v>
      </c>
      <c r="BF131" s="39" t="s">
        <v>357</v>
      </c>
      <c r="BG131" s="41" t="s">
        <v>357</v>
      </c>
      <c r="BH131" s="41" t="s">
        <v>357</v>
      </c>
      <c r="BI131" s="41"/>
    </row>
    <row r="132">
      <c r="A132" s="21" t="s">
        <v>768</v>
      </c>
      <c r="B132" s="23">
        <v>85.0</v>
      </c>
      <c r="C132" s="21" t="s">
        <v>1319</v>
      </c>
      <c r="D132" s="18" t="s">
        <v>182</v>
      </c>
      <c r="E132" s="18" t="s">
        <v>103</v>
      </c>
      <c r="F132" s="18" t="s">
        <v>192</v>
      </c>
      <c r="G132" s="20" t="s">
        <v>1320</v>
      </c>
      <c r="H132" s="22" t="s">
        <v>198</v>
      </c>
      <c r="I132" s="26">
        <v>6.0</v>
      </c>
      <c r="J132" s="26" t="str">
        <f t="shared" ref="J132:J140" si="313">IF((I132&gt;=19),"S",IF(AND(I132&lt;19),"R", "NA"))</f>
        <v>R</v>
      </c>
      <c r="K132" s="26">
        <v>27.0</v>
      </c>
      <c r="L132" s="26" t="str">
        <f t="shared" ref="L132:L140" si="314">IF((K132&gt;=19),"S",IF(AND(K132&lt;19),"R", "NA"))</f>
        <v>S</v>
      </c>
      <c r="M132" s="26">
        <v>6.0</v>
      </c>
      <c r="N132" s="26" t="str">
        <f t="shared" ref="N132:N140" si="315">IF((M132&gt;=23),"S",IF(AND(M132&lt;23),"R","NA"))</f>
        <v>R</v>
      </c>
      <c r="O132" s="32" t="s">
        <v>357</v>
      </c>
      <c r="P132" s="32" t="s">
        <v>357</v>
      </c>
      <c r="Q132" s="26">
        <v>11.0</v>
      </c>
      <c r="R132" s="26" t="str">
        <f t="shared" ref="R132:R140" si="316">IF((Q132&gt;=20),"S",IF(AND(Q132&lt;20),"R", "NA"))</f>
        <v>R</v>
      </c>
      <c r="S132" s="26">
        <v>26.0</v>
      </c>
      <c r="T132" s="26" t="str">
        <f t="shared" ref="T132:T140" si="317">IF((S132&gt;=20),"S",IF(AND(S132&lt;20),"R", "NA"))</f>
        <v>S</v>
      </c>
      <c r="U132" s="26">
        <v>27.0</v>
      </c>
      <c r="V132" s="26" t="str">
        <f t="shared" ref="V132:V140" si="318">IF((U132&gt;=20),"S",IF(AND(U132&lt;20,U132&gt;=17),"I",IF(AND(U132&lt;17),"R","NA")))</f>
        <v>S</v>
      </c>
      <c r="W132" s="32" t="s">
        <v>299</v>
      </c>
      <c r="X132" s="33">
        <v>6.0</v>
      </c>
      <c r="Y132" s="33" t="str">
        <f t="shared" ref="Y132:Y140" si="319">IF((X132&gt;=20),"S",IF(AND(X132&lt;20,X132&gt;=17),"I",IF(AND(X132&lt;17),"R","NA")))</f>
        <v>R</v>
      </c>
      <c r="Z132" s="33">
        <v>22.0</v>
      </c>
      <c r="AA132" s="33" t="str">
        <f t="shared" ref="AA132:AA140" si="320">IF((Z132&gt;=18),"S",IF(AND(Z132&lt;18),"R", "NA"))</f>
        <v>S</v>
      </c>
      <c r="AB132" s="33">
        <v>18.0</v>
      </c>
      <c r="AC132" s="33" t="str">
        <f t="shared" ref="AC132:AC140" si="321">IF((AB132&gt;=22),"S",IF(AND(AB132&lt;22,AB132&gt;=19),"I",IF(AND(AB132&lt;19),"R","NA")))</f>
        <v>R</v>
      </c>
      <c r="AD132" s="33">
        <v>30.0</v>
      </c>
      <c r="AE132" s="33" t="str">
        <f t="shared" ref="AE132:AE140" si="322">IF((AD132&gt;=13),"S",IF(AND(AD132&lt;13),"R", "NA"))</f>
        <v>S</v>
      </c>
      <c r="AF132" s="33">
        <v>22.0</v>
      </c>
      <c r="AG132" s="33" t="str">
        <f t="shared" ref="AG132:AG140" si="323">IF((AF132&gt;=27),"S",IF(AND(AF132&lt;27,AF132&gt;=24),"I",IF(AND(AF132&lt;24),"R","NA")))</f>
        <v>R</v>
      </c>
      <c r="AH132" s="33" t="s">
        <v>299</v>
      </c>
      <c r="AI132" s="36">
        <v>18.0</v>
      </c>
      <c r="AJ132" s="36" t="str">
        <f t="shared" ref="AJ132:AJ140" si="324">IF((AI132&gt;=25),"S",IF(AND(AI132&lt;25,AI132&gt;=22),"I",IF(AND(AI132&lt;22),"R","NA")))</f>
        <v>R</v>
      </c>
      <c r="AK132" s="36">
        <v>15.0</v>
      </c>
      <c r="AL132" s="36" t="str">
        <f t="shared" ref="AL132:AL140" si="325">IF((AK132&gt;=23),"S",IF(AND(AK132&lt;23,AK132&gt;=19),"I",IF(AND(AK132&lt;19),"R","NA")))</f>
        <v>R</v>
      </c>
      <c r="AM132" s="36">
        <v>6.0</v>
      </c>
      <c r="AN132" s="36" t="str">
        <f t="shared" ref="AN132:AN140" si="326">IF((AM132&gt;=14),"S",IF(AND(AM132&lt;14),"R","NA"))</f>
        <v>R</v>
      </c>
      <c r="AO132" s="36" t="s">
        <v>299</v>
      </c>
      <c r="AP132" s="37">
        <v>34.0</v>
      </c>
      <c r="AQ132" s="37" t="str">
        <f t="shared" ref="AQ132:AQ140" si="327">IF((AP132&gt;=14),"S",IF(AND(AP132&lt;14,AP132&gt;=11),"I",IF(AND(AP132&lt;11),"R","NA")))</f>
        <v>S</v>
      </c>
      <c r="AR132" s="33">
        <v>22.0</v>
      </c>
      <c r="AS132" s="33" t="str">
        <f t="shared" ref="AS132:AS140" si="328">IF((AR132&gt;=18),"S",IF(AND(AR132&lt;18),"R", "NA"))</f>
        <v>S</v>
      </c>
      <c r="AT132" s="33">
        <v>24.0</v>
      </c>
      <c r="AU132" s="33" t="str">
        <f t="shared" ref="AU132:AU140" si="329">IF((AT132&gt;=16),"S",IF(AND(AT132&lt;16),"R", "NA"))</f>
        <v>S</v>
      </c>
      <c r="AV132" s="33" t="s">
        <v>300</v>
      </c>
      <c r="AW132" s="26">
        <v>19.0</v>
      </c>
      <c r="AX132" s="26" t="str">
        <f t="shared" ref="AX132:AX140" si="330">IF((AW132&gt;=20),"S",IF(AND(AW132&lt;20),"R", "NA"))</f>
        <v>R</v>
      </c>
      <c r="AY132" s="37">
        <v>16.0</v>
      </c>
      <c r="AZ132" s="37" t="str">
        <f t="shared" ref="AZ132:AZ140" si="331">IF((AY132&gt;=26),"S",IF(AND(AY132&lt;26,AY132&gt;=21),"I",IF(AND(AY132&lt;21),"R","NA")))</f>
        <v>R</v>
      </c>
      <c r="BA132" s="36">
        <v>30.0</v>
      </c>
      <c r="BB132" s="36" t="str">
        <f t="shared" ref="BB132:BB140" si="332">IF((BA132&gt;=23),"S",IF(AND(BA132&lt;23),"R","NA"))</f>
        <v>S</v>
      </c>
      <c r="BC132" s="39" t="s">
        <v>357</v>
      </c>
      <c r="BD132" s="39" t="s">
        <v>357</v>
      </c>
      <c r="BE132" s="36">
        <v>31.0</v>
      </c>
      <c r="BF132" s="36" t="str">
        <f t="shared" ref="BF132:BF140" si="333">IF((BE132&gt;=22),"S",IF(AND(BE132&lt;22,BE132&gt;=19),"I",IF(AND(BE132&lt;19),"R","NA")))</f>
        <v>S</v>
      </c>
      <c r="BG132" s="40">
        <v>22.0</v>
      </c>
      <c r="BH132" s="41" t="str">
        <f t="shared" ref="BH132:BH140" si="334">IF((BG132&gt;=17),"S",IF(AND(BG132&lt;17),"R", "NA"))</f>
        <v>S</v>
      </c>
      <c r="BI132" s="41"/>
    </row>
    <row r="133">
      <c r="A133" s="21" t="s">
        <v>768</v>
      </c>
      <c r="B133" s="21" t="s">
        <v>444</v>
      </c>
      <c r="C133" s="21" t="s">
        <v>1321</v>
      </c>
      <c r="D133" s="18" t="s">
        <v>182</v>
      </c>
      <c r="E133" s="18" t="s">
        <v>103</v>
      </c>
      <c r="F133" s="18" t="s">
        <v>192</v>
      </c>
      <c r="G133" s="20" t="s">
        <v>1322</v>
      </c>
      <c r="H133" s="42" t="s">
        <v>479</v>
      </c>
      <c r="I133" s="26">
        <v>6.0</v>
      </c>
      <c r="J133" s="26" t="str">
        <f t="shared" si="313"/>
        <v>R</v>
      </c>
      <c r="K133" s="26">
        <v>21.0</v>
      </c>
      <c r="L133" s="26" t="str">
        <f t="shared" si="314"/>
        <v>S</v>
      </c>
      <c r="M133" s="26">
        <v>6.0</v>
      </c>
      <c r="N133" s="26" t="str">
        <f t="shared" si="315"/>
        <v>R</v>
      </c>
      <c r="O133" s="32" t="s">
        <v>357</v>
      </c>
      <c r="P133" s="32" t="s">
        <v>357</v>
      </c>
      <c r="Q133" s="26">
        <v>15.0</v>
      </c>
      <c r="R133" s="26" t="str">
        <f t="shared" si="316"/>
        <v>R</v>
      </c>
      <c r="S133" s="26">
        <v>27.0</v>
      </c>
      <c r="T133" s="26" t="str">
        <f t="shared" si="317"/>
        <v>S</v>
      </c>
      <c r="U133" s="26">
        <v>22.0</v>
      </c>
      <c r="V133" s="26" t="str">
        <f t="shared" si="318"/>
        <v>S</v>
      </c>
      <c r="W133" s="32" t="s">
        <v>299</v>
      </c>
      <c r="X133" s="33">
        <v>10.0</v>
      </c>
      <c r="Y133" s="33" t="str">
        <f t="shared" si="319"/>
        <v>R</v>
      </c>
      <c r="Z133" s="33">
        <v>26.0</v>
      </c>
      <c r="AA133" s="33" t="str">
        <f t="shared" si="320"/>
        <v>S</v>
      </c>
      <c r="AB133" s="33">
        <v>20.0</v>
      </c>
      <c r="AC133" s="33" t="str">
        <f t="shared" si="321"/>
        <v>I</v>
      </c>
      <c r="AD133" s="33">
        <v>30.0</v>
      </c>
      <c r="AE133" s="33" t="str">
        <f t="shared" si="322"/>
        <v>S</v>
      </c>
      <c r="AF133" s="33">
        <v>26.0</v>
      </c>
      <c r="AG133" s="33" t="str">
        <f t="shared" si="323"/>
        <v>I</v>
      </c>
      <c r="AH133" s="33" t="s">
        <v>299</v>
      </c>
      <c r="AI133" s="36">
        <v>25.0</v>
      </c>
      <c r="AJ133" s="36" t="str">
        <f t="shared" si="324"/>
        <v>S</v>
      </c>
      <c r="AK133" s="36">
        <v>19.0</v>
      </c>
      <c r="AL133" s="36" t="str">
        <f t="shared" si="325"/>
        <v>I</v>
      </c>
      <c r="AM133" s="36">
        <v>22.0</v>
      </c>
      <c r="AN133" s="36" t="str">
        <f t="shared" si="326"/>
        <v>S</v>
      </c>
      <c r="AO133" s="36" t="s">
        <v>300</v>
      </c>
      <c r="AP133" s="37">
        <v>6.0</v>
      </c>
      <c r="AQ133" s="37" t="str">
        <f t="shared" si="327"/>
        <v>R</v>
      </c>
      <c r="AR133" s="33">
        <v>23.0</v>
      </c>
      <c r="AS133" s="33" t="str">
        <f t="shared" si="328"/>
        <v>S</v>
      </c>
      <c r="AT133" s="33">
        <v>24.0</v>
      </c>
      <c r="AU133" s="33" t="str">
        <f t="shared" si="329"/>
        <v>S</v>
      </c>
      <c r="AV133" s="33" t="s">
        <v>300</v>
      </c>
      <c r="AW133" s="26">
        <v>18.0</v>
      </c>
      <c r="AX133" s="26" t="str">
        <f t="shared" si="330"/>
        <v>R</v>
      </c>
      <c r="AY133" s="37">
        <v>21.0</v>
      </c>
      <c r="AZ133" s="37" t="str">
        <f t="shared" si="331"/>
        <v>I</v>
      </c>
      <c r="BA133" s="36">
        <v>33.0</v>
      </c>
      <c r="BB133" s="36" t="str">
        <f t="shared" si="332"/>
        <v>S</v>
      </c>
      <c r="BC133" s="39" t="s">
        <v>357</v>
      </c>
      <c r="BD133" s="39" t="s">
        <v>357</v>
      </c>
      <c r="BE133" s="36">
        <v>30.0</v>
      </c>
      <c r="BF133" s="36" t="str">
        <f t="shared" si="333"/>
        <v>S</v>
      </c>
      <c r="BG133" s="40">
        <v>23.0</v>
      </c>
      <c r="BH133" s="41" t="str">
        <f t="shared" si="334"/>
        <v>S</v>
      </c>
      <c r="BI133" s="41"/>
    </row>
    <row r="134">
      <c r="A134" s="21" t="s">
        <v>768</v>
      </c>
      <c r="B134" s="21" t="s">
        <v>444</v>
      </c>
      <c r="C134" s="21" t="s">
        <v>1323</v>
      </c>
      <c r="D134" s="18" t="s">
        <v>182</v>
      </c>
      <c r="E134" s="18" t="s">
        <v>103</v>
      </c>
      <c r="F134" s="18" t="s">
        <v>192</v>
      </c>
      <c r="G134" s="20" t="s">
        <v>1324</v>
      </c>
      <c r="H134" s="22" t="s">
        <v>198</v>
      </c>
      <c r="I134" s="26">
        <v>24.0</v>
      </c>
      <c r="J134" s="26" t="str">
        <f t="shared" si="313"/>
        <v>S</v>
      </c>
      <c r="K134" s="26">
        <v>27.0</v>
      </c>
      <c r="L134" s="26" t="str">
        <f t="shared" si="314"/>
        <v>S</v>
      </c>
      <c r="M134" s="26">
        <v>32.0</v>
      </c>
      <c r="N134" s="26" t="str">
        <f t="shared" si="315"/>
        <v>S</v>
      </c>
      <c r="O134" s="32" t="s">
        <v>357</v>
      </c>
      <c r="P134" s="32" t="s">
        <v>357</v>
      </c>
      <c r="Q134" s="26">
        <v>30.0</v>
      </c>
      <c r="R134" s="26" t="str">
        <f t="shared" si="316"/>
        <v>S</v>
      </c>
      <c r="S134" s="26">
        <v>29.0</v>
      </c>
      <c r="T134" s="26" t="str">
        <f t="shared" si="317"/>
        <v>S</v>
      </c>
      <c r="U134" s="26">
        <v>27.0</v>
      </c>
      <c r="V134" s="26" t="str">
        <f t="shared" si="318"/>
        <v>S</v>
      </c>
      <c r="W134" s="32" t="s">
        <v>300</v>
      </c>
      <c r="X134" s="33">
        <v>30.0</v>
      </c>
      <c r="Y134" s="33" t="str">
        <f t="shared" si="319"/>
        <v>S</v>
      </c>
      <c r="Z134" s="33">
        <v>28.0</v>
      </c>
      <c r="AA134" s="33" t="str">
        <f t="shared" si="320"/>
        <v>S</v>
      </c>
      <c r="AB134" s="33">
        <v>30.0</v>
      </c>
      <c r="AC134" s="33" t="str">
        <f t="shared" si="321"/>
        <v>S</v>
      </c>
      <c r="AD134" s="33">
        <v>31.0</v>
      </c>
      <c r="AE134" s="33" t="str">
        <f t="shared" si="322"/>
        <v>S</v>
      </c>
      <c r="AF134" s="33">
        <v>32.0</v>
      </c>
      <c r="AG134" s="33" t="str">
        <f t="shared" si="323"/>
        <v>S</v>
      </c>
      <c r="AH134" s="33" t="s">
        <v>300</v>
      </c>
      <c r="AI134" s="36">
        <v>38.0</v>
      </c>
      <c r="AJ134" s="36" t="str">
        <f t="shared" si="324"/>
        <v>S</v>
      </c>
      <c r="AK134" s="36">
        <v>36.0</v>
      </c>
      <c r="AL134" s="36" t="str">
        <f t="shared" si="325"/>
        <v>S</v>
      </c>
      <c r="AM134" s="36">
        <v>27.0</v>
      </c>
      <c r="AN134" s="36" t="str">
        <f t="shared" si="326"/>
        <v>S</v>
      </c>
      <c r="AO134" s="36" t="s">
        <v>300</v>
      </c>
      <c r="AP134" s="37">
        <v>31.0</v>
      </c>
      <c r="AQ134" s="37" t="str">
        <f t="shared" si="327"/>
        <v>S</v>
      </c>
      <c r="AR134" s="33">
        <v>22.0</v>
      </c>
      <c r="AS134" s="33" t="str">
        <f t="shared" si="328"/>
        <v>S</v>
      </c>
      <c r="AT134" s="33">
        <v>20.0</v>
      </c>
      <c r="AU134" s="33" t="str">
        <f t="shared" si="329"/>
        <v>S</v>
      </c>
      <c r="AV134" s="33" t="s">
        <v>300</v>
      </c>
      <c r="AW134" s="26">
        <v>25.0</v>
      </c>
      <c r="AX134" s="26" t="str">
        <f t="shared" si="330"/>
        <v>S</v>
      </c>
      <c r="AY134" s="37">
        <v>35.0</v>
      </c>
      <c r="AZ134" s="37" t="str">
        <f t="shared" si="331"/>
        <v>S</v>
      </c>
      <c r="BA134" s="36">
        <v>33.0</v>
      </c>
      <c r="BB134" s="36" t="str">
        <f t="shared" si="332"/>
        <v>S</v>
      </c>
      <c r="BC134" s="39" t="s">
        <v>357</v>
      </c>
      <c r="BD134" s="39" t="s">
        <v>357</v>
      </c>
      <c r="BE134" s="36">
        <v>30.0</v>
      </c>
      <c r="BF134" s="36" t="str">
        <f t="shared" si="333"/>
        <v>S</v>
      </c>
      <c r="BG134" s="40">
        <v>20.0</v>
      </c>
      <c r="BH134" s="41" t="str">
        <f t="shared" si="334"/>
        <v>S</v>
      </c>
      <c r="BI134" s="41"/>
    </row>
    <row r="135">
      <c r="A135" s="21" t="s">
        <v>768</v>
      </c>
      <c r="B135" s="21" t="s">
        <v>444</v>
      </c>
      <c r="C135" s="21" t="s">
        <v>1325</v>
      </c>
      <c r="D135" s="18" t="s">
        <v>182</v>
      </c>
      <c r="E135" s="18" t="s">
        <v>103</v>
      </c>
      <c r="F135" s="18" t="s">
        <v>192</v>
      </c>
      <c r="G135" s="20" t="s">
        <v>1326</v>
      </c>
      <c r="H135" s="57" t="s">
        <v>765</v>
      </c>
      <c r="I135" s="26">
        <v>10.0</v>
      </c>
      <c r="J135" s="26" t="str">
        <f t="shared" si="313"/>
        <v>R</v>
      </c>
      <c r="K135" s="26">
        <v>29.0</v>
      </c>
      <c r="L135" s="26" t="str">
        <f t="shared" si="314"/>
        <v>S</v>
      </c>
      <c r="M135" s="26">
        <v>16.0</v>
      </c>
      <c r="N135" s="26" t="str">
        <f t="shared" si="315"/>
        <v>R</v>
      </c>
      <c r="O135" s="32" t="s">
        <v>357</v>
      </c>
      <c r="P135" s="32" t="s">
        <v>357</v>
      </c>
      <c r="Q135" s="26">
        <v>27.0</v>
      </c>
      <c r="R135" s="26" t="str">
        <f t="shared" si="316"/>
        <v>S</v>
      </c>
      <c r="S135" s="26">
        <v>25.0</v>
      </c>
      <c r="T135" s="26" t="str">
        <f t="shared" si="317"/>
        <v>S</v>
      </c>
      <c r="U135" s="26">
        <v>26.0</v>
      </c>
      <c r="V135" s="26" t="str">
        <f t="shared" si="318"/>
        <v>S</v>
      </c>
      <c r="W135" s="32" t="s">
        <v>299</v>
      </c>
      <c r="X135" s="33">
        <v>30.0</v>
      </c>
      <c r="Y135" s="33" t="str">
        <f t="shared" si="319"/>
        <v>S</v>
      </c>
      <c r="Z135" s="33">
        <v>25.0</v>
      </c>
      <c r="AA135" s="33" t="str">
        <f t="shared" si="320"/>
        <v>S</v>
      </c>
      <c r="AB135" s="33">
        <v>28.0</v>
      </c>
      <c r="AC135" s="33" t="str">
        <f t="shared" si="321"/>
        <v>S</v>
      </c>
      <c r="AD135" s="33">
        <v>28.0</v>
      </c>
      <c r="AE135" s="33" t="str">
        <f t="shared" si="322"/>
        <v>S</v>
      </c>
      <c r="AF135" s="33">
        <v>31.0</v>
      </c>
      <c r="AG135" s="33" t="str">
        <f t="shared" si="323"/>
        <v>S</v>
      </c>
      <c r="AH135" s="33" t="s">
        <v>300</v>
      </c>
      <c r="AI135" s="36">
        <v>28.0</v>
      </c>
      <c r="AJ135" s="36" t="str">
        <f t="shared" si="324"/>
        <v>S</v>
      </c>
      <c r="AK135" s="36">
        <v>30.0</v>
      </c>
      <c r="AL135" s="36" t="str">
        <f t="shared" si="325"/>
        <v>S</v>
      </c>
      <c r="AM135" s="36">
        <v>25.0</v>
      </c>
      <c r="AN135" s="36" t="str">
        <f t="shared" si="326"/>
        <v>S</v>
      </c>
      <c r="AO135" s="36" t="s">
        <v>300</v>
      </c>
      <c r="AP135" s="37">
        <v>29.0</v>
      </c>
      <c r="AQ135" s="37" t="str">
        <f t="shared" si="327"/>
        <v>S</v>
      </c>
      <c r="AR135" s="33">
        <v>21.0</v>
      </c>
      <c r="AS135" s="33" t="str">
        <f t="shared" si="328"/>
        <v>S</v>
      </c>
      <c r="AT135" s="33">
        <v>20.0</v>
      </c>
      <c r="AU135" s="33" t="str">
        <f t="shared" si="329"/>
        <v>S</v>
      </c>
      <c r="AV135" s="33" t="s">
        <v>300</v>
      </c>
      <c r="AW135" s="26">
        <v>26.0</v>
      </c>
      <c r="AX135" s="26" t="str">
        <f t="shared" si="330"/>
        <v>S</v>
      </c>
      <c r="AY135" s="37">
        <v>30.0</v>
      </c>
      <c r="AZ135" s="37" t="str">
        <f t="shared" si="331"/>
        <v>S</v>
      </c>
      <c r="BA135" s="36">
        <v>31.0</v>
      </c>
      <c r="BB135" s="36" t="str">
        <f t="shared" si="332"/>
        <v>S</v>
      </c>
      <c r="BC135" s="39" t="s">
        <v>357</v>
      </c>
      <c r="BD135" s="39" t="s">
        <v>357</v>
      </c>
      <c r="BE135" s="36">
        <v>28.0</v>
      </c>
      <c r="BF135" s="36" t="str">
        <f t="shared" si="333"/>
        <v>S</v>
      </c>
      <c r="BG135" s="40">
        <v>20.0</v>
      </c>
      <c r="BH135" s="41" t="str">
        <f t="shared" si="334"/>
        <v>S</v>
      </c>
      <c r="BI135" s="41"/>
    </row>
    <row r="136">
      <c r="A136" s="21" t="s">
        <v>768</v>
      </c>
      <c r="B136" s="23">
        <v>86.0</v>
      </c>
      <c r="C136" s="21" t="s">
        <v>1327</v>
      </c>
      <c r="D136" s="18" t="s">
        <v>555</v>
      </c>
      <c r="E136" s="18" t="s">
        <v>103</v>
      </c>
      <c r="F136" s="18" t="s">
        <v>192</v>
      </c>
      <c r="G136" s="20" t="s">
        <v>1328</v>
      </c>
      <c r="H136" s="22" t="s">
        <v>198</v>
      </c>
      <c r="I136" s="26">
        <v>6.0</v>
      </c>
      <c r="J136" s="26" t="str">
        <f t="shared" si="313"/>
        <v>R</v>
      </c>
      <c r="K136" s="26">
        <v>23.0</v>
      </c>
      <c r="L136" s="26" t="str">
        <f t="shared" si="314"/>
        <v>S</v>
      </c>
      <c r="M136" s="26">
        <v>6.0</v>
      </c>
      <c r="N136" s="26" t="str">
        <f t="shared" si="315"/>
        <v>R</v>
      </c>
      <c r="O136" s="32" t="s">
        <v>357</v>
      </c>
      <c r="P136" s="32" t="s">
        <v>357</v>
      </c>
      <c r="Q136" s="26">
        <v>10.0</v>
      </c>
      <c r="R136" s="26" t="str">
        <f t="shared" si="316"/>
        <v>R</v>
      </c>
      <c r="S136" s="26">
        <v>26.0</v>
      </c>
      <c r="T136" s="26" t="str">
        <f t="shared" si="317"/>
        <v>S</v>
      </c>
      <c r="U136" s="26">
        <v>25.0</v>
      </c>
      <c r="V136" s="26" t="str">
        <f t="shared" si="318"/>
        <v>S</v>
      </c>
      <c r="W136" s="32" t="s">
        <v>299</v>
      </c>
      <c r="X136" s="33">
        <v>6.0</v>
      </c>
      <c r="Y136" s="33" t="str">
        <f t="shared" si="319"/>
        <v>R</v>
      </c>
      <c r="Z136" s="33">
        <v>26.0</v>
      </c>
      <c r="AA136" s="33" t="str">
        <f t="shared" si="320"/>
        <v>S</v>
      </c>
      <c r="AB136" s="33">
        <v>19.0</v>
      </c>
      <c r="AC136" s="33" t="str">
        <f t="shared" si="321"/>
        <v>I</v>
      </c>
      <c r="AD136" s="33">
        <v>29.0</v>
      </c>
      <c r="AE136" s="33" t="str">
        <f t="shared" si="322"/>
        <v>S</v>
      </c>
      <c r="AF136" s="33">
        <v>24.0</v>
      </c>
      <c r="AG136" s="33" t="str">
        <f t="shared" si="323"/>
        <v>I</v>
      </c>
      <c r="AH136" s="33" t="s">
        <v>299</v>
      </c>
      <c r="AI136" s="36">
        <v>26.0</v>
      </c>
      <c r="AJ136" s="36" t="str">
        <f t="shared" si="324"/>
        <v>S</v>
      </c>
      <c r="AK136" s="36">
        <v>23.0</v>
      </c>
      <c r="AL136" s="36" t="str">
        <f t="shared" si="325"/>
        <v>S</v>
      </c>
      <c r="AM136" s="36">
        <v>18.0</v>
      </c>
      <c r="AN136" s="36" t="str">
        <f t="shared" si="326"/>
        <v>S</v>
      </c>
      <c r="AO136" s="36" t="s">
        <v>300</v>
      </c>
      <c r="AP136" s="37">
        <v>6.0</v>
      </c>
      <c r="AQ136" s="37" t="str">
        <f t="shared" si="327"/>
        <v>R</v>
      </c>
      <c r="AR136" s="33">
        <v>22.0</v>
      </c>
      <c r="AS136" s="33" t="str">
        <f t="shared" si="328"/>
        <v>S</v>
      </c>
      <c r="AT136" s="33">
        <v>22.0</v>
      </c>
      <c r="AU136" s="33" t="str">
        <f t="shared" si="329"/>
        <v>S</v>
      </c>
      <c r="AV136" s="33" t="s">
        <v>300</v>
      </c>
      <c r="AW136" s="26">
        <v>8.0</v>
      </c>
      <c r="AX136" s="26" t="str">
        <f t="shared" si="330"/>
        <v>R</v>
      </c>
      <c r="AY136" s="37">
        <v>18.0</v>
      </c>
      <c r="AZ136" s="37" t="str">
        <f t="shared" si="331"/>
        <v>R</v>
      </c>
      <c r="BA136" s="36">
        <v>30.0</v>
      </c>
      <c r="BB136" s="36" t="str">
        <f t="shared" si="332"/>
        <v>S</v>
      </c>
      <c r="BC136" s="39" t="s">
        <v>357</v>
      </c>
      <c r="BD136" s="39" t="s">
        <v>357</v>
      </c>
      <c r="BE136" s="36">
        <v>30.0</v>
      </c>
      <c r="BF136" s="36" t="str">
        <f t="shared" si="333"/>
        <v>S</v>
      </c>
      <c r="BG136" s="40">
        <v>23.0</v>
      </c>
      <c r="BH136" s="41" t="str">
        <f t="shared" si="334"/>
        <v>S</v>
      </c>
      <c r="BI136" s="41"/>
    </row>
    <row r="137">
      <c r="A137" s="21" t="s">
        <v>768</v>
      </c>
      <c r="B137" s="21" t="s">
        <v>444</v>
      </c>
      <c r="C137" s="21" t="s">
        <v>1329</v>
      </c>
      <c r="D137" s="18" t="s">
        <v>555</v>
      </c>
      <c r="E137" s="18" t="s">
        <v>103</v>
      </c>
      <c r="F137" s="18" t="s">
        <v>192</v>
      </c>
      <c r="G137" s="20" t="s">
        <v>1330</v>
      </c>
      <c r="H137" s="42" t="s">
        <v>479</v>
      </c>
      <c r="I137" s="26">
        <v>6.0</v>
      </c>
      <c r="J137" s="26" t="str">
        <f t="shared" si="313"/>
        <v>R</v>
      </c>
      <c r="K137" s="26">
        <v>25.0</v>
      </c>
      <c r="L137" s="26" t="str">
        <f t="shared" si="314"/>
        <v>S</v>
      </c>
      <c r="M137" s="26">
        <v>6.0</v>
      </c>
      <c r="N137" s="26" t="str">
        <f t="shared" si="315"/>
        <v>R</v>
      </c>
      <c r="O137" s="32" t="s">
        <v>357</v>
      </c>
      <c r="P137" s="32" t="s">
        <v>357</v>
      </c>
      <c r="Q137" s="26">
        <v>13.0</v>
      </c>
      <c r="R137" s="26" t="str">
        <f t="shared" si="316"/>
        <v>R</v>
      </c>
      <c r="S137" s="26">
        <v>27.0</v>
      </c>
      <c r="T137" s="26" t="str">
        <f t="shared" si="317"/>
        <v>S</v>
      </c>
      <c r="U137" s="26">
        <v>32.0</v>
      </c>
      <c r="V137" s="26" t="str">
        <f t="shared" si="318"/>
        <v>S</v>
      </c>
      <c r="W137" s="32" t="s">
        <v>299</v>
      </c>
      <c r="X137" s="33">
        <v>6.0</v>
      </c>
      <c r="Y137" s="33" t="str">
        <f t="shared" si="319"/>
        <v>R</v>
      </c>
      <c r="Z137" s="33">
        <v>25.0</v>
      </c>
      <c r="AA137" s="33" t="str">
        <f t="shared" si="320"/>
        <v>S</v>
      </c>
      <c r="AB137" s="33">
        <v>30.0</v>
      </c>
      <c r="AC137" s="33" t="str">
        <f t="shared" si="321"/>
        <v>S</v>
      </c>
      <c r="AD137" s="33">
        <v>30.0</v>
      </c>
      <c r="AE137" s="33" t="str">
        <f t="shared" si="322"/>
        <v>S</v>
      </c>
      <c r="AF137" s="33">
        <v>25.0</v>
      </c>
      <c r="AG137" s="33" t="str">
        <f t="shared" si="323"/>
        <v>I</v>
      </c>
      <c r="AH137" s="33" t="s">
        <v>299</v>
      </c>
      <c r="AI137" s="36">
        <v>25.0</v>
      </c>
      <c r="AJ137" s="36" t="str">
        <f t="shared" si="324"/>
        <v>S</v>
      </c>
      <c r="AK137" s="36">
        <v>24.0</v>
      </c>
      <c r="AL137" s="36" t="str">
        <f t="shared" si="325"/>
        <v>S</v>
      </c>
      <c r="AM137" s="36">
        <v>17.0</v>
      </c>
      <c r="AN137" s="36" t="str">
        <f t="shared" si="326"/>
        <v>S</v>
      </c>
      <c r="AO137" s="36" t="s">
        <v>300</v>
      </c>
      <c r="AP137" s="37">
        <v>6.0</v>
      </c>
      <c r="AQ137" s="37" t="str">
        <f t="shared" si="327"/>
        <v>R</v>
      </c>
      <c r="AR137" s="33">
        <v>24.0</v>
      </c>
      <c r="AS137" s="33" t="str">
        <f t="shared" si="328"/>
        <v>S</v>
      </c>
      <c r="AT137" s="33">
        <v>25.0</v>
      </c>
      <c r="AU137" s="33" t="str">
        <f t="shared" si="329"/>
        <v>S</v>
      </c>
      <c r="AV137" s="33" t="s">
        <v>300</v>
      </c>
      <c r="AW137" s="26">
        <v>16.0</v>
      </c>
      <c r="AX137" s="26" t="str">
        <f t="shared" si="330"/>
        <v>R</v>
      </c>
      <c r="AY137" s="37">
        <v>25.0</v>
      </c>
      <c r="AZ137" s="37" t="str">
        <f t="shared" si="331"/>
        <v>I</v>
      </c>
      <c r="BA137" s="36">
        <v>32.0</v>
      </c>
      <c r="BB137" s="36" t="str">
        <f t="shared" si="332"/>
        <v>S</v>
      </c>
      <c r="BC137" s="39" t="s">
        <v>357</v>
      </c>
      <c r="BD137" s="39" t="s">
        <v>357</v>
      </c>
      <c r="BE137" s="36">
        <v>31.0</v>
      </c>
      <c r="BF137" s="36" t="str">
        <f t="shared" si="333"/>
        <v>S</v>
      </c>
      <c r="BG137" s="40">
        <v>24.0</v>
      </c>
      <c r="BH137" s="41" t="str">
        <f t="shared" si="334"/>
        <v>S</v>
      </c>
      <c r="BI137" s="41"/>
    </row>
    <row r="138">
      <c r="A138" s="21" t="s">
        <v>768</v>
      </c>
      <c r="B138" s="21" t="s">
        <v>444</v>
      </c>
      <c r="C138" s="21" t="s">
        <v>1331</v>
      </c>
      <c r="D138" s="18" t="s">
        <v>555</v>
      </c>
      <c r="E138" s="18" t="s">
        <v>103</v>
      </c>
      <c r="F138" s="18" t="s">
        <v>192</v>
      </c>
      <c r="G138" s="20" t="s">
        <v>1332</v>
      </c>
      <c r="H138" s="57" t="s">
        <v>765</v>
      </c>
      <c r="I138" s="26">
        <v>6.0</v>
      </c>
      <c r="J138" s="26" t="str">
        <f t="shared" si="313"/>
        <v>R</v>
      </c>
      <c r="K138" s="26">
        <v>25.0</v>
      </c>
      <c r="L138" s="26" t="str">
        <f t="shared" si="314"/>
        <v>S</v>
      </c>
      <c r="M138" s="26">
        <v>6.0</v>
      </c>
      <c r="N138" s="26" t="str">
        <f t="shared" si="315"/>
        <v>R</v>
      </c>
      <c r="O138" s="32" t="s">
        <v>357</v>
      </c>
      <c r="P138" s="32" t="s">
        <v>357</v>
      </c>
      <c r="Q138" s="26">
        <v>15.0</v>
      </c>
      <c r="R138" s="26" t="str">
        <f t="shared" si="316"/>
        <v>R</v>
      </c>
      <c r="S138" s="26">
        <v>29.0</v>
      </c>
      <c r="T138" s="26" t="str">
        <f t="shared" si="317"/>
        <v>S</v>
      </c>
      <c r="U138" s="26">
        <v>31.0</v>
      </c>
      <c r="V138" s="26" t="str">
        <f t="shared" si="318"/>
        <v>S</v>
      </c>
      <c r="W138" s="32" t="s">
        <v>299</v>
      </c>
      <c r="X138" s="33">
        <v>15.0</v>
      </c>
      <c r="Y138" s="33" t="str">
        <f t="shared" si="319"/>
        <v>R</v>
      </c>
      <c r="Z138" s="33">
        <v>29.0</v>
      </c>
      <c r="AA138" s="33" t="str">
        <f t="shared" si="320"/>
        <v>S</v>
      </c>
      <c r="AB138" s="33">
        <v>30.0</v>
      </c>
      <c r="AC138" s="33" t="str">
        <f t="shared" si="321"/>
        <v>S</v>
      </c>
      <c r="AD138" s="33">
        <v>34.0</v>
      </c>
      <c r="AE138" s="33" t="str">
        <f t="shared" si="322"/>
        <v>S</v>
      </c>
      <c r="AF138" s="33">
        <v>34.0</v>
      </c>
      <c r="AG138" s="33" t="str">
        <f t="shared" si="323"/>
        <v>S</v>
      </c>
      <c r="AH138" s="33" t="s">
        <v>299</v>
      </c>
      <c r="AI138" s="36">
        <v>32.0</v>
      </c>
      <c r="AJ138" s="36" t="str">
        <f t="shared" si="324"/>
        <v>S</v>
      </c>
      <c r="AK138" s="36">
        <v>30.0</v>
      </c>
      <c r="AL138" s="36" t="str">
        <f t="shared" si="325"/>
        <v>S</v>
      </c>
      <c r="AM138" s="36">
        <v>18.0</v>
      </c>
      <c r="AN138" s="36" t="str">
        <f t="shared" si="326"/>
        <v>S</v>
      </c>
      <c r="AO138" s="36" t="s">
        <v>300</v>
      </c>
      <c r="AP138" s="37">
        <v>6.0</v>
      </c>
      <c r="AQ138" s="37" t="str">
        <f t="shared" si="327"/>
        <v>R</v>
      </c>
      <c r="AR138" s="33">
        <v>24.0</v>
      </c>
      <c r="AS138" s="33" t="str">
        <f t="shared" si="328"/>
        <v>S</v>
      </c>
      <c r="AT138" s="33">
        <v>25.0</v>
      </c>
      <c r="AU138" s="33" t="str">
        <f t="shared" si="329"/>
        <v>S</v>
      </c>
      <c r="AV138" s="33" t="s">
        <v>300</v>
      </c>
      <c r="AW138" s="26">
        <v>15.0</v>
      </c>
      <c r="AX138" s="26" t="str">
        <f t="shared" si="330"/>
        <v>R</v>
      </c>
      <c r="AY138" s="37">
        <v>30.0</v>
      </c>
      <c r="AZ138" s="37" t="str">
        <f t="shared" si="331"/>
        <v>S</v>
      </c>
      <c r="BA138" s="36">
        <v>34.0</v>
      </c>
      <c r="BB138" s="36" t="str">
        <f t="shared" si="332"/>
        <v>S</v>
      </c>
      <c r="BC138" s="39" t="s">
        <v>357</v>
      </c>
      <c r="BD138" s="39" t="s">
        <v>357</v>
      </c>
      <c r="BE138" s="36">
        <v>34.0</v>
      </c>
      <c r="BF138" s="36" t="str">
        <f t="shared" si="333"/>
        <v>S</v>
      </c>
      <c r="BG138" s="40">
        <v>24.0</v>
      </c>
      <c r="BH138" s="41" t="str">
        <f t="shared" si="334"/>
        <v>S</v>
      </c>
      <c r="BI138" s="41"/>
    </row>
    <row r="139">
      <c r="A139" s="51" t="s">
        <v>403</v>
      </c>
      <c r="B139" s="53">
        <v>87.0</v>
      </c>
      <c r="C139" s="51" t="s">
        <v>822</v>
      </c>
      <c r="D139" s="18" t="s">
        <v>571</v>
      </c>
      <c r="E139" s="18" t="s">
        <v>572</v>
      </c>
      <c r="F139" s="18" t="s">
        <v>192</v>
      </c>
      <c r="G139" s="20" t="s">
        <v>823</v>
      </c>
      <c r="H139" s="22" t="s">
        <v>198</v>
      </c>
      <c r="I139" s="26">
        <v>6.0</v>
      </c>
      <c r="J139" s="26" t="str">
        <f t="shared" si="313"/>
        <v>R</v>
      </c>
      <c r="K139" s="26">
        <v>16.0</v>
      </c>
      <c r="L139" s="26" t="str">
        <f t="shared" si="314"/>
        <v>R</v>
      </c>
      <c r="M139" s="26">
        <v>6.0</v>
      </c>
      <c r="N139" s="26" t="str">
        <f t="shared" si="315"/>
        <v>R</v>
      </c>
      <c r="O139" s="32" t="s">
        <v>357</v>
      </c>
      <c r="P139" s="32" t="s">
        <v>357</v>
      </c>
      <c r="Q139" s="26">
        <v>9.0</v>
      </c>
      <c r="R139" s="26" t="str">
        <f t="shared" si="316"/>
        <v>R</v>
      </c>
      <c r="S139" s="26">
        <v>22.0</v>
      </c>
      <c r="T139" s="26" t="str">
        <f t="shared" si="317"/>
        <v>S</v>
      </c>
      <c r="U139" s="26">
        <v>28.0</v>
      </c>
      <c r="V139" s="26" t="str">
        <f t="shared" si="318"/>
        <v>S</v>
      </c>
      <c r="W139" s="32" t="s">
        <v>299</v>
      </c>
      <c r="X139" s="33">
        <v>6.0</v>
      </c>
      <c r="Y139" s="33" t="str">
        <f t="shared" si="319"/>
        <v>R</v>
      </c>
      <c r="Z139" s="33">
        <v>26.0</v>
      </c>
      <c r="AA139" s="33" t="str">
        <f t="shared" si="320"/>
        <v>S</v>
      </c>
      <c r="AB139" s="33">
        <v>20.0</v>
      </c>
      <c r="AC139" s="33" t="str">
        <f t="shared" si="321"/>
        <v>I</v>
      </c>
      <c r="AD139" s="33">
        <v>6.0</v>
      </c>
      <c r="AE139" s="33" t="str">
        <f t="shared" si="322"/>
        <v>R</v>
      </c>
      <c r="AF139" s="33">
        <v>22.0</v>
      </c>
      <c r="AG139" s="33" t="str">
        <f t="shared" si="323"/>
        <v>R</v>
      </c>
      <c r="AH139" s="33" t="s">
        <v>299</v>
      </c>
      <c r="AI139" s="36">
        <v>16.0</v>
      </c>
      <c r="AJ139" s="36" t="str">
        <f t="shared" si="324"/>
        <v>R</v>
      </c>
      <c r="AK139" s="36">
        <v>22.0</v>
      </c>
      <c r="AL139" s="36" t="str">
        <f t="shared" si="325"/>
        <v>I</v>
      </c>
      <c r="AM139" s="36">
        <v>18.0</v>
      </c>
      <c r="AN139" s="36" t="str">
        <f t="shared" si="326"/>
        <v>S</v>
      </c>
      <c r="AO139" s="36" t="s">
        <v>299</v>
      </c>
      <c r="AP139" s="37">
        <v>6.0</v>
      </c>
      <c r="AQ139" s="37" t="str">
        <f t="shared" si="327"/>
        <v>R</v>
      </c>
      <c r="AR139" s="33">
        <v>17.0</v>
      </c>
      <c r="AS139" s="33" t="str">
        <f t="shared" si="328"/>
        <v>R</v>
      </c>
      <c r="AT139" s="33">
        <v>10.0</v>
      </c>
      <c r="AU139" s="33" t="str">
        <f t="shared" si="329"/>
        <v>R</v>
      </c>
      <c r="AV139" s="33" t="s">
        <v>299</v>
      </c>
      <c r="AW139" s="26">
        <v>6.0</v>
      </c>
      <c r="AX139" s="26" t="str">
        <f t="shared" si="330"/>
        <v>R</v>
      </c>
      <c r="AY139" s="37">
        <v>17.0</v>
      </c>
      <c r="AZ139" s="37" t="str">
        <f t="shared" si="331"/>
        <v>R</v>
      </c>
      <c r="BA139" s="36">
        <v>29.0</v>
      </c>
      <c r="BB139" s="36" t="str">
        <f t="shared" si="332"/>
        <v>S</v>
      </c>
      <c r="BC139" s="39" t="s">
        <v>357</v>
      </c>
      <c r="BD139" s="39" t="s">
        <v>357</v>
      </c>
      <c r="BE139" s="36">
        <v>30.0</v>
      </c>
      <c r="BF139" s="36" t="str">
        <f t="shared" si="333"/>
        <v>S</v>
      </c>
      <c r="BG139" s="40">
        <v>6.0</v>
      </c>
      <c r="BH139" s="41" t="str">
        <f t="shared" si="334"/>
        <v>R</v>
      </c>
      <c r="BI139" s="41"/>
    </row>
    <row r="140">
      <c r="A140" s="51" t="s">
        <v>403</v>
      </c>
      <c r="B140" s="51" t="s">
        <v>444</v>
      </c>
      <c r="C140" s="51" t="s">
        <v>830</v>
      </c>
      <c r="D140" s="18" t="s">
        <v>571</v>
      </c>
      <c r="E140" s="18" t="s">
        <v>572</v>
      </c>
      <c r="F140" s="18" t="s">
        <v>192</v>
      </c>
      <c r="G140" s="20" t="s">
        <v>831</v>
      </c>
      <c r="H140" s="42" t="s">
        <v>479</v>
      </c>
      <c r="I140" s="26">
        <v>6.0</v>
      </c>
      <c r="J140" s="26" t="str">
        <f t="shared" si="313"/>
        <v>R</v>
      </c>
      <c r="K140" s="26">
        <v>18.0</v>
      </c>
      <c r="L140" s="26" t="str">
        <f t="shared" si="314"/>
        <v>R</v>
      </c>
      <c r="M140" s="26">
        <v>6.0</v>
      </c>
      <c r="N140" s="26" t="str">
        <f t="shared" si="315"/>
        <v>R</v>
      </c>
      <c r="O140" s="32" t="s">
        <v>357</v>
      </c>
      <c r="P140" s="32" t="s">
        <v>357</v>
      </c>
      <c r="Q140" s="26">
        <v>10.0</v>
      </c>
      <c r="R140" s="26" t="str">
        <f t="shared" si="316"/>
        <v>R</v>
      </c>
      <c r="S140" s="26">
        <v>23.0</v>
      </c>
      <c r="T140" s="26" t="str">
        <f t="shared" si="317"/>
        <v>S</v>
      </c>
      <c r="U140" s="26">
        <v>27.0</v>
      </c>
      <c r="V140" s="26" t="str">
        <f t="shared" si="318"/>
        <v>S</v>
      </c>
      <c r="W140" s="32" t="s">
        <v>299</v>
      </c>
      <c r="X140" s="33">
        <v>6.0</v>
      </c>
      <c r="Y140" s="33" t="str">
        <f t="shared" si="319"/>
        <v>R</v>
      </c>
      <c r="Z140" s="33">
        <v>28.0</v>
      </c>
      <c r="AA140" s="33" t="str">
        <f t="shared" si="320"/>
        <v>S</v>
      </c>
      <c r="AB140" s="33">
        <v>21.0</v>
      </c>
      <c r="AC140" s="33" t="str">
        <f t="shared" si="321"/>
        <v>I</v>
      </c>
      <c r="AD140" s="33">
        <v>29.0</v>
      </c>
      <c r="AE140" s="33" t="str">
        <f t="shared" si="322"/>
        <v>S</v>
      </c>
      <c r="AF140" s="33">
        <v>23.0</v>
      </c>
      <c r="AG140" s="33" t="str">
        <f t="shared" si="323"/>
        <v>R</v>
      </c>
      <c r="AH140" s="33" t="s">
        <v>299</v>
      </c>
      <c r="AI140" s="36">
        <v>16.0</v>
      </c>
      <c r="AJ140" s="36" t="str">
        <f t="shared" si="324"/>
        <v>R</v>
      </c>
      <c r="AK140" s="36">
        <v>21.0</v>
      </c>
      <c r="AL140" s="36" t="str">
        <f t="shared" si="325"/>
        <v>I</v>
      </c>
      <c r="AM140" s="36">
        <v>17.0</v>
      </c>
      <c r="AN140" s="36" t="str">
        <f t="shared" si="326"/>
        <v>S</v>
      </c>
      <c r="AO140" s="36" t="s">
        <v>299</v>
      </c>
      <c r="AP140" s="37">
        <v>6.0</v>
      </c>
      <c r="AQ140" s="37" t="str">
        <f t="shared" si="327"/>
        <v>R</v>
      </c>
      <c r="AR140" s="33">
        <v>17.0</v>
      </c>
      <c r="AS140" s="33" t="str">
        <f t="shared" si="328"/>
        <v>R</v>
      </c>
      <c r="AT140" s="33">
        <v>10.0</v>
      </c>
      <c r="AU140" s="33" t="str">
        <f t="shared" si="329"/>
        <v>R</v>
      </c>
      <c r="AV140" s="33" t="s">
        <v>299</v>
      </c>
      <c r="AW140" s="26">
        <v>6.0</v>
      </c>
      <c r="AX140" s="26" t="str">
        <f t="shared" si="330"/>
        <v>R</v>
      </c>
      <c r="AY140" s="37">
        <v>18.0</v>
      </c>
      <c r="AZ140" s="37" t="str">
        <f t="shared" si="331"/>
        <v>R</v>
      </c>
      <c r="BA140" s="36">
        <v>30.0</v>
      </c>
      <c r="BB140" s="36" t="str">
        <f t="shared" si="332"/>
        <v>S</v>
      </c>
      <c r="BC140" s="39" t="s">
        <v>357</v>
      </c>
      <c r="BD140" s="39" t="s">
        <v>357</v>
      </c>
      <c r="BE140" s="36">
        <v>30.0</v>
      </c>
      <c r="BF140" s="36" t="str">
        <f t="shared" si="333"/>
        <v>S</v>
      </c>
      <c r="BG140" s="40">
        <v>6.0</v>
      </c>
      <c r="BH140" s="41" t="str">
        <f t="shared" si="334"/>
        <v>R</v>
      </c>
      <c r="BI140" s="41"/>
    </row>
    <row r="141">
      <c r="A141" s="51" t="s">
        <v>403</v>
      </c>
      <c r="B141" s="53">
        <v>88.0</v>
      </c>
      <c r="C141" s="51" t="s">
        <v>837</v>
      </c>
      <c r="D141" s="18" t="s">
        <v>705</v>
      </c>
      <c r="E141" s="18" t="s">
        <v>572</v>
      </c>
      <c r="F141" s="18" t="s">
        <v>573</v>
      </c>
      <c r="G141" s="20" t="s">
        <v>357</v>
      </c>
      <c r="H141" s="47" t="s">
        <v>357</v>
      </c>
      <c r="I141" s="32" t="s">
        <v>357</v>
      </c>
      <c r="J141" s="32" t="s">
        <v>357</v>
      </c>
      <c r="K141" s="32" t="s">
        <v>357</v>
      </c>
      <c r="L141" s="32" t="s">
        <v>357</v>
      </c>
      <c r="M141" s="32" t="s">
        <v>357</v>
      </c>
      <c r="N141" s="32" t="s">
        <v>357</v>
      </c>
      <c r="O141" s="32" t="s">
        <v>357</v>
      </c>
      <c r="P141" s="32" t="s">
        <v>357</v>
      </c>
      <c r="Q141" s="32" t="s">
        <v>357</v>
      </c>
      <c r="R141" s="32" t="s">
        <v>357</v>
      </c>
      <c r="S141" s="32" t="s">
        <v>357</v>
      </c>
      <c r="T141" s="32" t="s">
        <v>357</v>
      </c>
      <c r="U141" s="32" t="s">
        <v>357</v>
      </c>
      <c r="V141" s="32" t="s">
        <v>357</v>
      </c>
      <c r="W141" s="32" t="s">
        <v>357</v>
      </c>
      <c r="X141" s="49" t="s">
        <v>357</v>
      </c>
      <c r="Y141" s="49" t="s">
        <v>357</v>
      </c>
      <c r="Z141" s="49" t="s">
        <v>357</v>
      </c>
      <c r="AA141" s="49" t="s">
        <v>357</v>
      </c>
      <c r="AB141" s="49" t="s">
        <v>357</v>
      </c>
      <c r="AC141" s="49" t="s">
        <v>357</v>
      </c>
      <c r="AD141" s="49" t="s">
        <v>357</v>
      </c>
      <c r="AE141" s="49" t="s">
        <v>357</v>
      </c>
      <c r="AF141" s="49" t="s">
        <v>357</v>
      </c>
      <c r="AG141" s="49" t="s">
        <v>357</v>
      </c>
      <c r="AH141" s="49" t="s">
        <v>357</v>
      </c>
      <c r="AI141" s="39" t="s">
        <v>357</v>
      </c>
      <c r="AJ141" s="39" t="s">
        <v>357</v>
      </c>
      <c r="AK141" s="39" t="s">
        <v>357</v>
      </c>
      <c r="AL141" s="39" t="s">
        <v>357</v>
      </c>
      <c r="AM141" s="39" t="s">
        <v>357</v>
      </c>
      <c r="AN141" s="39" t="s">
        <v>357</v>
      </c>
      <c r="AO141" s="39" t="s">
        <v>357</v>
      </c>
      <c r="AP141" s="50" t="s">
        <v>357</v>
      </c>
      <c r="AQ141" s="50" t="s">
        <v>357</v>
      </c>
      <c r="AR141" s="49" t="s">
        <v>357</v>
      </c>
      <c r="AS141" s="49" t="s">
        <v>357</v>
      </c>
      <c r="AT141" s="49" t="s">
        <v>357</v>
      </c>
      <c r="AU141" s="49" t="s">
        <v>357</v>
      </c>
      <c r="AV141" s="49" t="s">
        <v>357</v>
      </c>
      <c r="AW141" s="32" t="s">
        <v>357</v>
      </c>
      <c r="AX141" s="32" t="s">
        <v>357</v>
      </c>
      <c r="AY141" s="50" t="s">
        <v>357</v>
      </c>
      <c r="AZ141" s="50" t="s">
        <v>357</v>
      </c>
      <c r="BA141" s="39" t="s">
        <v>357</v>
      </c>
      <c r="BB141" s="39" t="s">
        <v>357</v>
      </c>
      <c r="BC141" s="39" t="s">
        <v>357</v>
      </c>
      <c r="BD141" s="39" t="s">
        <v>357</v>
      </c>
      <c r="BE141" s="39" t="s">
        <v>357</v>
      </c>
      <c r="BF141" s="39" t="s">
        <v>357</v>
      </c>
      <c r="BG141" s="41" t="s">
        <v>357</v>
      </c>
      <c r="BH141" s="41" t="s">
        <v>357</v>
      </c>
      <c r="BI141" s="41"/>
    </row>
    <row r="142">
      <c r="A142" s="21" t="s">
        <v>467</v>
      </c>
      <c r="B142" s="23">
        <v>89.0</v>
      </c>
      <c r="C142" s="21" t="s">
        <v>844</v>
      </c>
      <c r="D142" s="18" t="s">
        <v>190</v>
      </c>
      <c r="E142" s="18" t="s">
        <v>190</v>
      </c>
      <c r="F142" s="18" t="s">
        <v>192</v>
      </c>
      <c r="G142" s="20" t="s">
        <v>845</v>
      </c>
      <c r="H142" s="22" t="s">
        <v>198</v>
      </c>
      <c r="I142" s="26">
        <v>6.0</v>
      </c>
      <c r="J142" s="26" t="str">
        <f t="shared" ref="J142:J166" si="335">IF((I142&gt;=19),"S",IF(AND(I142&lt;19),"R", "NA"))</f>
        <v>R</v>
      </c>
      <c r="K142" s="26">
        <v>22.0</v>
      </c>
      <c r="L142" s="26" t="str">
        <f t="shared" ref="L142:L166" si="336">IF((K142&gt;=19),"S",IF(AND(K142&lt;19),"R", "NA"))</f>
        <v>S</v>
      </c>
      <c r="M142" s="26">
        <v>6.0</v>
      </c>
      <c r="N142" s="26" t="str">
        <f t="shared" ref="N142:N166" si="337">IF((M142&gt;=23),"S",IF(AND(M142&lt;23),"R","NA"))</f>
        <v>R</v>
      </c>
      <c r="O142" s="32" t="s">
        <v>357</v>
      </c>
      <c r="P142" s="32" t="s">
        <v>357</v>
      </c>
      <c r="Q142" s="26">
        <v>14.0</v>
      </c>
      <c r="R142" s="26" t="str">
        <f t="shared" ref="R142:R166" si="338">IF((Q142&gt;=20),"S",IF(AND(Q142&lt;20),"R", "NA"))</f>
        <v>R</v>
      </c>
      <c r="S142" s="26">
        <v>27.0</v>
      </c>
      <c r="T142" s="26" t="str">
        <f t="shared" ref="T142:T166" si="339">IF((S142&gt;=20),"S",IF(AND(S142&lt;20),"R", "NA"))</f>
        <v>S</v>
      </c>
      <c r="U142" s="26">
        <v>23.0</v>
      </c>
      <c r="V142" s="26" t="str">
        <f t="shared" ref="V142:V166" si="340">IF((U142&gt;=20),"S",IF(AND(U142&lt;20,U142&gt;=17),"I",IF(AND(U142&lt;17),"R","NA")))</f>
        <v>S</v>
      </c>
      <c r="W142" s="32" t="s">
        <v>299</v>
      </c>
      <c r="X142" s="33">
        <v>8.0</v>
      </c>
      <c r="Y142" s="33" t="str">
        <f t="shared" ref="Y142:Y166" si="341">IF((X142&gt;=20),"S",IF(AND(X142&lt;20,X142&gt;=17),"I",IF(AND(X142&lt;17),"R","NA")))</f>
        <v>R</v>
      </c>
      <c r="Z142" s="33">
        <v>26.0</v>
      </c>
      <c r="AA142" s="33" t="str">
        <f t="shared" ref="AA142:AA166" si="342">IF((Z142&gt;=18),"S",IF(AND(Z142&lt;18),"R", "NA"))</f>
        <v>S</v>
      </c>
      <c r="AB142" s="33">
        <v>19.0</v>
      </c>
      <c r="AC142" s="33" t="str">
        <f t="shared" ref="AC142:AC166" si="343">IF((AB142&gt;=22),"S",IF(AND(AB142&lt;22,AB142&gt;=19),"I",IF(AND(AB142&lt;19),"R","NA")))</f>
        <v>I</v>
      </c>
      <c r="AD142" s="33">
        <v>28.0</v>
      </c>
      <c r="AE142" s="33" t="str">
        <f t="shared" ref="AE142:AE166" si="344">IF((AD142&gt;=13),"S",IF(AND(AD142&lt;13),"R", "NA"))</f>
        <v>S</v>
      </c>
      <c r="AF142" s="33">
        <v>24.0</v>
      </c>
      <c r="AG142" s="33" t="str">
        <f t="shared" ref="AG142:AG166" si="345">IF((AF142&gt;=27),"S",IF(AND(AF142&lt;27,AF142&gt;=24),"I",IF(AND(AF142&lt;24),"R","NA")))</f>
        <v>I</v>
      </c>
      <c r="AH142" s="33" t="s">
        <v>299</v>
      </c>
      <c r="AI142" s="36">
        <v>25.0</v>
      </c>
      <c r="AJ142" s="36" t="str">
        <f t="shared" ref="AJ142:AJ166" si="346">IF((AI142&gt;=25),"S",IF(AND(AI142&lt;25,AI142&gt;=22),"I",IF(AND(AI142&lt;22),"R","NA")))</f>
        <v>S</v>
      </c>
      <c r="AK142" s="36">
        <v>23.0</v>
      </c>
      <c r="AL142" s="36" t="str">
        <f t="shared" ref="AL142:AL166" si="347">IF((AK142&gt;=23),"S",IF(AND(AK142&lt;23,AK142&gt;=19),"I",IF(AND(AK142&lt;19),"R","NA")))</f>
        <v>S</v>
      </c>
      <c r="AM142" s="36">
        <v>23.0</v>
      </c>
      <c r="AN142" s="36" t="str">
        <f t="shared" ref="AN142:AN166" si="348">IF((AM142&gt;=14),"S",IF(AND(AM142&lt;14),"R","NA"))</f>
        <v>S</v>
      </c>
      <c r="AO142" s="36" t="s">
        <v>300</v>
      </c>
      <c r="AP142" s="37">
        <v>32.0</v>
      </c>
      <c r="AQ142" s="37" t="str">
        <f t="shared" ref="AQ142:AQ166" si="349">IF((AP142&gt;=14),"S",IF(AND(AP142&lt;14,AP142&gt;=11),"I",IF(AND(AP142&lt;11),"R","NA")))</f>
        <v>S</v>
      </c>
      <c r="AR142" s="33">
        <v>21.0</v>
      </c>
      <c r="AS142" s="33" t="str">
        <f t="shared" ref="AS142:AS166" si="350">IF((AR142&gt;=18),"S",IF(AND(AR142&lt;18),"R", "NA"))</f>
        <v>S</v>
      </c>
      <c r="AT142" s="33">
        <v>23.0</v>
      </c>
      <c r="AU142" s="33" t="str">
        <f t="shared" ref="AU142:AU166" si="351">IF((AT142&gt;=16),"S",IF(AND(AT142&lt;16),"R", "NA"))</f>
        <v>S</v>
      </c>
      <c r="AV142" s="33" t="s">
        <v>300</v>
      </c>
      <c r="AW142" s="26">
        <v>20.0</v>
      </c>
      <c r="AX142" s="26" t="str">
        <f t="shared" ref="AX142:AX166" si="352">IF((AW142&gt;=20),"S",IF(AND(AW142&lt;20),"R", "NA"))</f>
        <v>S</v>
      </c>
      <c r="AY142" s="37">
        <v>18.0</v>
      </c>
      <c r="AZ142" s="37" t="str">
        <f t="shared" ref="AZ142:AZ166" si="353">IF((AY142&gt;=26),"S",IF(AND(AY142&lt;26,AY142&gt;=21),"I",IF(AND(AY142&lt;21),"R","NA")))</f>
        <v>R</v>
      </c>
      <c r="BA142" s="36">
        <v>28.0</v>
      </c>
      <c r="BB142" s="36" t="str">
        <f t="shared" ref="BB142:BB166" si="354">IF((BA142&gt;=23),"S",IF(AND(BA142&lt;23),"R","NA"))</f>
        <v>S</v>
      </c>
      <c r="BC142" s="39" t="s">
        <v>357</v>
      </c>
      <c r="BD142" s="39" t="s">
        <v>357</v>
      </c>
      <c r="BE142" s="36">
        <v>30.0</v>
      </c>
      <c r="BF142" s="36" t="str">
        <f t="shared" ref="BF142:BF166" si="355">IF((BE142&gt;=22),"S",IF(AND(BE142&lt;22,BE142&gt;=19),"I",IF(AND(BE142&lt;19),"R","NA")))</f>
        <v>S</v>
      </c>
      <c r="BG142" s="40">
        <v>21.0</v>
      </c>
      <c r="BH142" s="41" t="str">
        <f t="shared" ref="BH142:BH166" si="356">IF((BG142&gt;=17),"S",IF(AND(BG142&lt;17),"R", "NA"))</f>
        <v>S</v>
      </c>
      <c r="BI142" s="41"/>
    </row>
    <row r="143">
      <c r="A143" s="21" t="s">
        <v>467</v>
      </c>
      <c r="B143" s="21" t="s">
        <v>444</v>
      </c>
      <c r="C143" s="21" t="s">
        <v>863</v>
      </c>
      <c r="D143" s="18" t="s">
        <v>190</v>
      </c>
      <c r="E143" s="18" t="s">
        <v>190</v>
      </c>
      <c r="F143" s="18" t="s">
        <v>192</v>
      </c>
      <c r="G143" s="20" t="s">
        <v>864</v>
      </c>
      <c r="H143" s="42" t="s">
        <v>479</v>
      </c>
      <c r="I143" s="26">
        <v>6.0</v>
      </c>
      <c r="J143" s="26" t="str">
        <f t="shared" si="335"/>
        <v>R</v>
      </c>
      <c r="K143" s="26">
        <v>20.0</v>
      </c>
      <c r="L143" s="26" t="str">
        <f t="shared" si="336"/>
        <v>S</v>
      </c>
      <c r="M143" s="26">
        <v>6.0</v>
      </c>
      <c r="N143" s="26" t="str">
        <f t="shared" si="337"/>
        <v>R</v>
      </c>
      <c r="O143" s="32" t="s">
        <v>357</v>
      </c>
      <c r="P143" s="32" t="s">
        <v>357</v>
      </c>
      <c r="Q143" s="26">
        <v>10.0</v>
      </c>
      <c r="R143" s="26" t="str">
        <f t="shared" si="338"/>
        <v>R</v>
      </c>
      <c r="S143" s="26">
        <v>22.0</v>
      </c>
      <c r="T143" s="26" t="str">
        <f t="shared" si="339"/>
        <v>S</v>
      </c>
      <c r="U143" s="26">
        <v>20.0</v>
      </c>
      <c r="V143" s="26" t="str">
        <f t="shared" si="340"/>
        <v>S</v>
      </c>
      <c r="W143" s="32" t="s">
        <v>299</v>
      </c>
      <c r="X143" s="33">
        <v>8.0</v>
      </c>
      <c r="Y143" s="33" t="str">
        <f t="shared" si="341"/>
        <v>R</v>
      </c>
      <c r="Z143" s="33">
        <v>22.0</v>
      </c>
      <c r="AA143" s="33" t="str">
        <f t="shared" si="342"/>
        <v>S</v>
      </c>
      <c r="AB143" s="33">
        <v>15.0</v>
      </c>
      <c r="AC143" s="33" t="str">
        <f t="shared" si="343"/>
        <v>R</v>
      </c>
      <c r="AD143" s="33">
        <v>23.0</v>
      </c>
      <c r="AE143" s="33" t="str">
        <f t="shared" si="344"/>
        <v>S</v>
      </c>
      <c r="AF143" s="33">
        <v>23.0</v>
      </c>
      <c r="AG143" s="33" t="str">
        <f t="shared" si="345"/>
        <v>R</v>
      </c>
      <c r="AH143" s="33" t="s">
        <v>299</v>
      </c>
      <c r="AI143" s="36">
        <v>6.0</v>
      </c>
      <c r="AJ143" s="36" t="str">
        <f t="shared" si="346"/>
        <v>R</v>
      </c>
      <c r="AK143" s="36">
        <v>6.0</v>
      </c>
      <c r="AL143" s="36" t="str">
        <f t="shared" si="347"/>
        <v>R</v>
      </c>
      <c r="AM143" s="36">
        <v>6.0</v>
      </c>
      <c r="AN143" s="36" t="str">
        <f t="shared" si="348"/>
        <v>R</v>
      </c>
      <c r="AO143" s="36" t="s">
        <v>299</v>
      </c>
      <c r="AP143" s="37">
        <v>6.0</v>
      </c>
      <c r="AQ143" s="37" t="str">
        <f t="shared" si="349"/>
        <v>R</v>
      </c>
      <c r="AR143" s="33">
        <v>22.0</v>
      </c>
      <c r="AS143" s="33" t="str">
        <f t="shared" si="350"/>
        <v>S</v>
      </c>
      <c r="AT143" s="33">
        <v>17.0</v>
      </c>
      <c r="AU143" s="33" t="str">
        <f t="shared" si="351"/>
        <v>S</v>
      </c>
      <c r="AV143" s="33" t="s">
        <v>300</v>
      </c>
      <c r="AW143" s="26">
        <v>12.0</v>
      </c>
      <c r="AX143" s="26" t="str">
        <f t="shared" si="352"/>
        <v>R</v>
      </c>
      <c r="AY143" s="37">
        <v>15.0</v>
      </c>
      <c r="AZ143" s="37" t="str">
        <f t="shared" si="353"/>
        <v>R</v>
      </c>
      <c r="BA143" s="36">
        <v>26.0</v>
      </c>
      <c r="BB143" s="36" t="str">
        <f t="shared" si="354"/>
        <v>S</v>
      </c>
      <c r="BC143" s="39" t="s">
        <v>357</v>
      </c>
      <c r="BD143" s="39" t="s">
        <v>357</v>
      </c>
      <c r="BE143" s="36">
        <v>30.0</v>
      </c>
      <c r="BF143" s="36" t="str">
        <f t="shared" si="355"/>
        <v>S</v>
      </c>
      <c r="BG143" s="40">
        <v>8.0</v>
      </c>
      <c r="BH143" s="41" t="str">
        <f t="shared" si="356"/>
        <v>R</v>
      </c>
      <c r="BI143" s="41"/>
    </row>
    <row r="144">
      <c r="A144" s="21" t="s">
        <v>467</v>
      </c>
      <c r="B144" s="21" t="s">
        <v>444</v>
      </c>
      <c r="C144" s="21" t="s">
        <v>867</v>
      </c>
      <c r="D144" s="18" t="s">
        <v>190</v>
      </c>
      <c r="E144" s="18" t="s">
        <v>190</v>
      </c>
      <c r="F144" s="18" t="s">
        <v>192</v>
      </c>
      <c r="G144" s="20" t="s">
        <v>868</v>
      </c>
      <c r="H144" s="42" t="s">
        <v>479</v>
      </c>
      <c r="I144" s="26">
        <v>6.0</v>
      </c>
      <c r="J144" s="26" t="str">
        <f t="shared" si="335"/>
        <v>R</v>
      </c>
      <c r="K144" s="26">
        <v>20.0</v>
      </c>
      <c r="L144" s="26" t="str">
        <f t="shared" si="336"/>
        <v>S</v>
      </c>
      <c r="M144" s="26">
        <v>6.0</v>
      </c>
      <c r="N144" s="26" t="str">
        <f t="shared" si="337"/>
        <v>R</v>
      </c>
      <c r="O144" s="32" t="s">
        <v>357</v>
      </c>
      <c r="P144" s="32" t="s">
        <v>357</v>
      </c>
      <c r="Q144" s="26">
        <v>12.0</v>
      </c>
      <c r="R144" s="26" t="str">
        <f t="shared" si="338"/>
        <v>R</v>
      </c>
      <c r="S144" s="26">
        <v>22.0</v>
      </c>
      <c r="T144" s="26" t="str">
        <f t="shared" si="339"/>
        <v>S</v>
      </c>
      <c r="U144" s="26">
        <v>20.0</v>
      </c>
      <c r="V144" s="26" t="str">
        <f t="shared" si="340"/>
        <v>S</v>
      </c>
      <c r="W144" s="32" t="s">
        <v>299</v>
      </c>
      <c r="X144" s="33">
        <v>10.0</v>
      </c>
      <c r="Y144" s="33" t="str">
        <f t="shared" si="341"/>
        <v>R</v>
      </c>
      <c r="Z144" s="33">
        <v>24.0</v>
      </c>
      <c r="AA144" s="33" t="str">
        <f t="shared" si="342"/>
        <v>S</v>
      </c>
      <c r="AB144" s="33">
        <v>15.0</v>
      </c>
      <c r="AC144" s="33" t="str">
        <f t="shared" si="343"/>
        <v>R</v>
      </c>
      <c r="AD144" s="33">
        <v>25.0</v>
      </c>
      <c r="AE144" s="33" t="str">
        <f t="shared" si="344"/>
        <v>S</v>
      </c>
      <c r="AF144" s="33">
        <v>24.0</v>
      </c>
      <c r="AG144" s="33" t="str">
        <f t="shared" si="345"/>
        <v>I</v>
      </c>
      <c r="AH144" s="33" t="s">
        <v>299</v>
      </c>
      <c r="AI144" s="36">
        <v>6.0</v>
      </c>
      <c r="AJ144" s="36" t="str">
        <f t="shared" si="346"/>
        <v>R</v>
      </c>
      <c r="AK144" s="36">
        <v>6.0</v>
      </c>
      <c r="AL144" s="36" t="str">
        <f t="shared" si="347"/>
        <v>R</v>
      </c>
      <c r="AM144" s="36">
        <v>6.0</v>
      </c>
      <c r="AN144" s="36" t="str">
        <f t="shared" si="348"/>
        <v>R</v>
      </c>
      <c r="AO144" s="36" t="s">
        <v>299</v>
      </c>
      <c r="AP144" s="37">
        <v>6.0</v>
      </c>
      <c r="AQ144" s="37" t="str">
        <f t="shared" si="349"/>
        <v>R</v>
      </c>
      <c r="AR144" s="33">
        <v>23.0</v>
      </c>
      <c r="AS144" s="33" t="str">
        <f t="shared" si="350"/>
        <v>S</v>
      </c>
      <c r="AT144" s="33">
        <v>18.0</v>
      </c>
      <c r="AU144" s="33" t="str">
        <f t="shared" si="351"/>
        <v>S</v>
      </c>
      <c r="AV144" s="33" t="s">
        <v>300</v>
      </c>
      <c r="AW144" s="26">
        <v>15.0</v>
      </c>
      <c r="AX144" s="26" t="str">
        <f t="shared" si="352"/>
        <v>R</v>
      </c>
      <c r="AY144" s="37">
        <v>15.0</v>
      </c>
      <c r="AZ144" s="37" t="str">
        <f t="shared" si="353"/>
        <v>R</v>
      </c>
      <c r="BA144" s="36">
        <v>26.0</v>
      </c>
      <c r="BB144" s="36" t="str">
        <f t="shared" si="354"/>
        <v>S</v>
      </c>
      <c r="BC144" s="39" t="s">
        <v>357</v>
      </c>
      <c r="BD144" s="39" t="s">
        <v>357</v>
      </c>
      <c r="BE144" s="36">
        <v>32.0</v>
      </c>
      <c r="BF144" s="36" t="str">
        <f t="shared" si="355"/>
        <v>S</v>
      </c>
      <c r="BG144" s="40">
        <v>8.0</v>
      </c>
      <c r="BH144" s="41" t="str">
        <f t="shared" si="356"/>
        <v>R</v>
      </c>
      <c r="BI144" s="41"/>
    </row>
    <row r="145">
      <c r="A145" s="21" t="s">
        <v>467</v>
      </c>
      <c r="B145" s="21" t="s">
        <v>444</v>
      </c>
      <c r="C145" s="21" t="s">
        <v>870</v>
      </c>
      <c r="D145" s="18" t="s">
        <v>190</v>
      </c>
      <c r="E145" s="18" t="s">
        <v>190</v>
      </c>
      <c r="F145" s="18" t="s">
        <v>192</v>
      </c>
      <c r="G145" s="20" t="s">
        <v>871</v>
      </c>
      <c r="H145" s="42" t="s">
        <v>479</v>
      </c>
      <c r="I145" s="26">
        <v>6.0</v>
      </c>
      <c r="J145" s="26" t="str">
        <f t="shared" si="335"/>
        <v>R</v>
      </c>
      <c r="K145" s="26">
        <v>6.0</v>
      </c>
      <c r="L145" s="26" t="str">
        <f t="shared" si="336"/>
        <v>R</v>
      </c>
      <c r="M145" s="26">
        <v>6.0</v>
      </c>
      <c r="N145" s="26" t="str">
        <f t="shared" si="337"/>
        <v>R</v>
      </c>
      <c r="O145" s="32" t="s">
        <v>357</v>
      </c>
      <c r="P145" s="32" t="s">
        <v>357</v>
      </c>
      <c r="Q145" s="26">
        <v>6.0</v>
      </c>
      <c r="R145" s="26" t="str">
        <f t="shared" si="338"/>
        <v>R</v>
      </c>
      <c r="S145" s="26">
        <v>6.0</v>
      </c>
      <c r="T145" s="26" t="str">
        <f t="shared" si="339"/>
        <v>R</v>
      </c>
      <c r="U145" s="26">
        <v>6.0</v>
      </c>
      <c r="V145" s="26" t="str">
        <f t="shared" si="340"/>
        <v>R</v>
      </c>
      <c r="W145" s="32" t="s">
        <v>299</v>
      </c>
      <c r="X145" s="33">
        <v>6.0</v>
      </c>
      <c r="Y145" s="33" t="str">
        <f t="shared" si="341"/>
        <v>R</v>
      </c>
      <c r="Z145" s="33">
        <v>6.0</v>
      </c>
      <c r="AA145" s="33" t="str">
        <f t="shared" si="342"/>
        <v>R</v>
      </c>
      <c r="AB145" s="33">
        <v>6.0</v>
      </c>
      <c r="AC145" s="33" t="str">
        <f t="shared" si="343"/>
        <v>R</v>
      </c>
      <c r="AD145" s="33">
        <v>8.0</v>
      </c>
      <c r="AE145" s="33" t="str">
        <f t="shared" si="344"/>
        <v>R</v>
      </c>
      <c r="AF145" s="33">
        <v>6.0</v>
      </c>
      <c r="AG145" s="33" t="str">
        <f t="shared" si="345"/>
        <v>R</v>
      </c>
      <c r="AH145" s="33" t="s">
        <v>299</v>
      </c>
      <c r="AI145" s="36">
        <v>6.0</v>
      </c>
      <c r="AJ145" s="36" t="str">
        <f t="shared" si="346"/>
        <v>R</v>
      </c>
      <c r="AK145" s="36">
        <v>6.0</v>
      </c>
      <c r="AL145" s="36" t="str">
        <f t="shared" si="347"/>
        <v>R</v>
      </c>
      <c r="AM145" s="36">
        <v>6.0</v>
      </c>
      <c r="AN145" s="36" t="str">
        <f t="shared" si="348"/>
        <v>R</v>
      </c>
      <c r="AO145" s="36" t="s">
        <v>299</v>
      </c>
      <c r="AP145" s="37">
        <v>6.0</v>
      </c>
      <c r="AQ145" s="37" t="str">
        <f t="shared" si="349"/>
        <v>R</v>
      </c>
      <c r="AR145" s="33">
        <v>6.0</v>
      </c>
      <c r="AS145" s="33" t="str">
        <f t="shared" si="350"/>
        <v>R</v>
      </c>
      <c r="AT145" s="33">
        <v>6.0</v>
      </c>
      <c r="AU145" s="33" t="str">
        <f t="shared" si="351"/>
        <v>R</v>
      </c>
      <c r="AV145" s="33" t="s">
        <v>299</v>
      </c>
      <c r="AW145" s="26">
        <v>16.0</v>
      </c>
      <c r="AX145" s="26" t="str">
        <f t="shared" si="352"/>
        <v>R</v>
      </c>
      <c r="AY145" s="37">
        <v>6.0</v>
      </c>
      <c r="AZ145" s="37" t="str">
        <f t="shared" si="353"/>
        <v>R</v>
      </c>
      <c r="BA145" s="36">
        <v>6.0</v>
      </c>
      <c r="BB145" s="36" t="str">
        <f t="shared" si="354"/>
        <v>R</v>
      </c>
      <c r="BC145" s="36">
        <v>32.0</v>
      </c>
      <c r="BD145" s="36" t="str">
        <f>IF((BC145&lt;=0.5),"S",IF(AND(BC145&gt;0.5),"R", "NA"))</f>
        <v>R</v>
      </c>
      <c r="BE145" s="36">
        <v>12.0</v>
      </c>
      <c r="BF145" s="36" t="str">
        <f t="shared" si="355"/>
        <v>R</v>
      </c>
      <c r="BG145" s="40">
        <v>6.0</v>
      </c>
      <c r="BH145" s="41" t="str">
        <f t="shared" si="356"/>
        <v>R</v>
      </c>
      <c r="BI145" s="41"/>
    </row>
    <row r="146">
      <c r="A146" s="21" t="s">
        <v>467</v>
      </c>
      <c r="B146" s="23">
        <v>90.0</v>
      </c>
      <c r="C146" s="21" t="s">
        <v>874</v>
      </c>
      <c r="D146" s="18" t="s">
        <v>571</v>
      </c>
      <c r="E146" s="18" t="s">
        <v>572</v>
      </c>
      <c r="F146" s="18" t="s">
        <v>192</v>
      </c>
      <c r="G146" s="20" t="s">
        <v>875</v>
      </c>
      <c r="H146" s="22" t="s">
        <v>198</v>
      </c>
      <c r="I146" s="26">
        <v>6.0</v>
      </c>
      <c r="J146" s="26" t="str">
        <f t="shared" si="335"/>
        <v>R</v>
      </c>
      <c r="K146" s="26">
        <v>21.0</v>
      </c>
      <c r="L146" s="26" t="str">
        <f t="shared" si="336"/>
        <v>S</v>
      </c>
      <c r="M146" s="26">
        <v>6.0</v>
      </c>
      <c r="N146" s="26" t="str">
        <f t="shared" si="337"/>
        <v>R</v>
      </c>
      <c r="O146" s="32" t="s">
        <v>357</v>
      </c>
      <c r="P146" s="32" t="s">
        <v>357</v>
      </c>
      <c r="Q146" s="26">
        <v>15.0</v>
      </c>
      <c r="R146" s="26" t="str">
        <f t="shared" si="338"/>
        <v>R</v>
      </c>
      <c r="S146" s="26">
        <v>26.0</v>
      </c>
      <c r="T146" s="26" t="str">
        <f t="shared" si="339"/>
        <v>S</v>
      </c>
      <c r="U146" s="26">
        <v>20.0</v>
      </c>
      <c r="V146" s="26" t="str">
        <f t="shared" si="340"/>
        <v>S</v>
      </c>
      <c r="W146" s="32" t="s">
        <v>299</v>
      </c>
      <c r="X146" s="33">
        <v>6.0</v>
      </c>
      <c r="Y146" s="33" t="str">
        <f t="shared" si="341"/>
        <v>R</v>
      </c>
      <c r="Z146" s="33">
        <v>25.0</v>
      </c>
      <c r="AA146" s="33" t="str">
        <f t="shared" si="342"/>
        <v>S</v>
      </c>
      <c r="AB146" s="33">
        <v>17.0</v>
      </c>
      <c r="AC146" s="33" t="str">
        <f t="shared" si="343"/>
        <v>R</v>
      </c>
      <c r="AD146" s="33">
        <v>26.0</v>
      </c>
      <c r="AE146" s="33" t="str">
        <f t="shared" si="344"/>
        <v>S</v>
      </c>
      <c r="AF146" s="33">
        <v>24.0</v>
      </c>
      <c r="AG146" s="33" t="str">
        <f t="shared" si="345"/>
        <v>I</v>
      </c>
      <c r="AH146" s="33" t="s">
        <v>299</v>
      </c>
      <c r="AI146" s="36">
        <v>26.0</v>
      </c>
      <c r="AJ146" s="36" t="str">
        <f t="shared" si="346"/>
        <v>S</v>
      </c>
      <c r="AK146" s="36">
        <v>22.0</v>
      </c>
      <c r="AL146" s="36" t="str">
        <f t="shared" si="347"/>
        <v>I</v>
      </c>
      <c r="AM146" s="36">
        <v>22.0</v>
      </c>
      <c r="AN146" s="36" t="str">
        <f t="shared" si="348"/>
        <v>S</v>
      </c>
      <c r="AO146" s="36" t="s">
        <v>300</v>
      </c>
      <c r="AP146" s="37">
        <v>31.0</v>
      </c>
      <c r="AQ146" s="37" t="str">
        <f t="shared" si="349"/>
        <v>S</v>
      </c>
      <c r="AR146" s="33">
        <v>20.0</v>
      </c>
      <c r="AS146" s="33" t="str">
        <f t="shared" si="350"/>
        <v>S</v>
      </c>
      <c r="AT146" s="33">
        <v>20.0</v>
      </c>
      <c r="AU146" s="33" t="str">
        <f t="shared" si="351"/>
        <v>S</v>
      </c>
      <c r="AV146" s="33" t="s">
        <v>300</v>
      </c>
      <c r="AW146" s="26">
        <v>20.0</v>
      </c>
      <c r="AX146" s="26" t="str">
        <f t="shared" si="352"/>
        <v>S</v>
      </c>
      <c r="AY146" s="37">
        <v>17.0</v>
      </c>
      <c r="AZ146" s="37" t="str">
        <f t="shared" si="353"/>
        <v>R</v>
      </c>
      <c r="BA146" s="36">
        <v>28.0</v>
      </c>
      <c r="BB146" s="36" t="str">
        <f t="shared" si="354"/>
        <v>S</v>
      </c>
      <c r="BC146" s="39" t="s">
        <v>357</v>
      </c>
      <c r="BD146" s="39" t="s">
        <v>357</v>
      </c>
      <c r="BE146" s="36">
        <v>30.0</v>
      </c>
      <c r="BF146" s="36" t="str">
        <f t="shared" si="355"/>
        <v>S</v>
      </c>
      <c r="BG146" s="40">
        <v>21.0</v>
      </c>
      <c r="BH146" s="41" t="str">
        <f t="shared" si="356"/>
        <v>S</v>
      </c>
      <c r="BI146" s="41"/>
    </row>
    <row r="147">
      <c r="A147" s="21" t="s">
        <v>467</v>
      </c>
      <c r="B147" s="21" t="s">
        <v>444</v>
      </c>
      <c r="C147" s="21" t="s">
        <v>877</v>
      </c>
      <c r="D147" s="18" t="s">
        <v>571</v>
      </c>
      <c r="E147" s="18" t="s">
        <v>572</v>
      </c>
      <c r="F147" s="18" t="s">
        <v>192</v>
      </c>
      <c r="G147" s="20" t="s">
        <v>878</v>
      </c>
      <c r="H147" s="59" t="s">
        <v>785</v>
      </c>
      <c r="I147" s="26">
        <v>6.0</v>
      </c>
      <c r="J147" s="26" t="str">
        <f t="shared" si="335"/>
        <v>R</v>
      </c>
      <c r="K147" s="26">
        <v>6.0</v>
      </c>
      <c r="L147" s="26" t="str">
        <f t="shared" si="336"/>
        <v>R</v>
      </c>
      <c r="M147" s="26">
        <v>6.0</v>
      </c>
      <c r="N147" s="26" t="str">
        <f t="shared" si="337"/>
        <v>R</v>
      </c>
      <c r="O147" s="32" t="s">
        <v>357</v>
      </c>
      <c r="P147" s="32" t="s">
        <v>357</v>
      </c>
      <c r="Q147" s="26">
        <v>11.0</v>
      </c>
      <c r="R147" s="26" t="str">
        <f t="shared" si="338"/>
        <v>R</v>
      </c>
      <c r="S147" s="26">
        <v>22.0</v>
      </c>
      <c r="T147" s="26" t="str">
        <f t="shared" si="339"/>
        <v>S</v>
      </c>
      <c r="U147" s="26">
        <v>26.0</v>
      </c>
      <c r="V147" s="26" t="str">
        <f t="shared" si="340"/>
        <v>S</v>
      </c>
      <c r="W147" s="32" t="s">
        <v>299</v>
      </c>
      <c r="X147" s="33">
        <v>6.0</v>
      </c>
      <c r="Y147" s="33" t="str">
        <f t="shared" si="341"/>
        <v>R</v>
      </c>
      <c r="Z147" s="33">
        <v>6.0</v>
      </c>
      <c r="AA147" s="33" t="str">
        <f t="shared" si="342"/>
        <v>R</v>
      </c>
      <c r="AB147" s="33">
        <v>11.0</v>
      </c>
      <c r="AC147" s="33" t="str">
        <f t="shared" si="343"/>
        <v>R</v>
      </c>
      <c r="AD147" s="33">
        <v>23.0</v>
      </c>
      <c r="AE147" s="33" t="str">
        <f t="shared" si="344"/>
        <v>S</v>
      </c>
      <c r="AF147" s="33">
        <v>14.0</v>
      </c>
      <c r="AG147" s="33" t="str">
        <f t="shared" si="345"/>
        <v>R</v>
      </c>
      <c r="AH147" s="33" t="s">
        <v>299</v>
      </c>
      <c r="AI147" s="36">
        <v>6.0</v>
      </c>
      <c r="AJ147" s="36" t="str">
        <f t="shared" si="346"/>
        <v>R</v>
      </c>
      <c r="AK147" s="36">
        <v>6.0</v>
      </c>
      <c r="AL147" s="36" t="str">
        <f t="shared" si="347"/>
        <v>R</v>
      </c>
      <c r="AM147" s="36">
        <v>6.0</v>
      </c>
      <c r="AN147" s="36" t="str">
        <f t="shared" si="348"/>
        <v>R</v>
      </c>
      <c r="AO147" s="36" t="s">
        <v>299</v>
      </c>
      <c r="AP147" s="37">
        <v>6.0</v>
      </c>
      <c r="AQ147" s="37" t="str">
        <f t="shared" si="349"/>
        <v>R</v>
      </c>
      <c r="AR147" s="33">
        <v>17.0</v>
      </c>
      <c r="AS147" s="33" t="str">
        <f t="shared" si="350"/>
        <v>R</v>
      </c>
      <c r="AT147" s="33">
        <v>8.0</v>
      </c>
      <c r="AU147" s="33" t="str">
        <f t="shared" si="351"/>
        <v>R</v>
      </c>
      <c r="AV147" s="33" t="s">
        <v>299</v>
      </c>
      <c r="AW147" s="26">
        <v>11.0</v>
      </c>
      <c r="AX147" s="26" t="str">
        <f t="shared" si="352"/>
        <v>R</v>
      </c>
      <c r="AY147" s="37">
        <v>8.0</v>
      </c>
      <c r="AZ147" s="37" t="str">
        <f t="shared" si="353"/>
        <v>R</v>
      </c>
      <c r="BA147" s="36">
        <v>25.0</v>
      </c>
      <c r="BB147" s="36" t="str">
        <f t="shared" si="354"/>
        <v>S</v>
      </c>
      <c r="BC147" s="39" t="s">
        <v>357</v>
      </c>
      <c r="BD147" s="39" t="s">
        <v>357</v>
      </c>
      <c r="BE147" s="36">
        <v>28.0</v>
      </c>
      <c r="BF147" s="36" t="str">
        <f t="shared" si="355"/>
        <v>S</v>
      </c>
      <c r="BG147" s="40">
        <v>6.0</v>
      </c>
      <c r="BH147" s="41" t="str">
        <f t="shared" si="356"/>
        <v>R</v>
      </c>
      <c r="BI147" s="41"/>
    </row>
    <row r="148">
      <c r="A148" s="21" t="s">
        <v>467</v>
      </c>
      <c r="B148" s="21" t="s">
        <v>444</v>
      </c>
      <c r="C148" s="21" t="s">
        <v>881</v>
      </c>
      <c r="D148" s="18" t="s">
        <v>571</v>
      </c>
      <c r="E148" s="18" t="s">
        <v>572</v>
      </c>
      <c r="F148" s="18" t="s">
        <v>192</v>
      </c>
      <c r="G148" s="20" t="s">
        <v>882</v>
      </c>
      <c r="H148" s="42" t="s">
        <v>479</v>
      </c>
      <c r="I148" s="26">
        <v>6.0</v>
      </c>
      <c r="J148" s="26" t="str">
        <f t="shared" si="335"/>
        <v>R</v>
      </c>
      <c r="K148" s="26">
        <v>20.0</v>
      </c>
      <c r="L148" s="26" t="str">
        <f t="shared" si="336"/>
        <v>S</v>
      </c>
      <c r="M148" s="26">
        <v>6.0</v>
      </c>
      <c r="N148" s="26" t="str">
        <f t="shared" si="337"/>
        <v>R</v>
      </c>
      <c r="O148" s="32" t="s">
        <v>357</v>
      </c>
      <c r="P148" s="32" t="s">
        <v>357</v>
      </c>
      <c r="Q148" s="26">
        <v>12.0</v>
      </c>
      <c r="R148" s="26" t="str">
        <f t="shared" si="338"/>
        <v>R</v>
      </c>
      <c r="S148" s="26">
        <v>23.0</v>
      </c>
      <c r="T148" s="26" t="str">
        <f t="shared" si="339"/>
        <v>S</v>
      </c>
      <c r="U148" s="26">
        <v>21.0</v>
      </c>
      <c r="V148" s="26" t="str">
        <f t="shared" si="340"/>
        <v>S</v>
      </c>
      <c r="W148" s="32" t="s">
        <v>299</v>
      </c>
      <c r="X148" s="33">
        <v>7.0</v>
      </c>
      <c r="Y148" s="33" t="str">
        <f t="shared" si="341"/>
        <v>R</v>
      </c>
      <c r="Z148" s="33">
        <v>21.0</v>
      </c>
      <c r="AA148" s="33" t="str">
        <f t="shared" si="342"/>
        <v>S</v>
      </c>
      <c r="AB148" s="33">
        <v>16.0</v>
      </c>
      <c r="AC148" s="33" t="str">
        <f t="shared" si="343"/>
        <v>R</v>
      </c>
      <c r="AD148" s="33">
        <v>23.0</v>
      </c>
      <c r="AE148" s="33" t="str">
        <f t="shared" si="344"/>
        <v>S</v>
      </c>
      <c r="AF148" s="33">
        <v>24.0</v>
      </c>
      <c r="AG148" s="33" t="str">
        <f t="shared" si="345"/>
        <v>I</v>
      </c>
      <c r="AH148" s="33" t="s">
        <v>299</v>
      </c>
      <c r="AI148" s="36">
        <v>6.0</v>
      </c>
      <c r="AJ148" s="36" t="str">
        <f t="shared" si="346"/>
        <v>R</v>
      </c>
      <c r="AK148" s="36">
        <v>6.0</v>
      </c>
      <c r="AL148" s="36" t="str">
        <f t="shared" si="347"/>
        <v>R</v>
      </c>
      <c r="AM148" s="36">
        <v>6.0</v>
      </c>
      <c r="AN148" s="36" t="str">
        <f t="shared" si="348"/>
        <v>R</v>
      </c>
      <c r="AO148" s="36" t="s">
        <v>299</v>
      </c>
      <c r="AP148" s="37">
        <v>6.0</v>
      </c>
      <c r="AQ148" s="37" t="str">
        <f t="shared" si="349"/>
        <v>R</v>
      </c>
      <c r="AR148" s="33">
        <v>22.0</v>
      </c>
      <c r="AS148" s="33" t="str">
        <f t="shared" si="350"/>
        <v>S</v>
      </c>
      <c r="AT148" s="33">
        <v>10.0</v>
      </c>
      <c r="AU148" s="33" t="str">
        <f t="shared" si="351"/>
        <v>R</v>
      </c>
      <c r="AV148" s="33" t="s">
        <v>299</v>
      </c>
      <c r="AW148" s="26">
        <v>12.0</v>
      </c>
      <c r="AX148" s="26" t="str">
        <f t="shared" si="352"/>
        <v>R</v>
      </c>
      <c r="AY148" s="37">
        <v>15.0</v>
      </c>
      <c r="AZ148" s="37" t="str">
        <f t="shared" si="353"/>
        <v>R</v>
      </c>
      <c r="BA148" s="36">
        <v>27.0</v>
      </c>
      <c r="BB148" s="36" t="str">
        <f t="shared" si="354"/>
        <v>S</v>
      </c>
      <c r="BC148" s="39" t="s">
        <v>357</v>
      </c>
      <c r="BD148" s="39" t="s">
        <v>357</v>
      </c>
      <c r="BE148" s="36">
        <v>30.0</v>
      </c>
      <c r="BF148" s="36" t="str">
        <f t="shared" si="355"/>
        <v>S</v>
      </c>
      <c r="BG148" s="40">
        <v>8.0</v>
      </c>
      <c r="BH148" s="41" t="str">
        <f t="shared" si="356"/>
        <v>R</v>
      </c>
      <c r="BI148" s="41"/>
    </row>
    <row r="149">
      <c r="A149" s="21" t="s">
        <v>467</v>
      </c>
      <c r="B149" s="21" t="s">
        <v>444</v>
      </c>
      <c r="C149" s="21" t="s">
        <v>885</v>
      </c>
      <c r="D149" s="18" t="s">
        <v>571</v>
      </c>
      <c r="E149" s="18" t="s">
        <v>572</v>
      </c>
      <c r="F149" s="18" t="s">
        <v>192</v>
      </c>
      <c r="G149" s="20" t="s">
        <v>886</v>
      </c>
      <c r="H149" s="42" t="s">
        <v>479</v>
      </c>
      <c r="I149" s="26">
        <v>6.0</v>
      </c>
      <c r="J149" s="26" t="str">
        <f t="shared" si="335"/>
        <v>R</v>
      </c>
      <c r="K149" s="26">
        <v>6.0</v>
      </c>
      <c r="L149" s="26" t="str">
        <f t="shared" si="336"/>
        <v>R</v>
      </c>
      <c r="M149" s="26">
        <v>6.0</v>
      </c>
      <c r="N149" s="26" t="str">
        <f t="shared" si="337"/>
        <v>R</v>
      </c>
      <c r="O149" s="32" t="s">
        <v>357</v>
      </c>
      <c r="P149" s="32" t="s">
        <v>357</v>
      </c>
      <c r="Q149" s="26">
        <v>6.0</v>
      </c>
      <c r="R149" s="26" t="str">
        <f t="shared" si="338"/>
        <v>R</v>
      </c>
      <c r="S149" s="26">
        <v>6.0</v>
      </c>
      <c r="T149" s="26" t="str">
        <f t="shared" si="339"/>
        <v>R</v>
      </c>
      <c r="U149" s="26">
        <v>6.0</v>
      </c>
      <c r="V149" s="26" t="str">
        <f t="shared" si="340"/>
        <v>R</v>
      </c>
      <c r="W149" s="32" t="s">
        <v>299</v>
      </c>
      <c r="X149" s="33">
        <v>6.0</v>
      </c>
      <c r="Y149" s="33" t="str">
        <f t="shared" si="341"/>
        <v>R</v>
      </c>
      <c r="Z149" s="33">
        <v>6.0</v>
      </c>
      <c r="AA149" s="33" t="str">
        <f t="shared" si="342"/>
        <v>R</v>
      </c>
      <c r="AB149" s="33">
        <v>6.0</v>
      </c>
      <c r="AC149" s="33" t="str">
        <f t="shared" si="343"/>
        <v>R</v>
      </c>
      <c r="AD149" s="33">
        <v>6.0</v>
      </c>
      <c r="AE149" s="33" t="str">
        <f t="shared" si="344"/>
        <v>R</v>
      </c>
      <c r="AF149" s="33">
        <v>6.0</v>
      </c>
      <c r="AG149" s="33" t="str">
        <f t="shared" si="345"/>
        <v>R</v>
      </c>
      <c r="AH149" s="33" t="s">
        <v>299</v>
      </c>
      <c r="AI149" s="36">
        <v>6.0</v>
      </c>
      <c r="AJ149" s="36" t="str">
        <f t="shared" si="346"/>
        <v>R</v>
      </c>
      <c r="AK149" s="36">
        <v>6.0</v>
      </c>
      <c r="AL149" s="36" t="str">
        <f t="shared" si="347"/>
        <v>R</v>
      </c>
      <c r="AM149" s="36">
        <v>6.0</v>
      </c>
      <c r="AN149" s="36" t="str">
        <f t="shared" si="348"/>
        <v>R</v>
      </c>
      <c r="AO149" s="36" t="s">
        <v>299</v>
      </c>
      <c r="AP149" s="37">
        <v>6.0</v>
      </c>
      <c r="AQ149" s="37" t="str">
        <f t="shared" si="349"/>
        <v>R</v>
      </c>
      <c r="AR149" s="33">
        <v>6.0</v>
      </c>
      <c r="AS149" s="33" t="str">
        <f t="shared" si="350"/>
        <v>R</v>
      </c>
      <c r="AT149" s="33">
        <v>6.0</v>
      </c>
      <c r="AU149" s="33" t="str">
        <f t="shared" si="351"/>
        <v>R</v>
      </c>
      <c r="AV149" s="33" t="s">
        <v>299</v>
      </c>
      <c r="AW149" s="26">
        <v>13.0</v>
      </c>
      <c r="AX149" s="26" t="str">
        <f t="shared" si="352"/>
        <v>R</v>
      </c>
      <c r="AY149" s="37">
        <v>6.0</v>
      </c>
      <c r="AZ149" s="37" t="str">
        <f t="shared" si="353"/>
        <v>R</v>
      </c>
      <c r="BA149" s="36">
        <v>6.0</v>
      </c>
      <c r="BB149" s="36" t="str">
        <f t="shared" si="354"/>
        <v>R</v>
      </c>
      <c r="BC149" s="36">
        <v>32.0</v>
      </c>
      <c r="BD149" s="36" t="str">
        <f>IF((BC149&lt;=0.5),"S",IF(AND(BC149&gt;0.5),"R", "NA"))</f>
        <v>R</v>
      </c>
      <c r="BE149" s="36">
        <v>13.0</v>
      </c>
      <c r="BF149" s="36" t="str">
        <f t="shared" si="355"/>
        <v>R</v>
      </c>
      <c r="BG149" s="40">
        <v>6.0</v>
      </c>
      <c r="BH149" s="41" t="str">
        <f t="shared" si="356"/>
        <v>R</v>
      </c>
      <c r="BI149" s="41"/>
    </row>
    <row r="150">
      <c r="A150" s="21" t="s">
        <v>467</v>
      </c>
      <c r="B150" s="23">
        <v>91.0</v>
      </c>
      <c r="C150" s="21" t="s">
        <v>891</v>
      </c>
      <c r="D150" s="18" t="s">
        <v>705</v>
      </c>
      <c r="E150" s="18" t="s">
        <v>572</v>
      </c>
      <c r="F150" s="18" t="s">
        <v>192</v>
      </c>
      <c r="G150" s="20" t="s">
        <v>892</v>
      </c>
      <c r="H150" s="42" t="s">
        <v>479</v>
      </c>
      <c r="I150" s="26">
        <v>6.0</v>
      </c>
      <c r="J150" s="26" t="str">
        <f t="shared" si="335"/>
        <v>R</v>
      </c>
      <c r="K150" s="26">
        <v>20.0</v>
      </c>
      <c r="L150" s="26" t="str">
        <f t="shared" si="336"/>
        <v>S</v>
      </c>
      <c r="M150" s="26">
        <v>6.0</v>
      </c>
      <c r="N150" s="26" t="str">
        <f t="shared" si="337"/>
        <v>R</v>
      </c>
      <c r="O150" s="32" t="s">
        <v>357</v>
      </c>
      <c r="P150" s="32" t="s">
        <v>357</v>
      </c>
      <c r="Q150" s="26">
        <v>10.0</v>
      </c>
      <c r="R150" s="26" t="str">
        <f t="shared" si="338"/>
        <v>R</v>
      </c>
      <c r="S150" s="26">
        <v>21.0</v>
      </c>
      <c r="T150" s="26" t="str">
        <f t="shared" si="339"/>
        <v>S</v>
      </c>
      <c r="U150" s="26">
        <v>28.0</v>
      </c>
      <c r="V150" s="26" t="str">
        <f t="shared" si="340"/>
        <v>S</v>
      </c>
      <c r="W150" s="32" t="s">
        <v>299</v>
      </c>
      <c r="X150" s="33">
        <v>6.0</v>
      </c>
      <c r="Y150" s="33" t="str">
        <f t="shared" si="341"/>
        <v>R</v>
      </c>
      <c r="Z150" s="33">
        <v>27.0</v>
      </c>
      <c r="AA150" s="33" t="str">
        <f t="shared" si="342"/>
        <v>S</v>
      </c>
      <c r="AB150" s="33">
        <v>21.0</v>
      </c>
      <c r="AC150" s="33" t="str">
        <f t="shared" si="343"/>
        <v>I</v>
      </c>
      <c r="AD150" s="33">
        <v>27.0</v>
      </c>
      <c r="AE150" s="33" t="str">
        <f t="shared" si="344"/>
        <v>S</v>
      </c>
      <c r="AF150" s="33">
        <v>24.0</v>
      </c>
      <c r="AG150" s="33" t="str">
        <f t="shared" si="345"/>
        <v>I</v>
      </c>
      <c r="AH150" s="33" t="s">
        <v>299</v>
      </c>
      <c r="AI150" s="36">
        <v>17.0</v>
      </c>
      <c r="AJ150" s="36" t="str">
        <f t="shared" si="346"/>
        <v>R</v>
      </c>
      <c r="AK150" s="36">
        <v>21.0</v>
      </c>
      <c r="AL150" s="36" t="str">
        <f t="shared" si="347"/>
        <v>I</v>
      </c>
      <c r="AM150" s="36">
        <v>16.0</v>
      </c>
      <c r="AN150" s="36" t="str">
        <f t="shared" si="348"/>
        <v>S</v>
      </c>
      <c r="AO150" s="36" t="s">
        <v>299</v>
      </c>
      <c r="AP150" s="37">
        <v>6.0</v>
      </c>
      <c r="AQ150" s="37" t="str">
        <f t="shared" si="349"/>
        <v>R</v>
      </c>
      <c r="AR150" s="33">
        <v>19.0</v>
      </c>
      <c r="AS150" s="33" t="str">
        <f t="shared" si="350"/>
        <v>S</v>
      </c>
      <c r="AT150" s="33">
        <v>12.0</v>
      </c>
      <c r="AU150" s="33" t="str">
        <f t="shared" si="351"/>
        <v>R</v>
      </c>
      <c r="AV150" s="33" t="s">
        <v>299</v>
      </c>
      <c r="AW150" s="26">
        <v>15.0</v>
      </c>
      <c r="AX150" s="26" t="str">
        <f t="shared" si="352"/>
        <v>R</v>
      </c>
      <c r="AY150" s="37">
        <v>21.0</v>
      </c>
      <c r="AZ150" s="37" t="str">
        <f t="shared" si="353"/>
        <v>I</v>
      </c>
      <c r="BA150" s="36">
        <v>29.0</v>
      </c>
      <c r="BB150" s="36" t="str">
        <f t="shared" si="354"/>
        <v>S</v>
      </c>
      <c r="BC150" s="39" t="s">
        <v>357</v>
      </c>
      <c r="BD150" s="39" t="s">
        <v>357</v>
      </c>
      <c r="BE150" s="36">
        <v>30.0</v>
      </c>
      <c r="BF150" s="36" t="str">
        <f t="shared" si="355"/>
        <v>S</v>
      </c>
      <c r="BG150" s="40">
        <v>6.0</v>
      </c>
      <c r="BH150" s="41" t="str">
        <f t="shared" si="356"/>
        <v>R</v>
      </c>
      <c r="BI150" s="41"/>
    </row>
    <row r="151">
      <c r="A151" s="21" t="s">
        <v>467</v>
      </c>
      <c r="B151" s="21" t="s">
        <v>444</v>
      </c>
      <c r="C151" s="21" t="s">
        <v>895</v>
      </c>
      <c r="D151" s="18" t="s">
        <v>705</v>
      </c>
      <c r="E151" s="18" t="s">
        <v>572</v>
      </c>
      <c r="F151" s="18" t="s">
        <v>192</v>
      </c>
      <c r="G151" s="20" t="s">
        <v>896</v>
      </c>
      <c r="H151" s="42" t="s">
        <v>479</v>
      </c>
      <c r="I151" s="26">
        <v>6.0</v>
      </c>
      <c r="J151" s="26" t="str">
        <f t="shared" si="335"/>
        <v>R</v>
      </c>
      <c r="K151" s="26">
        <v>17.0</v>
      </c>
      <c r="L151" s="26" t="str">
        <f t="shared" si="336"/>
        <v>R</v>
      </c>
      <c r="M151" s="26">
        <v>6.0</v>
      </c>
      <c r="N151" s="26" t="str">
        <f t="shared" si="337"/>
        <v>R</v>
      </c>
      <c r="O151" s="32" t="s">
        <v>357</v>
      </c>
      <c r="P151" s="32" t="s">
        <v>357</v>
      </c>
      <c r="Q151" s="26">
        <v>8.0</v>
      </c>
      <c r="R151" s="26" t="str">
        <f t="shared" si="338"/>
        <v>R</v>
      </c>
      <c r="S151" s="26">
        <v>20.0</v>
      </c>
      <c r="T151" s="26" t="str">
        <f t="shared" si="339"/>
        <v>S</v>
      </c>
      <c r="U151" s="26">
        <v>21.0</v>
      </c>
      <c r="V151" s="26" t="str">
        <f t="shared" si="340"/>
        <v>S</v>
      </c>
      <c r="W151" s="32" t="s">
        <v>299</v>
      </c>
      <c r="X151" s="33">
        <v>6.0</v>
      </c>
      <c r="Y151" s="33" t="str">
        <f t="shared" si="341"/>
        <v>R</v>
      </c>
      <c r="Z151" s="33">
        <v>22.0</v>
      </c>
      <c r="AA151" s="33" t="str">
        <f t="shared" si="342"/>
        <v>S</v>
      </c>
      <c r="AB151" s="33">
        <v>18.0</v>
      </c>
      <c r="AC151" s="33" t="str">
        <f t="shared" si="343"/>
        <v>R</v>
      </c>
      <c r="AD151" s="33">
        <v>26.0</v>
      </c>
      <c r="AE151" s="33" t="str">
        <f t="shared" si="344"/>
        <v>S</v>
      </c>
      <c r="AF151" s="33">
        <v>21.0</v>
      </c>
      <c r="AG151" s="33" t="str">
        <f t="shared" si="345"/>
        <v>R</v>
      </c>
      <c r="AH151" s="33" t="s">
        <v>299</v>
      </c>
      <c r="AI151" s="36">
        <v>18.0</v>
      </c>
      <c r="AJ151" s="36" t="str">
        <f t="shared" si="346"/>
        <v>R</v>
      </c>
      <c r="AK151" s="36">
        <v>22.0</v>
      </c>
      <c r="AL151" s="36" t="str">
        <f t="shared" si="347"/>
        <v>I</v>
      </c>
      <c r="AM151" s="36">
        <v>17.0</v>
      </c>
      <c r="AN151" s="36" t="str">
        <f t="shared" si="348"/>
        <v>S</v>
      </c>
      <c r="AO151" s="36" t="s">
        <v>299</v>
      </c>
      <c r="AP151" s="37">
        <v>6.0</v>
      </c>
      <c r="AQ151" s="37" t="str">
        <f t="shared" si="349"/>
        <v>R</v>
      </c>
      <c r="AR151" s="33">
        <v>18.0</v>
      </c>
      <c r="AS151" s="33" t="str">
        <f t="shared" si="350"/>
        <v>S</v>
      </c>
      <c r="AT151" s="33">
        <v>11.0</v>
      </c>
      <c r="AU151" s="33" t="str">
        <f t="shared" si="351"/>
        <v>R</v>
      </c>
      <c r="AV151" s="33" t="s">
        <v>299</v>
      </c>
      <c r="AW151" s="26">
        <v>15.0</v>
      </c>
      <c r="AX151" s="26" t="str">
        <f t="shared" si="352"/>
        <v>R</v>
      </c>
      <c r="AY151" s="37">
        <v>18.0</v>
      </c>
      <c r="AZ151" s="37" t="str">
        <f t="shared" si="353"/>
        <v>R</v>
      </c>
      <c r="BA151" s="36">
        <v>31.0</v>
      </c>
      <c r="BB151" s="36" t="str">
        <f t="shared" si="354"/>
        <v>S</v>
      </c>
      <c r="BC151" s="39" t="s">
        <v>357</v>
      </c>
      <c r="BD151" s="39" t="s">
        <v>357</v>
      </c>
      <c r="BE151" s="36">
        <v>30.0</v>
      </c>
      <c r="BF151" s="36" t="str">
        <f t="shared" si="355"/>
        <v>S</v>
      </c>
      <c r="BG151" s="40">
        <v>8.0</v>
      </c>
      <c r="BH151" s="41" t="str">
        <f t="shared" si="356"/>
        <v>R</v>
      </c>
      <c r="BI151" s="41"/>
    </row>
    <row r="152">
      <c r="A152" s="51" t="s">
        <v>786</v>
      </c>
      <c r="B152" s="53">
        <v>92.0</v>
      </c>
      <c r="C152" s="51" t="s">
        <v>1333</v>
      </c>
      <c r="D152" s="18" t="s">
        <v>190</v>
      </c>
      <c r="E152" s="18" t="s">
        <v>190</v>
      </c>
      <c r="F152" s="18" t="s">
        <v>192</v>
      </c>
      <c r="G152" s="20" t="s">
        <v>1334</v>
      </c>
      <c r="H152" s="42" t="s">
        <v>479</v>
      </c>
      <c r="I152" s="26">
        <v>6.0</v>
      </c>
      <c r="J152" s="26" t="str">
        <f t="shared" si="335"/>
        <v>R</v>
      </c>
      <c r="K152" s="26">
        <v>23.0</v>
      </c>
      <c r="L152" s="26" t="str">
        <f t="shared" si="336"/>
        <v>S</v>
      </c>
      <c r="M152" s="26">
        <v>6.0</v>
      </c>
      <c r="N152" s="26" t="str">
        <f t="shared" si="337"/>
        <v>R</v>
      </c>
      <c r="O152" s="32" t="s">
        <v>357</v>
      </c>
      <c r="P152" s="32" t="s">
        <v>357</v>
      </c>
      <c r="Q152" s="26">
        <v>13.0</v>
      </c>
      <c r="R152" s="26" t="str">
        <f t="shared" si="338"/>
        <v>R</v>
      </c>
      <c r="S152" s="26">
        <v>25.0</v>
      </c>
      <c r="T152" s="26" t="str">
        <f t="shared" si="339"/>
        <v>S</v>
      </c>
      <c r="U152" s="26">
        <v>26.0</v>
      </c>
      <c r="V152" s="26" t="str">
        <f t="shared" si="340"/>
        <v>S</v>
      </c>
      <c r="W152" s="32" t="s">
        <v>299</v>
      </c>
      <c r="X152" s="33">
        <v>6.0</v>
      </c>
      <c r="Y152" s="33" t="str">
        <f t="shared" si="341"/>
        <v>R</v>
      </c>
      <c r="Z152" s="33">
        <v>26.0</v>
      </c>
      <c r="AA152" s="33" t="str">
        <f t="shared" si="342"/>
        <v>S</v>
      </c>
      <c r="AB152" s="33">
        <v>20.0</v>
      </c>
      <c r="AC152" s="33" t="str">
        <f t="shared" si="343"/>
        <v>I</v>
      </c>
      <c r="AD152" s="33">
        <v>29.0</v>
      </c>
      <c r="AE152" s="33" t="str">
        <f t="shared" si="344"/>
        <v>S</v>
      </c>
      <c r="AF152" s="33">
        <v>23.0</v>
      </c>
      <c r="AG152" s="33" t="str">
        <f t="shared" si="345"/>
        <v>R</v>
      </c>
      <c r="AH152" s="33" t="s">
        <v>299</v>
      </c>
      <c r="AI152" s="36">
        <v>24.0</v>
      </c>
      <c r="AJ152" s="36" t="str">
        <f t="shared" si="346"/>
        <v>I</v>
      </c>
      <c r="AK152" s="36">
        <v>22.0</v>
      </c>
      <c r="AL152" s="36" t="str">
        <f t="shared" si="347"/>
        <v>I</v>
      </c>
      <c r="AM152" s="36">
        <v>19.0</v>
      </c>
      <c r="AN152" s="36" t="str">
        <f t="shared" si="348"/>
        <v>S</v>
      </c>
      <c r="AO152" s="36" t="s">
        <v>300</v>
      </c>
      <c r="AP152" s="37">
        <v>6.0</v>
      </c>
      <c r="AQ152" s="37" t="str">
        <f t="shared" si="349"/>
        <v>R</v>
      </c>
      <c r="AR152" s="33">
        <v>23.0</v>
      </c>
      <c r="AS152" s="33" t="str">
        <f t="shared" si="350"/>
        <v>S</v>
      </c>
      <c r="AT152" s="33">
        <v>20.0</v>
      </c>
      <c r="AU152" s="33" t="str">
        <f t="shared" si="351"/>
        <v>S</v>
      </c>
      <c r="AV152" s="33" t="s">
        <v>300</v>
      </c>
      <c r="AW152" s="26">
        <v>16.0</v>
      </c>
      <c r="AX152" s="26" t="str">
        <f t="shared" si="352"/>
        <v>R</v>
      </c>
      <c r="AY152" s="37">
        <v>20.0</v>
      </c>
      <c r="AZ152" s="37" t="str">
        <f t="shared" si="353"/>
        <v>R</v>
      </c>
      <c r="BA152" s="36">
        <v>28.0</v>
      </c>
      <c r="BB152" s="36" t="str">
        <f t="shared" si="354"/>
        <v>S</v>
      </c>
      <c r="BC152" s="39" t="s">
        <v>357</v>
      </c>
      <c r="BD152" s="39" t="s">
        <v>357</v>
      </c>
      <c r="BE152" s="36">
        <v>28.0</v>
      </c>
      <c r="BF152" s="36" t="str">
        <f t="shared" si="355"/>
        <v>S</v>
      </c>
      <c r="BG152" s="40">
        <v>22.0</v>
      </c>
      <c r="BH152" s="41" t="str">
        <f t="shared" si="356"/>
        <v>S</v>
      </c>
      <c r="BI152" s="41"/>
    </row>
    <row r="153">
      <c r="A153" s="51" t="s">
        <v>786</v>
      </c>
      <c r="B153" s="51" t="s">
        <v>444</v>
      </c>
      <c r="C153" s="51" t="s">
        <v>1335</v>
      </c>
      <c r="D153" s="18" t="s">
        <v>190</v>
      </c>
      <c r="E153" s="18" t="s">
        <v>190</v>
      </c>
      <c r="F153" s="18" t="s">
        <v>192</v>
      </c>
      <c r="G153" s="20" t="s">
        <v>1336</v>
      </c>
      <c r="H153" s="42" t="s">
        <v>479</v>
      </c>
      <c r="I153" s="26">
        <v>6.0</v>
      </c>
      <c r="J153" s="26" t="str">
        <f t="shared" si="335"/>
        <v>R</v>
      </c>
      <c r="K153" s="26">
        <v>24.0</v>
      </c>
      <c r="L153" s="26" t="str">
        <f t="shared" si="336"/>
        <v>S</v>
      </c>
      <c r="M153" s="26">
        <v>6.0</v>
      </c>
      <c r="N153" s="26" t="str">
        <f t="shared" si="337"/>
        <v>R</v>
      </c>
      <c r="O153" s="32" t="s">
        <v>357</v>
      </c>
      <c r="P153" s="32" t="s">
        <v>357</v>
      </c>
      <c r="Q153" s="26">
        <v>13.0</v>
      </c>
      <c r="R153" s="26" t="str">
        <f t="shared" si="338"/>
        <v>R</v>
      </c>
      <c r="S153" s="26">
        <v>26.0</v>
      </c>
      <c r="T153" s="26" t="str">
        <f t="shared" si="339"/>
        <v>S</v>
      </c>
      <c r="U153" s="26">
        <v>28.0</v>
      </c>
      <c r="V153" s="26" t="str">
        <f t="shared" si="340"/>
        <v>S</v>
      </c>
      <c r="W153" s="32" t="s">
        <v>299</v>
      </c>
      <c r="X153" s="33">
        <v>9.0</v>
      </c>
      <c r="Y153" s="33" t="str">
        <f t="shared" si="341"/>
        <v>R</v>
      </c>
      <c r="Z153" s="33">
        <v>27.0</v>
      </c>
      <c r="AA153" s="33" t="str">
        <f t="shared" si="342"/>
        <v>S</v>
      </c>
      <c r="AB153" s="33">
        <v>21.0</v>
      </c>
      <c r="AC153" s="33" t="str">
        <f t="shared" si="343"/>
        <v>I</v>
      </c>
      <c r="AD153" s="33">
        <v>30.0</v>
      </c>
      <c r="AE153" s="33" t="str">
        <f t="shared" si="344"/>
        <v>S</v>
      </c>
      <c r="AF153" s="33">
        <v>25.0</v>
      </c>
      <c r="AG153" s="33" t="str">
        <f t="shared" si="345"/>
        <v>I</v>
      </c>
      <c r="AH153" s="33" t="s">
        <v>299</v>
      </c>
      <c r="AI153" s="36">
        <v>23.0</v>
      </c>
      <c r="AJ153" s="36" t="str">
        <f t="shared" si="346"/>
        <v>I</v>
      </c>
      <c r="AK153" s="36">
        <v>22.0</v>
      </c>
      <c r="AL153" s="36" t="str">
        <f t="shared" si="347"/>
        <v>I</v>
      </c>
      <c r="AM153" s="36">
        <v>18.0</v>
      </c>
      <c r="AN153" s="36" t="str">
        <f t="shared" si="348"/>
        <v>S</v>
      </c>
      <c r="AO153" s="36" t="s">
        <v>300</v>
      </c>
      <c r="AP153" s="37">
        <v>6.0</v>
      </c>
      <c r="AQ153" s="37" t="str">
        <f t="shared" si="349"/>
        <v>R</v>
      </c>
      <c r="AR153" s="33">
        <v>21.0</v>
      </c>
      <c r="AS153" s="33" t="str">
        <f t="shared" si="350"/>
        <v>S</v>
      </c>
      <c r="AT153" s="33">
        <v>22.0</v>
      </c>
      <c r="AU153" s="33" t="str">
        <f t="shared" si="351"/>
        <v>S</v>
      </c>
      <c r="AV153" s="33" t="s">
        <v>300</v>
      </c>
      <c r="AW153" s="26">
        <v>15.0</v>
      </c>
      <c r="AX153" s="26" t="str">
        <f t="shared" si="352"/>
        <v>R</v>
      </c>
      <c r="AY153" s="37">
        <v>23.0</v>
      </c>
      <c r="AZ153" s="37" t="str">
        <f t="shared" si="353"/>
        <v>I</v>
      </c>
      <c r="BA153" s="36">
        <v>29.0</v>
      </c>
      <c r="BB153" s="36" t="str">
        <f t="shared" si="354"/>
        <v>S</v>
      </c>
      <c r="BC153" s="39" t="s">
        <v>357</v>
      </c>
      <c r="BD153" s="39" t="s">
        <v>357</v>
      </c>
      <c r="BE153" s="36">
        <v>30.0</v>
      </c>
      <c r="BF153" s="36" t="str">
        <f t="shared" si="355"/>
        <v>S</v>
      </c>
      <c r="BG153" s="40">
        <v>22.0</v>
      </c>
      <c r="BH153" s="41" t="str">
        <f t="shared" si="356"/>
        <v>S</v>
      </c>
      <c r="BI153" s="41"/>
    </row>
    <row r="154">
      <c r="A154" s="51" t="s">
        <v>786</v>
      </c>
      <c r="B154" s="53">
        <v>93.0</v>
      </c>
      <c r="C154" s="51" t="s">
        <v>1337</v>
      </c>
      <c r="D154" s="18" t="s">
        <v>190</v>
      </c>
      <c r="E154" s="18" t="s">
        <v>190</v>
      </c>
      <c r="F154" s="18" t="s">
        <v>192</v>
      </c>
      <c r="G154" s="20" t="s">
        <v>1338</v>
      </c>
      <c r="H154" s="22" t="s">
        <v>198</v>
      </c>
      <c r="I154" s="26">
        <v>6.0</v>
      </c>
      <c r="J154" s="26" t="str">
        <f t="shared" si="335"/>
        <v>R</v>
      </c>
      <c r="K154" s="26">
        <v>22.0</v>
      </c>
      <c r="L154" s="26" t="str">
        <f t="shared" si="336"/>
        <v>S</v>
      </c>
      <c r="M154" s="26">
        <v>6.0</v>
      </c>
      <c r="N154" s="26" t="str">
        <f t="shared" si="337"/>
        <v>R</v>
      </c>
      <c r="O154" s="32" t="s">
        <v>357</v>
      </c>
      <c r="P154" s="32" t="s">
        <v>357</v>
      </c>
      <c r="Q154" s="26">
        <v>15.0</v>
      </c>
      <c r="R154" s="26" t="str">
        <f t="shared" si="338"/>
        <v>R</v>
      </c>
      <c r="S154" s="26">
        <v>22.0</v>
      </c>
      <c r="T154" s="26" t="str">
        <f t="shared" si="339"/>
        <v>S</v>
      </c>
      <c r="U154" s="26">
        <v>25.0</v>
      </c>
      <c r="V154" s="26" t="str">
        <f t="shared" si="340"/>
        <v>S</v>
      </c>
      <c r="W154" s="32" t="s">
        <v>299</v>
      </c>
      <c r="X154" s="33">
        <v>12.0</v>
      </c>
      <c r="Y154" s="33" t="str">
        <f t="shared" si="341"/>
        <v>R</v>
      </c>
      <c r="Z154" s="33">
        <v>26.0</v>
      </c>
      <c r="AA154" s="33" t="str">
        <f t="shared" si="342"/>
        <v>S</v>
      </c>
      <c r="AB154" s="33">
        <v>21.0</v>
      </c>
      <c r="AC154" s="33" t="str">
        <f t="shared" si="343"/>
        <v>I</v>
      </c>
      <c r="AD154" s="33">
        <v>18.0</v>
      </c>
      <c r="AE154" s="33" t="str">
        <f t="shared" si="344"/>
        <v>S</v>
      </c>
      <c r="AF154" s="33">
        <v>31.0</v>
      </c>
      <c r="AG154" s="33" t="str">
        <f t="shared" si="345"/>
        <v>S</v>
      </c>
      <c r="AH154" s="33" t="s">
        <v>299</v>
      </c>
      <c r="AI154" s="36">
        <v>30.0</v>
      </c>
      <c r="AJ154" s="36" t="str">
        <f t="shared" si="346"/>
        <v>S</v>
      </c>
      <c r="AK154" s="36">
        <v>25.0</v>
      </c>
      <c r="AL154" s="36" t="str">
        <f t="shared" si="347"/>
        <v>S</v>
      </c>
      <c r="AM154" s="36">
        <v>19.0</v>
      </c>
      <c r="AN154" s="36" t="str">
        <f t="shared" si="348"/>
        <v>S</v>
      </c>
      <c r="AO154" s="36" t="s">
        <v>300</v>
      </c>
      <c r="AP154" s="37">
        <v>6.0</v>
      </c>
      <c r="AQ154" s="37" t="str">
        <f t="shared" si="349"/>
        <v>R</v>
      </c>
      <c r="AR154" s="33">
        <v>21.0</v>
      </c>
      <c r="AS154" s="33" t="str">
        <f t="shared" si="350"/>
        <v>S</v>
      </c>
      <c r="AT154" s="33">
        <v>20.0</v>
      </c>
      <c r="AU154" s="33" t="str">
        <f t="shared" si="351"/>
        <v>S</v>
      </c>
      <c r="AV154" s="33" t="s">
        <v>300</v>
      </c>
      <c r="AW154" s="26">
        <v>28.0</v>
      </c>
      <c r="AX154" s="26" t="str">
        <f t="shared" si="352"/>
        <v>S</v>
      </c>
      <c r="AY154" s="37">
        <v>22.0</v>
      </c>
      <c r="AZ154" s="37" t="str">
        <f t="shared" si="353"/>
        <v>I</v>
      </c>
      <c r="BA154" s="36">
        <v>33.0</v>
      </c>
      <c r="BB154" s="36" t="str">
        <f t="shared" si="354"/>
        <v>S</v>
      </c>
      <c r="BC154" s="39" t="s">
        <v>357</v>
      </c>
      <c r="BD154" s="39" t="s">
        <v>357</v>
      </c>
      <c r="BE154" s="36">
        <v>32.0</v>
      </c>
      <c r="BF154" s="36" t="str">
        <f t="shared" si="355"/>
        <v>S</v>
      </c>
      <c r="BG154" s="40">
        <v>20.0</v>
      </c>
      <c r="BH154" s="41" t="str">
        <f t="shared" si="356"/>
        <v>S</v>
      </c>
      <c r="BI154" s="41"/>
    </row>
    <row r="155">
      <c r="A155" s="51" t="s">
        <v>786</v>
      </c>
      <c r="B155" s="51" t="s">
        <v>444</v>
      </c>
      <c r="C155" s="51" t="s">
        <v>1339</v>
      </c>
      <c r="D155" s="18" t="s">
        <v>190</v>
      </c>
      <c r="E155" s="18" t="s">
        <v>190</v>
      </c>
      <c r="F155" s="18" t="s">
        <v>192</v>
      </c>
      <c r="G155" s="20" t="s">
        <v>1340</v>
      </c>
      <c r="H155" s="42" t="s">
        <v>479</v>
      </c>
      <c r="I155" s="26">
        <v>6.0</v>
      </c>
      <c r="J155" s="26" t="str">
        <f t="shared" si="335"/>
        <v>R</v>
      </c>
      <c r="K155" s="26">
        <v>24.0</v>
      </c>
      <c r="L155" s="26" t="str">
        <f t="shared" si="336"/>
        <v>S</v>
      </c>
      <c r="M155" s="26">
        <v>6.0</v>
      </c>
      <c r="N155" s="26" t="str">
        <f t="shared" si="337"/>
        <v>R</v>
      </c>
      <c r="O155" s="32" t="s">
        <v>357</v>
      </c>
      <c r="P155" s="32" t="s">
        <v>357</v>
      </c>
      <c r="Q155" s="26">
        <v>15.0</v>
      </c>
      <c r="R155" s="26" t="str">
        <f t="shared" si="338"/>
        <v>R</v>
      </c>
      <c r="S155" s="26">
        <v>26.0</v>
      </c>
      <c r="T155" s="26" t="str">
        <f t="shared" si="339"/>
        <v>S</v>
      </c>
      <c r="U155" s="26">
        <v>28.0</v>
      </c>
      <c r="V155" s="26" t="str">
        <f t="shared" si="340"/>
        <v>S</v>
      </c>
      <c r="W155" s="32" t="s">
        <v>299</v>
      </c>
      <c r="X155" s="33">
        <v>8.0</v>
      </c>
      <c r="Y155" s="33" t="str">
        <f t="shared" si="341"/>
        <v>R</v>
      </c>
      <c r="Z155" s="33">
        <v>25.0</v>
      </c>
      <c r="AA155" s="33" t="str">
        <f t="shared" si="342"/>
        <v>S</v>
      </c>
      <c r="AB155" s="33">
        <v>21.0</v>
      </c>
      <c r="AC155" s="33" t="str">
        <f t="shared" si="343"/>
        <v>I</v>
      </c>
      <c r="AD155" s="33">
        <v>30.0</v>
      </c>
      <c r="AE155" s="33" t="str">
        <f t="shared" si="344"/>
        <v>S</v>
      </c>
      <c r="AF155" s="33">
        <v>25.0</v>
      </c>
      <c r="AG155" s="33" t="str">
        <f t="shared" si="345"/>
        <v>I</v>
      </c>
      <c r="AH155" s="33" t="s">
        <v>299</v>
      </c>
      <c r="AI155" s="36">
        <v>24.0</v>
      </c>
      <c r="AJ155" s="36" t="str">
        <f t="shared" si="346"/>
        <v>I</v>
      </c>
      <c r="AK155" s="36">
        <v>22.0</v>
      </c>
      <c r="AL155" s="36" t="str">
        <f t="shared" si="347"/>
        <v>I</v>
      </c>
      <c r="AM155" s="36">
        <v>20.0</v>
      </c>
      <c r="AN155" s="36" t="str">
        <f t="shared" si="348"/>
        <v>S</v>
      </c>
      <c r="AO155" s="36" t="s">
        <v>300</v>
      </c>
      <c r="AP155" s="37">
        <v>6.0</v>
      </c>
      <c r="AQ155" s="37" t="str">
        <f t="shared" si="349"/>
        <v>R</v>
      </c>
      <c r="AR155" s="33">
        <v>22.0</v>
      </c>
      <c r="AS155" s="33" t="str">
        <f t="shared" si="350"/>
        <v>S</v>
      </c>
      <c r="AT155" s="33">
        <v>20.0</v>
      </c>
      <c r="AU155" s="33" t="str">
        <f t="shared" si="351"/>
        <v>S</v>
      </c>
      <c r="AV155" s="33" t="s">
        <v>300</v>
      </c>
      <c r="AW155" s="26">
        <v>15.0</v>
      </c>
      <c r="AX155" s="26" t="str">
        <f t="shared" si="352"/>
        <v>R</v>
      </c>
      <c r="AY155" s="37">
        <v>22.0</v>
      </c>
      <c r="AZ155" s="37" t="str">
        <f t="shared" si="353"/>
        <v>I</v>
      </c>
      <c r="BA155" s="36">
        <v>28.0</v>
      </c>
      <c r="BB155" s="36" t="str">
        <f t="shared" si="354"/>
        <v>S</v>
      </c>
      <c r="BC155" s="39" t="s">
        <v>357</v>
      </c>
      <c r="BD155" s="39" t="s">
        <v>357</v>
      </c>
      <c r="BE155" s="36">
        <v>29.0</v>
      </c>
      <c r="BF155" s="36" t="str">
        <f t="shared" si="355"/>
        <v>S</v>
      </c>
      <c r="BG155" s="40">
        <v>23.0</v>
      </c>
      <c r="BH155" s="41" t="str">
        <f t="shared" si="356"/>
        <v>S</v>
      </c>
      <c r="BI155" s="41"/>
    </row>
    <row r="156">
      <c r="A156" s="51" t="s">
        <v>786</v>
      </c>
      <c r="B156" s="51" t="s">
        <v>444</v>
      </c>
      <c r="C156" s="51" t="s">
        <v>1341</v>
      </c>
      <c r="D156" s="18" t="s">
        <v>190</v>
      </c>
      <c r="E156" s="18" t="s">
        <v>190</v>
      </c>
      <c r="F156" s="18" t="s">
        <v>192</v>
      </c>
      <c r="G156" s="20" t="s">
        <v>1342</v>
      </c>
      <c r="H156" s="22" t="s">
        <v>198</v>
      </c>
      <c r="I156" s="26">
        <v>6.0</v>
      </c>
      <c r="J156" s="26" t="str">
        <f t="shared" si="335"/>
        <v>R</v>
      </c>
      <c r="K156" s="26">
        <v>6.0</v>
      </c>
      <c r="L156" s="26" t="str">
        <f t="shared" si="336"/>
        <v>R</v>
      </c>
      <c r="M156" s="26">
        <v>6.0</v>
      </c>
      <c r="N156" s="26" t="str">
        <f t="shared" si="337"/>
        <v>R</v>
      </c>
      <c r="O156" s="32" t="s">
        <v>357</v>
      </c>
      <c r="P156" s="32" t="s">
        <v>357</v>
      </c>
      <c r="Q156" s="26">
        <v>6.0</v>
      </c>
      <c r="R156" s="26" t="str">
        <f t="shared" si="338"/>
        <v>R</v>
      </c>
      <c r="S156" s="26">
        <v>8.0</v>
      </c>
      <c r="T156" s="26" t="str">
        <f t="shared" si="339"/>
        <v>R</v>
      </c>
      <c r="U156" s="26">
        <v>6.0</v>
      </c>
      <c r="V156" s="26" t="str">
        <f t="shared" si="340"/>
        <v>R</v>
      </c>
      <c r="W156" s="32" t="s">
        <v>299</v>
      </c>
      <c r="X156" s="33">
        <v>6.0</v>
      </c>
      <c r="Y156" s="33" t="str">
        <f t="shared" si="341"/>
        <v>R</v>
      </c>
      <c r="Z156" s="33">
        <v>6.0</v>
      </c>
      <c r="AA156" s="33" t="str">
        <f t="shared" si="342"/>
        <v>R</v>
      </c>
      <c r="AB156" s="33">
        <v>6.0</v>
      </c>
      <c r="AC156" s="33" t="str">
        <f t="shared" si="343"/>
        <v>R</v>
      </c>
      <c r="AD156" s="33">
        <v>18.0</v>
      </c>
      <c r="AE156" s="33" t="str">
        <f t="shared" si="344"/>
        <v>S</v>
      </c>
      <c r="AF156" s="33">
        <v>20.0</v>
      </c>
      <c r="AG156" s="33" t="str">
        <f t="shared" si="345"/>
        <v>R</v>
      </c>
      <c r="AH156" s="33" t="s">
        <v>299</v>
      </c>
      <c r="AI156" s="36">
        <v>6.0</v>
      </c>
      <c r="AJ156" s="36" t="str">
        <f t="shared" si="346"/>
        <v>R</v>
      </c>
      <c r="AK156" s="36">
        <v>6.0</v>
      </c>
      <c r="AL156" s="36" t="str">
        <f t="shared" si="347"/>
        <v>R</v>
      </c>
      <c r="AM156" s="36">
        <v>6.0</v>
      </c>
      <c r="AN156" s="36" t="str">
        <f t="shared" si="348"/>
        <v>R</v>
      </c>
      <c r="AO156" s="36" t="s">
        <v>299</v>
      </c>
      <c r="AP156" s="37">
        <v>6.0</v>
      </c>
      <c r="AQ156" s="37" t="str">
        <f t="shared" si="349"/>
        <v>R</v>
      </c>
      <c r="AR156" s="33">
        <v>23.0</v>
      </c>
      <c r="AS156" s="33" t="str">
        <f t="shared" si="350"/>
        <v>S</v>
      </c>
      <c r="AT156" s="33">
        <v>15.0</v>
      </c>
      <c r="AU156" s="33" t="str">
        <f t="shared" si="351"/>
        <v>R</v>
      </c>
      <c r="AV156" s="33" t="s">
        <v>299</v>
      </c>
      <c r="AW156" s="26">
        <v>6.0</v>
      </c>
      <c r="AX156" s="26" t="str">
        <f t="shared" si="352"/>
        <v>R</v>
      </c>
      <c r="AY156" s="37">
        <v>14.0</v>
      </c>
      <c r="AZ156" s="37" t="str">
        <f t="shared" si="353"/>
        <v>R</v>
      </c>
      <c r="BA156" s="36">
        <v>15.0</v>
      </c>
      <c r="BB156" s="36" t="str">
        <f t="shared" si="354"/>
        <v>R</v>
      </c>
      <c r="BC156" s="36">
        <v>0.5</v>
      </c>
      <c r="BD156" s="36" t="str">
        <f>IF((BC156&lt;=0.5),"S",IF(AND(BC156&gt;0.5),"R", "NA"))</f>
        <v>S</v>
      </c>
      <c r="BE156" s="36">
        <v>25.0</v>
      </c>
      <c r="BF156" s="36" t="str">
        <f t="shared" si="355"/>
        <v>S</v>
      </c>
      <c r="BG156" s="40">
        <v>8.0</v>
      </c>
      <c r="BH156" s="41" t="str">
        <f t="shared" si="356"/>
        <v>R</v>
      </c>
      <c r="BI156" s="41"/>
    </row>
    <row r="157">
      <c r="A157" s="51" t="s">
        <v>786</v>
      </c>
      <c r="B157" s="53">
        <v>94.0</v>
      </c>
      <c r="C157" s="51" t="s">
        <v>1343</v>
      </c>
      <c r="D157" s="18" t="s">
        <v>571</v>
      </c>
      <c r="E157" s="18" t="s">
        <v>572</v>
      </c>
      <c r="F157" s="18" t="s">
        <v>192</v>
      </c>
      <c r="G157" s="20" t="s">
        <v>1344</v>
      </c>
      <c r="H157" s="52" t="s">
        <v>1345</v>
      </c>
      <c r="I157" s="26">
        <v>6.0</v>
      </c>
      <c r="J157" s="26" t="str">
        <f t="shared" si="335"/>
        <v>R</v>
      </c>
      <c r="K157" s="26">
        <v>10.0</v>
      </c>
      <c r="L157" s="26" t="str">
        <f t="shared" si="336"/>
        <v>R</v>
      </c>
      <c r="M157" s="26">
        <v>6.0</v>
      </c>
      <c r="N157" s="26" t="str">
        <f t="shared" si="337"/>
        <v>R</v>
      </c>
      <c r="O157" s="32" t="s">
        <v>357</v>
      </c>
      <c r="P157" s="32" t="s">
        <v>357</v>
      </c>
      <c r="Q157" s="26">
        <v>14.0</v>
      </c>
      <c r="R157" s="26" t="str">
        <f t="shared" si="338"/>
        <v>R</v>
      </c>
      <c r="S157" s="26">
        <v>25.0</v>
      </c>
      <c r="T157" s="26" t="str">
        <f t="shared" si="339"/>
        <v>S</v>
      </c>
      <c r="U157" s="26">
        <v>23.0</v>
      </c>
      <c r="V157" s="26" t="str">
        <f t="shared" si="340"/>
        <v>S</v>
      </c>
      <c r="W157" s="32" t="s">
        <v>299</v>
      </c>
      <c r="X157" s="33">
        <v>10.0</v>
      </c>
      <c r="Y157" s="33" t="str">
        <f t="shared" si="341"/>
        <v>R</v>
      </c>
      <c r="Z157" s="33">
        <v>6.0</v>
      </c>
      <c r="AA157" s="33" t="str">
        <f t="shared" si="342"/>
        <v>R</v>
      </c>
      <c r="AB157" s="33">
        <v>24.0</v>
      </c>
      <c r="AC157" s="33" t="str">
        <f t="shared" si="343"/>
        <v>S</v>
      </c>
      <c r="AD157" s="33">
        <v>28.0</v>
      </c>
      <c r="AE157" s="33" t="str">
        <f t="shared" si="344"/>
        <v>S</v>
      </c>
      <c r="AF157" s="33">
        <v>27.0</v>
      </c>
      <c r="AG157" s="33" t="str">
        <f t="shared" si="345"/>
        <v>S</v>
      </c>
      <c r="AH157" s="33" t="s">
        <v>299</v>
      </c>
      <c r="AI157" s="36">
        <v>8.0</v>
      </c>
      <c r="AJ157" s="36" t="str">
        <f t="shared" si="346"/>
        <v>R</v>
      </c>
      <c r="AK157" s="36">
        <v>15.0</v>
      </c>
      <c r="AL157" s="36" t="str">
        <f t="shared" si="347"/>
        <v>R</v>
      </c>
      <c r="AM157" s="36">
        <v>6.0</v>
      </c>
      <c r="AN157" s="36" t="str">
        <f t="shared" si="348"/>
        <v>R</v>
      </c>
      <c r="AO157" s="36" t="s">
        <v>299</v>
      </c>
      <c r="AP157" s="37">
        <v>6.0</v>
      </c>
      <c r="AQ157" s="37" t="str">
        <f t="shared" si="349"/>
        <v>R</v>
      </c>
      <c r="AR157" s="33">
        <v>19.0</v>
      </c>
      <c r="AS157" s="33" t="str">
        <f t="shared" si="350"/>
        <v>S</v>
      </c>
      <c r="AT157" s="33">
        <v>6.0</v>
      </c>
      <c r="AU157" s="33" t="str">
        <f t="shared" si="351"/>
        <v>R</v>
      </c>
      <c r="AV157" s="33" t="s">
        <v>299</v>
      </c>
      <c r="AW157" s="26">
        <v>10.0</v>
      </c>
      <c r="AX157" s="26" t="str">
        <f t="shared" si="352"/>
        <v>R</v>
      </c>
      <c r="AY157" s="37">
        <v>23.0</v>
      </c>
      <c r="AZ157" s="37" t="str">
        <f t="shared" si="353"/>
        <v>I</v>
      </c>
      <c r="BA157" s="36">
        <v>32.0</v>
      </c>
      <c r="BB157" s="36" t="str">
        <f t="shared" si="354"/>
        <v>S</v>
      </c>
      <c r="BC157" s="39" t="s">
        <v>357</v>
      </c>
      <c r="BD157" s="39" t="s">
        <v>357</v>
      </c>
      <c r="BE157" s="36">
        <v>26.0</v>
      </c>
      <c r="BF157" s="36" t="str">
        <f t="shared" si="355"/>
        <v>S</v>
      </c>
      <c r="BG157" s="40">
        <v>6.0</v>
      </c>
      <c r="BH157" s="41" t="str">
        <f t="shared" si="356"/>
        <v>R</v>
      </c>
      <c r="BI157" s="41"/>
    </row>
    <row r="158">
      <c r="A158" s="51" t="s">
        <v>786</v>
      </c>
      <c r="B158" s="51" t="s">
        <v>444</v>
      </c>
      <c r="C158" s="51" t="s">
        <v>1346</v>
      </c>
      <c r="D158" s="18" t="s">
        <v>571</v>
      </c>
      <c r="E158" s="18" t="s">
        <v>572</v>
      </c>
      <c r="F158" s="18" t="s">
        <v>192</v>
      </c>
      <c r="G158" s="20" t="s">
        <v>1347</v>
      </c>
      <c r="H158" s="58" t="s">
        <v>770</v>
      </c>
      <c r="I158" s="26">
        <v>6.0</v>
      </c>
      <c r="J158" s="26" t="str">
        <f t="shared" si="335"/>
        <v>R</v>
      </c>
      <c r="K158" s="26">
        <v>25.0</v>
      </c>
      <c r="L158" s="26" t="str">
        <f t="shared" si="336"/>
        <v>S</v>
      </c>
      <c r="M158" s="26">
        <v>6.0</v>
      </c>
      <c r="N158" s="26" t="str">
        <f t="shared" si="337"/>
        <v>R</v>
      </c>
      <c r="O158" s="32" t="s">
        <v>357</v>
      </c>
      <c r="P158" s="32" t="s">
        <v>357</v>
      </c>
      <c r="Q158" s="26">
        <v>10.0</v>
      </c>
      <c r="R158" s="26" t="str">
        <f t="shared" si="338"/>
        <v>R</v>
      </c>
      <c r="S158" s="26">
        <v>28.0</v>
      </c>
      <c r="T158" s="26" t="str">
        <f t="shared" si="339"/>
        <v>S</v>
      </c>
      <c r="U158" s="26">
        <v>25.0</v>
      </c>
      <c r="V158" s="26" t="str">
        <f t="shared" si="340"/>
        <v>S</v>
      </c>
      <c r="W158" s="32" t="s">
        <v>299</v>
      </c>
      <c r="X158" s="33">
        <v>6.0</v>
      </c>
      <c r="Y158" s="33" t="str">
        <f t="shared" si="341"/>
        <v>R</v>
      </c>
      <c r="Z158" s="33">
        <v>27.0</v>
      </c>
      <c r="AA158" s="33" t="str">
        <f t="shared" si="342"/>
        <v>S</v>
      </c>
      <c r="AB158" s="33">
        <v>18.0</v>
      </c>
      <c r="AC158" s="33" t="str">
        <f t="shared" si="343"/>
        <v>R</v>
      </c>
      <c r="AD158" s="33">
        <v>30.0</v>
      </c>
      <c r="AE158" s="33" t="str">
        <f t="shared" si="344"/>
        <v>S</v>
      </c>
      <c r="AF158" s="33">
        <v>25.0</v>
      </c>
      <c r="AG158" s="33" t="str">
        <f t="shared" si="345"/>
        <v>I</v>
      </c>
      <c r="AH158" s="33" t="s">
        <v>299</v>
      </c>
      <c r="AI158" s="36">
        <v>26.0</v>
      </c>
      <c r="AJ158" s="36" t="str">
        <f t="shared" si="346"/>
        <v>S</v>
      </c>
      <c r="AK158" s="36">
        <v>26.0</v>
      </c>
      <c r="AL158" s="36" t="str">
        <f t="shared" si="347"/>
        <v>S</v>
      </c>
      <c r="AM158" s="36">
        <v>25.0</v>
      </c>
      <c r="AN158" s="36" t="str">
        <f t="shared" si="348"/>
        <v>S</v>
      </c>
      <c r="AO158" s="36" t="s">
        <v>300</v>
      </c>
      <c r="AP158" s="37">
        <v>6.0</v>
      </c>
      <c r="AQ158" s="37" t="str">
        <f t="shared" si="349"/>
        <v>R</v>
      </c>
      <c r="AR158" s="33">
        <v>25.0</v>
      </c>
      <c r="AS158" s="33" t="str">
        <f t="shared" si="350"/>
        <v>S</v>
      </c>
      <c r="AT158" s="33">
        <v>20.0</v>
      </c>
      <c r="AU158" s="33" t="str">
        <f t="shared" si="351"/>
        <v>S</v>
      </c>
      <c r="AV158" s="33" t="s">
        <v>300</v>
      </c>
      <c r="AW158" s="26">
        <v>24.0</v>
      </c>
      <c r="AX158" s="26" t="str">
        <f t="shared" si="352"/>
        <v>S</v>
      </c>
      <c r="AY158" s="37">
        <v>16.0</v>
      </c>
      <c r="AZ158" s="37" t="str">
        <f t="shared" si="353"/>
        <v>R</v>
      </c>
      <c r="BA158" s="36">
        <v>34.0</v>
      </c>
      <c r="BB158" s="36" t="str">
        <f t="shared" si="354"/>
        <v>S</v>
      </c>
      <c r="BC158" s="39" t="s">
        <v>357</v>
      </c>
      <c r="BD158" s="39" t="s">
        <v>357</v>
      </c>
      <c r="BE158" s="36">
        <v>30.0</v>
      </c>
      <c r="BF158" s="36" t="str">
        <f t="shared" si="355"/>
        <v>S</v>
      </c>
      <c r="BG158" s="40">
        <v>22.0</v>
      </c>
      <c r="BH158" s="41" t="str">
        <f t="shared" si="356"/>
        <v>S</v>
      </c>
      <c r="BI158" s="41"/>
    </row>
    <row r="159">
      <c r="A159" s="51" t="s">
        <v>786</v>
      </c>
      <c r="B159" s="51" t="s">
        <v>444</v>
      </c>
      <c r="C159" s="51" t="s">
        <v>1348</v>
      </c>
      <c r="D159" s="18" t="s">
        <v>571</v>
      </c>
      <c r="E159" s="18" t="s">
        <v>572</v>
      </c>
      <c r="F159" s="18" t="s">
        <v>192</v>
      </c>
      <c r="G159" s="20" t="s">
        <v>1349</v>
      </c>
      <c r="H159" s="58" t="s">
        <v>770</v>
      </c>
      <c r="I159" s="26">
        <v>6.0</v>
      </c>
      <c r="J159" s="26" t="str">
        <f t="shared" si="335"/>
        <v>R</v>
      </c>
      <c r="K159" s="26">
        <v>25.0</v>
      </c>
      <c r="L159" s="26" t="str">
        <f t="shared" si="336"/>
        <v>S</v>
      </c>
      <c r="M159" s="26">
        <v>6.0</v>
      </c>
      <c r="N159" s="26" t="str">
        <f t="shared" si="337"/>
        <v>R</v>
      </c>
      <c r="O159" s="32" t="s">
        <v>357</v>
      </c>
      <c r="P159" s="32" t="s">
        <v>357</v>
      </c>
      <c r="Q159" s="26">
        <v>10.0</v>
      </c>
      <c r="R159" s="26" t="str">
        <f t="shared" si="338"/>
        <v>R</v>
      </c>
      <c r="S159" s="26">
        <v>27.0</v>
      </c>
      <c r="T159" s="26" t="str">
        <f t="shared" si="339"/>
        <v>S</v>
      </c>
      <c r="U159" s="26">
        <v>26.0</v>
      </c>
      <c r="V159" s="26" t="str">
        <f t="shared" si="340"/>
        <v>S</v>
      </c>
      <c r="W159" s="32" t="s">
        <v>299</v>
      </c>
      <c r="X159" s="33">
        <v>6.0</v>
      </c>
      <c r="Y159" s="33" t="str">
        <f t="shared" si="341"/>
        <v>R</v>
      </c>
      <c r="Z159" s="33">
        <v>26.0</v>
      </c>
      <c r="AA159" s="33" t="str">
        <f t="shared" si="342"/>
        <v>S</v>
      </c>
      <c r="AB159" s="33">
        <v>18.0</v>
      </c>
      <c r="AC159" s="33" t="str">
        <f t="shared" si="343"/>
        <v>R</v>
      </c>
      <c r="AD159" s="33">
        <v>30.0</v>
      </c>
      <c r="AE159" s="33" t="str">
        <f t="shared" si="344"/>
        <v>S</v>
      </c>
      <c r="AF159" s="33">
        <v>23.0</v>
      </c>
      <c r="AG159" s="33" t="str">
        <f t="shared" si="345"/>
        <v>R</v>
      </c>
      <c r="AH159" s="33" t="s">
        <v>299</v>
      </c>
      <c r="AI159" s="36">
        <v>25.0</v>
      </c>
      <c r="AJ159" s="36" t="str">
        <f t="shared" si="346"/>
        <v>S</v>
      </c>
      <c r="AK159" s="36">
        <v>25.0</v>
      </c>
      <c r="AL159" s="36" t="str">
        <f t="shared" si="347"/>
        <v>S</v>
      </c>
      <c r="AM159" s="36">
        <v>24.0</v>
      </c>
      <c r="AN159" s="36" t="str">
        <f t="shared" si="348"/>
        <v>S</v>
      </c>
      <c r="AO159" s="36" t="s">
        <v>300</v>
      </c>
      <c r="AP159" s="37">
        <v>6.0</v>
      </c>
      <c r="AQ159" s="37" t="str">
        <f t="shared" si="349"/>
        <v>R</v>
      </c>
      <c r="AR159" s="33">
        <v>23.0</v>
      </c>
      <c r="AS159" s="33" t="str">
        <f t="shared" si="350"/>
        <v>S</v>
      </c>
      <c r="AT159" s="33">
        <v>20.0</v>
      </c>
      <c r="AU159" s="33" t="str">
        <f t="shared" si="351"/>
        <v>S</v>
      </c>
      <c r="AV159" s="33" t="s">
        <v>300</v>
      </c>
      <c r="AW159" s="26">
        <v>25.0</v>
      </c>
      <c r="AX159" s="26" t="str">
        <f t="shared" si="352"/>
        <v>S</v>
      </c>
      <c r="AY159" s="37">
        <v>17.0</v>
      </c>
      <c r="AZ159" s="37" t="str">
        <f t="shared" si="353"/>
        <v>R</v>
      </c>
      <c r="BA159" s="36">
        <v>34.0</v>
      </c>
      <c r="BB159" s="36" t="str">
        <f t="shared" si="354"/>
        <v>S</v>
      </c>
      <c r="BC159" s="39" t="s">
        <v>357</v>
      </c>
      <c r="BD159" s="39" t="s">
        <v>357</v>
      </c>
      <c r="BE159" s="36">
        <v>30.0</v>
      </c>
      <c r="BF159" s="36" t="str">
        <f t="shared" si="355"/>
        <v>S</v>
      </c>
      <c r="BG159" s="40">
        <v>21.0</v>
      </c>
      <c r="BH159" s="41" t="str">
        <f t="shared" si="356"/>
        <v>S</v>
      </c>
      <c r="BI159" s="41"/>
    </row>
    <row r="160">
      <c r="A160" s="51" t="s">
        <v>786</v>
      </c>
      <c r="B160" s="53">
        <v>95.0</v>
      </c>
      <c r="C160" s="51" t="s">
        <v>1350</v>
      </c>
      <c r="D160" s="18" t="s">
        <v>705</v>
      </c>
      <c r="E160" s="18" t="s">
        <v>572</v>
      </c>
      <c r="F160" s="18" t="s">
        <v>192</v>
      </c>
      <c r="G160" s="20" t="s">
        <v>1351</v>
      </c>
      <c r="H160" s="61" t="s">
        <v>900</v>
      </c>
      <c r="I160" s="26">
        <v>6.0</v>
      </c>
      <c r="J160" s="26" t="str">
        <f t="shared" si="335"/>
        <v>R</v>
      </c>
      <c r="K160" s="26">
        <v>10.0</v>
      </c>
      <c r="L160" s="26" t="str">
        <f t="shared" si="336"/>
        <v>R</v>
      </c>
      <c r="M160" s="26">
        <v>6.0</v>
      </c>
      <c r="N160" s="26" t="str">
        <f t="shared" si="337"/>
        <v>R</v>
      </c>
      <c r="O160" s="32" t="s">
        <v>357</v>
      </c>
      <c r="P160" s="32" t="s">
        <v>357</v>
      </c>
      <c r="Q160" s="26">
        <v>6.0</v>
      </c>
      <c r="R160" s="26" t="str">
        <f t="shared" si="338"/>
        <v>R</v>
      </c>
      <c r="S160" s="26">
        <v>24.0</v>
      </c>
      <c r="T160" s="26" t="str">
        <f t="shared" si="339"/>
        <v>S</v>
      </c>
      <c r="U160" s="26">
        <v>27.0</v>
      </c>
      <c r="V160" s="26" t="str">
        <f t="shared" si="340"/>
        <v>S</v>
      </c>
      <c r="W160" s="32" t="s">
        <v>299</v>
      </c>
      <c r="X160" s="33">
        <v>6.0</v>
      </c>
      <c r="Y160" s="33" t="str">
        <f t="shared" si="341"/>
        <v>R</v>
      </c>
      <c r="Z160" s="33">
        <v>6.0</v>
      </c>
      <c r="AA160" s="33" t="str">
        <f t="shared" si="342"/>
        <v>R</v>
      </c>
      <c r="AB160" s="33">
        <v>15.0</v>
      </c>
      <c r="AC160" s="33" t="str">
        <f t="shared" si="343"/>
        <v>R</v>
      </c>
      <c r="AD160" s="33">
        <v>29.0</v>
      </c>
      <c r="AE160" s="33" t="str">
        <f t="shared" si="344"/>
        <v>S</v>
      </c>
      <c r="AF160" s="33">
        <v>21.0</v>
      </c>
      <c r="AG160" s="33" t="str">
        <f t="shared" si="345"/>
        <v>R</v>
      </c>
      <c r="AH160" s="33" t="s">
        <v>299</v>
      </c>
      <c r="AI160" s="36">
        <v>24.0</v>
      </c>
      <c r="AJ160" s="36" t="str">
        <f t="shared" si="346"/>
        <v>I</v>
      </c>
      <c r="AK160" s="36">
        <v>23.0</v>
      </c>
      <c r="AL160" s="36" t="str">
        <f t="shared" si="347"/>
        <v>S</v>
      </c>
      <c r="AM160" s="36">
        <v>25.0</v>
      </c>
      <c r="AN160" s="36" t="str">
        <f t="shared" si="348"/>
        <v>S</v>
      </c>
      <c r="AO160" s="36" t="s">
        <v>300</v>
      </c>
      <c r="AP160" s="37">
        <v>6.0</v>
      </c>
      <c r="AQ160" s="37" t="str">
        <f t="shared" si="349"/>
        <v>R</v>
      </c>
      <c r="AR160" s="33">
        <v>22.0</v>
      </c>
      <c r="AS160" s="33" t="str">
        <f t="shared" si="350"/>
        <v>S</v>
      </c>
      <c r="AT160" s="33">
        <v>21.0</v>
      </c>
      <c r="AU160" s="33" t="str">
        <f t="shared" si="351"/>
        <v>S</v>
      </c>
      <c r="AV160" s="33" t="s">
        <v>300</v>
      </c>
      <c r="AW160" s="26">
        <v>28.0</v>
      </c>
      <c r="AX160" s="26" t="str">
        <f t="shared" si="352"/>
        <v>S</v>
      </c>
      <c r="AY160" s="37">
        <v>15.0</v>
      </c>
      <c r="AZ160" s="37" t="str">
        <f t="shared" si="353"/>
        <v>R</v>
      </c>
      <c r="BA160" s="36">
        <v>24.0</v>
      </c>
      <c r="BB160" s="36" t="str">
        <f t="shared" si="354"/>
        <v>S</v>
      </c>
      <c r="BC160" s="36">
        <v>0.032</v>
      </c>
      <c r="BD160" s="36" t="str">
        <f>IF((BC160&lt;=0.5),"S",IF(AND(BC160&gt;0.5),"R", "NA"))</f>
        <v>S</v>
      </c>
      <c r="BE160" s="36">
        <v>28.0</v>
      </c>
      <c r="BF160" s="36" t="str">
        <f t="shared" si="355"/>
        <v>S</v>
      </c>
      <c r="BG160" s="40">
        <v>20.0</v>
      </c>
      <c r="BH160" s="41" t="str">
        <f t="shared" si="356"/>
        <v>S</v>
      </c>
      <c r="BI160" s="41"/>
    </row>
    <row r="161">
      <c r="A161" s="51" t="s">
        <v>786</v>
      </c>
      <c r="B161" s="51" t="s">
        <v>444</v>
      </c>
      <c r="C161" s="51" t="s">
        <v>1352</v>
      </c>
      <c r="D161" s="18" t="s">
        <v>705</v>
      </c>
      <c r="E161" s="18" t="s">
        <v>572</v>
      </c>
      <c r="F161" s="18" t="s">
        <v>192</v>
      </c>
      <c r="G161" s="20" t="s">
        <v>1353</v>
      </c>
      <c r="H161" s="42" t="s">
        <v>479</v>
      </c>
      <c r="I161" s="26">
        <v>6.0</v>
      </c>
      <c r="J161" s="26" t="str">
        <f t="shared" si="335"/>
        <v>R</v>
      </c>
      <c r="K161" s="26">
        <v>20.0</v>
      </c>
      <c r="L161" s="26" t="str">
        <f t="shared" si="336"/>
        <v>S</v>
      </c>
      <c r="M161" s="26">
        <v>6.0</v>
      </c>
      <c r="N161" s="26" t="str">
        <f t="shared" si="337"/>
        <v>R</v>
      </c>
      <c r="O161" s="32" t="s">
        <v>357</v>
      </c>
      <c r="P161" s="32" t="s">
        <v>357</v>
      </c>
      <c r="Q161" s="26">
        <v>6.0</v>
      </c>
      <c r="R161" s="26" t="str">
        <f t="shared" si="338"/>
        <v>R</v>
      </c>
      <c r="S161" s="26">
        <v>23.0</v>
      </c>
      <c r="T161" s="26" t="str">
        <f t="shared" si="339"/>
        <v>S</v>
      </c>
      <c r="U161" s="26">
        <v>25.0</v>
      </c>
      <c r="V161" s="26" t="str">
        <f t="shared" si="340"/>
        <v>S</v>
      </c>
      <c r="W161" s="32" t="s">
        <v>299</v>
      </c>
      <c r="X161" s="33">
        <v>6.0</v>
      </c>
      <c r="Y161" s="33" t="str">
        <f t="shared" si="341"/>
        <v>R</v>
      </c>
      <c r="Z161" s="33">
        <v>25.0</v>
      </c>
      <c r="AA161" s="33" t="str">
        <f t="shared" si="342"/>
        <v>S</v>
      </c>
      <c r="AB161" s="33">
        <v>14.0</v>
      </c>
      <c r="AC161" s="33" t="str">
        <f t="shared" si="343"/>
        <v>R</v>
      </c>
      <c r="AD161" s="33">
        <v>21.0</v>
      </c>
      <c r="AE161" s="33" t="str">
        <f t="shared" si="344"/>
        <v>S</v>
      </c>
      <c r="AF161" s="33">
        <v>20.0</v>
      </c>
      <c r="AG161" s="33" t="str">
        <f t="shared" si="345"/>
        <v>R</v>
      </c>
      <c r="AH161" s="33" t="s">
        <v>299</v>
      </c>
      <c r="AI161" s="36">
        <v>29.0</v>
      </c>
      <c r="AJ161" s="36" t="str">
        <f t="shared" si="346"/>
        <v>S</v>
      </c>
      <c r="AK161" s="36">
        <v>28.0</v>
      </c>
      <c r="AL161" s="36" t="str">
        <f t="shared" si="347"/>
        <v>S</v>
      </c>
      <c r="AM161" s="36">
        <v>21.0</v>
      </c>
      <c r="AN161" s="36" t="str">
        <f t="shared" si="348"/>
        <v>S</v>
      </c>
      <c r="AO161" s="36" t="s">
        <v>300</v>
      </c>
      <c r="AP161" s="37">
        <v>6.0</v>
      </c>
      <c r="AQ161" s="37" t="str">
        <f t="shared" si="349"/>
        <v>R</v>
      </c>
      <c r="AR161" s="33">
        <v>21.0</v>
      </c>
      <c r="AS161" s="33" t="str">
        <f t="shared" si="350"/>
        <v>S</v>
      </c>
      <c r="AT161" s="33">
        <v>15.0</v>
      </c>
      <c r="AU161" s="33" t="str">
        <f t="shared" si="351"/>
        <v>R</v>
      </c>
      <c r="AV161" s="33" t="s">
        <v>299</v>
      </c>
      <c r="AW161" s="26">
        <v>24.0</v>
      </c>
      <c r="AX161" s="26" t="str">
        <f t="shared" si="352"/>
        <v>S</v>
      </c>
      <c r="AY161" s="37">
        <v>13.0</v>
      </c>
      <c r="AZ161" s="37" t="str">
        <f t="shared" si="353"/>
        <v>R</v>
      </c>
      <c r="BA161" s="36">
        <v>27.0</v>
      </c>
      <c r="BB161" s="36" t="str">
        <f t="shared" si="354"/>
        <v>S</v>
      </c>
      <c r="BC161" s="39" t="s">
        <v>357</v>
      </c>
      <c r="BD161" s="39" t="s">
        <v>357</v>
      </c>
      <c r="BE161" s="36">
        <v>30.0</v>
      </c>
      <c r="BF161" s="36" t="str">
        <f t="shared" si="355"/>
        <v>S</v>
      </c>
      <c r="BG161" s="40">
        <v>19.0</v>
      </c>
      <c r="BH161" s="41" t="str">
        <f t="shared" si="356"/>
        <v>S</v>
      </c>
      <c r="BI161" s="41"/>
    </row>
    <row r="162">
      <c r="A162" s="51" t="s">
        <v>786</v>
      </c>
      <c r="B162" s="53">
        <v>96.0</v>
      </c>
      <c r="C162" s="51" t="s">
        <v>1354</v>
      </c>
      <c r="D162" s="18" t="s">
        <v>708</v>
      </c>
      <c r="E162" s="18" t="s">
        <v>103</v>
      </c>
      <c r="F162" s="18" t="s">
        <v>192</v>
      </c>
      <c r="G162" s="20" t="s">
        <v>1355</v>
      </c>
      <c r="H162" s="22" t="s">
        <v>198</v>
      </c>
      <c r="I162" s="26">
        <v>8.0</v>
      </c>
      <c r="J162" s="26" t="str">
        <f t="shared" si="335"/>
        <v>R</v>
      </c>
      <c r="K162" s="26">
        <v>24.0</v>
      </c>
      <c r="L162" s="26" t="str">
        <f t="shared" si="336"/>
        <v>S</v>
      </c>
      <c r="M162" s="26">
        <v>6.0</v>
      </c>
      <c r="N162" s="26" t="str">
        <f t="shared" si="337"/>
        <v>R</v>
      </c>
      <c r="O162" s="32" t="s">
        <v>357</v>
      </c>
      <c r="P162" s="32" t="s">
        <v>357</v>
      </c>
      <c r="Q162" s="26">
        <v>18.0</v>
      </c>
      <c r="R162" s="26" t="str">
        <f t="shared" si="338"/>
        <v>R</v>
      </c>
      <c r="S162" s="26">
        <v>28.0</v>
      </c>
      <c r="T162" s="26" t="str">
        <f t="shared" si="339"/>
        <v>S</v>
      </c>
      <c r="U162" s="26">
        <v>25.0</v>
      </c>
      <c r="V162" s="26" t="str">
        <f t="shared" si="340"/>
        <v>S</v>
      </c>
      <c r="W162" s="32" t="s">
        <v>299</v>
      </c>
      <c r="X162" s="33">
        <v>13.0</v>
      </c>
      <c r="Y162" s="33" t="str">
        <f t="shared" si="341"/>
        <v>R</v>
      </c>
      <c r="Z162" s="33">
        <v>26.0</v>
      </c>
      <c r="AA162" s="33" t="str">
        <f t="shared" si="342"/>
        <v>S</v>
      </c>
      <c r="AB162" s="33">
        <v>24.0</v>
      </c>
      <c r="AC162" s="33" t="str">
        <f t="shared" si="343"/>
        <v>S</v>
      </c>
      <c r="AD162" s="33">
        <v>26.0</v>
      </c>
      <c r="AE162" s="33" t="str">
        <f t="shared" si="344"/>
        <v>S</v>
      </c>
      <c r="AF162" s="33">
        <v>30.0</v>
      </c>
      <c r="AG162" s="33" t="str">
        <f t="shared" si="345"/>
        <v>S</v>
      </c>
      <c r="AH162" s="33" t="s">
        <v>299</v>
      </c>
      <c r="AI162" s="36">
        <v>30.0</v>
      </c>
      <c r="AJ162" s="36" t="str">
        <f t="shared" si="346"/>
        <v>S</v>
      </c>
      <c r="AK162" s="36">
        <v>28.0</v>
      </c>
      <c r="AL162" s="36" t="str">
        <f t="shared" si="347"/>
        <v>S</v>
      </c>
      <c r="AM162" s="36">
        <v>21.0</v>
      </c>
      <c r="AN162" s="36" t="str">
        <f t="shared" si="348"/>
        <v>S</v>
      </c>
      <c r="AO162" s="36" t="s">
        <v>300</v>
      </c>
      <c r="AP162" s="37">
        <v>6.0</v>
      </c>
      <c r="AQ162" s="37" t="str">
        <f t="shared" si="349"/>
        <v>R</v>
      </c>
      <c r="AR162" s="33">
        <v>24.0</v>
      </c>
      <c r="AS162" s="33" t="str">
        <f t="shared" si="350"/>
        <v>S</v>
      </c>
      <c r="AT162" s="33">
        <v>20.0</v>
      </c>
      <c r="AU162" s="33" t="str">
        <f t="shared" si="351"/>
        <v>S</v>
      </c>
      <c r="AV162" s="33" t="s">
        <v>300</v>
      </c>
      <c r="AW162" s="26">
        <v>18.0</v>
      </c>
      <c r="AX162" s="26" t="str">
        <f t="shared" si="352"/>
        <v>R</v>
      </c>
      <c r="AY162" s="37">
        <v>25.0</v>
      </c>
      <c r="AZ162" s="37" t="str">
        <f t="shared" si="353"/>
        <v>I</v>
      </c>
      <c r="BA162" s="36">
        <v>35.0</v>
      </c>
      <c r="BB162" s="36" t="str">
        <f t="shared" si="354"/>
        <v>S</v>
      </c>
      <c r="BC162" s="39" t="s">
        <v>357</v>
      </c>
      <c r="BD162" s="39" t="s">
        <v>357</v>
      </c>
      <c r="BE162" s="36">
        <v>30.0</v>
      </c>
      <c r="BF162" s="36" t="str">
        <f t="shared" si="355"/>
        <v>S</v>
      </c>
      <c r="BG162" s="40">
        <v>21.0</v>
      </c>
      <c r="BH162" s="41" t="str">
        <f t="shared" si="356"/>
        <v>S</v>
      </c>
      <c r="BI162" s="41"/>
    </row>
    <row r="163">
      <c r="A163" s="51" t="s">
        <v>786</v>
      </c>
      <c r="B163" s="51" t="s">
        <v>444</v>
      </c>
      <c r="C163" s="51" t="s">
        <v>1356</v>
      </c>
      <c r="D163" s="18" t="s">
        <v>708</v>
      </c>
      <c r="E163" s="18" t="s">
        <v>103</v>
      </c>
      <c r="F163" s="18" t="s">
        <v>192</v>
      </c>
      <c r="G163" s="20" t="s">
        <v>1357</v>
      </c>
      <c r="H163" s="58" t="s">
        <v>770</v>
      </c>
      <c r="I163" s="26">
        <v>6.0</v>
      </c>
      <c r="J163" s="26" t="str">
        <f t="shared" si="335"/>
        <v>R</v>
      </c>
      <c r="K163" s="26">
        <v>20.0</v>
      </c>
      <c r="L163" s="26" t="str">
        <f t="shared" si="336"/>
        <v>S</v>
      </c>
      <c r="M163" s="26">
        <v>6.0</v>
      </c>
      <c r="N163" s="26" t="str">
        <f t="shared" si="337"/>
        <v>R</v>
      </c>
      <c r="O163" s="32" t="s">
        <v>357</v>
      </c>
      <c r="P163" s="32" t="s">
        <v>357</v>
      </c>
      <c r="Q163" s="26">
        <v>15.0</v>
      </c>
      <c r="R163" s="26" t="str">
        <f t="shared" si="338"/>
        <v>R</v>
      </c>
      <c r="S163" s="26">
        <v>30.0</v>
      </c>
      <c r="T163" s="26" t="str">
        <f t="shared" si="339"/>
        <v>S</v>
      </c>
      <c r="U163" s="26">
        <v>26.0</v>
      </c>
      <c r="V163" s="26" t="str">
        <f t="shared" si="340"/>
        <v>S</v>
      </c>
      <c r="W163" s="32" t="s">
        <v>299</v>
      </c>
      <c r="X163" s="33">
        <v>6.0</v>
      </c>
      <c r="Y163" s="33" t="str">
        <f t="shared" si="341"/>
        <v>R</v>
      </c>
      <c r="Z163" s="33">
        <v>30.0</v>
      </c>
      <c r="AA163" s="33" t="str">
        <f t="shared" si="342"/>
        <v>S</v>
      </c>
      <c r="AB163" s="33">
        <v>20.0</v>
      </c>
      <c r="AC163" s="33" t="str">
        <f t="shared" si="343"/>
        <v>I</v>
      </c>
      <c r="AD163" s="33">
        <v>32.0</v>
      </c>
      <c r="AE163" s="33" t="str">
        <f t="shared" si="344"/>
        <v>S</v>
      </c>
      <c r="AF163" s="33">
        <v>25.0</v>
      </c>
      <c r="AG163" s="33" t="str">
        <f t="shared" si="345"/>
        <v>I</v>
      </c>
      <c r="AH163" s="33" t="s">
        <v>299</v>
      </c>
      <c r="AI163" s="36">
        <v>25.0</v>
      </c>
      <c r="AJ163" s="36" t="str">
        <f t="shared" si="346"/>
        <v>S</v>
      </c>
      <c r="AK163" s="36">
        <v>26.0</v>
      </c>
      <c r="AL163" s="36" t="str">
        <f t="shared" si="347"/>
        <v>S</v>
      </c>
      <c r="AM163" s="36">
        <v>24.0</v>
      </c>
      <c r="AN163" s="36" t="str">
        <f t="shared" si="348"/>
        <v>S</v>
      </c>
      <c r="AO163" s="36" t="s">
        <v>300</v>
      </c>
      <c r="AP163" s="37">
        <v>8.0</v>
      </c>
      <c r="AQ163" s="37" t="str">
        <f t="shared" si="349"/>
        <v>R</v>
      </c>
      <c r="AR163" s="33">
        <v>25.0</v>
      </c>
      <c r="AS163" s="33" t="str">
        <f t="shared" si="350"/>
        <v>S</v>
      </c>
      <c r="AT163" s="33">
        <v>20.0</v>
      </c>
      <c r="AU163" s="33" t="str">
        <f t="shared" si="351"/>
        <v>S</v>
      </c>
      <c r="AV163" s="33" t="s">
        <v>300</v>
      </c>
      <c r="AW163" s="26">
        <v>20.0</v>
      </c>
      <c r="AX163" s="26" t="str">
        <f t="shared" si="352"/>
        <v>S</v>
      </c>
      <c r="AY163" s="37">
        <v>24.0</v>
      </c>
      <c r="AZ163" s="37" t="str">
        <f t="shared" si="353"/>
        <v>I</v>
      </c>
      <c r="BA163" s="36">
        <v>28.0</v>
      </c>
      <c r="BB163" s="36" t="str">
        <f t="shared" si="354"/>
        <v>S</v>
      </c>
      <c r="BC163" s="39" t="s">
        <v>357</v>
      </c>
      <c r="BD163" s="39" t="s">
        <v>357</v>
      </c>
      <c r="BE163" s="36">
        <v>28.0</v>
      </c>
      <c r="BF163" s="36" t="str">
        <f t="shared" si="355"/>
        <v>S</v>
      </c>
      <c r="BG163" s="40">
        <v>22.0</v>
      </c>
      <c r="BH163" s="41" t="str">
        <f t="shared" si="356"/>
        <v>S</v>
      </c>
      <c r="BI163" s="41"/>
    </row>
    <row r="164">
      <c r="A164" s="51" t="s">
        <v>786</v>
      </c>
      <c r="B164" s="51" t="s">
        <v>444</v>
      </c>
      <c r="C164" s="51" t="s">
        <v>1358</v>
      </c>
      <c r="D164" s="18" t="s">
        <v>708</v>
      </c>
      <c r="E164" s="18" t="s">
        <v>103</v>
      </c>
      <c r="F164" s="18" t="s">
        <v>192</v>
      </c>
      <c r="G164" s="20" t="s">
        <v>1359</v>
      </c>
      <c r="H164" s="42" t="s">
        <v>479</v>
      </c>
      <c r="I164" s="26">
        <v>6.0</v>
      </c>
      <c r="J164" s="26" t="str">
        <f t="shared" si="335"/>
        <v>R</v>
      </c>
      <c r="K164" s="26">
        <v>20.0</v>
      </c>
      <c r="L164" s="26" t="str">
        <f t="shared" si="336"/>
        <v>S</v>
      </c>
      <c r="M164" s="26">
        <v>6.0</v>
      </c>
      <c r="N164" s="26" t="str">
        <f t="shared" si="337"/>
        <v>R</v>
      </c>
      <c r="O164" s="32" t="s">
        <v>357</v>
      </c>
      <c r="P164" s="32" t="s">
        <v>357</v>
      </c>
      <c r="Q164" s="26">
        <v>11.0</v>
      </c>
      <c r="R164" s="26" t="str">
        <f t="shared" si="338"/>
        <v>R</v>
      </c>
      <c r="S164" s="26">
        <v>25.0</v>
      </c>
      <c r="T164" s="26" t="str">
        <f t="shared" si="339"/>
        <v>S</v>
      </c>
      <c r="U164" s="26">
        <v>25.0</v>
      </c>
      <c r="V164" s="26" t="str">
        <f t="shared" si="340"/>
        <v>S</v>
      </c>
      <c r="W164" s="32" t="s">
        <v>299</v>
      </c>
      <c r="X164" s="33">
        <v>6.0</v>
      </c>
      <c r="Y164" s="33" t="str">
        <f t="shared" si="341"/>
        <v>R</v>
      </c>
      <c r="Z164" s="33">
        <v>25.0</v>
      </c>
      <c r="AA164" s="33" t="str">
        <f t="shared" si="342"/>
        <v>S</v>
      </c>
      <c r="AB164" s="33">
        <v>15.0</v>
      </c>
      <c r="AC164" s="33" t="str">
        <f t="shared" si="343"/>
        <v>R</v>
      </c>
      <c r="AD164" s="33">
        <v>27.0</v>
      </c>
      <c r="AE164" s="33" t="str">
        <f t="shared" si="344"/>
        <v>S</v>
      </c>
      <c r="AF164" s="33">
        <v>22.0</v>
      </c>
      <c r="AG164" s="33" t="str">
        <f t="shared" si="345"/>
        <v>R</v>
      </c>
      <c r="AH164" s="33" t="s">
        <v>299</v>
      </c>
      <c r="AI164" s="36">
        <v>30.0</v>
      </c>
      <c r="AJ164" s="36" t="str">
        <f t="shared" si="346"/>
        <v>S</v>
      </c>
      <c r="AK164" s="36">
        <v>23.0</v>
      </c>
      <c r="AL164" s="36" t="str">
        <f t="shared" si="347"/>
        <v>S</v>
      </c>
      <c r="AM164" s="36">
        <v>20.0</v>
      </c>
      <c r="AN164" s="36" t="str">
        <f t="shared" si="348"/>
        <v>S</v>
      </c>
      <c r="AO164" s="36" t="s">
        <v>300</v>
      </c>
      <c r="AP164" s="37">
        <v>6.0</v>
      </c>
      <c r="AQ164" s="37" t="str">
        <f t="shared" si="349"/>
        <v>R</v>
      </c>
      <c r="AR164" s="33">
        <v>22.0</v>
      </c>
      <c r="AS164" s="33" t="str">
        <f t="shared" si="350"/>
        <v>S</v>
      </c>
      <c r="AT164" s="33">
        <v>24.0</v>
      </c>
      <c r="AU164" s="33" t="str">
        <f t="shared" si="351"/>
        <v>S</v>
      </c>
      <c r="AV164" s="33" t="s">
        <v>300</v>
      </c>
      <c r="AW164" s="26">
        <v>18.0</v>
      </c>
      <c r="AX164" s="26" t="str">
        <f t="shared" si="352"/>
        <v>R</v>
      </c>
      <c r="AY164" s="37">
        <v>13.0</v>
      </c>
      <c r="AZ164" s="37" t="str">
        <f t="shared" si="353"/>
        <v>R</v>
      </c>
      <c r="BA164" s="36">
        <v>27.0</v>
      </c>
      <c r="BB164" s="36" t="str">
        <f t="shared" si="354"/>
        <v>S</v>
      </c>
      <c r="BC164" s="39" t="s">
        <v>357</v>
      </c>
      <c r="BD164" s="39" t="s">
        <v>357</v>
      </c>
      <c r="BE164" s="36">
        <v>28.0</v>
      </c>
      <c r="BF164" s="36" t="str">
        <f t="shared" si="355"/>
        <v>S</v>
      </c>
      <c r="BG164" s="40">
        <v>20.0</v>
      </c>
      <c r="BH164" s="41" t="str">
        <f t="shared" si="356"/>
        <v>S</v>
      </c>
      <c r="BI164" s="41"/>
    </row>
    <row r="165">
      <c r="A165" s="76" t="s">
        <v>794</v>
      </c>
      <c r="B165" s="77">
        <v>97.0</v>
      </c>
      <c r="C165" s="76" t="s">
        <v>1360</v>
      </c>
      <c r="D165" s="18" t="s">
        <v>190</v>
      </c>
      <c r="E165" s="18" t="s">
        <v>190</v>
      </c>
      <c r="F165" s="18" t="s">
        <v>192</v>
      </c>
      <c r="G165" s="20" t="s">
        <v>1361</v>
      </c>
      <c r="H165" s="22" t="s">
        <v>198</v>
      </c>
      <c r="I165" s="26">
        <v>6.0</v>
      </c>
      <c r="J165" s="26" t="str">
        <f t="shared" si="335"/>
        <v>R</v>
      </c>
      <c r="K165" s="26">
        <v>27.0</v>
      </c>
      <c r="L165" s="26" t="str">
        <f t="shared" si="336"/>
        <v>S</v>
      </c>
      <c r="M165" s="26">
        <v>6.0</v>
      </c>
      <c r="N165" s="26" t="str">
        <f t="shared" si="337"/>
        <v>R</v>
      </c>
      <c r="O165" s="32" t="s">
        <v>357</v>
      </c>
      <c r="P165" s="32" t="s">
        <v>357</v>
      </c>
      <c r="Q165" s="26">
        <v>16.0</v>
      </c>
      <c r="R165" s="26" t="str">
        <f t="shared" si="338"/>
        <v>R</v>
      </c>
      <c r="S165" s="26">
        <v>28.0</v>
      </c>
      <c r="T165" s="26" t="str">
        <f t="shared" si="339"/>
        <v>S</v>
      </c>
      <c r="U165" s="26">
        <v>24.0</v>
      </c>
      <c r="V165" s="26" t="str">
        <f t="shared" si="340"/>
        <v>S</v>
      </c>
      <c r="W165" s="32" t="s">
        <v>299</v>
      </c>
      <c r="X165" s="33">
        <v>10.0</v>
      </c>
      <c r="Y165" s="33" t="str">
        <f t="shared" si="341"/>
        <v>R</v>
      </c>
      <c r="Z165" s="33">
        <v>26.0</v>
      </c>
      <c r="AA165" s="33" t="str">
        <f t="shared" si="342"/>
        <v>S</v>
      </c>
      <c r="AB165" s="33">
        <v>22.0</v>
      </c>
      <c r="AC165" s="33" t="str">
        <f t="shared" si="343"/>
        <v>S</v>
      </c>
      <c r="AD165" s="33">
        <v>28.0</v>
      </c>
      <c r="AE165" s="33" t="str">
        <f t="shared" si="344"/>
        <v>S</v>
      </c>
      <c r="AF165" s="33">
        <v>30.0</v>
      </c>
      <c r="AG165" s="33" t="str">
        <f t="shared" si="345"/>
        <v>S</v>
      </c>
      <c r="AH165" s="33" t="s">
        <v>299</v>
      </c>
      <c r="AI165" s="36">
        <v>30.0</v>
      </c>
      <c r="AJ165" s="36" t="str">
        <f t="shared" si="346"/>
        <v>S</v>
      </c>
      <c r="AK165" s="36">
        <v>28.0</v>
      </c>
      <c r="AL165" s="36" t="str">
        <f t="shared" si="347"/>
        <v>S</v>
      </c>
      <c r="AM165" s="36">
        <v>22.0</v>
      </c>
      <c r="AN165" s="36" t="str">
        <f t="shared" si="348"/>
        <v>S</v>
      </c>
      <c r="AO165" s="36" t="s">
        <v>300</v>
      </c>
      <c r="AP165" s="37">
        <v>33.0</v>
      </c>
      <c r="AQ165" s="37" t="str">
        <f t="shared" si="349"/>
        <v>S</v>
      </c>
      <c r="AR165" s="33">
        <v>22.0</v>
      </c>
      <c r="AS165" s="33" t="str">
        <f t="shared" si="350"/>
        <v>S</v>
      </c>
      <c r="AT165" s="33">
        <v>21.0</v>
      </c>
      <c r="AU165" s="33" t="str">
        <f t="shared" si="351"/>
        <v>S</v>
      </c>
      <c r="AV165" s="33" t="s">
        <v>300</v>
      </c>
      <c r="AW165" s="26">
        <v>23.0</v>
      </c>
      <c r="AX165" s="26" t="str">
        <f t="shared" si="352"/>
        <v>S</v>
      </c>
      <c r="AY165" s="37">
        <v>22.0</v>
      </c>
      <c r="AZ165" s="37" t="str">
        <f t="shared" si="353"/>
        <v>I</v>
      </c>
      <c r="BA165" s="36">
        <v>35.0</v>
      </c>
      <c r="BB165" s="36" t="str">
        <f t="shared" si="354"/>
        <v>S</v>
      </c>
      <c r="BC165" s="39" t="s">
        <v>357</v>
      </c>
      <c r="BD165" s="39" t="s">
        <v>357</v>
      </c>
      <c r="BE165" s="36">
        <v>30.0</v>
      </c>
      <c r="BF165" s="36" t="str">
        <f t="shared" si="355"/>
        <v>S</v>
      </c>
      <c r="BG165" s="40">
        <v>20.0</v>
      </c>
      <c r="BH165" s="41" t="str">
        <f t="shared" si="356"/>
        <v>S</v>
      </c>
      <c r="BI165" s="41"/>
    </row>
    <row r="166">
      <c r="A166" s="76" t="s">
        <v>794</v>
      </c>
      <c r="B166" s="76" t="s">
        <v>444</v>
      </c>
      <c r="C166" s="76" t="s">
        <v>1362</v>
      </c>
      <c r="D166" s="18" t="s">
        <v>190</v>
      </c>
      <c r="E166" s="18" t="s">
        <v>190</v>
      </c>
      <c r="F166" s="18" t="s">
        <v>192</v>
      </c>
      <c r="G166" s="20" t="s">
        <v>1363</v>
      </c>
      <c r="H166" s="42" t="s">
        <v>479</v>
      </c>
      <c r="I166" s="26">
        <v>6.0</v>
      </c>
      <c r="J166" s="26" t="str">
        <f t="shared" si="335"/>
        <v>R</v>
      </c>
      <c r="K166" s="26">
        <v>13.0</v>
      </c>
      <c r="L166" s="26" t="str">
        <f t="shared" si="336"/>
        <v>R</v>
      </c>
      <c r="M166" s="26">
        <v>6.0</v>
      </c>
      <c r="N166" s="26" t="str">
        <f t="shared" si="337"/>
        <v>R</v>
      </c>
      <c r="O166" s="32" t="s">
        <v>357</v>
      </c>
      <c r="P166" s="32" t="s">
        <v>357</v>
      </c>
      <c r="Q166" s="26">
        <v>6.0</v>
      </c>
      <c r="R166" s="26" t="str">
        <f t="shared" si="338"/>
        <v>R</v>
      </c>
      <c r="S166" s="26">
        <v>19.0</v>
      </c>
      <c r="T166" s="26" t="str">
        <f t="shared" si="339"/>
        <v>R</v>
      </c>
      <c r="U166" s="26">
        <v>24.0</v>
      </c>
      <c r="V166" s="26" t="str">
        <f t="shared" si="340"/>
        <v>S</v>
      </c>
      <c r="W166" s="32" t="s">
        <v>299</v>
      </c>
      <c r="X166" s="33">
        <v>6.0</v>
      </c>
      <c r="Y166" s="33" t="str">
        <f t="shared" si="341"/>
        <v>R</v>
      </c>
      <c r="Z166" s="33">
        <v>25.0</v>
      </c>
      <c r="AA166" s="33" t="str">
        <f t="shared" si="342"/>
        <v>S</v>
      </c>
      <c r="AB166" s="33">
        <v>16.0</v>
      </c>
      <c r="AC166" s="33" t="str">
        <f t="shared" si="343"/>
        <v>R</v>
      </c>
      <c r="AD166" s="33">
        <v>26.0</v>
      </c>
      <c r="AE166" s="33" t="str">
        <f t="shared" si="344"/>
        <v>S</v>
      </c>
      <c r="AF166" s="33">
        <v>21.0</v>
      </c>
      <c r="AG166" s="33" t="str">
        <f t="shared" si="345"/>
        <v>R</v>
      </c>
      <c r="AH166" s="33" t="s">
        <v>299</v>
      </c>
      <c r="AI166" s="36">
        <v>30.0</v>
      </c>
      <c r="AJ166" s="36" t="str">
        <f t="shared" si="346"/>
        <v>S</v>
      </c>
      <c r="AK166" s="36">
        <v>28.0</v>
      </c>
      <c r="AL166" s="36" t="str">
        <f t="shared" si="347"/>
        <v>S</v>
      </c>
      <c r="AM166" s="36">
        <v>23.0</v>
      </c>
      <c r="AN166" s="36" t="str">
        <f t="shared" si="348"/>
        <v>S</v>
      </c>
      <c r="AO166" s="36" t="s">
        <v>300</v>
      </c>
      <c r="AP166" s="37">
        <v>6.0</v>
      </c>
      <c r="AQ166" s="37" t="str">
        <f t="shared" si="349"/>
        <v>R</v>
      </c>
      <c r="AR166" s="33">
        <v>21.0</v>
      </c>
      <c r="AS166" s="33" t="str">
        <f t="shared" si="350"/>
        <v>S</v>
      </c>
      <c r="AT166" s="33">
        <v>13.0</v>
      </c>
      <c r="AU166" s="33" t="str">
        <f t="shared" si="351"/>
        <v>R</v>
      </c>
      <c r="AV166" s="33" t="s">
        <v>299</v>
      </c>
      <c r="AW166" s="26">
        <v>18.0</v>
      </c>
      <c r="AX166" s="26" t="str">
        <f t="shared" si="352"/>
        <v>R</v>
      </c>
      <c r="AY166" s="37">
        <v>14.0</v>
      </c>
      <c r="AZ166" s="37" t="str">
        <f t="shared" si="353"/>
        <v>R</v>
      </c>
      <c r="BA166" s="36">
        <v>31.0</v>
      </c>
      <c r="BB166" s="36" t="str">
        <f t="shared" si="354"/>
        <v>S</v>
      </c>
      <c r="BC166" s="39" t="s">
        <v>357</v>
      </c>
      <c r="BD166" s="39" t="s">
        <v>357</v>
      </c>
      <c r="BE166" s="36">
        <v>28.0</v>
      </c>
      <c r="BF166" s="36" t="str">
        <f t="shared" si="355"/>
        <v>S</v>
      </c>
      <c r="BG166" s="40">
        <v>6.0</v>
      </c>
      <c r="BH166" s="41" t="str">
        <f t="shared" si="356"/>
        <v>R</v>
      </c>
      <c r="BI166" s="41"/>
    </row>
    <row r="167">
      <c r="A167" s="76" t="s">
        <v>794</v>
      </c>
      <c r="B167" s="77">
        <v>98.0</v>
      </c>
      <c r="C167" s="76" t="s">
        <v>1364</v>
      </c>
      <c r="D167" s="18" t="s">
        <v>705</v>
      </c>
      <c r="E167" s="18" t="s">
        <v>572</v>
      </c>
      <c r="F167" s="18" t="s">
        <v>573</v>
      </c>
      <c r="G167" s="20" t="s">
        <v>357</v>
      </c>
      <c r="H167" s="47" t="s">
        <v>357</v>
      </c>
      <c r="I167" s="32" t="s">
        <v>357</v>
      </c>
      <c r="J167" s="32" t="s">
        <v>357</v>
      </c>
      <c r="K167" s="32" t="s">
        <v>357</v>
      </c>
      <c r="L167" s="32" t="s">
        <v>357</v>
      </c>
      <c r="M167" s="32" t="s">
        <v>357</v>
      </c>
      <c r="N167" s="32" t="s">
        <v>357</v>
      </c>
      <c r="O167" s="32" t="s">
        <v>357</v>
      </c>
      <c r="P167" s="32" t="s">
        <v>357</v>
      </c>
      <c r="Q167" s="32" t="s">
        <v>357</v>
      </c>
      <c r="R167" s="32" t="s">
        <v>357</v>
      </c>
      <c r="S167" s="32" t="s">
        <v>357</v>
      </c>
      <c r="T167" s="32" t="s">
        <v>357</v>
      </c>
      <c r="U167" s="32" t="s">
        <v>357</v>
      </c>
      <c r="V167" s="32" t="s">
        <v>357</v>
      </c>
      <c r="W167" s="32" t="s">
        <v>357</v>
      </c>
      <c r="X167" s="49" t="s">
        <v>357</v>
      </c>
      <c r="Y167" s="49" t="s">
        <v>357</v>
      </c>
      <c r="Z167" s="49" t="s">
        <v>357</v>
      </c>
      <c r="AA167" s="49" t="s">
        <v>357</v>
      </c>
      <c r="AB167" s="49" t="s">
        <v>357</v>
      </c>
      <c r="AC167" s="49" t="s">
        <v>357</v>
      </c>
      <c r="AD167" s="49" t="s">
        <v>357</v>
      </c>
      <c r="AE167" s="49" t="s">
        <v>357</v>
      </c>
      <c r="AF167" s="49" t="s">
        <v>357</v>
      </c>
      <c r="AG167" s="49" t="s">
        <v>357</v>
      </c>
      <c r="AH167" s="49" t="s">
        <v>357</v>
      </c>
      <c r="AI167" s="39" t="s">
        <v>357</v>
      </c>
      <c r="AJ167" s="39" t="s">
        <v>357</v>
      </c>
      <c r="AK167" s="39" t="s">
        <v>357</v>
      </c>
      <c r="AL167" s="39" t="s">
        <v>357</v>
      </c>
      <c r="AM167" s="39" t="s">
        <v>357</v>
      </c>
      <c r="AN167" s="39" t="s">
        <v>357</v>
      </c>
      <c r="AO167" s="39" t="s">
        <v>357</v>
      </c>
      <c r="AP167" s="50" t="s">
        <v>357</v>
      </c>
      <c r="AQ167" s="50" t="s">
        <v>357</v>
      </c>
      <c r="AR167" s="49" t="s">
        <v>357</v>
      </c>
      <c r="AS167" s="49" t="s">
        <v>357</v>
      </c>
      <c r="AT167" s="49" t="s">
        <v>357</v>
      </c>
      <c r="AU167" s="49" t="s">
        <v>357</v>
      </c>
      <c r="AV167" s="49" t="s">
        <v>357</v>
      </c>
      <c r="AW167" s="32" t="s">
        <v>357</v>
      </c>
      <c r="AX167" s="32" t="s">
        <v>357</v>
      </c>
      <c r="AY167" s="50" t="s">
        <v>357</v>
      </c>
      <c r="AZ167" s="50" t="s">
        <v>357</v>
      </c>
      <c r="BA167" s="39" t="s">
        <v>357</v>
      </c>
      <c r="BB167" s="39" t="s">
        <v>357</v>
      </c>
      <c r="BC167" s="39" t="s">
        <v>357</v>
      </c>
      <c r="BD167" s="39" t="s">
        <v>357</v>
      </c>
      <c r="BE167" s="39" t="s">
        <v>357</v>
      </c>
      <c r="BF167" s="39" t="s">
        <v>357</v>
      </c>
      <c r="BG167" s="41" t="s">
        <v>357</v>
      </c>
      <c r="BH167" s="41" t="s">
        <v>357</v>
      </c>
      <c r="BI167" s="41"/>
    </row>
    <row r="168">
      <c r="A168" s="76" t="s">
        <v>794</v>
      </c>
      <c r="B168" s="77">
        <v>99.0</v>
      </c>
      <c r="C168" s="76" t="s">
        <v>1365</v>
      </c>
      <c r="D168" s="18" t="s">
        <v>827</v>
      </c>
      <c r="E168" s="18" t="s">
        <v>572</v>
      </c>
      <c r="F168" s="18" t="s">
        <v>573</v>
      </c>
      <c r="G168" s="85" t="s">
        <v>357</v>
      </c>
      <c r="H168" s="86" t="s">
        <v>357</v>
      </c>
      <c r="I168" s="32" t="s">
        <v>357</v>
      </c>
      <c r="J168" s="32" t="s">
        <v>357</v>
      </c>
      <c r="K168" s="32" t="s">
        <v>357</v>
      </c>
      <c r="L168" s="32" t="s">
        <v>357</v>
      </c>
      <c r="M168" s="32" t="s">
        <v>357</v>
      </c>
      <c r="N168" s="32" t="s">
        <v>357</v>
      </c>
      <c r="O168" s="32" t="s">
        <v>357</v>
      </c>
      <c r="P168" s="32" t="s">
        <v>357</v>
      </c>
      <c r="Q168" s="32" t="s">
        <v>357</v>
      </c>
      <c r="R168" s="32" t="s">
        <v>357</v>
      </c>
      <c r="S168" s="32" t="s">
        <v>357</v>
      </c>
      <c r="T168" s="32" t="s">
        <v>357</v>
      </c>
      <c r="U168" s="32" t="s">
        <v>357</v>
      </c>
      <c r="V168" s="32" t="s">
        <v>357</v>
      </c>
      <c r="W168" s="32" t="s">
        <v>357</v>
      </c>
      <c r="X168" s="49" t="s">
        <v>357</v>
      </c>
      <c r="Y168" s="49" t="s">
        <v>357</v>
      </c>
      <c r="Z168" s="49" t="s">
        <v>357</v>
      </c>
      <c r="AA168" s="49" t="s">
        <v>357</v>
      </c>
      <c r="AB168" s="49" t="s">
        <v>357</v>
      </c>
      <c r="AC168" s="49" t="s">
        <v>357</v>
      </c>
      <c r="AD168" s="49" t="s">
        <v>357</v>
      </c>
      <c r="AE168" s="49" t="s">
        <v>357</v>
      </c>
      <c r="AF168" s="49" t="s">
        <v>357</v>
      </c>
      <c r="AG168" s="49" t="s">
        <v>357</v>
      </c>
      <c r="AH168" s="49" t="s">
        <v>357</v>
      </c>
      <c r="AI168" s="39" t="s">
        <v>357</v>
      </c>
      <c r="AJ168" s="39" t="s">
        <v>357</v>
      </c>
      <c r="AK168" s="39" t="s">
        <v>357</v>
      </c>
      <c r="AL168" s="39" t="s">
        <v>357</v>
      </c>
      <c r="AM168" s="39" t="s">
        <v>357</v>
      </c>
      <c r="AN168" s="39" t="s">
        <v>357</v>
      </c>
      <c r="AO168" s="39" t="s">
        <v>357</v>
      </c>
      <c r="AP168" s="50" t="s">
        <v>357</v>
      </c>
      <c r="AQ168" s="50" t="s">
        <v>357</v>
      </c>
      <c r="AR168" s="49" t="s">
        <v>357</v>
      </c>
      <c r="AS168" s="49" t="s">
        <v>357</v>
      </c>
      <c r="AT168" s="49" t="s">
        <v>357</v>
      </c>
      <c r="AU168" s="49" t="s">
        <v>357</v>
      </c>
      <c r="AV168" s="49" t="s">
        <v>357</v>
      </c>
      <c r="AW168" s="32" t="s">
        <v>357</v>
      </c>
      <c r="AX168" s="32" t="s">
        <v>357</v>
      </c>
      <c r="AY168" s="50" t="s">
        <v>357</v>
      </c>
      <c r="AZ168" s="50" t="s">
        <v>357</v>
      </c>
      <c r="BA168" s="39" t="s">
        <v>357</v>
      </c>
      <c r="BB168" s="39" t="s">
        <v>357</v>
      </c>
      <c r="BC168" s="39" t="s">
        <v>357</v>
      </c>
      <c r="BD168" s="39" t="s">
        <v>357</v>
      </c>
      <c r="BE168" s="39" t="s">
        <v>357</v>
      </c>
      <c r="BF168" s="39" t="s">
        <v>357</v>
      </c>
      <c r="BG168" s="41" t="s">
        <v>357</v>
      </c>
      <c r="BH168" s="41" t="s">
        <v>357</v>
      </c>
      <c r="BI168" s="41"/>
    </row>
    <row r="169">
      <c r="A169" s="51" t="s">
        <v>777</v>
      </c>
      <c r="B169" s="53">
        <v>100.0</v>
      </c>
      <c r="C169" s="51" t="s">
        <v>1366</v>
      </c>
      <c r="D169" s="18" t="s">
        <v>190</v>
      </c>
      <c r="E169" s="18" t="s">
        <v>190</v>
      </c>
      <c r="F169" s="18" t="s">
        <v>192</v>
      </c>
      <c r="G169" s="20" t="s">
        <v>1367</v>
      </c>
      <c r="H169" s="22" t="s">
        <v>198</v>
      </c>
      <c r="I169" s="26">
        <v>6.0</v>
      </c>
      <c r="J169" s="26" t="str">
        <f t="shared" ref="J169:J178" si="357">IF((I169&gt;=19),"S",IF(AND(I169&lt;19),"R", "NA"))</f>
        <v>R</v>
      </c>
      <c r="K169" s="26">
        <v>23.0</v>
      </c>
      <c r="L169" s="26" t="str">
        <f t="shared" ref="L169:L178" si="358">IF((K169&gt;=19),"S",IF(AND(K169&lt;19),"R", "NA"))</f>
        <v>S</v>
      </c>
      <c r="M169" s="26">
        <v>6.0</v>
      </c>
      <c r="N169" s="26" t="str">
        <f t="shared" ref="N169:N178" si="359">IF((M169&gt;=23),"S",IF(AND(M169&lt;23),"R","NA"))</f>
        <v>R</v>
      </c>
      <c r="O169" s="32" t="s">
        <v>357</v>
      </c>
      <c r="P169" s="32" t="s">
        <v>357</v>
      </c>
      <c r="Q169" s="26">
        <v>13.0</v>
      </c>
      <c r="R169" s="26" t="str">
        <f t="shared" ref="R169:R178" si="360">IF((Q169&gt;=20),"S",IF(AND(Q169&lt;20),"R", "NA"))</f>
        <v>R</v>
      </c>
      <c r="S169" s="26">
        <v>27.0</v>
      </c>
      <c r="T169" s="26" t="str">
        <f t="shared" ref="T169:T178" si="361">IF((S169&gt;=20),"S",IF(AND(S169&lt;20),"R", "NA"))</f>
        <v>S</v>
      </c>
      <c r="U169" s="26">
        <v>25.0</v>
      </c>
      <c r="V169" s="26" t="str">
        <f t="shared" ref="V169:V178" si="362">IF((U169&gt;=20),"S",IF(AND(U169&lt;20,U169&gt;=17),"I",IF(AND(U169&lt;17),"R","NA")))</f>
        <v>S</v>
      </c>
      <c r="W169" s="32" t="s">
        <v>299</v>
      </c>
      <c r="X169" s="33">
        <v>10.0</v>
      </c>
      <c r="Y169" s="33" t="str">
        <f t="shared" ref="Y169:Y178" si="363">IF((X169&gt;=20),"S",IF(AND(X169&lt;20,X169&gt;=17),"I",IF(AND(X169&lt;17),"R","NA")))</f>
        <v>R</v>
      </c>
      <c r="Z169" s="33">
        <v>27.0</v>
      </c>
      <c r="AA169" s="33" t="str">
        <f t="shared" ref="AA169:AA178" si="364">IF((Z169&gt;=18),"S",IF(AND(Z169&lt;18),"R", "NA"))</f>
        <v>S</v>
      </c>
      <c r="AB169" s="33">
        <v>21.0</v>
      </c>
      <c r="AC169" s="33" t="str">
        <f t="shared" ref="AC169:AC178" si="365">IF((AB169&gt;=22),"S",IF(AND(AB169&lt;22,AB169&gt;=19),"I",IF(AND(AB169&lt;19),"R","NA")))</f>
        <v>I</v>
      </c>
      <c r="AD169" s="33">
        <v>27.0</v>
      </c>
      <c r="AE169" s="33" t="str">
        <f t="shared" ref="AE169:AE178" si="366">IF((AD169&gt;=13),"S",IF(AND(AD169&lt;13),"R", "NA"))</f>
        <v>S</v>
      </c>
      <c r="AF169" s="33">
        <v>27.0</v>
      </c>
      <c r="AG169" s="33" t="str">
        <f t="shared" ref="AG169:AG178" si="367">IF((AF169&gt;=27),"S",IF(AND(AF169&lt;27,AF169&gt;=24),"I",IF(AND(AF169&lt;24),"R","NA")))</f>
        <v>S</v>
      </c>
      <c r="AH169" s="33" t="s">
        <v>299</v>
      </c>
      <c r="AI169" s="36">
        <v>26.0</v>
      </c>
      <c r="AJ169" s="36" t="str">
        <f t="shared" ref="AJ169:AJ178" si="368">IF((AI169&gt;=25),"S",IF(AND(AI169&lt;25,AI169&gt;=22),"I",IF(AND(AI169&lt;22),"R","NA")))</f>
        <v>S</v>
      </c>
      <c r="AK169" s="36">
        <v>26.0</v>
      </c>
      <c r="AL169" s="36" t="str">
        <f t="shared" ref="AL169:AL178" si="369">IF((AK169&gt;=23),"S",IF(AND(AK169&lt;23,AK169&gt;=19),"I",IF(AND(AK169&lt;19),"R","NA")))</f>
        <v>S</v>
      </c>
      <c r="AM169" s="36">
        <v>20.0</v>
      </c>
      <c r="AN169" s="36" t="str">
        <f t="shared" ref="AN169:AN178" si="370">IF((AM169&gt;=14),"S",IF(AND(AM169&lt;14),"R","NA"))</f>
        <v>S</v>
      </c>
      <c r="AO169" s="36" t="s">
        <v>300</v>
      </c>
      <c r="AP169" s="37">
        <v>28.0</v>
      </c>
      <c r="AQ169" s="37" t="str">
        <f t="shared" ref="AQ169:AQ178" si="371">IF((AP169&gt;=14),"S",IF(AND(AP169&lt;14,AP169&gt;=11),"I",IF(AND(AP169&lt;11),"R","NA")))</f>
        <v>S</v>
      </c>
      <c r="AR169" s="33">
        <v>21.0</v>
      </c>
      <c r="AS169" s="33" t="str">
        <f t="shared" ref="AS169:AS178" si="372">IF((AR169&gt;=18),"S",IF(AND(AR169&lt;18),"R", "NA"))</f>
        <v>S</v>
      </c>
      <c r="AT169" s="33">
        <v>20.0</v>
      </c>
      <c r="AU169" s="33" t="str">
        <f t="shared" ref="AU169:AU178" si="373">IF((AT169&gt;=16),"S",IF(AND(AT169&lt;16),"R", "NA"))</f>
        <v>S</v>
      </c>
      <c r="AV169" s="33" t="s">
        <v>300</v>
      </c>
      <c r="AW169" s="26">
        <v>21.0</v>
      </c>
      <c r="AX169" s="26" t="str">
        <f t="shared" ref="AX169:AX178" si="374">IF((AW169&gt;=20),"S",IF(AND(AW169&lt;20),"R", "NA"))</f>
        <v>S</v>
      </c>
      <c r="AY169" s="37">
        <v>20.0</v>
      </c>
      <c r="AZ169" s="37" t="str">
        <f t="shared" ref="AZ169:AZ178" si="375">IF((AY169&gt;=26),"S",IF(AND(AY169&lt;26,AY169&gt;=21),"I",IF(AND(AY169&lt;21),"R","NA")))</f>
        <v>R</v>
      </c>
      <c r="BA169" s="36">
        <v>32.0</v>
      </c>
      <c r="BB169" s="36" t="str">
        <f t="shared" ref="BB169:BB178" si="376">IF((BA169&gt;=23),"S",IF(AND(BA169&lt;23),"R","NA"))</f>
        <v>S</v>
      </c>
      <c r="BC169" s="39" t="s">
        <v>357</v>
      </c>
      <c r="BD169" s="39" t="s">
        <v>357</v>
      </c>
      <c r="BE169" s="36">
        <v>30.0</v>
      </c>
      <c r="BF169" s="36" t="str">
        <f t="shared" ref="BF169:BF178" si="377">IF((BE169&gt;=22),"S",IF(AND(BE169&lt;22,BE169&gt;=19),"I",IF(AND(BE169&lt;19),"R","NA")))</f>
        <v>S</v>
      </c>
      <c r="BG169" s="40">
        <v>20.0</v>
      </c>
      <c r="BH169" s="41" t="str">
        <f t="shared" ref="BH169:BH178" si="378">IF((BG169&gt;=17),"S",IF(AND(BG169&lt;17),"R", "NA"))</f>
        <v>S</v>
      </c>
      <c r="BI169" s="41"/>
    </row>
    <row r="170">
      <c r="A170" s="51" t="s">
        <v>777</v>
      </c>
      <c r="B170" s="51" t="s">
        <v>444</v>
      </c>
      <c r="C170" s="51" t="s">
        <v>1368</v>
      </c>
      <c r="D170" s="18" t="s">
        <v>190</v>
      </c>
      <c r="E170" s="18" t="s">
        <v>190</v>
      </c>
      <c r="F170" s="18" t="s">
        <v>192</v>
      </c>
      <c r="G170" s="20" t="s">
        <v>1369</v>
      </c>
      <c r="H170" s="42" t="s">
        <v>479</v>
      </c>
      <c r="I170" s="26">
        <v>6.0</v>
      </c>
      <c r="J170" s="26" t="str">
        <f t="shared" si="357"/>
        <v>R</v>
      </c>
      <c r="K170" s="26">
        <v>22.0</v>
      </c>
      <c r="L170" s="26" t="str">
        <f t="shared" si="358"/>
        <v>S</v>
      </c>
      <c r="M170" s="26">
        <v>6.0</v>
      </c>
      <c r="N170" s="26" t="str">
        <f t="shared" si="359"/>
        <v>R</v>
      </c>
      <c r="O170" s="32" t="s">
        <v>357</v>
      </c>
      <c r="P170" s="32" t="s">
        <v>357</v>
      </c>
      <c r="Q170" s="26">
        <v>14.0</v>
      </c>
      <c r="R170" s="26" t="str">
        <f t="shared" si="360"/>
        <v>R</v>
      </c>
      <c r="S170" s="26">
        <v>25.0</v>
      </c>
      <c r="T170" s="26" t="str">
        <f t="shared" si="361"/>
        <v>S</v>
      </c>
      <c r="U170" s="26">
        <v>27.0</v>
      </c>
      <c r="V170" s="26" t="str">
        <f t="shared" si="362"/>
        <v>S</v>
      </c>
      <c r="W170" s="32" t="s">
        <v>299</v>
      </c>
      <c r="X170" s="33">
        <v>13.0</v>
      </c>
      <c r="Y170" s="33" t="str">
        <f t="shared" si="363"/>
        <v>R</v>
      </c>
      <c r="Z170" s="33">
        <v>25.0</v>
      </c>
      <c r="AA170" s="33" t="str">
        <f t="shared" si="364"/>
        <v>S</v>
      </c>
      <c r="AB170" s="33">
        <v>25.0</v>
      </c>
      <c r="AC170" s="33" t="str">
        <f t="shared" si="365"/>
        <v>S</v>
      </c>
      <c r="AD170" s="33">
        <v>26.0</v>
      </c>
      <c r="AE170" s="33" t="str">
        <f t="shared" si="366"/>
        <v>S</v>
      </c>
      <c r="AF170" s="33">
        <v>30.0</v>
      </c>
      <c r="AG170" s="33" t="str">
        <f t="shared" si="367"/>
        <v>S</v>
      </c>
      <c r="AH170" s="33" t="s">
        <v>299</v>
      </c>
      <c r="AI170" s="36">
        <v>20.0</v>
      </c>
      <c r="AJ170" s="36" t="str">
        <f t="shared" si="368"/>
        <v>R</v>
      </c>
      <c r="AK170" s="36">
        <v>20.0</v>
      </c>
      <c r="AL170" s="36" t="str">
        <f t="shared" si="369"/>
        <v>I</v>
      </c>
      <c r="AM170" s="36">
        <v>18.0</v>
      </c>
      <c r="AN170" s="36" t="str">
        <f t="shared" si="370"/>
        <v>S</v>
      </c>
      <c r="AO170" s="36" t="s">
        <v>299</v>
      </c>
      <c r="AP170" s="37">
        <v>6.0</v>
      </c>
      <c r="AQ170" s="37" t="str">
        <f t="shared" si="371"/>
        <v>R</v>
      </c>
      <c r="AR170" s="33">
        <v>21.0</v>
      </c>
      <c r="AS170" s="33" t="str">
        <f t="shared" si="372"/>
        <v>S</v>
      </c>
      <c r="AT170" s="33">
        <v>20.0</v>
      </c>
      <c r="AU170" s="33" t="str">
        <f t="shared" si="373"/>
        <v>S</v>
      </c>
      <c r="AV170" s="33" t="s">
        <v>300</v>
      </c>
      <c r="AW170" s="26">
        <v>16.0</v>
      </c>
      <c r="AX170" s="26" t="str">
        <f t="shared" si="374"/>
        <v>R</v>
      </c>
      <c r="AY170" s="37">
        <v>25.0</v>
      </c>
      <c r="AZ170" s="37" t="str">
        <f t="shared" si="375"/>
        <v>I</v>
      </c>
      <c r="BA170" s="36">
        <v>32.0</v>
      </c>
      <c r="BB170" s="36" t="str">
        <f t="shared" si="376"/>
        <v>S</v>
      </c>
      <c r="BC170" s="39" t="s">
        <v>357</v>
      </c>
      <c r="BD170" s="39" t="s">
        <v>357</v>
      </c>
      <c r="BE170" s="36">
        <v>30.0</v>
      </c>
      <c r="BF170" s="36" t="str">
        <f t="shared" si="377"/>
        <v>S</v>
      </c>
      <c r="BG170" s="40">
        <v>19.0</v>
      </c>
      <c r="BH170" s="41" t="str">
        <f t="shared" si="378"/>
        <v>S</v>
      </c>
      <c r="BI170" s="41"/>
    </row>
    <row r="171">
      <c r="A171" s="51" t="s">
        <v>777</v>
      </c>
      <c r="B171" s="51" t="s">
        <v>444</v>
      </c>
      <c r="C171" s="51" t="s">
        <v>1370</v>
      </c>
      <c r="D171" s="18" t="s">
        <v>190</v>
      </c>
      <c r="E171" s="18" t="s">
        <v>190</v>
      </c>
      <c r="F171" s="18" t="s">
        <v>192</v>
      </c>
      <c r="G171" s="20" t="s">
        <v>1371</v>
      </c>
      <c r="H171" s="42" t="s">
        <v>479</v>
      </c>
      <c r="I171" s="26">
        <v>6.0</v>
      </c>
      <c r="J171" s="26" t="str">
        <f t="shared" si="357"/>
        <v>R</v>
      </c>
      <c r="K171" s="26">
        <v>15.0</v>
      </c>
      <c r="L171" s="26" t="str">
        <f t="shared" si="358"/>
        <v>R</v>
      </c>
      <c r="M171" s="26">
        <v>6.0</v>
      </c>
      <c r="N171" s="26" t="str">
        <f t="shared" si="359"/>
        <v>R</v>
      </c>
      <c r="O171" s="32" t="s">
        <v>357</v>
      </c>
      <c r="P171" s="32" t="s">
        <v>357</v>
      </c>
      <c r="Q171" s="26">
        <v>6.0</v>
      </c>
      <c r="R171" s="26" t="str">
        <f t="shared" si="360"/>
        <v>R</v>
      </c>
      <c r="S171" s="26">
        <v>17.0</v>
      </c>
      <c r="T171" s="26" t="str">
        <f t="shared" si="361"/>
        <v>R</v>
      </c>
      <c r="U171" s="26">
        <v>20.0</v>
      </c>
      <c r="V171" s="26" t="str">
        <f t="shared" si="362"/>
        <v>S</v>
      </c>
      <c r="W171" s="32" t="s">
        <v>299</v>
      </c>
      <c r="X171" s="33">
        <v>6.0</v>
      </c>
      <c r="Y171" s="33" t="str">
        <f t="shared" si="363"/>
        <v>R</v>
      </c>
      <c r="Z171" s="33">
        <v>23.0</v>
      </c>
      <c r="AA171" s="33" t="str">
        <f t="shared" si="364"/>
        <v>S</v>
      </c>
      <c r="AB171" s="33">
        <v>11.0</v>
      </c>
      <c r="AC171" s="33" t="str">
        <f t="shared" si="365"/>
        <v>R</v>
      </c>
      <c r="AD171" s="33">
        <v>24.0</v>
      </c>
      <c r="AE171" s="33" t="str">
        <f t="shared" si="366"/>
        <v>S</v>
      </c>
      <c r="AF171" s="33">
        <v>19.0</v>
      </c>
      <c r="AG171" s="33" t="str">
        <f t="shared" si="367"/>
        <v>R</v>
      </c>
      <c r="AH171" s="33" t="s">
        <v>299</v>
      </c>
      <c r="AI171" s="36">
        <v>6.0</v>
      </c>
      <c r="AJ171" s="36" t="str">
        <f t="shared" si="368"/>
        <v>R</v>
      </c>
      <c r="AK171" s="36">
        <v>8.0</v>
      </c>
      <c r="AL171" s="36" t="str">
        <f t="shared" si="369"/>
        <v>R</v>
      </c>
      <c r="AM171" s="36">
        <v>6.0</v>
      </c>
      <c r="AN171" s="36" t="str">
        <f t="shared" si="370"/>
        <v>R</v>
      </c>
      <c r="AO171" s="36" t="s">
        <v>299</v>
      </c>
      <c r="AP171" s="37">
        <v>6.0</v>
      </c>
      <c r="AQ171" s="37" t="str">
        <f t="shared" si="371"/>
        <v>R</v>
      </c>
      <c r="AR171" s="33">
        <v>18.0</v>
      </c>
      <c r="AS171" s="33" t="str">
        <f t="shared" si="372"/>
        <v>S</v>
      </c>
      <c r="AT171" s="33">
        <v>11.0</v>
      </c>
      <c r="AU171" s="33" t="str">
        <f t="shared" si="373"/>
        <v>R</v>
      </c>
      <c r="AV171" s="33" t="s">
        <v>299</v>
      </c>
      <c r="AW171" s="26">
        <v>13.0</v>
      </c>
      <c r="AX171" s="26" t="str">
        <f t="shared" si="374"/>
        <v>R</v>
      </c>
      <c r="AY171" s="37">
        <v>8.0</v>
      </c>
      <c r="AZ171" s="37" t="str">
        <f t="shared" si="375"/>
        <v>R</v>
      </c>
      <c r="BA171" s="36">
        <v>30.0</v>
      </c>
      <c r="BB171" s="36" t="str">
        <f t="shared" si="376"/>
        <v>S</v>
      </c>
      <c r="BC171" s="39" t="s">
        <v>357</v>
      </c>
      <c r="BD171" s="39" t="s">
        <v>357</v>
      </c>
      <c r="BE171" s="36">
        <v>30.0</v>
      </c>
      <c r="BF171" s="36" t="str">
        <f t="shared" si="377"/>
        <v>S</v>
      </c>
      <c r="BG171" s="40">
        <v>7.0</v>
      </c>
      <c r="BH171" s="41" t="str">
        <f t="shared" si="378"/>
        <v>R</v>
      </c>
      <c r="BI171" s="41"/>
    </row>
    <row r="172">
      <c r="A172" s="51" t="s">
        <v>777</v>
      </c>
      <c r="B172" s="51" t="s">
        <v>444</v>
      </c>
      <c r="C172" s="51" t="s">
        <v>1372</v>
      </c>
      <c r="D172" s="18" t="s">
        <v>190</v>
      </c>
      <c r="E172" s="18" t="s">
        <v>190</v>
      </c>
      <c r="F172" s="18" t="s">
        <v>192</v>
      </c>
      <c r="G172" s="20" t="s">
        <v>1373</v>
      </c>
      <c r="H172" s="87" t="s">
        <v>1374</v>
      </c>
      <c r="I172" s="26">
        <v>6.0</v>
      </c>
      <c r="J172" s="26" t="str">
        <f t="shared" si="357"/>
        <v>R</v>
      </c>
      <c r="K172" s="26">
        <v>11.0</v>
      </c>
      <c r="L172" s="26" t="str">
        <f t="shared" si="358"/>
        <v>R</v>
      </c>
      <c r="M172" s="26">
        <v>6.0</v>
      </c>
      <c r="N172" s="26" t="str">
        <f t="shared" si="359"/>
        <v>R</v>
      </c>
      <c r="O172" s="32" t="s">
        <v>357</v>
      </c>
      <c r="P172" s="32" t="s">
        <v>357</v>
      </c>
      <c r="Q172" s="26">
        <v>26.0</v>
      </c>
      <c r="R172" s="26" t="str">
        <f t="shared" si="360"/>
        <v>S</v>
      </c>
      <c r="S172" s="26">
        <v>24.0</v>
      </c>
      <c r="T172" s="26" t="str">
        <f t="shared" si="361"/>
        <v>S</v>
      </c>
      <c r="U172" s="26">
        <v>27.0</v>
      </c>
      <c r="V172" s="26" t="str">
        <f t="shared" si="362"/>
        <v>S</v>
      </c>
      <c r="W172" s="32" t="s">
        <v>299</v>
      </c>
      <c r="X172" s="33">
        <v>30.0</v>
      </c>
      <c r="Y172" s="33" t="str">
        <f t="shared" si="363"/>
        <v>S</v>
      </c>
      <c r="Z172" s="33">
        <v>6.0</v>
      </c>
      <c r="AA172" s="33" t="str">
        <f t="shared" si="364"/>
        <v>R</v>
      </c>
      <c r="AB172" s="33">
        <v>30.0</v>
      </c>
      <c r="AC172" s="33" t="str">
        <f t="shared" si="365"/>
        <v>S</v>
      </c>
      <c r="AD172" s="33">
        <v>28.0</v>
      </c>
      <c r="AE172" s="33" t="str">
        <f t="shared" si="366"/>
        <v>S</v>
      </c>
      <c r="AF172" s="33">
        <v>37.0</v>
      </c>
      <c r="AG172" s="33" t="str">
        <f t="shared" si="367"/>
        <v>S</v>
      </c>
      <c r="AH172" s="33" t="s">
        <v>299</v>
      </c>
      <c r="AI172" s="36">
        <v>26.0</v>
      </c>
      <c r="AJ172" s="36" t="str">
        <f t="shared" si="368"/>
        <v>S</v>
      </c>
      <c r="AK172" s="36">
        <v>24.0</v>
      </c>
      <c r="AL172" s="36" t="str">
        <f t="shared" si="369"/>
        <v>S</v>
      </c>
      <c r="AM172" s="36">
        <v>20.0</v>
      </c>
      <c r="AN172" s="36" t="str">
        <f t="shared" si="370"/>
        <v>S</v>
      </c>
      <c r="AO172" s="36" t="s">
        <v>300</v>
      </c>
      <c r="AP172" s="37">
        <v>6.0</v>
      </c>
      <c r="AQ172" s="37" t="str">
        <f t="shared" si="371"/>
        <v>R</v>
      </c>
      <c r="AR172" s="33">
        <v>20.0</v>
      </c>
      <c r="AS172" s="33" t="str">
        <f t="shared" si="372"/>
        <v>S</v>
      </c>
      <c r="AT172" s="33">
        <v>20.0</v>
      </c>
      <c r="AU172" s="33" t="str">
        <f t="shared" si="373"/>
        <v>S</v>
      </c>
      <c r="AV172" s="33" t="s">
        <v>300</v>
      </c>
      <c r="AW172" s="26">
        <v>25.0</v>
      </c>
      <c r="AX172" s="26" t="str">
        <f t="shared" si="374"/>
        <v>S</v>
      </c>
      <c r="AY172" s="37">
        <v>35.0</v>
      </c>
      <c r="AZ172" s="37" t="str">
        <f t="shared" si="375"/>
        <v>S</v>
      </c>
      <c r="BA172" s="36">
        <v>28.0</v>
      </c>
      <c r="BB172" s="36" t="str">
        <f t="shared" si="376"/>
        <v>S</v>
      </c>
      <c r="BC172" s="39" t="s">
        <v>357</v>
      </c>
      <c r="BD172" s="39" t="s">
        <v>357</v>
      </c>
      <c r="BE172" s="36">
        <v>26.0</v>
      </c>
      <c r="BF172" s="36" t="str">
        <f t="shared" si="377"/>
        <v>S</v>
      </c>
      <c r="BG172" s="40">
        <v>19.0</v>
      </c>
      <c r="BH172" s="41" t="str">
        <f t="shared" si="378"/>
        <v>S</v>
      </c>
      <c r="BI172" s="41"/>
    </row>
    <row r="173">
      <c r="A173" s="51" t="s">
        <v>777</v>
      </c>
      <c r="B173" s="51" t="s">
        <v>444</v>
      </c>
      <c r="C173" s="51" t="s">
        <v>1375</v>
      </c>
      <c r="D173" s="18" t="s">
        <v>190</v>
      </c>
      <c r="E173" s="18" t="s">
        <v>190</v>
      </c>
      <c r="F173" s="18" t="s">
        <v>192</v>
      </c>
      <c r="G173" s="20" t="s">
        <v>1376</v>
      </c>
      <c r="H173" s="87" t="s">
        <v>1374</v>
      </c>
      <c r="I173" s="26">
        <v>6.0</v>
      </c>
      <c r="J173" s="26" t="str">
        <f t="shared" si="357"/>
        <v>R</v>
      </c>
      <c r="K173" s="26">
        <v>12.0</v>
      </c>
      <c r="L173" s="26" t="str">
        <f t="shared" si="358"/>
        <v>R</v>
      </c>
      <c r="M173" s="26">
        <v>28.0</v>
      </c>
      <c r="N173" s="26" t="str">
        <f t="shared" si="359"/>
        <v>S</v>
      </c>
      <c r="O173" s="32" t="s">
        <v>357</v>
      </c>
      <c r="P173" s="32" t="s">
        <v>357</v>
      </c>
      <c r="Q173" s="26">
        <v>29.0</v>
      </c>
      <c r="R173" s="26" t="str">
        <f t="shared" si="360"/>
        <v>S</v>
      </c>
      <c r="S173" s="26">
        <v>24.0</v>
      </c>
      <c r="T173" s="26" t="str">
        <f t="shared" si="361"/>
        <v>S</v>
      </c>
      <c r="U173" s="26">
        <v>28.0</v>
      </c>
      <c r="V173" s="26" t="str">
        <f t="shared" si="362"/>
        <v>S</v>
      </c>
      <c r="W173" s="32" t="s">
        <v>299</v>
      </c>
      <c r="X173" s="33">
        <v>28.0</v>
      </c>
      <c r="Y173" s="33" t="str">
        <f t="shared" si="363"/>
        <v>S</v>
      </c>
      <c r="Z173" s="33">
        <v>6.0</v>
      </c>
      <c r="AA173" s="33" t="str">
        <f t="shared" si="364"/>
        <v>R</v>
      </c>
      <c r="AB173" s="33">
        <v>30.0</v>
      </c>
      <c r="AC173" s="33" t="str">
        <f t="shared" si="365"/>
        <v>S</v>
      </c>
      <c r="AD173" s="33">
        <v>30.0</v>
      </c>
      <c r="AE173" s="33" t="str">
        <f t="shared" si="366"/>
        <v>S</v>
      </c>
      <c r="AF173" s="33">
        <v>35.0</v>
      </c>
      <c r="AG173" s="33" t="str">
        <f t="shared" si="367"/>
        <v>S</v>
      </c>
      <c r="AH173" s="33" t="s">
        <v>299</v>
      </c>
      <c r="AI173" s="36">
        <v>25.0</v>
      </c>
      <c r="AJ173" s="36" t="str">
        <f t="shared" si="368"/>
        <v>S</v>
      </c>
      <c r="AK173" s="36">
        <v>30.0</v>
      </c>
      <c r="AL173" s="36" t="str">
        <f t="shared" si="369"/>
        <v>S</v>
      </c>
      <c r="AM173" s="36">
        <v>24.0</v>
      </c>
      <c r="AN173" s="36" t="str">
        <f t="shared" si="370"/>
        <v>S</v>
      </c>
      <c r="AO173" s="36" t="s">
        <v>300</v>
      </c>
      <c r="AP173" s="37">
        <v>28.0</v>
      </c>
      <c r="AQ173" s="37" t="str">
        <f t="shared" si="371"/>
        <v>S</v>
      </c>
      <c r="AR173" s="33">
        <v>22.0</v>
      </c>
      <c r="AS173" s="33" t="str">
        <f t="shared" si="372"/>
        <v>S</v>
      </c>
      <c r="AT173" s="33">
        <v>20.0</v>
      </c>
      <c r="AU173" s="33" t="str">
        <f t="shared" si="373"/>
        <v>S</v>
      </c>
      <c r="AV173" s="33" t="s">
        <v>300</v>
      </c>
      <c r="AW173" s="26">
        <v>26.0</v>
      </c>
      <c r="AX173" s="26" t="str">
        <f t="shared" si="374"/>
        <v>S</v>
      </c>
      <c r="AY173" s="37">
        <v>34.0</v>
      </c>
      <c r="AZ173" s="37" t="str">
        <f t="shared" si="375"/>
        <v>S</v>
      </c>
      <c r="BA173" s="36">
        <v>29.0</v>
      </c>
      <c r="BB173" s="36" t="str">
        <f t="shared" si="376"/>
        <v>S</v>
      </c>
      <c r="BC173" s="39" t="s">
        <v>357</v>
      </c>
      <c r="BD173" s="39" t="s">
        <v>357</v>
      </c>
      <c r="BE173" s="36">
        <v>26.0</v>
      </c>
      <c r="BF173" s="36" t="str">
        <f t="shared" si="377"/>
        <v>S</v>
      </c>
      <c r="BG173" s="40">
        <v>19.0</v>
      </c>
      <c r="BH173" s="41" t="str">
        <f t="shared" si="378"/>
        <v>S</v>
      </c>
      <c r="BI173" s="41"/>
    </row>
    <row r="174">
      <c r="A174" s="51" t="s">
        <v>777</v>
      </c>
      <c r="B174" s="53">
        <v>101.0</v>
      </c>
      <c r="C174" s="51" t="s">
        <v>1377</v>
      </c>
      <c r="D174" s="18" t="s">
        <v>571</v>
      </c>
      <c r="E174" s="18" t="s">
        <v>572</v>
      </c>
      <c r="F174" s="18" t="s">
        <v>192</v>
      </c>
      <c r="G174" s="20" t="s">
        <v>1378</v>
      </c>
      <c r="H174" s="42" t="s">
        <v>479</v>
      </c>
      <c r="I174" s="26">
        <v>6.0</v>
      </c>
      <c r="J174" s="26" t="str">
        <f t="shared" si="357"/>
        <v>R</v>
      </c>
      <c r="K174" s="26">
        <v>25.0</v>
      </c>
      <c r="L174" s="26" t="str">
        <f t="shared" si="358"/>
        <v>S</v>
      </c>
      <c r="M174" s="26">
        <v>6.0</v>
      </c>
      <c r="N174" s="26" t="str">
        <f t="shared" si="359"/>
        <v>R</v>
      </c>
      <c r="O174" s="32" t="s">
        <v>357</v>
      </c>
      <c r="P174" s="32" t="s">
        <v>357</v>
      </c>
      <c r="Q174" s="26">
        <v>12.0</v>
      </c>
      <c r="R174" s="26" t="str">
        <f t="shared" si="360"/>
        <v>R</v>
      </c>
      <c r="S174" s="26">
        <v>26.0</v>
      </c>
      <c r="T174" s="26" t="str">
        <f t="shared" si="361"/>
        <v>S</v>
      </c>
      <c r="U174" s="26">
        <v>27.0</v>
      </c>
      <c r="V174" s="26" t="str">
        <f t="shared" si="362"/>
        <v>S</v>
      </c>
      <c r="W174" s="32" t="s">
        <v>299</v>
      </c>
      <c r="X174" s="33">
        <v>6.0</v>
      </c>
      <c r="Y174" s="33" t="str">
        <f t="shared" si="363"/>
        <v>R</v>
      </c>
      <c r="Z174" s="33">
        <v>27.0</v>
      </c>
      <c r="AA174" s="33" t="str">
        <f t="shared" si="364"/>
        <v>S</v>
      </c>
      <c r="AB174" s="33">
        <v>20.0</v>
      </c>
      <c r="AC174" s="33" t="str">
        <f t="shared" si="365"/>
        <v>I</v>
      </c>
      <c r="AD174" s="33">
        <v>28.0</v>
      </c>
      <c r="AE174" s="33" t="str">
        <f t="shared" si="366"/>
        <v>S</v>
      </c>
      <c r="AF174" s="33">
        <v>22.0</v>
      </c>
      <c r="AG174" s="33" t="str">
        <f t="shared" si="367"/>
        <v>R</v>
      </c>
      <c r="AH174" s="33" t="s">
        <v>299</v>
      </c>
      <c r="AI174" s="36">
        <v>26.0</v>
      </c>
      <c r="AJ174" s="36" t="str">
        <f t="shared" si="368"/>
        <v>S</v>
      </c>
      <c r="AK174" s="36">
        <v>24.0</v>
      </c>
      <c r="AL174" s="36" t="str">
        <f t="shared" si="369"/>
        <v>S</v>
      </c>
      <c r="AM174" s="36">
        <v>22.0</v>
      </c>
      <c r="AN174" s="36" t="str">
        <f t="shared" si="370"/>
        <v>S</v>
      </c>
      <c r="AO174" s="36" t="s">
        <v>300</v>
      </c>
      <c r="AP174" s="37">
        <v>6.0</v>
      </c>
      <c r="AQ174" s="37" t="str">
        <f t="shared" si="371"/>
        <v>R</v>
      </c>
      <c r="AR174" s="33">
        <v>20.0</v>
      </c>
      <c r="AS174" s="33" t="str">
        <f t="shared" si="372"/>
        <v>S</v>
      </c>
      <c r="AT174" s="33">
        <v>20.0</v>
      </c>
      <c r="AU174" s="33" t="str">
        <f t="shared" si="373"/>
        <v>S</v>
      </c>
      <c r="AV174" s="33" t="s">
        <v>300</v>
      </c>
      <c r="AW174" s="26">
        <v>17.0</v>
      </c>
      <c r="AX174" s="26" t="str">
        <f t="shared" si="374"/>
        <v>R</v>
      </c>
      <c r="AY174" s="37">
        <v>18.0</v>
      </c>
      <c r="AZ174" s="37" t="str">
        <f t="shared" si="375"/>
        <v>R</v>
      </c>
      <c r="BA174" s="36">
        <v>28.0</v>
      </c>
      <c r="BB174" s="36" t="str">
        <f t="shared" si="376"/>
        <v>S</v>
      </c>
      <c r="BC174" s="39" t="s">
        <v>357</v>
      </c>
      <c r="BD174" s="39" t="s">
        <v>357</v>
      </c>
      <c r="BE174" s="36">
        <v>29.0</v>
      </c>
      <c r="BF174" s="36" t="str">
        <f t="shared" si="377"/>
        <v>S</v>
      </c>
      <c r="BG174" s="40">
        <v>20.0</v>
      </c>
      <c r="BH174" s="41" t="str">
        <f t="shared" si="378"/>
        <v>S</v>
      </c>
      <c r="BI174" s="41"/>
    </row>
    <row r="175">
      <c r="A175" s="51" t="s">
        <v>777</v>
      </c>
      <c r="B175" s="53">
        <v>102.0</v>
      </c>
      <c r="C175" s="51" t="s">
        <v>1379</v>
      </c>
      <c r="D175" s="18" t="s">
        <v>705</v>
      </c>
      <c r="E175" s="18" t="s">
        <v>572</v>
      </c>
      <c r="F175" s="18" t="s">
        <v>192</v>
      </c>
      <c r="G175" s="20" t="s">
        <v>1380</v>
      </c>
      <c r="H175" s="42" t="s">
        <v>479</v>
      </c>
      <c r="I175" s="26">
        <v>6.0</v>
      </c>
      <c r="J175" s="26" t="str">
        <f t="shared" si="357"/>
        <v>R</v>
      </c>
      <c r="K175" s="26">
        <v>24.0</v>
      </c>
      <c r="L175" s="26" t="str">
        <f t="shared" si="358"/>
        <v>S</v>
      </c>
      <c r="M175" s="26">
        <v>6.0</v>
      </c>
      <c r="N175" s="26" t="str">
        <f t="shared" si="359"/>
        <v>R</v>
      </c>
      <c r="O175" s="32" t="s">
        <v>357</v>
      </c>
      <c r="P175" s="32" t="s">
        <v>357</v>
      </c>
      <c r="Q175" s="26">
        <v>11.0</v>
      </c>
      <c r="R175" s="26" t="str">
        <f t="shared" si="360"/>
        <v>R</v>
      </c>
      <c r="S175" s="26">
        <v>27.0</v>
      </c>
      <c r="T175" s="26" t="str">
        <f t="shared" si="361"/>
        <v>S</v>
      </c>
      <c r="U175" s="26">
        <v>28.0</v>
      </c>
      <c r="V175" s="26" t="str">
        <f t="shared" si="362"/>
        <v>S</v>
      </c>
      <c r="W175" s="32" t="s">
        <v>299</v>
      </c>
      <c r="X175" s="33">
        <v>6.0</v>
      </c>
      <c r="Y175" s="33" t="str">
        <f t="shared" si="363"/>
        <v>R</v>
      </c>
      <c r="Z175" s="33">
        <v>28.0</v>
      </c>
      <c r="AA175" s="33" t="str">
        <f t="shared" si="364"/>
        <v>S</v>
      </c>
      <c r="AB175" s="33">
        <v>25.0</v>
      </c>
      <c r="AC175" s="33" t="str">
        <f t="shared" si="365"/>
        <v>S</v>
      </c>
      <c r="AD175" s="33">
        <v>31.0</v>
      </c>
      <c r="AE175" s="33" t="str">
        <f t="shared" si="366"/>
        <v>S</v>
      </c>
      <c r="AF175" s="33">
        <v>23.0</v>
      </c>
      <c r="AG175" s="33" t="str">
        <f t="shared" si="367"/>
        <v>R</v>
      </c>
      <c r="AH175" s="33" t="s">
        <v>299</v>
      </c>
      <c r="AI175" s="36">
        <v>18.0</v>
      </c>
      <c r="AJ175" s="36" t="str">
        <f t="shared" si="368"/>
        <v>R</v>
      </c>
      <c r="AK175" s="36">
        <v>24.0</v>
      </c>
      <c r="AL175" s="36" t="str">
        <f t="shared" si="369"/>
        <v>S</v>
      </c>
      <c r="AM175" s="36">
        <v>20.0</v>
      </c>
      <c r="AN175" s="36" t="str">
        <f t="shared" si="370"/>
        <v>S</v>
      </c>
      <c r="AO175" s="36" t="s">
        <v>299</v>
      </c>
      <c r="AP175" s="37">
        <v>6.0</v>
      </c>
      <c r="AQ175" s="37" t="str">
        <f t="shared" si="371"/>
        <v>R</v>
      </c>
      <c r="AR175" s="33">
        <v>21.0</v>
      </c>
      <c r="AS175" s="33" t="str">
        <f t="shared" si="372"/>
        <v>S</v>
      </c>
      <c r="AT175" s="33">
        <v>16.0</v>
      </c>
      <c r="AU175" s="33" t="str">
        <f t="shared" si="373"/>
        <v>S</v>
      </c>
      <c r="AV175" s="33" t="s">
        <v>300</v>
      </c>
      <c r="AW175" s="26">
        <v>27.0</v>
      </c>
      <c r="AX175" s="26" t="str">
        <f t="shared" si="374"/>
        <v>S</v>
      </c>
      <c r="AY175" s="37">
        <v>20.0</v>
      </c>
      <c r="AZ175" s="37" t="str">
        <f t="shared" si="375"/>
        <v>R</v>
      </c>
      <c r="BA175" s="36">
        <v>29.0</v>
      </c>
      <c r="BB175" s="36" t="str">
        <f t="shared" si="376"/>
        <v>S</v>
      </c>
      <c r="BC175" s="39" t="s">
        <v>357</v>
      </c>
      <c r="BD175" s="39" t="s">
        <v>357</v>
      </c>
      <c r="BE175" s="36">
        <v>30.0</v>
      </c>
      <c r="BF175" s="36" t="str">
        <f t="shared" si="377"/>
        <v>S</v>
      </c>
      <c r="BG175" s="40">
        <v>20.0</v>
      </c>
      <c r="BH175" s="41" t="str">
        <f t="shared" si="378"/>
        <v>S</v>
      </c>
      <c r="BI175" s="41"/>
    </row>
    <row r="176">
      <c r="A176" s="51" t="s">
        <v>777</v>
      </c>
      <c r="B176" s="51" t="s">
        <v>444</v>
      </c>
      <c r="C176" s="51" t="s">
        <v>1381</v>
      </c>
      <c r="D176" s="18" t="s">
        <v>705</v>
      </c>
      <c r="E176" s="18" t="s">
        <v>572</v>
      </c>
      <c r="F176" s="18" t="s">
        <v>192</v>
      </c>
      <c r="G176" s="20" t="s">
        <v>1382</v>
      </c>
      <c r="H176" s="42" t="s">
        <v>479</v>
      </c>
      <c r="I176" s="26">
        <v>6.0</v>
      </c>
      <c r="J176" s="26" t="str">
        <f t="shared" si="357"/>
        <v>R</v>
      </c>
      <c r="K176" s="26">
        <v>22.0</v>
      </c>
      <c r="L176" s="26" t="str">
        <f t="shared" si="358"/>
        <v>S</v>
      </c>
      <c r="M176" s="26">
        <v>6.0</v>
      </c>
      <c r="N176" s="26" t="str">
        <f t="shared" si="359"/>
        <v>R</v>
      </c>
      <c r="O176" s="32" t="s">
        <v>357</v>
      </c>
      <c r="P176" s="32" t="s">
        <v>357</v>
      </c>
      <c r="Q176" s="26">
        <v>8.0</v>
      </c>
      <c r="R176" s="26" t="str">
        <f t="shared" si="360"/>
        <v>R</v>
      </c>
      <c r="S176" s="26">
        <v>23.0</v>
      </c>
      <c r="T176" s="26" t="str">
        <f t="shared" si="361"/>
        <v>S</v>
      </c>
      <c r="U176" s="26">
        <v>25.0</v>
      </c>
      <c r="V176" s="26" t="str">
        <f t="shared" si="362"/>
        <v>S</v>
      </c>
      <c r="W176" s="32" t="s">
        <v>299</v>
      </c>
      <c r="X176" s="33">
        <v>6.0</v>
      </c>
      <c r="Y176" s="33" t="str">
        <f t="shared" si="363"/>
        <v>R</v>
      </c>
      <c r="Z176" s="33">
        <v>25.0</v>
      </c>
      <c r="AA176" s="33" t="str">
        <f t="shared" si="364"/>
        <v>S</v>
      </c>
      <c r="AB176" s="33">
        <v>16.0</v>
      </c>
      <c r="AC176" s="33" t="str">
        <f t="shared" si="365"/>
        <v>R</v>
      </c>
      <c r="AD176" s="33">
        <v>27.0</v>
      </c>
      <c r="AE176" s="33" t="str">
        <f t="shared" si="366"/>
        <v>S</v>
      </c>
      <c r="AF176" s="33">
        <v>26.0</v>
      </c>
      <c r="AG176" s="33" t="str">
        <f t="shared" si="367"/>
        <v>I</v>
      </c>
      <c r="AH176" s="33" t="s">
        <v>299</v>
      </c>
      <c r="AI176" s="36">
        <v>17.0</v>
      </c>
      <c r="AJ176" s="36" t="str">
        <f t="shared" si="368"/>
        <v>R</v>
      </c>
      <c r="AK176" s="36">
        <v>26.0</v>
      </c>
      <c r="AL176" s="36" t="str">
        <f t="shared" si="369"/>
        <v>S</v>
      </c>
      <c r="AM176" s="36">
        <v>19.0</v>
      </c>
      <c r="AN176" s="36" t="str">
        <f t="shared" si="370"/>
        <v>S</v>
      </c>
      <c r="AO176" s="36" t="s">
        <v>299</v>
      </c>
      <c r="AP176" s="37">
        <v>6.0</v>
      </c>
      <c r="AQ176" s="37" t="str">
        <f t="shared" si="371"/>
        <v>R</v>
      </c>
      <c r="AR176" s="33">
        <v>20.0</v>
      </c>
      <c r="AS176" s="33" t="str">
        <f t="shared" si="372"/>
        <v>S</v>
      </c>
      <c r="AT176" s="33">
        <v>14.0</v>
      </c>
      <c r="AU176" s="33" t="str">
        <f t="shared" si="373"/>
        <v>R</v>
      </c>
      <c r="AV176" s="33" t="s">
        <v>299</v>
      </c>
      <c r="AW176" s="26">
        <v>25.0</v>
      </c>
      <c r="AX176" s="26" t="str">
        <f t="shared" si="374"/>
        <v>S</v>
      </c>
      <c r="AY176" s="37">
        <v>15.0</v>
      </c>
      <c r="AZ176" s="37" t="str">
        <f t="shared" si="375"/>
        <v>R</v>
      </c>
      <c r="BA176" s="36">
        <v>28.0</v>
      </c>
      <c r="BB176" s="36" t="str">
        <f t="shared" si="376"/>
        <v>S</v>
      </c>
      <c r="BC176" s="39" t="s">
        <v>357</v>
      </c>
      <c r="BD176" s="39" t="s">
        <v>357</v>
      </c>
      <c r="BE176" s="36">
        <v>30.0</v>
      </c>
      <c r="BF176" s="36" t="str">
        <f t="shared" si="377"/>
        <v>S</v>
      </c>
      <c r="BG176" s="40">
        <v>19.0</v>
      </c>
      <c r="BH176" s="41" t="str">
        <f t="shared" si="378"/>
        <v>S</v>
      </c>
      <c r="BI176" s="41"/>
    </row>
    <row r="177">
      <c r="A177" s="51" t="s">
        <v>777</v>
      </c>
      <c r="B177" s="51" t="s">
        <v>444</v>
      </c>
      <c r="C177" s="51" t="s">
        <v>1383</v>
      </c>
      <c r="D177" s="18" t="s">
        <v>705</v>
      </c>
      <c r="E177" s="18" t="s">
        <v>572</v>
      </c>
      <c r="F177" s="18" t="s">
        <v>192</v>
      </c>
      <c r="G177" s="20" t="s">
        <v>1384</v>
      </c>
      <c r="H177" s="42" t="s">
        <v>479</v>
      </c>
      <c r="I177" s="26">
        <v>6.0</v>
      </c>
      <c r="J177" s="26" t="str">
        <f t="shared" si="357"/>
        <v>R</v>
      </c>
      <c r="K177" s="26">
        <v>25.0</v>
      </c>
      <c r="L177" s="26" t="str">
        <f t="shared" si="358"/>
        <v>S</v>
      </c>
      <c r="M177" s="26">
        <v>12.0</v>
      </c>
      <c r="N177" s="26" t="str">
        <f t="shared" si="359"/>
        <v>R</v>
      </c>
      <c r="O177" s="32" t="s">
        <v>357</v>
      </c>
      <c r="P177" s="32" t="s">
        <v>357</v>
      </c>
      <c r="Q177" s="26">
        <v>23.0</v>
      </c>
      <c r="R177" s="26" t="str">
        <f t="shared" si="360"/>
        <v>S</v>
      </c>
      <c r="S177" s="26">
        <v>25.0</v>
      </c>
      <c r="T177" s="26" t="str">
        <f t="shared" si="361"/>
        <v>S</v>
      </c>
      <c r="U177" s="26">
        <v>27.0</v>
      </c>
      <c r="V177" s="26" t="str">
        <f t="shared" si="362"/>
        <v>S</v>
      </c>
      <c r="W177" s="32" t="s">
        <v>299</v>
      </c>
      <c r="X177" s="33">
        <v>31.0</v>
      </c>
      <c r="Y177" s="33" t="str">
        <f t="shared" si="363"/>
        <v>S</v>
      </c>
      <c r="Z177" s="33">
        <v>26.0</v>
      </c>
      <c r="AA177" s="33" t="str">
        <f t="shared" si="364"/>
        <v>S</v>
      </c>
      <c r="AB177" s="33">
        <v>30.0</v>
      </c>
      <c r="AC177" s="33" t="str">
        <f t="shared" si="365"/>
        <v>S</v>
      </c>
      <c r="AD177" s="33">
        <v>28.0</v>
      </c>
      <c r="AE177" s="33" t="str">
        <f t="shared" si="366"/>
        <v>S</v>
      </c>
      <c r="AF177" s="33">
        <v>37.0</v>
      </c>
      <c r="AG177" s="33" t="str">
        <f t="shared" si="367"/>
        <v>S</v>
      </c>
      <c r="AH177" s="33" t="s">
        <v>300</v>
      </c>
      <c r="AI177" s="36">
        <v>21.0</v>
      </c>
      <c r="AJ177" s="36" t="str">
        <f t="shared" si="368"/>
        <v>R</v>
      </c>
      <c r="AK177" s="36">
        <v>21.0</v>
      </c>
      <c r="AL177" s="36" t="str">
        <f t="shared" si="369"/>
        <v>I</v>
      </c>
      <c r="AM177" s="36">
        <v>18.0</v>
      </c>
      <c r="AN177" s="36" t="str">
        <f t="shared" si="370"/>
        <v>S</v>
      </c>
      <c r="AO177" s="36" t="s">
        <v>299</v>
      </c>
      <c r="AP177" s="37">
        <v>6.0</v>
      </c>
      <c r="AQ177" s="37" t="str">
        <f t="shared" si="371"/>
        <v>R</v>
      </c>
      <c r="AR177" s="33">
        <v>22.0</v>
      </c>
      <c r="AS177" s="33" t="str">
        <f t="shared" si="372"/>
        <v>S</v>
      </c>
      <c r="AT177" s="33">
        <v>20.0</v>
      </c>
      <c r="AU177" s="33" t="str">
        <f t="shared" si="373"/>
        <v>S</v>
      </c>
      <c r="AV177" s="33" t="s">
        <v>300</v>
      </c>
      <c r="AW177" s="26">
        <v>24.0</v>
      </c>
      <c r="AX177" s="26" t="str">
        <f t="shared" si="374"/>
        <v>S</v>
      </c>
      <c r="AY177" s="37">
        <v>36.0</v>
      </c>
      <c r="AZ177" s="37" t="str">
        <f t="shared" si="375"/>
        <v>S</v>
      </c>
      <c r="BA177" s="36">
        <v>34.0</v>
      </c>
      <c r="BB177" s="36" t="str">
        <f t="shared" si="376"/>
        <v>S</v>
      </c>
      <c r="BC177" s="39" t="s">
        <v>357</v>
      </c>
      <c r="BD177" s="39" t="s">
        <v>357</v>
      </c>
      <c r="BE177" s="36">
        <v>30.0</v>
      </c>
      <c r="BF177" s="36" t="str">
        <f t="shared" si="377"/>
        <v>S</v>
      </c>
      <c r="BG177" s="40">
        <v>21.0</v>
      </c>
      <c r="BH177" s="41" t="str">
        <f t="shared" si="378"/>
        <v>S</v>
      </c>
      <c r="BI177" s="41"/>
    </row>
    <row r="178">
      <c r="A178" s="21" t="s">
        <v>495</v>
      </c>
      <c r="B178" s="23">
        <v>103.0</v>
      </c>
      <c r="C178" s="21" t="s">
        <v>903</v>
      </c>
      <c r="D178" s="18" t="s">
        <v>190</v>
      </c>
      <c r="E178" s="18" t="s">
        <v>190</v>
      </c>
      <c r="F178" s="18" t="s">
        <v>192</v>
      </c>
      <c r="G178" s="20" t="s">
        <v>904</v>
      </c>
      <c r="H178" s="22" t="s">
        <v>198</v>
      </c>
      <c r="I178" s="26">
        <v>6.0</v>
      </c>
      <c r="J178" s="26" t="str">
        <f t="shared" si="357"/>
        <v>R</v>
      </c>
      <c r="K178" s="26">
        <v>22.0</v>
      </c>
      <c r="L178" s="26" t="str">
        <f t="shared" si="358"/>
        <v>S</v>
      </c>
      <c r="M178" s="26">
        <v>6.0</v>
      </c>
      <c r="N178" s="26" t="str">
        <f t="shared" si="359"/>
        <v>R</v>
      </c>
      <c r="O178" s="32" t="s">
        <v>357</v>
      </c>
      <c r="P178" s="32" t="s">
        <v>357</v>
      </c>
      <c r="Q178" s="26">
        <v>15.0</v>
      </c>
      <c r="R178" s="26" t="str">
        <f t="shared" si="360"/>
        <v>R</v>
      </c>
      <c r="S178" s="26">
        <v>27.0</v>
      </c>
      <c r="T178" s="26" t="str">
        <f t="shared" si="361"/>
        <v>S</v>
      </c>
      <c r="U178" s="26">
        <v>25.0</v>
      </c>
      <c r="V178" s="26" t="str">
        <f t="shared" si="362"/>
        <v>S</v>
      </c>
      <c r="W178" s="32" t="s">
        <v>299</v>
      </c>
      <c r="X178" s="33">
        <v>12.0</v>
      </c>
      <c r="Y178" s="33" t="str">
        <f t="shared" si="363"/>
        <v>R</v>
      </c>
      <c r="Z178" s="33">
        <v>27.0</v>
      </c>
      <c r="AA178" s="33" t="str">
        <f t="shared" si="364"/>
        <v>S</v>
      </c>
      <c r="AB178" s="33">
        <v>23.0</v>
      </c>
      <c r="AC178" s="33" t="str">
        <f t="shared" si="365"/>
        <v>S</v>
      </c>
      <c r="AD178" s="33">
        <v>27.0</v>
      </c>
      <c r="AE178" s="33" t="str">
        <f t="shared" si="366"/>
        <v>S</v>
      </c>
      <c r="AF178" s="33">
        <v>28.0</v>
      </c>
      <c r="AG178" s="33" t="str">
        <f t="shared" si="367"/>
        <v>S</v>
      </c>
      <c r="AH178" s="33" t="s">
        <v>299</v>
      </c>
      <c r="AI178" s="36">
        <v>28.0</v>
      </c>
      <c r="AJ178" s="36" t="str">
        <f t="shared" si="368"/>
        <v>S</v>
      </c>
      <c r="AK178" s="36">
        <v>26.0</v>
      </c>
      <c r="AL178" s="36" t="str">
        <f t="shared" si="369"/>
        <v>S</v>
      </c>
      <c r="AM178" s="36">
        <v>18.0</v>
      </c>
      <c r="AN178" s="36" t="str">
        <f t="shared" si="370"/>
        <v>S</v>
      </c>
      <c r="AO178" s="36" t="s">
        <v>300</v>
      </c>
      <c r="AP178" s="37">
        <v>6.0</v>
      </c>
      <c r="AQ178" s="37" t="str">
        <f t="shared" si="371"/>
        <v>R</v>
      </c>
      <c r="AR178" s="33">
        <v>21.0</v>
      </c>
      <c r="AS178" s="33" t="str">
        <f t="shared" si="372"/>
        <v>S</v>
      </c>
      <c r="AT178" s="33">
        <v>21.0</v>
      </c>
      <c r="AU178" s="33" t="str">
        <f t="shared" si="373"/>
        <v>S</v>
      </c>
      <c r="AV178" s="33" t="s">
        <v>300</v>
      </c>
      <c r="AW178" s="26">
        <v>8.0</v>
      </c>
      <c r="AX178" s="26" t="str">
        <f t="shared" si="374"/>
        <v>R</v>
      </c>
      <c r="AY178" s="37">
        <v>21.0</v>
      </c>
      <c r="AZ178" s="37" t="str">
        <f t="shared" si="375"/>
        <v>I</v>
      </c>
      <c r="BA178" s="36">
        <v>31.0</v>
      </c>
      <c r="BB178" s="36" t="str">
        <f t="shared" si="376"/>
        <v>S</v>
      </c>
      <c r="BC178" s="39" t="s">
        <v>357</v>
      </c>
      <c r="BD178" s="39" t="s">
        <v>357</v>
      </c>
      <c r="BE178" s="36">
        <v>31.0</v>
      </c>
      <c r="BF178" s="36" t="str">
        <f t="shared" si="377"/>
        <v>S</v>
      </c>
      <c r="BG178" s="40">
        <v>20.0</v>
      </c>
      <c r="BH178" s="41" t="str">
        <f t="shared" si="378"/>
        <v>S</v>
      </c>
      <c r="BI178" s="41"/>
    </row>
    <row r="179">
      <c r="A179" s="21" t="s">
        <v>495</v>
      </c>
      <c r="B179" s="23">
        <v>104.0</v>
      </c>
      <c r="C179" s="21" t="s">
        <v>912</v>
      </c>
      <c r="D179" s="18" t="s">
        <v>571</v>
      </c>
      <c r="E179" s="18" t="s">
        <v>572</v>
      </c>
      <c r="F179" s="18" t="s">
        <v>573</v>
      </c>
      <c r="G179" s="20" t="s">
        <v>357</v>
      </c>
      <c r="H179" s="47" t="s">
        <v>357</v>
      </c>
      <c r="I179" s="32" t="s">
        <v>357</v>
      </c>
      <c r="J179" s="32" t="s">
        <v>357</v>
      </c>
      <c r="K179" s="32" t="s">
        <v>357</v>
      </c>
      <c r="L179" s="32" t="s">
        <v>357</v>
      </c>
      <c r="M179" s="32" t="s">
        <v>357</v>
      </c>
      <c r="N179" s="32" t="s">
        <v>357</v>
      </c>
      <c r="O179" s="32" t="s">
        <v>357</v>
      </c>
      <c r="P179" s="32" t="s">
        <v>357</v>
      </c>
      <c r="Q179" s="32" t="s">
        <v>357</v>
      </c>
      <c r="R179" s="32" t="s">
        <v>357</v>
      </c>
      <c r="S179" s="32" t="s">
        <v>357</v>
      </c>
      <c r="T179" s="32" t="s">
        <v>357</v>
      </c>
      <c r="U179" s="32" t="s">
        <v>357</v>
      </c>
      <c r="V179" s="32" t="s">
        <v>357</v>
      </c>
      <c r="W179" s="32" t="s">
        <v>357</v>
      </c>
      <c r="X179" s="49" t="s">
        <v>357</v>
      </c>
      <c r="Y179" s="49" t="s">
        <v>357</v>
      </c>
      <c r="Z179" s="49" t="s">
        <v>357</v>
      </c>
      <c r="AA179" s="49" t="s">
        <v>357</v>
      </c>
      <c r="AB179" s="49" t="s">
        <v>357</v>
      </c>
      <c r="AC179" s="49" t="s">
        <v>357</v>
      </c>
      <c r="AD179" s="49" t="s">
        <v>357</v>
      </c>
      <c r="AE179" s="49" t="s">
        <v>357</v>
      </c>
      <c r="AF179" s="49" t="s">
        <v>357</v>
      </c>
      <c r="AG179" s="49" t="s">
        <v>357</v>
      </c>
      <c r="AH179" s="49" t="s">
        <v>357</v>
      </c>
      <c r="AI179" s="39" t="s">
        <v>357</v>
      </c>
      <c r="AJ179" s="39" t="s">
        <v>357</v>
      </c>
      <c r="AK179" s="39" t="s">
        <v>357</v>
      </c>
      <c r="AL179" s="39" t="s">
        <v>357</v>
      </c>
      <c r="AM179" s="39" t="s">
        <v>357</v>
      </c>
      <c r="AN179" s="39" t="s">
        <v>357</v>
      </c>
      <c r="AO179" s="39" t="s">
        <v>357</v>
      </c>
      <c r="AP179" s="50" t="s">
        <v>357</v>
      </c>
      <c r="AQ179" s="50" t="s">
        <v>357</v>
      </c>
      <c r="AR179" s="49" t="s">
        <v>357</v>
      </c>
      <c r="AS179" s="49" t="s">
        <v>357</v>
      </c>
      <c r="AT179" s="49" t="s">
        <v>357</v>
      </c>
      <c r="AU179" s="49" t="s">
        <v>357</v>
      </c>
      <c r="AV179" s="49" t="s">
        <v>357</v>
      </c>
      <c r="AW179" s="32" t="s">
        <v>357</v>
      </c>
      <c r="AX179" s="32" t="s">
        <v>357</v>
      </c>
      <c r="AY179" s="50" t="s">
        <v>357</v>
      </c>
      <c r="AZ179" s="50" t="s">
        <v>357</v>
      </c>
      <c r="BA179" s="39" t="s">
        <v>357</v>
      </c>
      <c r="BB179" s="39" t="s">
        <v>357</v>
      </c>
      <c r="BC179" s="39" t="s">
        <v>357</v>
      </c>
      <c r="BD179" s="39" t="s">
        <v>357</v>
      </c>
      <c r="BE179" s="39" t="s">
        <v>357</v>
      </c>
      <c r="BF179" s="39" t="s">
        <v>357</v>
      </c>
      <c r="BG179" s="41" t="s">
        <v>357</v>
      </c>
      <c r="BH179" s="41" t="s">
        <v>357</v>
      </c>
      <c r="BI179" s="41"/>
    </row>
    <row r="180">
      <c r="A180" s="21" t="s">
        <v>495</v>
      </c>
      <c r="B180" s="23">
        <v>105.0</v>
      </c>
      <c r="C180" s="21" t="s">
        <v>914</v>
      </c>
      <c r="D180" s="18" t="s">
        <v>827</v>
      </c>
      <c r="E180" s="18" t="s">
        <v>572</v>
      </c>
      <c r="F180" s="18" t="s">
        <v>573</v>
      </c>
      <c r="G180" s="20" t="s">
        <v>357</v>
      </c>
      <c r="H180" s="47" t="s">
        <v>357</v>
      </c>
      <c r="I180" s="32" t="s">
        <v>357</v>
      </c>
      <c r="J180" s="32" t="s">
        <v>357</v>
      </c>
      <c r="K180" s="32" t="s">
        <v>357</v>
      </c>
      <c r="L180" s="32" t="s">
        <v>357</v>
      </c>
      <c r="M180" s="32" t="s">
        <v>357</v>
      </c>
      <c r="N180" s="32" t="s">
        <v>357</v>
      </c>
      <c r="O180" s="32" t="s">
        <v>357</v>
      </c>
      <c r="P180" s="32" t="s">
        <v>357</v>
      </c>
      <c r="Q180" s="32" t="s">
        <v>357</v>
      </c>
      <c r="R180" s="32" t="s">
        <v>357</v>
      </c>
      <c r="S180" s="32" t="s">
        <v>357</v>
      </c>
      <c r="T180" s="32" t="s">
        <v>357</v>
      </c>
      <c r="U180" s="32" t="s">
        <v>357</v>
      </c>
      <c r="V180" s="32" t="s">
        <v>357</v>
      </c>
      <c r="W180" s="32" t="s">
        <v>357</v>
      </c>
      <c r="X180" s="49" t="s">
        <v>357</v>
      </c>
      <c r="Y180" s="49" t="s">
        <v>357</v>
      </c>
      <c r="Z180" s="49" t="s">
        <v>357</v>
      </c>
      <c r="AA180" s="49" t="s">
        <v>357</v>
      </c>
      <c r="AB180" s="49" t="s">
        <v>357</v>
      </c>
      <c r="AC180" s="49" t="s">
        <v>357</v>
      </c>
      <c r="AD180" s="49" t="s">
        <v>357</v>
      </c>
      <c r="AE180" s="49" t="s">
        <v>357</v>
      </c>
      <c r="AF180" s="49" t="s">
        <v>357</v>
      </c>
      <c r="AG180" s="49" t="s">
        <v>357</v>
      </c>
      <c r="AH180" s="49" t="s">
        <v>357</v>
      </c>
      <c r="AI180" s="39" t="s">
        <v>357</v>
      </c>
      <c r="AJ180" s="39" t="s">
        <v>357</v>
      </c>
      <c r="AK180" s="39" t="s">
        <v>357</v>
      </c>
      <c r="AL180" s="39" t="s">
        <v>357</v>
      </c>
      <c r="AM180" s="39" t="s">
        <v>357</v>
      </c>
      <c r="AN180" s="39" t="s">
        <v>357</v>
      </c>
      <c r="AO180" s="39" t="s">
        <v>357</v>
      </c>
      <c r="AP180" s="50" t="s">
        <v>357</v>
      </c>
      <c r="AQ180" s="50" t="s">
        <v>357</v>
      </c>
      <c r="AR180" s="49" t="s">
        <v>357</v>
      </c>
      <c r="AS180" s="49" t="s">
        <v>357</v>
      </c>
      <c r="AT180" s="49" t="s">
        <v>357</v>
      </c>
      <c r="AU180" s="49" t="s">
        <v>357</v>
      </c>
      <c r="AV180" s="49" t="s">
        <v>357</v>
      </c>
      <c r="AW180" s="32" t="s">
        <v>357</v>
      </c>
      <c r="AX180" s="32" t="s">
        <v>357</v>
      </c>
      <c r="AY180" s="50" t="s">
        <v>357</v>
      </c>
      <c r="AZ180" s="50" t="s">
        <v>357</v>
      </c>
      <c r="BA180" s="39" t="s">
        <v>357</v>
      </c>
      <c r="BB180" s="39" t="s">
        <v>357</v>
      </c>
      <c r="BC180" s="39" t="s">
        <v>357</v>
      </c>
      <c r="BD180" s="39" t="s">
        <v>357</v>
      </c>
      <c r="BE180" s="39" t="s">
        <v>357</v>
      </c>
      <c r="BF180" s="39" t="s">
        <v>357</v>
      </c>
      <c r="BG180" s="41" t="s">
        <v>357</v>
      </c>
      <c r="BH180" s="41" t="s">
        <v>357</v>
      </c>
      <c r="BI180" s="41"/>
    </row>
    <row r="181">
      <c r="A181" s="21" t="s">
        <v>495</v>
      </c>
      <c r="B181" s="23">
        <v>106.0</v>
      </c>
      <c r="C181" s="21" t="s">
        <v>919</v>
      </c>
      <c r="D181" s="18" t="s">
        <v>705</v>
      </c>
      <c r="E181" s="18" t="s">
        <v>572</v>
      </c>
      <c r="F181" s="18" t="s">
        <v>573</v>
      </c>
      <c r="G181" s="20" t="s">
        <v>357</v>
      </c>
      <c r="H181" s="47" t="s">
        <v>357</v>
      </c>
      <c r="I181" s="32" t="s">
        <v>357</v>
      </c>
      <c r="J181" s="32" t="s">
        <v>357</v>
      </c>
      <c r="K181" s="32" t="s">
        <v>357</v>
      </c>
      <c r="L181" s="32" t="s">
        <v>357</v>
      </c>
      <c r="M181" s="32" t="s">
        <v>357</v>
      </c>
      <c r="N181" s="32" t="s">
        <v>357</v>
      </c>
      <c r="O181" s="32" t="s">
        <v>357</v>
      </c>
      <c r="P181" s="32" t="s">
        <v>357</v>
      </c>
      <c r="Q181" s="32" t="s">
        <v>357</v>
      </c>
      <c r="R181" s="32" t="s">
        <v>357</v>
      </c>
      <c r="S181" s="32" t="s">
        <v>357</v>
      </c>
      <c r="T181" s="32" t="s">
        <v>357</v>
      </c>
      <c r="U181" s="32" t="s">
        <v>357</v>
      </c>
      <c r="V181" s="32" t="s">
        <v>357</v>
      </c>
      <c r="W181" s="32" t="s">
        <v>357</v>
      </c>
      <c r="X181" s="49" t="s">
        <v>357</v>
      </c>
      <c r="Y181" s="49" t="s">
        <v>357</v>
      </c>
      <c r="Z181" s="49" t="s">
        <v>357</v>
      </c>
      <c r="AA181" s="49" t="s">
        <v>357</v>
      </c>
      <c r="AB181" s="49" t="s">
        <v>357</v>
      </c>
      <c r="AC181" s="49" t="s">
        <v>357</v>
      </c>
      <c r="AD181" s="49" t="s">
        <v>357</v>
      </c>
      <c r="AE181" s="49" t="s">
        <v>357</v>
      </c>
      <c r="AF181" s="49" t="s">
        <v>357</v>
      </c>
      <c r="AG181" s="49" t="s">
        <v>357</v>
      </c>
      <c r="AH181" s="49" t="s">
        <v>357</v>
      </c>
      <c r="AI181" s="39" t="s">
        <v>357</v>
      </c>
      <c r="AJ181" s="39" t="s">
        <v>357</v>
      </c>
      <c r="AK181" s="39" t="s">
        <v>357</v>
      </c>
      <c r="AL181" s="39" t="s">
        <v>357</v>
      </c>
      <c r="AM181" s="39" t="s">
        <v>357</v>
      </c>
      <c r="AN181" s="39" t="s">
        <v>357</v>
      </c>
      <c r="AO181" s="39" t="s">
        <v>357</v>
      </c>
      <c r="AP181" s="50" t="s">
        <v>357</v>
      </c>
      <c r="AQ181" s="50" t="s">
        <v>357</v>
      </c>
      <c r="AR181" s="49" t="s">
        <v>357</v>
      </c>
      <c r="AS181" s="49" t="s">
        <v>357</v>
      </c>
      <c r="AT181" s="49" t="s">
        <v>357</v>
      </c>
      <c r="AU181" s="49" t="s">
        <v>357</v>
      </c>
      <c r="AV181" s="49" t="s">
        <v>357</v>
      </c>
      <c r="AW181" s="32" t="s">
        <v>357</v>
      </c>
      <c r="AX181" s="32" t="s">
        <v>357</v>
      </c>
      <c r="AY181" s="50" t="s">
        <v>357</v>
      </c>
      <c r="AZ181" s="50" t="s">
        <v>357</v>
      </c>
      <c r="BA181" s="39" t="s">
        <v>357</v>
      </c>
      <c r="BB181" s="39" t="s">
        <v>357</v>
      </c>
      <c r="BC181" s="39" t="s">
        <v>357</v>
      </c>
      <c r="BD181" s="39" t="s">
        <v>357</v>
      </c>
      <c r="BE181" s="39" t="s">
        <v>357</v>
      </c>
      <c r="BF181" s="39" t="s">
        <v>357</v>
      </c>
      <c r="BG181" s="41" t="s">
        <v>357</v>
      </c>
      <c r="BH181" s="41" t="s">
        <v>357</v>
      </c>
      <c r="BI181" s="41"/>
    </row>
    <row r="182">
      <c r="A182" s="51" t="s">
        <v>810</v>
      </c>
      <c r="B182" s="53">
        <v>107.0</v>
      </c>
      <c r="C182" s="51" t="s">
        <v>1385</v>
      </c>
      <c r="D182" s="18" t="s">
        <v>190</v>
      </c>
      <c r="E182" s="18" t="s">
        <v>190</v>
      </c>
      <c r="F182" s="18" t="s">
        <v>573</v>
      </c>
      <c r="G182" s="20" t="s">
        <v>357</v>
      </c>
      <c r="H182" s="47" t="s">
        <v>357</v>
      </c>
      <c r="I182" s="32" t="s">
        <v>357</v>
      </c>
      <c r="J182" s="32" t="s">
        <v>357</v>
      </c>
      <c r="K182" s="32" t="s">
        <v>357</v>
      </c>
      <c r="L182" s="32" t="s">
        <v>357</v>
      </c>
      <c r="M182" s="32" t="s">
        <v>357</v>
      </c>
      <c r="N182" s="32" t="s">
        <v>357</v>
      </c>
      <c r="O182" s="32" t="s">
        <v>357</v>
      </c>
      <c r="P182" s="32" t="s">
        <v>357</v>
      </c>
      <c r="Q182" s="32" t="s">
        <v>357</v>
      </c>
      <c r="R182" s="32" t="s">
        <v>357</v>
      </c>
      <c r="S182" s="32" t="s">
        <v>357</v>
      </c>
      <c r="T182" s="32" t="s">
        <v>357</v>
      </c>
      <c r="U182" s="32" t="s">
        <v>357</v>
      </c>
      <c r="V182" s="32" t="s">
        <v>357</v>
      </c>
      <c r="W182" s="32" t="s">
        <v>357</v>
      </c>
      <c r="X182" s="49" t="s">
        <v>357</v>
      </c>
      <c r="Y182" s="49" t="s">
        <v>357</v>
      </c>
      <c r="Z182" s="49" t="s">
        <v>357</v>
      </c>
      <c r="AA182" s="49" t="s">
        <v>357</v>
      </c>
      <c r="AB182" s="49" t="s">
        <v>357</v>
      </c>
      <c r="AC182" s="49" t="s">
        <v>357</v>
      </c>
      <c r="AD182" s="49" t="s">
        <v>357</v>
      </c>
      <c r="AE182" s="49" t="s">
        <v>357</v>
      </c>
      <c r="AF182" s="49" t="s">
        <v>357</v>
      </c>
      <c r="AG182" s="49" t="s">
        <v>357</v>
      </c>
      <c r="AH182" s="49" t="s">
        <v>357</v>
      </c>
      <c r="AI182" s="39" t="s">
        <v>357</v>
      </c>
      <c r="AJ182" s="39" t="s">
        <v>357</v>
      </c>
      <c r="AK182" s="39" t="s">
        <v>357</v>
      </c>
      <c r="AL182" s="39" t="s">
        <v>357</v>
      </c>
      <c r="AM182" s="39" t="s">
        <v>357</v>
      </c>
      <c r="AN182" s="39" t="s">
        <v>357</v>
      </c>
      <c r="AO182" s="39" t="s">
        <v>357</v>
      </c>
      <c r="AP182" s="50" t="s">
        <v>357</v>
      </c>
      <c r="AQ182" s="50" t="s">
        <v>357</v>
      </c>
      <c r="AR182" s="49" t="s">
        <v>357</v>
      </c>
      <c r="AS182" s="49" t="s">
        <v>357</v>
      </c>
      <c r="AT182" s="49" t="s">
        <v>357</v>
      </c>
      <c r="AU182" s="49" t="s">
        <v>357</v>
      </c>
      <c r="AV182" s="49" t="s">
        <v>357</v>
      </c>
      <c r="AW182" s="32" t="s">
        <v>357</v>
      </c>
      <c r="AX182" s="32" t="s">
        <v>357</v>
      </c>
      <c r="AY182" s="50" t="s">
        <v>357</v>
      </c>
      <c r="AZ182" s="50" t="s">
        <v>357</v>
      </c>
      <c r="BA182" s="39" t="s">
        <v>357</v>
      </c>
      <c r="BB182" s="39" t="s">
        <v>357</v>
      </c>
      <c r="BC182" s="39" t="s">
        <v>357</v>
      </c>
      <c r="BD182" s="39" t="s">
        <v>357</v>
      </c>
      <c r="BE182" s="39" t="s">
        <v>357</v>
      </c>
      <c r="BF182" s="39" t="s">
        <v>357</v>
      </c>
      <c r="BG182" s="41" t="s">
        <v>357</v>
      </c>
      <c r="BH182" s="41" t="s">
        <v>357</v>
      </c>
      <c r="BI182" s="41"/>
    </row>
    <row r="183">
      <c r="A183" s="51" t="s">
        <v>810</v>
      </c>
      <c r="B183" s="53">
        <v>108.0</v>
      </c>
      <c r="C183" s="51" t="s">
        <v>1386</v>
      </c>
      <c r="D183" s="18" t="s">
        <v>571</v>
      </c>
      <c r="E183" s="18" t="s">
        <v>572</v>
      </c>
      <c r="F183" s="18" t="s">
        <v>192</v>
      </c>
      <c r="G183" s="20" t="s">
        <v>1387</v>
      </c>
      <c r="H183" s="22" t="s">
        <v>198</v>
      </c>
      <c r="I183" s="26">
        <v>6.0</v>
      </c>
      <c r="J183" s="26" t="str">
        <f t="shared" ref="J183:J184" si="379">IF((I183&gt;=19),"S",IF(AND(I183&lt;19),"R", "NA"))</f>
        <v>R</v>
      </c>
      <c r="K183" s="26">
        <v>25.0</v>
      </c>
      <c r="L183" s="26" t="str">
        <f t="shared" ref="L183:L184" si="380">IF((K183&gt;=19),"S",IF(AND(K183&lt;19),"R", "NA"))</f>
        <v>S</v>
      </c>
      <c r="M183" s="26">
        <v>6.0</v>
      </c>
      <c r="N183" s="26" t="str">
        <f t="shared" ref="N183:N184" si="381">IF((M183&gt;=23),"S",IF(AND(M183&lt;23),"R","NA"))</f>
        <v>R</v>
      </c>
      <c r="O183" s="32" t="s">
        <v>357</v>
      </c>
      <c r="P183" s="32" t="s">
        <v>357</v>
      </c>
      <c r="Q183" s="26">
        <v>17.0</v>
      </c>
      <c r="R183" s="26" t="str">
        <f t="shared" ref="R183:R184" si="382">IF((Q183&gt;=20),"S",IF(AND(Q183&lt;20),"R", "NA"))</f>
        <v>R</v>
      </c>
      <c r="S183" s="26">
        <v>28.0</v>
      </c>
      <c r="T183" s="26" t="str">
        <f t="shared" ref="T183:T184" si="383">IF((S183&gt;=20),"S",IF(AND(S183&lt;20),"R", "NA"))</f>
        <v>S</v>
      </c>
      <c r="U183" s="26">
        <v>25.0</v>
      </c>
      <c r="V183" s="26" t="str">
        <f t="shared" ref="V183:V184" si="384">IF((U183&gt;=20),"S",IF(AND(U183&lt;20,U183&gt;=17),"I",IF(AND(U183&lt;17),"R","NA")))</f>
        <v>S</v>
      </c>
      <c r="W183" s="32" t="s">
        <v>299</v>
      </c>
      <c r="X183" s="33">
        <v>16.0</v>
      </c>
      <c r="Y183" s="33" t="str">
        <f t="shared" ref="Y183:Y184" si="385">IF((X183&gt;=20),"S",IF(AND(X183&lt;20,X183&gt;=17),"I",IF(AND(X183&lt;17),"R","NA")))</f>
        <v>R</v>
      </c>
      <c r="Z183" s="33">
        <v>26.0</v>
      </c>
      <c r="AA183" s="33" t="str">
        <f t="shared" ref="AA183:AA184" si="386">IF((Z183&gt;=18),"S",IF(AND(Z183&lt;18),"R", "NA"))</f>
        <v>S</v>
      </c>
      <c r="AB183" s="33">
        <v>26.0</v>
      </c>
      <c r="AC183" s="33" t="str">
        <f t="shared" ref="AC183:AC184" si="387">IF((AB183&gt;=22),"S",IF(AND(AB183&lt;22,AB183&gt;=19),"I",IF(AND(AB183&lt;19),"R","NA")))</f>
        <v>S</v>
      </c>
      <c r="AD183" s="33">
        <v>28.0</v>
      </c>
      <c r="AE183" s="33" t="str">
        <f t="shared" ref="AE183:AE184" si="388">IF((AD183&gt;=13),"S",IF(AND(AD183&lt;13),"R", "NA"))</f>
        <v>S</v>
      </c>
      <c r="AF183" s="33">
        <v>30.0</v>
      </c>
      <c r="AG183" s="33" t="str">
        <f t="shared" ref="AG183:AG184" si="389">IF((AF183&gt;=27),"S",IF(AND(AF183&lt;27,AF183&gt;=24),"I",IF(AND(AF183&lt;24),"R","NA")))</f>
        <v>S</v>
      </c>
      <c r="AH183" s="33" t="s">
        <v>299</v>
      </c>
      <c r="AI183" s="36">
        <v>26.0</v>
      </c>
      <c r="AJ183" s="36" t="str">
        <f t="shared" ref="AJ183:AJ184" si="390">IF((AI183&gt;=25),"S",IF(AND(AI183&lt;25,AI183&gt;=22),"I",IF(AND(AI183&lt;22),"R","NA")))</f>
        <v>S</v>
      </c>
      <c r="AK183" s="36">
        <v>26.0</v>
      </c>
      <c r="AL183" s="36" t="str">
        <f t="shared" ref="AL183:AL184" si="391">IF((AK183&gt;=23),"S",IF(AND(AK183&lt;23,AK183&gt;=19),"I",IF(AND(AK183&lt;19),"R","NA")))</f>
        <v>S</v>
      </c>
      <c r="AM183" s="36">
        <v>24.0</v>
      </c>
      <c r="AN183" s="36" t="str">
        <f t="shared" ref="AN183:AN184" si="392">IF((AM183&gt;=14),"S",IF(AND(AM183&lt;14),"R","NA"))</f>
        <v>S</v>
      </c>
      <c r="AO183" s="36" t="s">
        <v>300</v>
      </c>
      <c r="AP183" s="37">
        <v>12.0</v>
      </c>
      <c r="AQ183" s="37" t="str">
        <f t="shared" ref="AQ183:AQ184" si="393">IF((AP183&gt;=14),"S",IF(AND(AP183&lt;14,AP183&gt;=11),"I",IF(AND(AP183&lt;11),"R","NA")))</f>
        <v>I</v>
      </c>
      <c r="AR183" s="33">
        <v>22.0</v>
      </c>
      <c r="AS183" s="33" t="str">
        <f t="shared" ref="AS183:AS184" si="394">IF((AR183&gt;=18),"S",IF(AND(AR183&lt;18),"R", "NA"))</f>
        <v>S</v>
      </c>
      <c r="AT183" s="33">
        <v>21.0</v>
      </c>
      <c r="AU183" s="33" t="str">
        <f t="shared" ref="AU183:AU184" si="395">IF((AT183&gt;=16),"S",IF(AND(AT183&lt;16),"R", "NA"))</f>
        <v>S</v>
      </c>
      <c r="AV183" s="33" t="s">
        <v>300</v>
      </c>
      <c r="AW183" s="26">
        <v>10.0</v>
      </c>
      <c r="AX183" s="26" t="str">
        <f t="shared" ref="AX183:AX184" si="396">IF((AW183&gt;=20),"S",IF(AND(AW183&lt;20),"R", "NA"))</f>
        <v>R</v>
      </c>
      <c r="AY183" s="37">
        <v>28.0</v>
      </c>
      <c r="AZ183" s="37" t="str">
        <f t="shared" ref="AZ183:AZ184" si="397">IF((AY183&gt;=26),"S",IF(AND(AY183&lt;26,AY183&gt;=21),"I",IF(AND(AY183&lt;21),"R","NA")))</f>
        <v>S</v>
      </c>
      <c r="BA183" s="36">
        <v>34.0</v>
      </c>
      <c r="BB183" s="36" t="str">
        <f t="shared" ref="BB183:BB184" si="398">IF((BA183&gt;=23),"S",IF(AND(BA183&lt;23),"R","NA"))</f>
        <v>S</v>
      </c>
      <c r="BC183" s="39" t="s">
        <v>357</v>
      </c>
      <c r="BD183" s="39" t="s">
        <v>357</v>
      </c>
      <c r="BE183" s="36">
        <v>30.0</v>
      </c>
      <c r="BF183" s="36" t="str">
        <f t="shared" ref="BF183:BF184" si="399">IF((BE183&gt;=22),"S",IF(AND(BE183&lt;22,BE183&gt;=19),"I",IF(AND(BE183&lt;19),"R","NA")))</f>
        <v>S</v>
      </c>
      <c r="BG183" s="40">
        <v>21.0</v>
      </c>
      <c r="BH183" s="41" t="str">
        <f t="shared" ref="BH183:BH184" si="400">IF((BG183&gt;=17),"S",IF(AND(BG183&lt;17),"R", "NA"))</f>
        <v>S</v>
      </c>
      <c r="BI183" s="41"/>
    </row>
    <row r="184">
      <c r="A184" s="51" t="s">
        <v>810</v>
      </c>
      <c r="B184" s="51" t="s">
        <v>444</v>
      </c>
      <c r="C184" s="51" t="s">
        <v>1388</v>
      </c>
      <c r="D184" s="18" t="s">
        <v>571</v>
      </c>
      <c r="E184" s="18" t="s">
        <v>572</v>
      </c>
      <c r="F184" s="18" t="s">
        <v>192</v>
      </c>
      <c r="G184" s="20" t="s">
        <v>1389</v>
      </c>
      <c r="H184" s="42" t="s">
        <v>479</v>
      </c>
      <c r="I184" s="26">
        <v>6.0</v>
      </c>
      <c r="J184" s="26" t="str">
        <f t="shared" si="379"/>
        <v>R</v>
      </c>
      <c r="K184" s="26">
        <v>23.0</v>
      </c>
      <c r="L184" s="26" t="str">
        <f t="shared" si="380"/>
        <v>S</v>
      </c>
      <c r="M184" s="26">
        <v>6.0</v>
      </c>
      <c r="N184" s="26" t="str">
        <f t="shared" si="381"/>
        <v>R</v>
      </c>
      <c r="O184" s="32" t="s">
        <v>357</v>
      </c>
      <c r="P184" s="32" t="s">
        <v>357</v>
      </c>
      <c r="Q184" s="26">
        <v>8.0</v>
      </c>
      <c r="R184" s="26" t="str">
        <f t="shared" si="382"/>
        <v>R</v>
      </c>
      <c r="S184" s="26">
        <v>23.0</v>
      </c>
      <c r="T184" s="26" t="str">
        <f t="shared" si="383"/>
        <v>S</v>
      </c>
      <c r="U184" s="26">
        <v>28.0</v>
      </c>
      <c r="V184" s="26" t="str">
        <f t="shared" si="384"/>
        <v>S</v>
      </c>
      <c r="W184" s="32" t="s">
        <v>299</v>
      </c>
      <c r="X184" s="33">
        <v>6.0</v>
      </c>
      <c r="Y184" s="33" t="str">
        <f t="shared" si="385"/>
        <v>R</v>
      </c>
      <c r="Z184" s="33">
        <v>25.0</v>
      </c>
      <c r="AA184" s="33" t="str">
        <f t="shared" si="386"/>
        <v>S</v>
      </c>
      <c r="AB184" s="33">
        <v>16.0</v>
      </c>
      <c r="AC184" s="33" t="str">
        <f t="shared" si="387"/>
        <v>R</v>
      </c>
      <c r="AD184" s="33">
        <v>24.0</v>
      </c>
      <c r="AE184" s="33" t="str">
        <f t="shared" si="388"/>
        <v>S</v>
      </c>
      <c r="AF184" s="33">
        <v>20.0</v>
      </c>
      <c r="AG184" s="33" t="str">
        <f t="shared" si="389"/>
        <v>R</v>
      </c>
      <c r="AH184" s="33" t="s">
        <v>299</v>
      </c>
      <c r="AI184" s="36">
        <v>19.0</v>
      </c>
      <c r="AJ184" s="36" t="str">
        <f t="shared" si="390"/>
        <v>R</v>
      </c>
      <c r="AK184" s="36">
        <v>18.0</v>
      </c>
      <c r="AL184" s="36" t="str">
        <f t="shared" si="391"/>
        <v>R</v>
      </c>
      <c r="AM184" s="36">
        <v>18.0</v>
      </c>
      <c r="AN184" s="36" t="str">
        <f t="shared" si="392"/>
        <v>S</v>
      </c>
      <c r="AO184" s="36" t="s">
        <v>299</v>
      </c>
      <c r="AP184" s="37">
        <v>6.0</v>
      </c>
      <c r="AQ184" s="37" t="str">
        <f t="shared" si="393"/>
        <v>R</v>
      </c>
      <c r="AR184" s="33">
        <v>20.0</v>
      </c>
      <c r="AS184" s="33" t="str">
        <f t="shared" si="394"/>
        <v>S</v>
      </c>
      <c r="AT184" s="33">
        <v>18.0</v>
      </c>
      <c r="AU184" s="33" t="str">
        <f t="shared" si="395"/>
        <v>S</v>
      </c>
      <c r="AV184" s="33" t="s">
        <v>300</v>
      </c>
      <c r="AW184" s="26">
        <v>6.0</v>
      </c>
      <c r="AX184" s="26" t="str">
        <f t="shared" si="396"/>
        <v>R</v>
      </c>
      <c r="AY184" s="37">
        <v>15.0</v>
      </c>
      <c r="AZ184" s="37" t="str">
        <f t="shared" si="397"/>
        <v>R</v>
      </c>
      <c r="BA184" s="36">
        <v>30.0</v>
      </c>
      <c r="BB184" s="36" t="str">
        <f t="shared" si="398"/>
        <v>S</v>
      </c>
      <c r="BC184" s="39" t="s">
        <v>357</v>
      </c>
      <c r="BD184" s="39" t="s">
        <v>357</v>
      </c>
      <c r="BE184" s="36">
        <v>30.0</v>
      </c>
      <c r="BF184" s="36" t="str">
        <f t="shared" si="399"/>
        <v>S</v>
      </c>
      <c r="BG184" s="40">
        <v>18.0</v>
      </c>
      <c r="BH184" s="41" t="str">
        <f t="shared" si="400"/>
        <v>S</v>
      </c>
      <c r="BI184" s="41"/>
    </row>
    <row r="185">
      <c r="A185" s="51" t="s">
        <v>810</v>
      </c>
      <c r="B185" s="53">
        <v>109.0</v>
      </c>
      <c r="C185" s="51" t="s">
        <v>1390</v>
      </c>
      <c r="D185" s="18" t="s">
        <v>705</v>
      </c>
      <c r="E185" s="18" t="s">
        <v>572</v>
      </c>
      <c r="F185" s="18" t="s">
        <v>573</v>
      </c>
      <c r="G185" s="20" t="s">
        <v>357</v>
      </c>
      <c r="H185" s="47" t="s">
        <v>357</v>
      </c>
      <c r="I185" s="32" t="s">
        <v>357</v>
      </c>
      <c r="J185" s="32" t="s">
        <v>357</v>
      </c>
      <c r="K185" s="32" t="s">
        <v>357</v>
      </c>
      <c r="L185" s="32" t="s">
        <v>357</v>
      </c>
      <c r="M185" s="32" t="s">
        <v>357</v>
      </c>
      <c r="N185" s="32" t="s">
        <v>357</v>
      </c>
      <c r="O185" s="32" t="s">
        <v>357</v>
      </c>
      <c r="P185" s="32" t="s">
        <v>357</v>
      </c>
      <c r="Q185" s="32" t="s">
        <v>357</v>
      </c>
      <c r="R185" s="32" t="s">
        <v>357</v>
      </c>
      <c r="S185" s="32" t="s">
        <v>357</v>
      </c>
      <c r="T185" s="32" t="s">
        <v>357</v>
      </c>
      <c r="U185" s="32" t="s">
        <v>357</v>
      </c>
      <c r="V185" s="32" t="s">
        <v>357</v>
      </c>
      <c r="W185" s="32" t="s">
        <v>357</v>
      </c>
      <c r="X185" s="49" t="s">
        <v>357</v>
      </c>
      <c r="Y185" s="49" t="s">
        <v>357</v>
      </c>
      <c r="Z185" s="49" t="s">
        <v>357</v>
      </c>
      <c r="AA185" s="49" t="s">
        <v>357</v>
      </c>
      <c r="AB185" s="49" t="s">
        <v>357</v>
      </c>
      <c r="AC185" s="49" t="s">
        <v>357</v>
      </c>
      <c r="AD185" s="49" t="s">
        <v>357</v>
      </c>
      <c r="AE185" s="49" t="s">
        <v>357</v>
      </c>
      <c r="AF185" s="49" t="s">
        <v>357</v>
      </c>
      <c r="AG185" s="49" t="s">
        <v>357</v>
      </c>
      <c r="AH185" s="49" t="s">
        <v>357</v>
      </c>
      <c r="AI185" s="39" t="s">
        <v>357</v>
      </c>
      <c r="AJ185" s="39" t="s">
        <v>357</v>
      </c>
      <c r="AK185" s="39" t="s">
        <v>357</v>
      </c>
      <c r="AL185" s="39" t="s">
        <v>357</v>
      </c>
      <c r="AM185" s="39" t="s">
        <v>357</v>
      </c>
      <c r="AN185" s="39" t="s">
        <v>357</v>
      </c>
      <c r="AO185" s="39" t="s">
        <v>357</v>
      </c>
      <c r="AP185" s="50" t="s">
        <v>357</v>
      </c>
      <c r="AQ185" s="50" t="s">
        <v>357</v>
      </c>
      <c r="AR185" s="49" t="s">
        <v>357</v>
      </c>
      <c r="AS185" s="49" t="s">
        <v>357</v>
      </c>
      <c r="AT185" s="49" t="s">
        <v>357</v>
      </c>
      <c r="AU185" s="49" t="s">
        <v>357</v>
      </c>
      <c r="AV185" s="49" t="s">
        <v>357</v>
      </c>
      <c r="AW185" s="32" t="s">
        <v>357</v>
      </c>
      <c r="AX185" s="32" t="s">
        <v>357</v>
      </c>
      <c r="AY185" s="50" t="s">
        <v>357</v>
      </c>
      <c r="AZ185" s="50" t="s">
        <v>357</v>
      </c>
      <c r="BA185" s="39" t="s">
        <v>357</v>
      </c>
      <c r="BB185" s="39" t="s">
        <v>357</v>
      </c>
      <c r="BC185" s="39" t="s">
        <v>357</v>
      </c>
      <c r="BD185" s="39" t="s">
        <v>357</v>
      </c>
      <c r="BE185" s="39" t="s">
        <v>357</v>
      </c>
      <c r="BF185" s="39" t="s">
        <v>357</v>
      </c>
      <c r="BG185" s="41" t="s">
        <v>357</v>
      </c>
      <c r="BH185" s="41" t="s">
        <v>357</v>
      </c>
      <c r="BI185" s="41"/>
    </row>
    <row r="186">
      <c r="A186" s="51" t="s">
        <v>810</v>
      </c>
      <c r="B186" s="53">
        <v>110.0</v>
      </c>
      <c r="C186" s="51" t="s">
        <v>1391</v>
      </c>
      <c r="D186" s="18" t="s">
        <v>162</v>
      </c>
      <c r="E186" s="18" t="s">
        <v>103</v>
      </c>
      <c r="F186" s="18" t="s">
        <v>192</v>
      </c>
      <c r="G186" s="20" t="s">
        <v>1392</v>
      </c>
      <c r="H186" s="22" t="s">
        <v>198</v>
      </c>
      <c r="I186" s="26">
        <v>6.0</v>
      </c>
      <c r="J186" s="26" t="str">
        <f t="shared" ref="J186:J189" si="401">IF((I186&gt;=19),"S",IF(AND(I186&lt;19),"R", "NA"))</f>
        <v>R</v>
      </c>
      <c r="K186" s="26">
        <v>22.0</v>
      </c>
      <c r="L186" s="26" t="str">
        <f t="shared" ref="L186:L189" si="402">IF((K186&gt;=19),"S",IF(AND(K186&lt;19),"R", "NA"))</f>
        <v>S</v>
      </c>
      <c r="M186" s="26">
        <v>6.0</v>
      </c>
      <c r="N186" s="26" t="str">
        <f t="shared" ref="N186:N189" si="403">IF((M186&gt;=23),"S",IF(AND(M186&lt;23),"R","NA"))</f>
        <v>R</v>
      </c>
      <c r="O186" s="32" t="s">
        <v>357</v>
      </c>
      <c r="P186" s="32" t="s">
        <v>357</v>
      </c>
      <c r="Q186" s="26">
        <v>15.0</v>
      </c>
      <c r="R186" s="26" t="str">
        <f t="shared" ref="R186:R189" si="404">IF((Q186&gt;=20),"S",IF(AND(Q186&lt;20),"R", "NA"))</f>
        <v>R</v>
      </c>
      <c r="S186" s="26">
        <v>27.0</v>
      </c>
      <c r="T186" s="26" t="str">
        <f t="shared" ref="T186:T189" si="405">IF((S186&gt;=20),"S",IF(AND(S186&lt;20),"R", "NA"))</f>
        <v>S</v>
      </c>
      <c r="U186" s="26">
        <v>25.0</v>
      </c>
      <c r="V186" s="26" t="str">
        <f t="shared" ref="V186:V189" si="406">IF((U186&gt;=20),"S",IF(AND(U186&lt;20,U186&gt;=17),"I",IF(AND(U186&lt;17),"R","NA")))</f>
        <v>S</v>
      </c>
      <c r="W186" s="32" t="s">
        <v>299</v>
      </c>
      <c r="X186" s="33">
        <v>11.0</v>
      </c>
      <c r="Y186" s="33" t="str">
        <f t="shared" ref="Y186:Y189" si="407">IF((X186&gt;=20),"S",IF(AND(X186&lt;20,X186&gt;=17),"I",IF(AND(X186&lt;17),"R","NA")))</f>
        <v>R</v>
      </c>
      <c r="Z186" s="33">
        <v>28.0</v>
      </c>
      <c r="AA186" s="33" t="str">
        <f t="shared" ref="AA186:AA189" si="408">IF((Z186&gt;=18),"S",IF(AND(Z186&lt;18),"R", "NA"))</f>
        <v>S</v>
      </c>
      <c r="AB186" s="33">
        <v>24.0</v>
      </c>
      <c r="AC186" s="33" t="str">
        <f t="shared" ref="AC186:AC189" si="409">IF((AB186&gt;=22),"S",IF(AND(AB186&lt;22,AB186&gt;=19),"I",IF(AND(AB186&lt;19),"R","NA")))</f>
        <v>S</v>
      </c>
      <c r="AD186" s="33">
        <v>30.0</v>
      </c>
      <c r="AE186" s="33" t="str">
        <f t="shared" ref="AE186:AE189" si="410">IF((AD186&gt;=13),"S",IF(AND(AD186&lt;13),"R", "NA"))</f>
        <v>S</v>
      </c>
      <c r="AF186" s="33">
        <v>30.0</v>
      </c>
      <c r="AG186" s="33" t="str">
        <f t="shared" ref="AG186:AG189" si="411">IF((AF186&gt;=27),"S",IF(AND(AF186&lt;27,AF186&gt;=24),"I",IF(AND(AF186&lt;24),"R","NA")))</f>
        <v>S</v>
      </c>
      <c r="AH186" s="33" t="s">
        <v>299</v>
      </c>
      <c r="AI186" s="36">
        <v>32.0</v>
      </c>
      <c r="AJ186" s="36" t="str">
        <f t="shared" ref="AJ186:AJ189" si="412">IF((AI186&gt;=25),"S",IF(AND(AI186&lt;25,AI186&gt;=22),"I",IF(AND(AI186&lt;22),"R","NA")))</f>
        <v>S</v>
      </c>
      <c r="AK186" s="36">
        <v>29.0</v>
      </c>
      <c r="AL186" s="36" t="str">
        <f t="shared" ref="AL186:AL189" si="413">IF((AK186&gt;=23),"S",IF(AND(AK186&lt;23,AK186&gt;=19),"I",IF(AND(AK186&lt;19),"R","NA")))</f>
        <v>S</v>
      </c>
      <c r="AM186" s="36">
        <v>24.0</v>
      </c>
      <c r="AN186" s="36" t="str">
        <f t="shared" ref="AN186:AN189" si="414">IF((AM186&gt;=14),"S",IF(AND(AM186&lt;14),"R","NA"))</f>
        <v>S</v>
      </c>
      <c r="AO186" s="36" t="s">
        <v>300</v>
      </c>
      <c r="AP186" s="37">
        <v>6.0</v>
      </c>
      <c r="AQ186" s="37" t="str">
        <f t="shared" ref="AQ186:AQ189" si="415">IF((AP186&gt;=14),"S",IF(AND(AP186&lt;14,AP186&gt;=11),"I",IF(AND(AP186&lt;11),"R","NA")))</f>
        <v>R</v>
      </c>
      <c r="AR186" s="33">
        <v>23.0</v>
      </c>
      <c r="AS186" s="33" t="str">
        <f t="shared" ref="AS186:AS189" si="416">IF((AR186&gt;=18),"S",IF(AND(AR186&lt;18),"R", "NA"))</f>
        <v>S</v>
      </c>
      <c r="AT186" s="33">
        <v>21.0</v>
      </c>
      <c r="AU186" s="33" t="str">
        <f t="shared" ref="AU186:AU189" si="417">IF((AT186&gt;=16),"S",IF(AND(AT186&lt;16),"R", "NA"))</f>
        <v>S</v>
      </c>
      <c r="AV186" s="33" t="s">
        <v>300</v>
      </c>
      <c r="AW186" s="26">
        <v>6.0</v>
      </c>
      <c r="AX186" s="26" t="str">
        <f t="shared" ref="AX186:AX189" si="418">IF((AW186&gt;=20),"S",IF(AND(AW186&lt;20),"R", "NA"))</f>
        <v>R</v>
      </c>
      <c r="AY186" s="37">
        <v>25.0</v>
      </c>
      <c r="AZ186" s="37" t="str">
        <f t="shared" ref="AZ186:AZ189" si="419">IF((AY186&gt;=26),"S",IF(AND(AY186&lt;26,AY186&gt;=21),"I",IF(AND(AY186&lt;21),"R","NA")))</f>
        <v>I</v>
      </c>
      <c r="BA186" s="36">
        <v>37.0</v>
      </c>
      <c r="BB186" s="36" t="str">
        <f t="shared" ref="BB186:BB189" si="420">IF((BA186&gt;=23),"S",IF(AND(BA186&lt;23),"R","NA"))</f>
        <v>S</v>
      </c>
      <c r="BC186" s="39" t="s">
        <v>357</v>
      </c>
      <c r="BD186" s="39" t="s">
        <v>357</v>
      </c>
      <c r="BE186" s="36">
        <v>31.0</v>
      </c>
      <c r="BF186" s="36" t="str">
        <f t="shared" ref="BF186:BF189" si="421">IF((BE186&gt;=22),"S",IF(AND(BE186&lt;22,BE186&gt;=19),"I",IF(AND(BE186&lt;19),"R","NA")))</f>
        <v>S</v>
      </c>
      <c r="BG186" s="40">
        <v>22.0</v>
      </c>
      <c r="BH186" s="41" t="str">
        <f t="shared" ref="BH186:BH189" si="422">IF((BG186&gt;=17),"S",IF(AND(BG186&lt;17),"R", "NA"))</f>
        <v>S</v>
      </c>
      <c r="BI186" s="41"/>
    </row>
    <row r="187">
      <c r="A187" s="21" t="s">
        <v>832</v>
      </c>
      <c r="B187" s="23">
        <v>111.0</v>
      </c>
      <c r="C187" s="21" t="s">
        <v>1393</v>
      </c>
      <c r="D187" s="18" t="s">
        <v>190</v>
      </c>
      <c r="E187" s="18" t="s">
        <v>190</v>
      </c>
      <c r="F187" s="18" t="s">
        <v>192</v>
      </c>
      <c r="G187" s="20" t="s">
        <v>1394</v>
      </c>
      <c r="H187" s="22" t="s">
        <v>198</v>
      </c>
      <c r="I187" s="26">
        <v>6.0</v>
      </c>
      <c r="J187" s="26" t="str">
        <f t="shared" si="401"/>
        <v>R</v>
      </c>
      <c r="K187" s="26">
        <v>23.0</v>
      </c>
      <c r="L187" s="26" t="str">
        <f t="shared" si="402"/>
        <v>S</v>
      </c>
      <c r="M187" s="26">
        <v>6.0</v>
      </c>
      <c r="N187" s="26" t="str">
        <f t="shared" si="403"/>
        <v>R</v>
      </c>
      <c r="O187" s="32" t="s">
        <v>357</v>
      </c>
      <c r="P187" s="32" t="s">
        <v>357</v>
      </c>
      <c r="Q187" s="26">
        <v>20.0</v>
      </c>
      <c r="R187" s="26" t="str">
        <f t="shared" si="404"/>
        <v>S</v>
      </c>
      <c r="S187" s="26">
        <v>26.0</v>
      </c>
      <c r="T187" s="26" t="str">
        <f t="shared" si="405"/>
        <v>S</v>
      </c>
      <c r="U187" s="26">
        <v>25.0</v>
      </c>
      <c r="V187" s="26" t="str">
        <f t="shared" si="406"/>
        <v>S</v>
      </c>
      <c r="W187" s="32" t="s">
        <v>299</v>
      </c>
      <c r="X187" s="33">
        <v>11.0</v>
      </c>
      <c r="Y187" s="33" t="str">
        <f t="shared" si="407"/>
        <v>R</v>
      </c>
      <c r="Z187" s="33">
        <v>26.0</v>
      </c>
      <c r="AA187" s="33" t="str">
        <f t="shared" si="408"/>
        <v>S</v>
      </c>
      <c r="AB187" s="33">
        <v>21.0</v>
      </c>
      <c r="AC187" s="33" t="str">
        <f t="shared" si="409"/>
        <v>I</v>
      </c>
      <c r="AD187" s="33">
        <v>26.0</v>
      </c>
      <c r="AE187" s="33" t="str">
        <f t="shared" si="410"/>
        <v>S</v>
      </c>
      <c r="AF187" s="33">
        <v>29.0</v>
      </c>
      <c r="AG187" s="33" t="str">
        <f t="shared" si="411"/>
        <v>S</v>
      </c>
      <c r="AH187" s="33" t="s">
        <v>299</v>
      </c>
      <c r="AI187" s="36">
        <v>27.0</v>
      </c>
      <c r="AJ187" s="36" t="str">
        <f t="shared" si="412"/>
        <v>S</v>
      </c>
      <c r="AK187" s="36">
        <v>26.0</v>
      </c>
      <c r="AL187" s="36" t="str">
        <f t="shared" si="413"/>
        <v>S</v>
      </c>
      <c r="AM187" s="36">
        <v>20.0</v>
      </c>
      <c r="AN187" s="36" t="str">
        <f t="shared" si="414"/>
        <v>S</v>
      </c>
      <c r="AO187" s="36" t="s">
        <v>300</v>
      </c>
      <c r="AP187" s="37">
        <v>6.0</v>
      </c>
      <c r="AQ187" s="37" t="str">
        <f t="shared" si="415"/>
        <v>R</v>
      </c>
      <c r="AR187" s="33">
        <v>21.0</v>
      </c>
      <c r="AS187" s="33" t="str">
        <f t="shared" si="416"/>
        <v>S</v>
      </c>
      <c r="AT187" s="33">
        <v>22.0</v>
      </c>
      <c r="AU187" s="33" t="str">
        <f t="shared" si="417"/>
        <v>S</v>
      </c>
      <c r="AV187" s="33" t="s">
        <v>300</v>
      </c>
      <c r="AW187" s="26">
        <v>22.0</v>
      </c>
      <c r="AX187" s="26" t="str">
        <f t="shared" si="418"/>
        <v>S</v>
      </c>
      <c r="AY187" s="37">
        <v>21.0</v>
      </c>
      <c r="AZ187" s="37" t="str">
        <f t="shared" si="419"/>
        <v>I</v>
      </c>
      <c r="BA187" s="36">
        <v>30.0</v>
      </c>
      <c r="BB187" s="36" t="str">
        <f t="shared" si="420"/>
        <v>S</v>
      </c>
      <c r="BC187" s="39" t="s">
        <v>357</v>
      </c>
      <c r="BD187" s="39" t="s">
        <v>357</v>
      </c>
      <c r="BE187" s="36">
        <v>31.0</v>
      </c>
      <c r="BF187" s="36" t="str">
        <f t="shared" si="421"/>
        <v>S</v>
      </c>
      <c r="BG187" s="40">
        <v>21.0</v>
      </c>
      <c r="BH187" s="41" t="str">
        <f t="shared" si="422"/>
        <v>S</v>
      </c>
      <c r="BI187" s="41"/>
    </row>
    <row r="188">
      <c r="A188" s="21" t="s">
        <v>832</v>
      </c>
      <c r="B188" s="23">
        <v>112.0</v>
      </c>
      <c r="C188" s="21" t="s">
        <v>1395</v>
      </c>
      <c r="D188" s="18" t="s">
        <v>571</v>
      </c>
      <c r="E188" s="18" t="s">
        <v>572</v>
      </c>
      <c r="F188" s="18" t="s">
        <v>192</v>
      </c>
      <c r="G188" s="20" t="s">
        <v>1396</v>
      </c>
      <c r="H188" s="59" t="s">
        <v>1092</v>
      </c>
      <c r="I188" s="26">
        <v>6.0</v>
      </c>
      <c r="J188" s="26" t="str">
        <f t="shared" si="401"/>
        <v>R</v>
      </c>
      <c r="K188" s="26">
        <v>24.0</v>
      </c>
      <c r="L188" s="26" t="str">
        <f t="shared" si="402"/>
        <v>S</v>
      </c>
      <c r="M188" s="26">
        <v>6.0</v>
      </c>
      <c r="N188" s="26" t="str">
        <f t="shared" si="403"/>
        <v>R</v>
      </c>
      <c r="O188" s="32" t="s">
        <v>357</v>
      </c>
      <c r="P188" s="32" t="s">
        <v>357</v>
      </c>
      <c r="Q188" s="26">
        <v>16.0</v>
      </c>
      <c r="R188" s="26" t="str">
        <f t="shared" si="404"/>
        <v>R</v>
      </c>
      <c r="S188" s="26">
        <v>32.0</v>
      </c>
      <c r="T188" s="26" t="str">
        <f t="shared" si="405"/>
        <v>S</v>
      </c>
      <c r="U188" s="26">
        <v>32.0</v>
      </c>
      <c r="V188" s="26" t="str">
        <f t="shared" si="406"/>
        <v>S</v>
      </c>
      <c r="W188" s="32" t="s">
        <v>299</v>
      </c>
      <c r="X188" s="33">
        <v>8.0</v>
      </c>
      <c r="Y188" s="33" t="str">
        <f t="shared" si="407"/>
        <v>R</v>
      </c>
      <c r="Z188" s="33">
        <v>8.0</v>
      </c>
      <c r="AA188" s="33" t="str">
        <f t="shared" si="408"/>
        <v>R</v>
      </c>
      <c r="AB188" s="33">
        <v>24.0</v>
      </c>
      <c r="AC188" s="33" t="str">
        <f t="shared" si="409"/>
        <v>S</v>
      </c>
      <c r="AD188" s="33">
        <v>30.0</v>
      </c>
      <c r="AE188" s="33" t="str">
        <f t="shared" si="410"/>
        <v>S</v>
      </c>
      <c r="AF188" s="33">
        <v>26.0</v>
      </c>
      <c r="AG188" s="33" t="str">
        <f t="shared" si="411"/>
        <v>I</v>
      </c>
      <c r="AH188" s="33" t="s">
        <v>299</v>
      </c>
      <c r="AI188" s="36">
        <v>26.0</v>
      </c>
      <c r="AJ188" s="36" t="str">
        <f t="shared" si="412"/>
        <v>S</v>
      </c>
      <c r="AK188" s="36">
        <v>24.0</v>
      </c>
      <c r="AL188" s="36" t="str">
        <f t="shared" si="413"/>
        <v>S</v>
      </c>
      <c r="AM188" s="36">
        <v>21.0</v>
      </c>
      <c r="AN188" s="36" t="str">
        <f t="shared" si="414"/>
        <v>S</v>
      </c>
      <c r="AO188" s="36" t="s">
        <v>300</v>
      </c>
      <c r="AP188" s="37">
        <v>6.0</v>
      </c>
      <c r="AQ188" s="37" t="str">
        <f t="shared" si="415"/>
        <v>R</v>
      </c>
      <c r="AR188" s="33">
        <v>20.0</v>
      </c>
      <c r="AS188" s="33" t="str">
        <f t="shared" si="416"/>
        <v>S</v>
      </c>
      <c r="AT188" s="33">
        <v>18.0</v>
      </c>
      <c r="AU188" s="33" t="str">
        <f t="shared" si="417"/>
        <v>S</v>
      </c>
      <c r="AV188" s="33" t="s">
        <v>300</v>
      </c>
      <c r="AW188" s="26">
        <v>6.0</v>
      </c>
      <c r="AX188" s="26" t="str">
        <f t="shared" si="418"/>
        <v>R</v>
      </c>
      <c r="AY188" s="37">
        <v>25.0</v>
      </c>
      <c r="AZ188" s="37" t="str">
        <f t="shared" si="419"/>
        <v>I</v>
      </c>
      <c r="BA188" s="36">
        <v>30.0</v>
      </c>
      <c r="BB188" s="36" t="str">
        <f t="shared" si="420"/>
        <v>S</v>
      </c>
      <c r="BC188" s="39" t="s">
        <v>357</v>
      </c>
      <c r="BD188" s="39" t="s">
        <v>357</v>
      </c>
      <c r="BE188" s="36">
        <v>27.0</v>
      </c>
      <c r="BF188" s="36" t="str">
        <f t="shared" si="421"/>
        <v>S</v>
      </c>
      <c r="BG188" s="40">
        <v>20.0</v>
      </c>
      <c r="BH188" s="41" t="str">
        <f t="shared" si="422"/>
        <v>S</v>
      </c>
      <c r="BI188" s="41"/>
    </row>
    <row r="189">
      <c r="A189" s="21" t="s">
        <v>832</v>
      </c>
      <c r="B189" s="21" t="s">
        <v>444</v>
      </c>
      <c r="C189" s="21" t="s">
        <v>1397</v>
      </c>
      <c r="D189" s="18" t="s">
        <v>571</v>
      </c>
      <c r="E189" s="18" t="s">
        <v>572</v>
      </c>
      <c r="F189" s="18" t="s">
        <v>192</v>
      </c>
      <c r="G189" s="20" t="s">
        <v>1398</v>
      </c>
      <c r="H189" s="42" t="s">
        <v>479</v>
      </c>
      <c r="I189" s="26">
        <v>6.0</v>
      </c>
      <c r="J189" s="26" t="str">
        <f t="shared" si="401"/>
        <v>R</v>
      </c>
      <c r="K189" s="26">
        <v>17.0</v>
      </c>
      <c r="L189" s="26" t="str">
        <f t="shared" si="402"/>
        <v>R</v>
      </c>
      <c r="M189" s="26">
        <v>6.0</v>
      </c>
      <c r="N189" s="26" t="str">
        <f t="shared" si="403"/>
        <v>R</v>
      </c>
      <c r="O189" s="32" t="s">
        <v>357</v>
      </c>
      <c r="P189" s="32" t="s">
        <v>357</v>
      </c>
      <c r="Q189" s="26">
        <v>15.0</v>
      </c>
      <c r="R189" s="26" t="str">
        <f t="shared" si="404"/>
        <v>R</v>
      </c>
      <c r="S189" s="26">
        <v>19.0</v>
      </c>
      <c r="T189" s="26" t="str">
        <f t="shared" si="405"/>
        <v>R</v>
      </c>
      <c r="U189" s="26">
        <v>26.0</v>
      </c>
      <c r="V189" s="26" t="str">
        <f t="shared" si="406"/>
        <v>S</v>
      </c>
      <c r="W189" s="32" t="s">
        <v>299</v>
      </c>
      <c r="X189" s="33">
        <v>8.0</v>
      </c>
      <c r="Y189" s="33" t="str">
        <f t="shared" si="407"/>
        <v>R</v>
      </c>
      <c r="Z189" s="33">
        <v>25.0</v>
      </c>
      <c r="AA189" s="33" t="str">
        <f t="shared" si="408"/>
        <v>S</v>
      </c>
      <c r="AB189" s="33">
        <v>16.0</v>
      </c>
      <c r="AC189" s="33" t="str">
        <f t="shared" si="409"/>
        <v>R</v>
      </c>
      <c r="AD189" s="33">
        <v>28.0</v>
      </c>
      <c r="AE189" s="33" t="str">
        <f t="shared" si="410"/>
        <v>S</v>
      </c>
      <c r="AF189" s="33">
        <v>20.0</v>
      </c>
      <c r="AG189" s="33" t="str">
        <f t="shared" si="411"/>
        <v>R</v>
      </c>
      <c r="AH189" s="33" t="s">
        <v>299</v>
      </c>
      <c r="AI189" s="36">
        <v>29.0</v>
      </c>
      <c r="AJ189" s="36" t="str">
        <f t="shared" si="412"/>
        <v>S</v>
      </c>
      <c r="AK189" s="36">
        <v>10.0</v>
      </c>
      <c r="AL189" s="36" t="str">
        <f t="shared" si="413"/>
        <v>R</v>
      </c>
      <c r="AM189" s="36">
        <v>6.0</v>
      </c>
      <c r="AN189" s="36" t="str">
        <f t="shared" si="414"/>
        <v>R</v>
      </c>
      <c r="AO189" s="36" t="s">
        <v>299</v>
      </c>
      <c r="AP189" s="37">
        <v>6.0</v>
      </c>
      <c r="AQ189" s="37" t="str">
        <f t="shared" si="415"/>
        <v>R</v>
      </c>
      <c r="AR189" s="33">
        <v>21.0</v>
      </c>
      <c r="AS189" s="33" t="str">
        <f t="shared" si="416"/>
        <v>S</v>
      </c>
      <c r="AT189" s="33">
        <v>19.0</v>
      </c>
      <c r="AU189" s="33" t="str">
        <f t="shared" si="417"/>
        <v>S</v>
      </c>
      <c r="AV189" s="33" t="s">
        <v>300</v>
      </c>
      <c r="AW189" s="26">
        <v>6.0</v>
      </c>
      <c r="AX189" s="26" t="str">
        <f t="shared" si="418"/>
        <v>R</v>
      </c>
      <c r="AY189" s="37">
        <v>18.0</v>
      </c>
      <c r="AZ189" s="37" t="str">
        <f t="shared" si="419"/>
        <v>R</v>
      </c>
      <c r="BA189" s="36">
        <v>26.0</v>
      </c>
      <c r="BB189" s="36" t="str">
        <f t="shared" si="420"/>
        <v>S</v>
      </c>
      <c r="BC189" s="39" t="s">
        <v>357</v>
      </c>
      <c r="BD189" s="39" t="s">
        <v>357</v>
      </c>
      <c r="BE189" s="36">
        <v>28.0</v>
      </c>
      <c r="BF189" s="36" t="str">
        <f t="shared" si="421"/>
        <v>S</v>
      </c>
      <c r="BG189" s="40">
        <v>6.0</v>
      </c>
      <c r="BH189" s="41" t="str">
        <f t="shared" si="422"/>
        <v>R</v>
      </c>
      <c r="BI189" s="41"/>
    </row>
    <row r="190">
      <c r="A190" s="21" t="s">
        <v>832</v>
      </c>
      <c r="B190" s="23">
        <v>113.0</v>
      </c>
      <c r="C190" s="21" t="s">
        <v>1399</v>
      </c>
      <c r="D190" s="18" t="s">
        <v>705</v>
      </c>
      <c r="E190" s="18" t="s">
        <v>572</v>
      </c>
      <c r="F190" s="18" t="s">
        <v>573</v>
      </c>
      <c r="G190" s="20" t="s">
        <v>357</v>
      </c>
      <c r="H190" s="47" t="s">
        <v>357</v>
      </c>
      <c r="I190" s="32" t="s">
        <v>357</v>
      </c>
      <c r="J190" s="32" t="s">
        <v>357</v>
      </c>
      <c r="K190" s="32" t="s">
        <v>357</v>
      </c>
      <c r="L190" s="32" t="s">
        <v>357</v>
      </c>
      <c r="M190" s="32" t="s">
        <v>357</v>
      </c>
      <c r="N190" s="32" t="s">
        <v>357</v>
      </c>
      <c r="O190" s="32" t="s">
        <v>357</v>
      </c>
      <c r="P190" s="32" t="s">
        <v>357</v>
      </c>
      <c r="Q190" s="32" t="s">
        <v>357</v>
      </c>
      <c r="R190" s="32" t="s">
        <v>357</v>
      </c>
      <c r="S190" s="32" t="s">
        <v>357</v>
      </c>
      <c r="T190" s="32" t="s">
        <v>357</v>
      </c>
      <c r="U190" s="32" t="s">
        <v>357</v>
      </c>
      <c r="V190" s="32" t="s">
        <v>357</v>
      </c>
      <c r="W190" s="32" t="s">
        <v>357</v>
      </c>
      <c r="X190" s="49" t="s">
        <v>357</v>
      </c>
      <c r="Y190" s="49" t="s">
        <v>357</v>
      </c>
      <c r="Z190" s="49" t="s">
        <v>357</v>
      </c>
      <c r="AA190" s="49" t="s">
        <v>357</v>
      </c>
      <c r="AB190" s="49" t="s">
        <v>357</v>
      </c>
      <c r="AC190" s="49" t="s">
        <v>357</v>
      </c>
      <c r="AD190" s="49" t="s">
        <v>357</v>
      </c>
      <c r="AE190" s="49" t="s">
        <v>357</v>
      </c>
      <c r="AF190" s="49" t="s">
        <v>357</v>
      </c>
      <c r="AG190" s="49" t="s">
        <v>357</v>
      </c>
      <c r="AH190" s="49" t="s">
        <v>357</v>
      </c>
      <c r="AI190" s="39" t="s">
        <v>357</v>
      </c>
      <c r="AJ190" s="39" t="s">
        <v>357</v>
      </c>
      <c r="AK190" s="39" t="s">
        <v>357</v>
      </c>
      <c r="AL190" s="39" t="s">
        <v>357</v>
      </c>
      <c r="AM190" s="39" t="s">
        <v>357</v>
      </c>
      <c r="AN190" s="39" t="s">
        <v>357</v>
      </c>
      <c r="AO190" s="39" t="s">
        <v>357</v>
      </c>
      <c r="AP190" s="50" t="s">
        <v>357</v>
      </c>
      <c r="AQ190" s="50" t="s">
        <v>357</v>
      </c>
      <c r="AR190" s="49" t="s">
        <v>357</v>
      </c>
      <c r="AS190" s="49" t="s">
        <v>357</v>
      </c>
      <c r="AT190" s="49" t="s">
        <v>357</v>
      </c>
      <c r="AU190" s="49" t="s">
        <v>357</v>
      </c>
      <c r="AV190" s="49" t="s">
        <v>357</v>
      </c>
      <c r="AW190" s="32" t="s">
        <v>357</v>
      </c>
      <c r="AX190" s="32" t="s">
        <v>357</v>
      </c>
      <c r="AY190" s="50" t="s">
        <v>357</v>
      </c>
      <c r="AZ190" s="50" t="s">
        <v>357</v>
      </c>
      <c r="BA190" s="39" t="s">
        <v>357</v>
      </c>
      <c r="BB190" s="39" t="s">
        <v>357</v>
      </c>
      <c r="BC190" s="39" t="s">
        <v>357</v>
      </c>
      <c r="BD190" s="39" t="s">
        <v>357</v>
      </c>
      <c r="BE190" s="39" t="s">
        <v>357</v>
      </c>
      <c r="BF190" s="39" t="s">
        <v>357</v>
      </c>
      <c r="BG190" s="41" t="s">
        <v>357</v>
      </c>
      <c r="BH190" s="41" t="s">
        <v>357</v>
      </c>
      <c r="BI190" s="41"/>
    </row>
    <row r="191">
      <c r="A191" s="51" t="s">
        <v>819</v>
      </c>
      <c r="B191" s="53">
        <v>114.0</v>
      </c>
      <c r="C191" s="51" t="s">
        <v>1400</v>
      </c>
      <c r="D191" s="18" t="s">
        <v>190</v>
      </c>
      <c r="E191" s="18" t="s">
        <v>190</v>
      </c>
      <c r="F191" s="18" t="s">
        <v>192</v>
      </c>
      <c r="G191" s="20" t="s">
        <v>1401</v>
      </c>
      <c r="H191" s="22" t="s">
        <v>198</v>
      </c>
      <c r="I191" s="26">
        <v>6.0</v>
      </c>
      <c r="J191" s="26" t="str">
        <f t="shared" ref="J191:J192" si="423">IF((I191&gt;=19),"S",IF(AND(I191&lt;19),"R", "NA"))</f>
        <v>R</v>
      </c>
      <c r="K191" s="26">
        <v>23.0</v>
      </c>
      <c r="L191" s="26" t="str">
        <f t="shared" ref="L191:L192" si="424">IF((K191&gt;=19),"S",IF(AND(K191&lt;19),"R", "NA"))</f>
        <v>S</v>
      </c>
      <c r="M191" s="26">
        <v>6.0</v>
      </c>
      <c r="N191" s="26" t="str">
        <f t="shared" ref="N191:N192" si="425">IF((M191&gt;=23),"S",IF(AND(M191&lt;23),"R","NA"))</f>
        <v>R</v>
      </c>
      <c r="O191" s="32" t="s">
        <v>357</v>
      </c>
      <c r="P191" s="32" t="s">
        <v>357</v>
      </c>
      <c r="Q191" s="26">
        <v>6.0</v>
      </c>
      <c r="R191" s="26" t="str">
        <f t="shared" ref="R191:R192" si="426">IF((Q191&gt;=20),"S",IF(AND(Q191&lt;20),"R", "NA"))</f>
        <v>R</v>
      </c>
      <c r="S191" s="26">
        <v>27.0</v>
      </c>
      <c r="T191" s="26" t="str">
        <f t="shared" ref="T191:T192" si="427">IF((S191&gt;=20),"S",IF(AND(S191&lt;20),"R", "NA"))</f>
        <v>S</v>
      </c>
      <c r="U191" s="26">
        <v>27.0</v>
      </c>
      <c r="V191" s="26" t="str">
        <f t="shared" ref="V191:V192" si="428">IF((U191&gt;=20),"S",IF(AND(U191&lt;20,U191&gt;=17),"I",IF(AND(U191&lt;17),"R","NA")))</f>
        <v>S</v>
      </c>
      <c r="W191" s="32" t="s">
        <v>299</v>
      </c>
      <c r="X191" s="33">
        <v>11.0</v>
      </c>
      <c r="Y191" s="33" t="str">
        <f t="shared" ref="Y191:Y192" si="429">IF((X191&gt;=20),"S",IF(AND(X191&lt;20,X191&gt;=17),"I",IF(AND(X191&lt;17),"R","NA")))</f>
        <v>R</v>
      </c>
      <c r="Z191" s="33">
        <v>28.0</v>
      </c>
      <c r="AA191" s="33" t="str">
        <f t="shared" ref="AA191:AA192" si="430">IF((Z191&gt;=18),"S",IF(AND(Z191&lt;18),"R", "NA"))</f>
        <v>S</v>
      </c>
      <c r="AB191" s="33">
        <v>22.0</v>
      </c>
      <c r="AC191" s="33" t="str">
        <f t="shared" ref="AC191:AC192" si="431">IF((AB191&gt;=22),"S",IF(AND(AB191&lt;22,AB191&gt;=19),"I",IF(AND(AB191&lt;19),"R","NA")))</f>
        <v>S</v>
      </c>
      <c r="AD191" s="33">
        <v>24.0</v>
      </c>
      <c r="AE191" s="33" t="str">
        <f t="shared" ref="AE191:AE192" si="432">IF((AD191&gt;=13),"S",IF(AND(AD191&lt;13),"R", "NA"))</f>
        <v>S</v>
      </c>
      <c r="AF191" s="33">
        <v>24.0</v>
      </c>
      <c r="AG191" s="33" t="str">
        <f t="shared" ref="AG191:AG192" si="433">IF((AF191&gt;=27),"S",IF(AND(AF191&lt;27,AF191&gt;=24),"I",IF(AND(AF191&lt;24),"R","NA")))</f>
        <v>I</v>
      </c>
      <c r="AH191" s="33" t="s">
        <v>299</v>
      </c>
      <c r="AI191" s="36">
        <v>6.0</v>
      </c>
      <c r="AJ191" s="36" t="str">
        <f t="shared" ref="AJ191:AJ192" si="434">IF((AI191&gt;=25),"S",IF(AND(AI191&lt;25,AI191&gt;=22),"I",IF(AND(AI191&lt;22),"R","NA")))</f>
        <v>R</v>
      </c>
      <c r="AK191" s="36">
        <v>27.0</v>
      </c>
      <c r="AL191" s="36" t="str">
        <f t="shared" ref="AL191:AL192" si="435">IF((AK191&gt;=23),"S",IF(AND(AK191&lt;23,AK191&gt;=19),"I",IF(AND(AK191&lt;19),"R","NA")))</f>
        <v>S</v>
      </c>
      <c r="AM191" s="36">
        <v>23.0</v>
      </c>
      <c r="AN191" s="36" t="str">
        <f t="shared" ref="AN191:AN192" si="436">IF((AM191&gt;=14),"S",IF(AND(AM191&lt;14),"R","NA"))</f>
        <v>S</v>
      </c>
      <c r="AO191" s="36" t="s">
        <v>299</v>
      </c>
      <c r="AP191" s="37">
        <v>6.0</v>
      </c>
      <c r="AQ191" s="37" t="str">
        <f t="shared" ref="AQ191:AQ192" si="437">IF((AP191&gt;=14),"S",IF(AND(AP191&lt;14,AP191&gt;=11),"I",IF(AND(AP191&lt;11),"R","NA")))</f>
        <v>R</v>
      </c>
      <c r="AR191" s="33">
        <v>22.0</v>
      </c>
      <c r="AS191" s="33" t="str">
        <f t="shared" ref="AS191:AS192" si="438">IF((AR191&gt;=18),"S",IF(AND(AR191&lt;18),"R", "NA"))</f>
        <v>S</v>
      </c>
      <c r="AT191" s="33">
        <v>12.0</v>
      </c>
      <c r="AU191" s="33" t="str">
        <f t="shared" ref="AU191:AU192" si="439">IF((AT191&gt;=16),"S",IF(AND(AT191&lt;16),"R", "NA"))</f>
        <v>R</v>
      </c>
      <c r="AV191" s="33" t="s">
        <v>299</v>
      </c>
      <c r="AW191" s="26">
        <v>6.0</v>
      </c>
      <c r="AX191" s="26" t="str">
        <f t="shared" ref="AX191:AX192" si="440">IF((AW191&gt;=20),"S",IF(AND(AW191&lt;20),"R", "NA"))</f>
        <v>R</v>
      </c>
      <c r="AY191" s="37">
        <v>24.0</v>
      </c>
      <c r="AZ191" s="37" t="str">
        <f t="shared" ref="AZ191:AZ192" si="441">IF((AY191&gt;=26),"S",IF(AND(AY191&lt;26,AY191&gt;=21),"I",IF(AND(AY191&lt;21),"R","NA")))</f>
        <v>I</v>
      </c>
      <c r="BA191" s="36">
        <v>29.0</v>
      </c>
      <c r="BB191" s="36" t="str">
        <f t="shared" ref="BB191:BB192" si="442">IF((BA191&gt;=23),"S",IF(AND(BA191&lt;23),"R","NA"))</f>
        <v>S</v>
      </c>
      <c r="BC191" s="39" t="s">
        <v>357</v>
      </c>
      <c r="BD191" s="39" t="s">
        <v>357</v>
      </c>
      <c r="BE191" s="36">
        <v>32.0</v>
      </c>
      <c r="BF191" s="36" t="str">
        <f t="shared" ref="BF191:BF192" si="443">IF((BE191&gt;=22),"S",IF(AND(BE191&lt;22,BE191&gt;=19),"I",IF(AND(BE191&lt;19),"R","NA")))</f>
        <v>S</v>
      </c>
      <c r="BG191" s="40">
        <v>20.0</v>
      </c>
      <c r="BH191" s="41" t="str">
        <f t="shared" ref="BH191:BH192" si="444">IF((BG191&gt;=17),"S",IF(AND(BG191&lt;17),"R", "NA"))</f>
        <v>S</v>
      </c>
      <c r="BI191" s="41"/>
    </row>
    <row r="192">
      <c r="A192" s="51" t="s">
        <v>819</v>
      </c>
      <c r="B192" s="51" t="s">
        <v>444</v>
      </c>
      <c r="C192" s="51" t="s">
        <v>1402</v>
      </c>
      <c r="D192" s="18" t="s">
        <v>190</v>
      </c>
      <c r="E192" s="18" t="s">
        <v>190</v>
      </c>
      <c r="F192" s="18" t="s">
        <v>192</v>
      </c>
      <c r="G192" s="20" t="s">
        <v>1403</v>
      </c>
      <c r="H192" s="42" t="s">
        <v>479</v>
      </c>
      <c r="I192" s="26">
        <v>6.0</v>
      </c>
      <c r="J192" s="26" t="str">
        <f t="shared" si="423"/>
        <v>R</v>
      </c>
      <c r="K192" s="26">
        <v>24.0</v>
      </c>
      <c r="L192" s="26" t="str">
        <f t="shared" si="424"/>
        <v>S</v>
      </c>
      <c r="M192" s="26">
        <v>6.0</v>
      </c>
      <c r="N192" s="26" t="str">
        <f t="shared" si="425"/>
        <v>R</v>
      </c>
      <c r="O192" s="32" t="s">
        <v>357</v>
      </c>
      <c r="P192" s="32" t="s">
        <v>357</v>
      </c>
      <c r="Q192" s="26">
        <v>13.0</v>
      </c>
      <c r="R192" s="26" t="str">
        <f t="shared" si="426"/>
        <v>R</v>
      </c>
      <c r="S192" s="26">
        <v>26.0</v>
      </c>
      <c r="T192" s="26" t="str">
        <f t="shared" si="427"/>
        <v>S</v>
      </c>
      <c r="U192" s="26">
        <v>28.0</v>
      </c>
      <c r="V192" s="26" t="str">
        <f t="shared" si="428"/>
        <v>S</v>
      </c>
      <c r="W192" s="32" t="s">
        <v>299</v>
      </c>
      <c r="X192" s="33">
        <v>12.0</v>
      </c>
      <c r="Y192" s="33" t="str">
        <f t="shared" si="429"/>
        <v>R</v>
      </c>
      <c r="Z192" s="33">
        <v>28.0</v>
      </c>
      <c r="AA192" s="33" t="str">
        <f t="shared" si="430"/>
        <v>S</v>
      </c>
      <c r="AB192" s="33">
        <v>23.0</v>
      </c>
      <c r="AC192" s="33" t="str">
        <f t="shared" si="431"/>
        <v>S</v>
      </c>
      <c r="AD192" s="33">
        <v>27.0</v>
      </c>
      <c r="AE192" s="33" t="str">
        <f t="shared" si="432"/>
        <v>S</v>
      </c>
      <c r="AF192" s="33">
        <v>26.0</v>
      </c>
      <c r="AG192" s="33" t="str">
        <f t="shared" si="433"/>
        <v>I</v>
      </c>
      <c r="AH192" s="33" t="s">
        <v>299</v>
      </c>
      <c r="AI192" s="36">
        <v>25.0</v>
      </c>
      <c r="AJ192" s="36" t="str">
        <f t="shared" si="434"/>
        <v>S</v>
      </c>
      <c r="AK192" s="36">
        <v>25.0</v>
      </c>
      <c r="AL192" s="36" t="str">
        <f t="shared" si="435"/>
        <v>S</v>
      </c>
      <c r="AM192" s="36">
        <v>22.0</v>
      </c>
      <c r="AN192" s="36" t="str">
        <f t="shared" si="436"/>
        <v>S</v>
      </c>
      <c r="AO192" s="36" t="s">
        <v>300</v>
      </c>
      <c r="AP192" s="37">
        <v>24.0</v>
      </c>
      <c r="AQ192" s="37" t="str">
        <f t="shared" si="437"/>
        <v>S</v>
      </c>
      <c r="AR192" s="33">
        <v>21.0</v>
      </c>
      <c r="AS192" s="33" t="str">
        <f t="shared" si="438"/>
        <v>S</v>
      </c>
      <c r="AT192" s="33">
        <v>18.0</v>
      </c>
      <c r="AU192" s="33" t="str">
        <f t="shared" si="439"/>
        <v>S</v>
      </c>
      <c r="AV192" s="33" t="s">
        <v>300</v>
      </c>
      <c r="AW192" s="26">
        <v>9.0</v>
      </c>
      <c r="AX192" s="26" t="str">
        <f t="shared" si="440"/>
        <v>R</v>
      </c>
      <c r="AY192" s="37">
        <v>25.0</v>
      </c>
      <c r="AZ192" s="37" t="str">
        <f t="shared" si="441"/>
        <v>I</v>
      </c>
      <c r="BA192" s="36">
        <v>29.0</v>
      </c>
      <c r="BB192" s="36" t="str">
        <f t="shared" si="442"/>
        <v>S</v>
      </c>
      <c r="BC192" s="39" t="s">
        <v>357</v>
      </c>
      <c r="BD192" s="39" t="s">
        <v>357</v>
      </c>
      <c r="BE192" s="36">
        <v>30.0</v>
      </c>
      <c r="BF192" s="36" t="str">
        <f t="shared" si="443"/>
        <v>S</v>
      </c>
      <c r="BG192" s="40">
        <v>20.0</v>
      </c>
      <c r="BH192" s="41" t="str">
        <f t="shared" si="444"/>
        <v>S</v>
      </c>
      <c r="BI192" s="41"/>
    </row>
    <row r="193">
      <c r="A193" s="51" t="s">
        <v>819</v>
      </c>
      <c r="B193" s="53">
        <v>115.0</v>
      </c>
      <c r="C193" s="51" t="s">
        <v>1404</v>
      </c>
      <c r="D193" s="18" t="s">
        <v>571</v>
      </c>
      <c r="E193" s="18" t="s">
        <v>572</v>
      </c>
      <c r="F193" s="18" t="s">
        <v>573</v>
      </c>
      <c r="G193" s="20" t="s">
        <v>357</v>
      </c>
      <c r="H193" s="47" t="s">
        <v>357</v>
      </c>
      <c r="I193" s="32" t="s">
        <v>357</v>
      </c>
      <c r="J193" s="32" t="s">
        <v>357</v>
      </c>
      <c r="K193" s="32" t="s">
        <v>357</v>
      </c>
      <c r="L193" s="32" t="s">
        <v>357</v>
      </c>
      <c r="M193" s="32" t="s">
        <v>357</v>
      </c>
      <c r="N193" s="32" t="s">
        <v>357</v>
      </c>
      <c r="O193" s="32" t="s">
        <v>357</v>
      </c>
      <c r="P193" s="32" t="s">
        <v>357</v>
      </c>
      <c r="Q193" s="32" t="s">
        <v>357</v>
      </c>
      <c r="R193" s="32" t="s">
        <v>357</v>
      </c>
      <c r="S193" s="32" t="s">
        <v>357</v>
      </c>
      <c r="T193" s="32" t="s">
        <v>357</v>
      </c>
      <c r="U193" s="32" t="s">
        <v>357</v>
      </c>
      <c r="V193" s="32" t="s">
        <v>357</v>
      </c>
      <c r="W193" s="32" t="s">
        <v>357</v>
      </c>
      <c r="X193" s="49" t="s">
        <v>357</v>
      </c>
      <c r="Y193" s="49" t="s">
        <v>357</v>
      </c>
      <c r="Z193" s="49" t="s">
        <v>357</v>
      </c>
      <c r="AA193" s="49" t="s">
        <v>357</v>
      </c>
      <c r="AB193" s="49" t="s">
        <v>357</v>
      </c>
      <c r="AC193" s="49" t="s">
        <v>357</v>
      </c>
      <c r="AD193" s="49" t="s">
        <v>357</v>
      </c>
      <c r="AE193" s="49" t="s">
        <v>357</v>
      </c>
      <c r="AF193" s="49" t="s">
        <v>357</v>
      </c>
      <c r="AG193" s="49" t="s">
        <v>357</v>
      </c>
      <c r="AH193" s="49" t="s">
        <v>357</v>
      </c>
      <c r="AI193" s="39" t="s">
        <v>357</v>
      </c>
      <c r="AJ193" s="39" t="s">
        <v>357</v>
      </c>
      <c r="AK193" s="39" t="s">
        <v>357</v>
      </c>
      <c r="AL193" s="39" t="s">
        <v>357</v>
      </c>
      <c r="AM193" s="39" t="s">
        <v>357</v>
      </c>
      <c r="AN193" s="39" t="s">
        <v>357</v>
      </c>
      <c r="AO193" s="39" t="s">
        <v>357</v>
      </c>
      <c r="AP193" s="50" t="s">
        <v>357</v>
      </c>
      <c r="AQ193" s="50" t="s">
        <v>357</v>
      </c>
      <c r="AR193" s="49" t="s">
        <v>357</v>
      </c>
      <c r="AS193" s="49" t="s">
        <v>357</v>
      </c>
      <c r="AT193" s="49" t="s">
        <v>357</v>
      </c>
      <c r="AU193" s="49" t="s">
        <v>357</v>
      </c>
      <c r="AV193" s="49" t="s">
        <v>357</v>
      </c>
      <c r="AW193" s="32" t="s">
        <v>357</v>
      </c>
      <c r="AX193" s="32" t="s">
        <v>357</v>
      </c>
      <c r="AY193" s="50" t="s">
        <v>357</v>
      </c>
      <c r="AZ193" s="50" t="s">
        <v>357</v>
      </c>
      <c r="BA193" s="39" t="s">
        <v>357</v>
      </c>
      <c r="BB193" s="39" t="s">
        <v>357</v>
      </c>
      <c r="BC193" s="39" t="s">
        <v>357</v>
      </c>
      <c r="BD193" s="39" t="s">
        <v>357</v>
      </c>
      <c r="BE193" s="39" t="s">
        <v>357</v>
      </c>
      <c r="BF193" s="39" t="s">
        <v>357</v>
      </c>
      <c r="BG193" s="41" t="s">
        <v>357</v>
      </c>
      <c r="BH193" s="41" t="s">
        <v>357</v>
      </c>
      <c r="BI193" s="41"/>
    </row>
    <row r="194">
      <c r="A194" s="51" t="s">
        <v>819</v>
      </c>
      <c r="B194" s="53">
        <v>116.0</v>
      </c>
      <c r="C194" s="51" t="s">
        <v>1405</v>
      </c>
      <c r="D194" s="18" t="s">
        <v>827</v>
      </c>
      <c r="E194" s="18" t="s">
        <v>572</v>
      </c>
      <c r="F194" s="18" t="s">
        <v>192</v>
      </c>
      <c r="G194" s="20" t="s">
        <v>1406</v>
      </c>
      <c r="H194" s="22" t="s">
        <v>198</v>
      </c>
      <c r="I194" s="26">
        <v>6.0</v>
      </c>
      <c r="J194" s="26" t="str">
        <f t="shared" ref="J194:J200" si="445">IF((I194&gt;=19),"S",IF(AND(I194&lt;19),"R", "NA"))</f>
        <v>R</v>
      </c>
      <c r="K194" s="26">
        <v>22.0</v>
      </c>
      <c r="L194" s="26" t="str">
        <f t="shared" ref="L194:L200" si="446">IF((K194&gt;=19),"S",IF(AND(K194&lt;19),"R", "NA"))</f>
        <v>S</v>
      </c>
      <c r="M194" s="26">
        <v>6.0</v>
      </c>
      <c r="N194" s="26" t="str">
        <f t="shared" ref="N194:N200" si="447">IF((M194&gt;=23),"S",IF(AND(M194&lt;23),"R","NA"))</f>
        <v>R</v>
      </c>
      <c r="O194" s="32" t="s">
        <v>357</v>
      </c>
      <c r="P194" s="32" t="s">
        <v>357</v>
      </c>
      <c r="Q194" s="26">
        <v>12.0</v>
      </c>
      <c r="R194" s="26" t="str">
        <f t="shared" ref="R194:R200" si="448">IF((Q194&gt;=20),"S",IF(AND(Q194&lt;20),"R", "NA"))</f>
        <v>R</v>
      </c>
      <c r="S194" s="26">
        <v>26.0</v>
      </c>
      <c r="T194" s="26" t="str">
        <f t="shared" ref="T194:T200" si="449">IF((S194&gt;=20),"S",IF(AND(S194&lt;20),"R", "NA"))</f>
        <v>S</v>
      </c>
      <c r="U194" s="26">
        <v>24.0</v>
      </c>
      <c r="V194" s="26" t="str">
        <f t="shared" ref="V194:V200" si="450">IF((U194&gt;=20),"S",IF(AND(U194&lt;20,U194&gt;=17),"I",IF(AND(U194&lt;17),"R","NA")))</f>
        <v>S</v>
      </c>
      <c r="W194" s="32" t="s">
        <v>299</v>
      </c>
      <c r="X194" s="33">
        <v>6.0</v>
      </c>
      <c r="Y194" s="33" t="str">
        <f t="shared" ref="Y194:Y200" si="451">IF((X194&gt;=20),"S",IF(AND(X194&lt;20,X194&gt;=17),"I",IF(AND(X194&lt;17),"R","NA")))</f>
        <v>R</v>
      </c>
      <c r="Z194" s="33">
        <v>28.0</v>
      </c>
      <c r="AA194" s="33" t="str">
        <f t="shared" ref="AA194:AA200" si="452">IF((Z194&gt;=18),"S",IF(AND(Z194&lt;18),"R", "NA"))</f>
        <v>S</v>
      </c>
      <c r="AB194" s="33">
        <v>18.0</v>
      </c>
      <c r="AC194" s="33" t="str">
        <f t="shared" ref="AC194:AC200" si="453">IF((AB194&gt;=22),"S",IF(AND(AB194&lt;22,AB194&gt;=19),"I",IF(AND(AB194&lt;19),"R","NA")))</f>
        <v>R</v>
      </c>
      <c r="AD194" s="33">
        <v>28.0</v>
      </c>
      <c r="AE194" s="33" t="str">
        <f t="shared" ref="AE194:AE200" si="454">IF((AD194&gt;=13),"S",IF(AND(AD194&lt;13),"R", "NA"))</f>
        <v>S</v>
      </c>
      <c r="AF194" s="33">
        <v>24.0</v>
      </c>
      <c r="AG194" s="33" t="str">
        <f t="shared" ref="AG194:AG200" si="455">IF((AF194&gt;=27),"S",IF(AND(AF194&lt;27,AF194&gt;=24),"I",IF(AND(AF194&lt;24),"R","NA")))</f>
        <v>I</v>
      </c>
      <c r="AH194" s="33" t="s">
        <v>299</v>
      </c>
      <c r="AI194" s="36">
        <v>30.0</v>
      </c>
      <c r="AJ194" s="36" t="str">
        <f t="shared" ref="AJ194:AJ200" si="456">IF((AI194&gt;=25),"S",IF(AND(AI194&lt;25,AI194&gt;=22),"I",IF(AND(AI194&lt;22),"R","NA")))</f>
        <v>S</v>
      </c>
      <c r="AK194" s="36">
        <v>29.0</v>
      </c>
      <c r="AL194" s="36" t="str">
        <f t="shared" ref="AL194:AL200" si="457">IF((AK194&gt;=23),"S",IF(AND(AK194&lt;23,AK194&gt;=19),"I",IF(AND(AK194&lt;19),"R","NA")))</f>
        <v>S</v>
      </c>
      <c r="AM194" s="36">
        <v>23.0</v>
      </c>
      <c r="AN194" s="36" t="str">
        <f t="shared" ref="AN194:AN200" si="458">IF((AM194&gt;=14),"S",IF(AND(AM194&lt;14),"R","NA"))</f>
        <v>S</v>
      </c>
      <c r="AO194" s="36" t="s">
        <v>300</v>
      </c>
      <c r="AP194" s="37">
        <v>30.0</v>
      </c>
      <c r="AQ194" s="37" t="str">
        <f t="shared" ref="AQ194:AQ200" si="459">IF((AP194&gt;=14),"S",IF(AND(AP194&lt;14,AP194&gt;=11),"I",IF(AND(AP194&lt;11),"R","NA")))</f>
        <v>S</v>
      </c>
      <c r="AR194" s="33">
        <v>25.0</v>
      </c>
      <c r="AS194" s="33" t="str">
        <f t="shared" ref="AS194:AS200" si="460">IF((AR194&gt;=18),"S",IF(AND(AR194&lt;18),"R", "NA"))</f>
        <v>S</v>
      </c>
      <c r="AT194" s="33">
        <v>18.0</v>
      </c>
      <c r="AU194" s="33" t="str">
        <f t="shared" ref="AU194:AU200" si="461">IF((AT194&gt;=16),"S",IF(AND(AT194&lt;16),"R", "NA"))</f>
        <v>S</v>
      </c>
      <c r="AV194" s="33" t="s">
        <v>300</v>
      </c>
      <c r="AW194" s="26">
        <v>25.0</v>
      </c>
      <c r="AX194" s="26" t="str">
        <f t="shared" ref="AX194:AX200" si="462">IF((AW194&gt;=20),"S",IF(AND(AW194&lt;20),"R", "NA"))</f>
        <v>S</v>
      </c>
      <c r="AY194" s="37">
        <v>19.0</v>
      </c>
      <c r="AZ194" s="37" t="str">
        <f t="shared" ref="AZ194:AZ200" si="463">IF((AY194&gt;=26),"S",IF(AND(AY194&lt;26,AY194&gt;=21),"I",IF(AND(AY194&lt;21),"R","NA")))</f>
        <v>R</v>
      </c>
      <c r="BA194" s="36">
        <v>29.0</v>
      </c>
      <c r="BB194" s="36" t="str">
        <f t="shared" ref="BB194:BB200" si="464">IF((BA194&gt;=23),"S",IF(AND(BA194&lt;23),"R","NA"))</f>
        <v>S</v>
      </c>
      <c r="BC194" s="39" t="s">
        <v>357</v>
      </c>
      <c r="BD194" s="39" t="s">
        <v>357</v>
      </c>
      <c r="BE194" s="36">
        <v>31.0</v>
      </c>
      <c r="BF194" s="36" t="str">
        <f t="shared" ref="BF194:BF200" si="465">IF((BE194&gt;=22),"S",IF(AND(BE194&lt;22,BE194&gt;=19),"I",IF(AND(BE194&lt;19),"R","NA")))</f>
        <v>S</v>
      </c>
      <c r="BG194" s="40">
        <v>20.0</v>
      </c>
      <c r="BH194" s="41" t="str">
        <f t="shared" ref="BH194:BH200" si="466">IF((BG194&gt;=17),"S",IF(AND(BG194&lt;17),"R", "NA"))</f>
        <v>S</v>
      </c>
      <c r="BI194" s="41"/>
    </row>
    <row r="195">
      <c r="A195" s="51" t="s">
        <v>819</v>
      </c>
      <c r="B195" s="51" t="s">
        <v>444</v>
      </c>
      <c r="C195" s="51" t="s">
        <v>1407</v>
      </c>
      <c r="D195" s="18" t="s">
        <v>827</v>
      </c>
      <c r="E195" s="18" t="s">
        <v>572</v>
      </c>
      <c r="F195" s="18" t="s">
        <v>192</v>
      </c>
      <c r="G195" s="20" t="s">
        <v>1408</v>
      </c>
      <c r="H195" s="42" t="s">
        <v>479</v>
      </c>
      <c r="I195" s="26">
        <v>6.0</v>
      </c>
      <c r="J195" s="26" t="str">
        <f t="shared" si="445"/>
        <v>R</v>
      </c>
      <c r="K195" s="26">
        <v>22.0</v>
      </c>
      <c r="L195" s="26" t="str">
        <f t="shared" si="446"/>
        <v>S</v>
      </c>
      <c r="M195" s="26">
        <v>6.0</v>
      </c>
      <c r="N195" s="26" t="str">
        <f t="shared" si="447"/>
        <v>R</v>
      </c>
      <c r="O195" s="32" t="s">
        <v>357</v>
      </c>
      <c r="P195" s="32" t="s">
        <v>357</v>
      </c>
      <c r="Q195" s="26">
        <v>11.0</v>
      </c>
      <c r="R195" s="26" t="str">
        <f t="shared" si="448"/>
        <v>R</v>
      </c>
      <c r="S195" s="26">
        <v>23.0</v>
      </c>
      <c r="T195" s="26" t="str">
        <f t="shared" si="449"/>
        <v>S</v>
      </c>
      <c r="U195" s="26">
        <v>26.0</v>
      </c>
      <c r="V195" s="26" t="str">
        <f t="shared" si="450"/>
        <v>S</v>
      </c>
      <c r="W195" s="32" t="s">
        <v>299</v>
      </c>
      <c r="X195" s="33">
        <v>6.0</v>
      </c>
      <c r="Y195" s="33" t="str">
        <f t="shared" si="451"/>
        <v>R</v>
      </c>
      <c r="Z195" s="33">
        <v>25.0</v>
      </c>
      <c r="AA195" s="33" t="str">
        <f t="shared" si="452"/>
        <v>S</v>
      </c>
      <c r="AB195" s="33">
        <v>18.0</v>
      </c>
      <c r="AC195" s="33" t="str">
        <f t="shared" si="453"/>
        <v>R</v>
      </c>
      <c r="AD195" s="33">
        <v>25.0</v>
      </c>
      <c r="AE195" s="33" t="str">
        <f t="shared" si="454"/>
        <v>S</v>
      </c>
      <c r="AF195" s="33">
        <v>22.0</v>
      </c>
      <c r="AG195" s="33" t="str">
        <f t="shared" si="455"/>
        <v>R</v>
      </c>
      <c r="AH195" s="33" t="s">
        <v>299</v>
      </c>
      <c r="AI195" s="36">
        <v>23.0</v>
      </c>
      <c r="AJ195" s="36" t="str">
        <f t="shared" si="456"/>
        <v>I</v>
      </c>
      <c r="AK195" s="36">
        <v>23.0</v>
      </c>
      <c r="AL195" s="36" t="str">
        <f t="shared" si="457"/>
        <v>S</v>
      </c>
      <c r="AM195" s="36">
        <v>22.0</v>
      </c>
      <c r="AN195" s="36" t="str">
        <f t="shared" si="458"/>
        <v>S</v>
      </c>
      <c r="AO195" s="36" t="s">
        <v>300</v>
      </c>
      <c r="AP195" s="37">
        <v>24.0</v>
      </c>
      <c r="AQ195" s="37" t="str">
        <f t="shared" si="459"/>
        <v>S</v>
      </c>
      <c r="AR195" s="33">
        <v>20.0</v>
      </c>
      <c r="AS195" s="33" t="str">
        <f t="shared" si="460"/>
        <v>S</v>
      </c>
      <c r="AT195" s="33">
        <v>18.0</v>
      </c>
      <c r="AU195" s="33" t="str">
        <f t="shared" si="461"/>
        <v>S</v>
      </c>
      <c r="AV195" s="33" t="s">
        <v>300</v>
      </c>
      <c r="AW195" s="26">
        <v>23.0</v>
      </c>
      <c r="AX195" s="26" t="str">
        <f t="shared" si="462"/>
        <v>S</v>
      </c>
      <c r="AY195" s="37">
        <v>19.0</v>
      </c>
      <c r="AZ195" s="37" t="str">
        <f t="shared" si="463"/>
        <v>R</v>
      </c>
      <c r="BA195" s="36">
        <v>26.0</v>
      </c>
      <c r="BB195" s="36" t="str">
        <f t="shared" si="464"/>
        <v>S</v>
      </c>
      <c r="BC195" s="39" t="s">
        <v>357</v>
      </c>
      <c r="BD195" s="39" t="s">
        <v>357</v>
      </c>
      <c r="BE195" s="36">
        <v>29.0</v>
      </c>
      <c r="BF195" s="36" t="str">
        <f t="shared" si="465"/>
        <v>S</v>
      </c>
      <c r="BG195" s="40">
        <v>20.0</v>
      </c>
      <c r="BH195" s="41" t="str">
        <f t="shared" si="466"/>
        <v>S</v>
      </c>
      <c r="BI195" s="41"/>
    </row>
    <row r="196">
      <c r="A196" s="51" t="s">
        <v>819</v>
      </c>
      <c r="B196" s="51" t="s">
        <v>444</v>
      </c>
      <c r="C196" s="51" t="s">
        <v>1409</v>
      </c>
      <c r="D196" s="18" t="s">
        <v>827</v>
      </c>
      <c r="E196" s="18" t="s">
        <v>572</v>
      </c>
      <c r="F196" s="18" t="s">
        <v>192</v>
      </c>
      <c r="G196" s="20" t="s">
        <v>1410</v>
      </c>
      <c r="H196" s="22" t="s">
        <v>198</v>
      </c>
      <c r="I196" s="26">
        <v>6.0</v>
      </c>
      <c r="J196" s="26" t="str">
        <f t="shared" si="445"/>
        <v>R</v>
      </c>
      <c r="K196" s="26">
        <v>6.0</v>
      </c>
      <c r="L196" s="26" t="str">
        <f t="shared" si="446"/>
        <v>R</v>
      </c>
      <c r="M196" s="26">
        <v>6.0</v>
      </c>
      <c r="N196" s="26" t="str">
        <f t="shared" si="447"/>
        <v>R</v>
      </c>
      <c r="O196" s="32" t="s">
        <v>357</v>
      </c>
      <c r="P196" s="32" t="s">
        <v>357</v>
      </c>
      <c r="Q196" s="26">
        <v>6.0</v>
      </c>
      <c r="R196" s="26" t="str">
        <f t="shared" si="448"/>
        <v>R</v>
      </c>
      <c r="S196" s="26">
        <v>6.0</v>
      </c>
      <c r="T196" s="26" t="str">
        <f t="shared" si="449"/>
        <v>R</v>
      </c>
      <c r="U196" s="26">
        <v>8.0</v>
      </c>
      <c r="V196" s="26" t="str">
        <f t="shared" si="450"/>
        <v>R</v>
      </c>
      <c r="W196" s="32" t="s">
        <v>299</v>
      </c>
      <c r="X196" s="33">
        <v>6.0</v>
      </c>
      <c r="Y196" s="33" t="str">
        <f t="shared" si="451"/>
        <v>R</v>
      </c>
      <c r="Z196" s="33">
        <v>6.0</v>
      </c>
      <c r="AA196" s="33" t="str">
        <f t="shared" si="452"/>
        <v>R</v>
      </c>
      <c r="AB196" s="33">
        <v>6.0</v>
      </c>
      <c r="AC196" s="33" t="str">
        <f t="shared" si="453"/>
        <v>R</v>
      </c>
      <c r="AD196" s="33">
        <v>10.0</v>
      </c>
      <c r="AE196" s="33" t="str">
        <f t="shared" si="454"/>
        <v>R</v>
      </c>
      <c r="AF196" s="33">
        <v>6.0</v>
      </c>
      <c r="AG196" s="33" t="str">
        <f t="shared" si="455"/>
        <v>R</v>
      </c>
      <c r="AH196" s="33" t="s">
        <v>299</v>
      </c>
      <c r="AI196" s="36">
        <v>6.0</v>
      </c>
      <c r="AJ196" s="36" t="str">
        <f t="shared" si="456"/>
        <v>R</v>
      </c>
      <c r="AK196" s="36">
        <v>8.0</v>
      </c>
      <c r="AL196" s="36" t="str">
        <f t="shared" si="457"/>
        <v>R</v>
      </c>
      <c r="AM196" s="36">
        <v>6.0</v>
      </c>
      <c r="AN196" s="36" t="str">
        <f t="shared" si="458"/>
        <v>R</v>
      </c>
      <c r="AO196" s="36" t="s">
        <v>299</v>
      </c>
      <c r="AP196" s="37">
        <v>6.0</v>
      </c>
      <c r="AQ196" s="37" t="str">
        <f t="shared" si="459"/>
        <v>R</v>
      </c>
      <c r="AR196" s="33">
        <v>22.0</v>
      </c>
      <c r="AS196" s="33" t="str">
        <f t="shared" si="460"/>
        <v>S</v>
      </c>
      <c r="AT196" s="33">
        <v>19.0</v>
      </c>
      <c r="AU196" s="33" t="str">
        <f t="shared" si="461"/>
        <v>S</v>
      </c>
      <c r="AV196" s="33" t="s">
        <v>300</v>
      </c>
      <c r="AW196" s="26">
        <v>6.0</v>
      </c>
      <c r="AX196" s="26" t="str">
        <f t="shared" si="462"/>
        <v>R</v>
      </c>
      <c r="AY196" s="37">
        <v>6.0</v>
      </c>
      <c r="AZ196" s="37" t="str">
        <f t="shared" si="463"/>
        <v>R</v>
      </c>
      <c r="BA196" s="36">
        <v>6.0</v>
      </c>
      <c r="BB196" s="36" t="str">
        <f t="shared" si="464"/>
        <v>R</v>
      </c>
      <c r="BC196" s="36">
        <v>4.0</v>
      </c>
      <c r="BD196" s="36" t="str">
        <f>IF((BC196&lt;=0.5),"S",IF(AND(BC196&gt;0.5),"R", "NA"))</f>
        <v>R</v>
      </c>
      <c r="BE196" s="36">
        <v>17.0</v>
      </c>
      <c r="BF196" s="36" t="str">
        <f t="shared" si="465"/>
        <v>R</v>
      </c>
      <c r="BG196" s="40">
        <v>21.0</v>
      </c>
      <c r="BH196" s="41" t="str">
        <f t="shared" si="466"/>
        <v>S</v>
      </c>
      <c r="BI196" s="41"/>
    </row>
    <row r="197">
      <c r="A197" s="51" t="s">
        <v>819</v>
      </c>
      <c r="B197" s="51" t="s">
        <v>444</v>
      </c>
      <c r="C197" s="51" t="s">
        <v>1411</v>
      </c>
      <c r="D197" s="18" t="s">
        <v>827</v>
      </c>
      <c r="E197" s="18" t="s">
        <v>572</v>
      </c>
      <c r="F197" s="18" t="s">
        <v>192</v>
      </c>
      <c r="G197" s="20" t="s">
        <v>1412</v>
      </c>
      <c r="H197" s="59" t="s">
        <v>785</v>
      </c>
      <c r="I197" s="26">
        <v>6.0</v>
      </c>
      <c r="J197" s="26" t="str">
        <f t="shared" si="445"/>
        <v>R</v>
      </c>
      <c r="K197" s="26">
        <v>6.0</v>
      </c>
      <c r="L197" s="26" t="str">
        <f t="shared" si="446"/>
        <v>R</v>
      </c>
      <c r="M197" s="26">
        <v>6.0</v>
      </c>
      <c r="N197" s="26" t="str">
        <f t="shared" si="447"/>
        <v>R</v>
      </c>
      <c r="O197" s="32" t="s">
        <v>357</v>
      </c>
      <c r="P197" s="32" t="s">
        <v>357</v>
      </c>
      <c r="Q197" s="26">
        <v>15.0</v>
      </c>
      <c r="R197" s="26" t="str">
        <f t="shared" si="448"/>
        <v>R</v>
      </c>
      <c r="S197" s="26">
        <v>22.0</v>
      </c>
      <c r="T197" s="26" t="str">
        <f t="shared" si="449"/>
        <v>S</v>
      </c>
      <c r="U197" s="26">
        <v>26.0</v>
      </c>
      <c r="V197" s="26" t="str">
        <f t="shared" si="450"/>
        <v>S</v>
      </c>
      <c r="W197" s="32" t="s">
        <v>299</v>
      </c>
      <c r="X197" s="33">
        <v>25.0</v>
      </c>
      <c r="Y197" s="33" t="str">
        <f t="shared" si="451"/>
        <v>S</v>
      </c>
      <c r="Z197" s="33">
        <v>6.0</v>
      </c>
      <c r="AA197" s="33" t="str">
        <f t="shared" si="452"/>
        <v>R</v>
      </c>
      <c r="AB197" s="33">
        <v>27.0</v>
      </c>
      <c r="AC197" s="33" t="str">
        <f t="shared" si="453"/>
        <v>S</v>
      </c>
      <c r="AD197" s="33">
        <v>26.0</v>
      </c>
      <c r="AE197" s="33" t="str">
        <f t="shared" si="454"/>
        <v>S</v>
      </c>
      <c r="AF197" s="33">
        <v>33.0</v>
      </c>
      <c r="AG197" s="33" t="str">
        <f t="shared" si="455"/>
        <v>S</v>
      </c>
      <c r="AH197" s="33" t="s">
        <v>299</v>
      </c>
      <c r="AI197" s="36">
        <v>22.0</v>
      </c>
      <c r="AJ197" s="36" t="str">
        <f t="shared" si="456"/>
        <v>I</v>
      </c>
      <c r="AK197" s="36">
        <v>22.0</v>
      </c>
      <c r="AL197" s="36" t="str">
        <f t="shared" si="457"/>
        <v>I</v>
      </c>
      <c r="AM197" s="36">
        <v>18.0</v>
      </c>
      <c r="AN197" s="36" t="str">
        <f t="shared" si="458"/>
        <v>S</v>
      </c>
      <c r="AO197" s="36" t="s">
        <v>300</v>
      </c>
      <c r="AP197" s="37">
        <v>6.0</v>
      </c>
      <c r="AQ197" s="37" t="str">
        <f t="shared" si="459"/>
        <v>R</v>
      </c>
      <c r="AR197" s="33">
        <v>21.0</v>
      </c>
      <c r="AS197" s="33" t="str">
        <f t="shared" si="460"/>
        <v>S</v>
      </c>
      <c r="AT197" s="33">
        <v>18.0</v>
      </c>
      <c r="AU197" s="33" t="str">
        <f t="shared" si="461"/>
        <v>S</v>
      </c>
      <c r="AV197" s="33" t="s">
        <v>300</v>
      </c>
      <c r="AW197" s="26">
        <v>6.0</v>
      </c>
      <c r="AX197" s="26" t="str">
        <f t="shared" si="462"/>
        <v>R</v>
      </c>
      <c r="AY197" s="37">
        <v>32.0</v>
      </c>
      <c r="AZ197" s="37" t="str">
        <f t="shared" si="463"/>
        <v>S</v>
      </c>
      <c r="BA197" s="36">
        <v>26.0</v>
      </c>
      <c r="BB197" s="36" t="str">
        <f t="shared" si="464"/>
        <v>S</v>
      </c>
      <c r="BC197" s="39" t="s">
        <v>357</v>
      </c>
      <c r="BD197" s="39" t="s">
        <v>357</v>
      </c>
      <c r="BE197" s="36">
        <v>27.0</v>
      </c>
      <c r="BF197" s="36" t="str">
        <f t="shared" si="465"/>
        <v>S</v>
      </c>
      <c r="BG197" s="40">
        <v>19.0</v>
      </c>
      <c r="BH197" s="41" t="str">
        <f t="shared" si="466"/>
        <v>S</v>
      </c>
      <c r="BI197" s="41"/>
    </row>
    <row r="198">
      <c r="A198" s="51" t="s">
        <v>819</v>
      </c>
      <c r="B198" s="53">
        <v>117.0</v>
      </c>
      <c r="C198" s="51" t="s">
        <v>1413</v>
      </c>
      <c r="D198" s="18" t="s">
        <v>705</v>
      </c>
      <c r="E198" s="18" t="s">
        <v>572</v>
      </c>
      <c r="F198" s="18" t="s">
        <v>192</v>
      </c>
      <c r="G198" s="20" t="s">
        <v>1414</v>
      </c>
      <c r="H198" s="47" t="s">
        <v>1415</v>
      </c>
      <c r="I198" s="26">
        <v>6.0</v>
      </c>
      <c r="J198" s="26" t="str">
        <f t="shared" si="445"/>
        <v>R</v>
      </c>
      <c r="K198" s="26">
        <v>23.0</v>
      </c>
      <c r="L198" s="26" t="str">
        <f t="shared" si="446"/>
        <v>S</v>
      </c>
      <c r="M198" s="26">
        <v>6.0</v>
      </c>
      <c r="N198" s="26" t="str">
        <f t="shared" si="447"/>
        <v>R</v>
      </c>
      <c r="O198" s="32" t="s">
        <v>357</v>
      </c>
      <c r="P198" s="32" t="s">
        <v>357</v>
      </c>
      <c r="Q198" s="26">
        <v>15.0</v>
      </c>
      <c r="R198" s="26" t="str">
        <f t="shared" si="448"/>
        <v>R</v>
      </c>
      <c r="S198" s="26">
        <v>27.0</v>
      </c>
      <c r="T198" s="26" t="str">
        <f t="shared" si="449"/>
        <v>S</v>
      </c>
      <c r="U198" s="26">
        <v>30.0</v>
      </c>
      <c r="V198" s="26" t="str">
        <f t="shared" si="450"/>
        <v>S</v>
      </c>
      <c r="W198" s="32" t="s">
        <v>299</v>
      </c>
      <c r="X198" s="33">
        <v>11.0</v>
      </c>
      <c r="Y198" s="33" t="str">
        <f t="shared" si="451"/>
        <v>R</v>
      </c>
      <c r="Z198" s="33">
        <v>35.0</v>
      </c>
      <c r="AA198" s="33" t="str">
        <f t="shared" si="452"/>
        <v>S</v>
      </c>
      <c r="AB198" s="33">
        <v>22.0</v>
      </c>
      <c r="AC198" s="33" t="str">
        <f t="shared" si="453"/>
        <v>S</v>
      </c>
      <c r="AD198" s="33">
        <v>30.0</v>
      </c>
      <c r="AE198" s="33" t="str">
        <f t="shared" si="454"/>
        <v>S</v>
      </c>
      <c r="AF198" s="33">
        <v>28.0</v>
      </c>
      <c r="AG198" s="33" t="str">
        <f t="shared" si="455"/>
        <v>S</v>
      </c>
      <c r="AH198" s="33" t="s">
        <v>299</v>
      </c>
      <c r="AI198" s="36">
        <v>16.0</v>
      </c>
      <c r="AJ198" s="36" t="str">
        <f t="shared" si="456"/>
        <v>R</v>
      </c>
      <c r="AK198" s="36">
        <v>12.0</v>
      </c>
      <c r="AL198" s="36" t="str">
        <f t="shared" si="457"/>
        <v>R</v>
      </c>
      <c r="AM198" s="36">
        <v>6.0</v>
      </c>
      <c r="AN198" s="36" t="str">
        <f t="shared" si="458"/>
        <v>R</v>
      </c>
      <c r="AO198" s="36" t="s">
        <v>299</v>
      </c>
      <c r="AP198" s="37">
        <v>6.0</v>
      </c>
      <c r="AQ198" s="37" t="str">
        <f t="shared" si="459"/>
        <v>R</v>
      </c>
      <c r="AR198" s="33">
        <v>25.0</v>
      </c>
      <c r="AS198" s="33" t="str">
        <f t="shared" si="460"/>
        <v>S</v>
      </c>
      <c r="AT198" s="33">
        <v>22.0</v>
      </c>
      <c r="AU198" s="33" t="str">
        <f t="shared" si="461"/>
        <v>S</v>
      </c>
      <c r="AV198" s="33" t="s">
        <v>300</v>
      </c>
      <c r="AW198" s="26">
        <v>10.0</v>
      </c>
      <c r="AX198" s="26" t="str">
        <f t="shared" si="462"/>
        <v>R</v>
      </c>
      <c r="AY198" s="37">
        <v>30.0</v>
      </c>
      <c r="AZ198" s="37" t="str">
        <f t="shared" si="463"/>
        <v>S</v>
      </c>
      <c r="BA198" s="36">
        <v>30.0</v>
      </c>
      <c r="BB198" s="36" t="str">
        <f t="shared" si="464"/>
        <v>S</v>
      </c>
      <c r="BC198" s="39" t="s">
        <v>357</v>
      </c>
      <c r="BD198" s="39" t="s">
        <v>357</v>
      </c>
      <c r="BE198" s="36">
        <v>32.0</v>
      </c>
      <c r="BF198" s="36" t="str">
        <f t="shared" si="465"/>
        <v>S</v>
      </c>
      <c r="BG198" s="40">
        <v>24.0</v>
      </c>
      <c r="BH198" s="41" t="str">
        <f t="shared" si="466"/>
        <v>S</v>
      </c>
      <c r="BI198" s="41"/>
    </row>
    <row r="199">
      <c r="A199" s="51" t="s">
        <v>819</v>
      </c>
      <c r="B199" s="51" t="s">
        <v>444</v>
      </c>
      <c r="C199" s="51" t="s">
        <v>1416</v>
      </c>
      <c r="D199" s="18" t="s">
        <v>705</v>
      </c>
      <c r="E199" s="18" t="s">
        <v>572</v>
      </c>
      <c r="F199" s="18" t="s">
        <v>192</v>
      </c>
      <c r="G199" s="20" t="s">
        <v>1417</v>
      </c>
      <c r="H199" s="57" t="s">
        <v>765</v>
      </c>
      <c r="I199" s="26">
        <v>11.0</v>
      </c>
      <c r="J199" s="26" t="str">
        <f t="shared" si="445"/>
        <v>R</v>
      </c>
      <c r="K199" s="26">
        <v>25.0</v>
      </c>
      <c r="L199" s="26" t="str">
        <f t="shared" si="446"/>
        <v>S</v>
      </c>
      <c r="M199" s="26">
        <v>16.0</v>
      </c>
      <c r="N199" s="26" t="str">
        <f t="shared" si="447"/>
        <v>R</v>
      </c>
      <c r="O199" s="32" t="s">
        <v>357</v>
      </c>
      <c r="P199" s="32" t="s">
        <v>357</v>
      </c>
      <c r="Q199" s="26">
        <v>26.0</v>
      </c>
      <c r="R199" s="26" t="str">
        <f t="shared" si="448"/>
        <v>S</v>
      </c>
      <c r="S199" s="26">
        <v>26.0</v>
      </c>
      <c r="T199" s="26" t="str">
        <f t="shared" si="449"/>
        <v>S</v>
      </c>
      <c r="U199" s="26">
        <v>27.0</v>
      </c>
      <c r="V199" s="26" t="str">
        <f t="shared" si="450"/>
        <v>S</v>
      </c>
      <c r="W199" s="32" t="s">
        <v>299</v>
      </c>
      <c r="X199" s="33">
        <v>30.0</v>
      </c>
      <c r="Y199" s="33" t="str">
        <f t="shared" si="451"/>
        <v>S</v>
      </c>
      <c r="Z199" s="33">
        <v>26.0</v>
      </c>
      <c r="AA199" s="33" t="str">
        <f t="shared" si="452"/>
        <v>S</v>
      </c>
      <c r="AB199" s="33">
        <v>29.0</v>
      </c>
      <c r="AC199" s="33" t="str">
        <f t="shared" si="453"/>
        <v>S</v>
      </c>
      <c r="AD199" s="33">
        <v>28.0</v>
      </c>
      <c r="AE199" s="33" t="str">
        <f t="shared" si="454"/>
        <v>S</v>
      </c>
      <c r="AF199" s="33">
        <v>35.0</v>
      </c>
      <c r="AG199" s="33" t="str">
        <f t="shared" si="455"/>
        <v>S</v>
      </c>
      <c r="AH199" s="33" t="s">
        <v>300</v>
      </c>
      <c r="AI199" s="36">
        <v>29.0</v>
      </c>
      <c r="AJ199" s="36" t="str">
        <f t="shared" si="456"/>
        <v>S</v>
      </c>
      <c r="AK199" s="36">
        <v>29.0</v>
      </c>
      <c r="AL199" s="36" t="str">
        <f t="shared" si="457"/>
        <v>S</v>
      </c>
      <c r="AM199" s="36">
        <v>24.0</v>
      </c>
      <c r="AN199" s="36" t="str">
        <f t="shared" si="458"/>
        <v>S</v>
      </c>
      <c r="AO199" s="36" t="s">
        <v>300</v>
      </c>
      <c r="AP199" s="37">
        <v>28.0</v>
      </c>
      <c r="AQ199" s="37" t="str">
        <f t="shared" si="459"/>
        <v>S</v>
      </c>
      <c r="AR199" s="33">
        <v>20.0</v>
      </c>
      <c r="AS199" s="33" t="str">
        <f t="shared" si="460"/>
        <v>S</v>
      </c>
      <c r="AT199" s="33">
        <v>20.0</v>
      </c>
      <c r="AU199" s="33" t="str">
        <f t="shared" si="461"/>
        <v>S</v>
      </c>
      <c r="AV199" s="33" t="s">
        <v>300</v>
      </c>
      <c r="AW199" s="26">
        <v>27.0</v>
      </c>
      <c r="AX199" s="26" t="str">
        <f t="shared" si="462"/>
        <v>S</v>
      </c>
      <c r="AY199" s="37">
        <v>34.0</v>
      </c>
      <c r="AZ199" s="37" t="str">
        <f t="shared" si="463"/>
        <v>S</v>
      </c>
      <c r="BA199" s="36">
        <v>29.0</v>
      </c>
      <c r="BB199" s="36" t="str">
        <f t="shared" si="464"/>
        <v>S</v>
      </c>
      <c r="BC199" s="39" t="s">
        <v>357</v>
      </c>
      <c r="BD199" s="39" t="s">
        <v>357</v>
      </c>
      <c r="BE199" s="36">
        <v>30.0</v>
      </c>
      <c r="BF199" s="36" t="str">
        <f t="shared" si="465"/>
        <v>S</v>
      </c>
      <c r="BG199" s="40">
        <v>20.0</v>
      </c>
      <c r="BH199" s="41" t="str">
        <f t="shared" si="466"/>
        <v>S</v>
      </c>
      <c r="BI199" s="41"/>
    </row>
    <row r="200">
      <c r="A200" s="21" t="s">
        <v>849</v>
      </c>
      <c r="B200" s="23">
        <v>118.0</v>
      </c>
      <c r="C200" s="21" t="s">
        <v>1418</v>
      </c>
      <c r="D200" s="18" t="s">
        <v>190</v>
      </c>
      <c r="E200" s="18" t="s">
        <v>190</v>
      </c>
      <c r="F200" s="18" t="s">
        <v>192</v>
      </c>
      <c r="G200" s="20" t="s">
        <v>1419</v>
      </c>
      <c r="H200" s="22" t="s">
        <v>198</v>
      </c>
      <c r="I200" s="26">
        <v>6.0</v>
      </c>
      <c r="J200" s="26" t="str">
        <f t="shared" si="445"/>
        <v>R</v>
      </c>
      <c r="K200" s="26">
        <v>20.0</v>
      </c>
      <c r="L200" s="26" t="str">
        <f t="shared" si="446"/>
        <v>S</v>
      </c>
      <c r="M200" s="26">
        <v>6.0</v>
      </c>
      <c r="N200" s="26" t="str">
        <f t="shared" si="447"/>
        <v>R</v>
      </c>
      <c r="O200" s="32" t="s">
        <v>357</v>
      </c>
      <c r="P200" s="32" t="s">
        <v>357</v>
      </c>
      <c r="Q200" s="26">
        <v>14.0</v>
      </c>
      <c r="R200" s="26" t="str">
        <f t="shared" si="448"/>
        <v>R</v>
      </c>
      <c r="S200" s="26">
        <v>29.0</v>
      </c>
      <c r="T200" s="26" t="str">
        <f t="shared" si="449"/>
        <v>S</v>
      </c>
      <c r="U200" s="26">
        <v>27.0</v>
      </c>
      <c r="V200" s="26" t="str">
        <f t="shared" si="450"/>
        <v>S</v>
      </c>
      <c r="W200" s="32" t="s">
        <v>299</v>
      </c>
      <c r="X200" s="33">
        <v>9.0</v>
      </c>
      <c r="Y200" s="33" t="str">
        <f t="shared" si="451"/>
        <v>R</v>
      </c>
      <c r="Z200" s="33">
        <v>29.0</v>
      </c>
      <c r="AA200" s="33" t="str">
        <f t="shared" si="452"/>
        <v>S</v>
      </c>
      <c r="AB200" s="33">
        <v>21.0</v>
      </c>
      <c r="AC200" s="33" t="str">
        <f t="shared" si="453"/>
        <v>I</v>
      </c>
      <c r="AD200" s="33">
        <v>28.0</v>
      </c>
      <c r="AE200" s="33" t="str">
        <f t="shared" si="454"/>
        <v>S</v>
      </c>
      <c r="AF200" s="33">
        <v>25.0</v>
      </c>
      <c r="AG200" s="33" t="str">
        <f t="shared" si="455"/>
        <v>I</v>
      </c>
      <c r="AH200" s="33" t="s">
        <v>299</v>
      </c>
      <c r="AI200" s="36">
        <v>6.0</v>
      </c>
      <c r="AJ200" s="36" t="str">
        <f t="shared" si="456"/>
        <v>R</v>
      </c>
      <c r="AK200" s="36">
        <v>9.0</v>
      </c>
      <c r="AL200" s="36" t="str">
        <f t="shared" si="457"/>
        <v>R</v>
      </c>
      <c r="AM200" s="36">
        <v>6.0</v>
      </c>
      <c r="AN200" s="36" t="str">
        <f t="shared" si="458"/>
        <v>R</v>
      </c>
      <c r="AO200" s="36" t="s">
        <v>299</v>
      </c>
      <c r="AP200" s="37">
        <v>6.0</v>
      </c>
      <c r="AQ200" s="37" t="str">
        <f t="shared" si="459"/>
        <v>R</v>
      </c>
      <c r="AR200" s="33">
        <v>21.0</v>
      </c>
      <c r="AS200" s="33" t="str">
        <f t="shared" si="460"/>
        <v>S</v>
      </c>
      <c r="AT200" s="33">
        <v>18.0</v>
      </c>
      <c r="AU200" s="33" t="str">
        <f t="shared" si="461"/>
        <v>S</v>
      </c>
      <c r="AV200" s="33" t="s">
        <v>300</v>
      </c>
      <c r="AW200" s="26">
        <v>6.0</v>
      </c>
      <c r="AX200" s="26" t="str">
        <f t="shared" si="462"/>
        <v>R</v>
      </c>
      <c r="AY200" s="37">
        <v>22.0</v>
      </c>
      <c r="AZ200" s="37" t="str">
        <f t="shared" si="463"/>
        <v>I</v>
      </c>
      <c r="BA200" s="36">
        <v>30.0</v>
      </c>
      <c r="BB200" s="36" t="str">
        <f t="shared" si="464"/>
        <v>S</v>
      </c>
      <c r="BC200" s="39" t="s">
        <v>357</v>
      </c>
      <c r="BD200" s="39" t="s">
        <v>357</v>
      </c>
      <c r="BE200" s="36">
        <v>33.0</v>
      </c>
      <c r="BF200" s="36" t="str">
        <f t="shared" si="465"/>
        <v>S</v>
      </c>
      <c r="BG200" s="40">
        <v>20.0</v>
      </c>
      <c r="BH200" s="41" t="str">
        <f t="shared" si="466"/>
        <v>S</v>
      </c>
      <c r="BI200" s="41"/>
    </row>
    <row r="201">
      <c r="A201" s="21" t="s">
        <v>849</v>
      </c>
      <c r="B201" s="23">
        <v>119.0</v>
      </c>
      <c r="C201" s="21" t="s">
        <v>1420</v>
      </c>
      <c r="D201" s="18" t="s">
        <v>571</v>
      </c>
      <c r="E201" s="18" t="s">
        <v>572</v>
      </c>
      <c r="F201" s="18" t="s">
        <v>573</v>
      </c>
      <c r="G201" s="20" t="s">
        <v>357</v>
      </c>
      <c r="H201" s="47" t="s">
        <v>357</v>
      </c>
      <c r="I201" s="32" t="s">
        <v>357</v>
      </c>
      <c r="J201" s="32" t="s">
        <v>357</v>
      </c>
      <c r="K201" s="32" t="s">
        <v>357</v>
      </c>
      <c r="L201" s="32" t="s">
        <v>357</v>
      </c>
      <c r="M201" s="32" t="s">
        <v>357</v>
      </c>
      <c r="N201" s="32" t="s">
        <v>357</v>
      </c>
      <c r="O201" s="32" t="s">
        <v>357</v>
      </c>
      <c r="P201" s="32" t="s">
        <v>357</v>
      </c>
      <c r="Q201" s="32" t="s">
        <v>357</v>
      </c>
      <c r="R201" s="32" t="s">
        <v>357</v>
      </c>
      <c r="S201" s="32" t="s">
        <v>357</v>
      </c>
      <c r="T201" s="32" t="s">
        <v>357</v>
      </c>
      <c r="U201" s="32" t="s">
        <v>357</v>
      </c>
      <c r="V201" s="32" t="s">
        <v>357</v>
      </c>
      <c r="W201" s="32" t="s">
        <v>357</v>
      </c>
      <c r="X201" s="49" t="s">
        <v>357</v>
      </c>
      <c r="Y201" s="49" t="s">
        <v>357</v>
      </c>
      <c r="Z201" s="49" t="s">
        <v>357</v>
      </c>
      <c r="AA201" s="49" t="s">
        <v>357</v>
      </c>
      <c r="AB201" s="49" t="s">
        <v>357</v>
      </c>
      <c r="AC201" s="49" t="s">
        <v>357</v>
      </c>
      <c r="AD201" s="49" t="s">
        <v>357</v>
      </c>
      <c r="AE201" s="49" t="s">
        <v>357</v>
      </c>
      <c r="AF201" s="49" t="s">
        <v>357</v>
      </c>
      <c r="AG201" s="49" t="s">
        <v>357</v>
      </c>
      <c r="AH201" s="49" t="s">
        <v>357</v>
      </c>
      <c r="AI201" s="39" t="s">
        <v>357</v>
      </c>
      <c r="AJ201" s="39" t="s">
        <v>357</v>
      </c>
      <c r="AK201" s="39" t="s">
        <v>357</v>
      </c>
      <c r="AL201" s="39" t="s">
        <v>357</v>
      </c>
      <c r="AM201" s="39" t="s">
        <v>357</v>
      </c>
      <c r="AN201" s="39" t="s">
        <v>357</v>
      </c>
      <c r="AO201" s="39" t="s">
        <v>357</v>
      </c>
      <c r="AP201" s="50" t="s">
        <v>357</v>
      </c>
      <c r="AQ201" s="50" t="s">
        <v>357</v>
      </c>
      <c r="AR201" s="49" t="s">
        <v>357</v>
      </c>
      <c r="AS201" s="49" t="s">
        <v>357</v>
      </c>
      <c r="AT201" s="49" t="s">
        <v>357</v>
      </c>
      <c r="AU201" s="49" t="s">
        <v>357</v>
      </c>
      <c r="AV201" s="49" t="s">
        <v>357</v>
      </c>
      <c r="AW201" s="32" t="s">
        <v>357</v>
      </c>
      <c r="AX201" s="32" t="s">
        <v>357</v>
      </c>
      <c r="AY201" s="50" t="s">
        <v>357</v>
      </c>
      <c r="AZ201" s="50" t="s">
        <v>357</v>
      </c>
      <c r="BA201" s="39" t="s">
        <v>357</v>
      </c>
      <c r="BB201" s="39" t="s">
        <v>357</v>
      </c>
      <c r="BC201" s="39" t="s">
        <v>357</v>
      </c>
      <c r="BD201" s="39" t="s">
        <v>357</v>
      </c>
      <c r="BE201" s="39" t="s">
        <v>357</v>
      </c>
      <c r="BF201" s="39" t="s">
        <v>357</v>
      </c>
      <c r="BG201" s="41" t="s">
        <v>357</v>
      </c>
      <c r="BH201" s="41" t="s">
        <v>357</v>
      </c>
      <c r="BI201" s="41"/>
    </row>
    <row r="202">
      <c r="A202" s="21" t="s">
        <v>849</v>
      </c>
      <c r="B202" s="23">
        <v>120.0</v>
      </c>
      <c r="C202" s="21" t="s">
        <v>1421</v>
      </c>
      <c r="D202" s="18" t="s">
        <v>705</v>
      </c>
      <c r="E202" s="18" t="s">
        <v>572</v>
      </c>
      <c r="F202" s="18" t="s">
        <v>573</v>
      </c>
      <c r="G202" s="20" t="s">
        <v>357</v>
      </c>
      <c r="H202" s="47" t="s">
        <v>357</v>
      </c>
      <c r="I202" s="32" t="s">
        <v>357</v>
      </c>
      <c r="J202" s="32" t="s">
        <v>357</v>
      </c>
      <c r="K202" s="32" t="s">
        <v>357</v>
      </c>
      <c r="L202" s="32" t="s">
        <v>357</v>
      </c>
      <c r="M202" s="32" t="s">
        <v>357</v>
      </c>
      <c r="N202" s="32" t="s">
        <v>357</v>
      </c>
      <c r="O202" s="32" t="s">
        <v>357</v>
      </c>
      <c r="P202" s="32" t="s">
        <v>357</v>
      </c>
      <c r="Q202" s="32" t="s">
        <v>357</v>
      </c>
      <c r="R202" s="32" t="s">
        <v>357</v>
      </c>
      <c r="S202" s="32" t="s">
        <v>357</v>
      </c>
      <c r="T202" s="32" t="s">
        <v>357</v>
      </c>
      <c r="U202" s="32" t="s">
        <v>357</v>
      </c>
      <c r="V202" s="32" t="s">
        <v>357</v>
      </c>
      <c r="W202" s="32" t="s">
        <v>357</v>
      </c>
      <c r="X202" s="49" t="s">
        <v>357</v>
      </c>
      <c r="Y202" s="49" t="s">
        <v>357</v>
      </c>
      <c r="Z202" s="49" t="s">
        <v>357</v>
      </c>
      <c r="AA202" s="49" t="s">
        <v>357</v>
      </c>
      <c r="AB202" s="49" t="s">
        <v>357</v>
      </c>
      <c r="AC202" s="49" t="s">
        <v>357</v>
      </c>
      <c r="AD202" s="49" t="s">
        <v>357</v>
      </c>
      <c r="AE202" s="49" t="s">
        <v>357</v>
      </c>
      <c r="AF202" s="49" t="s">
        <v>357</v>
      </c>
      <c r="AG202" s="49" t="s">
        <v>357</v>
      </c>
      <c r="AH202" s="49" t="s">
        <v>357</v>
      </c>
      <c r="AI202" s="39" t="s">
        <v>357</v>
      </c>
      <c r="AJ202" s="39" t="s">
        <v>357</v>
      </c>
      <c r="AK202" s="39" t="s">
        <v>357</v>
      </c>
      <c r="AL202" s="39" t="s">
        <v>357</v>
      </c>
      <c r="AM202" s="39" t="s">
        <v>357</v>
      </c>
      <c r="AN202" s="39" t="s">
        <v>357</v>
      </c>
      <c r="AO202" s="39" t="s">
        <v>357</v>
      </c>
      <c r="AP202" s="50" t="s">
        <v>357</v>
      </c>
      <c r="AQ202" s="50" t="s">
        <v>357</v>
      </c>
      <c r="AR202" s="49" t="s">
        <v>357</v>
      </c>
      <c r="AS202" s="49" t="s">
        <v>357</v>
      </c>
      <c r="AT202" s="49" t="s">
        <v>357</v>
      </c>
      <c r="AU202" s="49" t="s">
        <v>357</v>
      </c>
      <c r="AV202" s="49" t="s">
        <v>357</v>
      </c>
      <c r="AW202" s="32" t="s">
        <v>357</v>
      </c>
      <c r="AX202" s="32" t="s">
        <v>357</v>
      </c>
      <c r="AY202" s="50" t="s">
        <v>357</v>
      </c>
      <c r="AZ202" s="50" t="s">
        <v>357</v>
      </c>
      <c r="BA202" s="39" t="s">
        <v>357</v>
      </c>
      <c r="BB202" s="39" t="s">
        <v>357</v>
      </c>
      <c r="BC202" s="39" t="s">
        <v>357</v>
      </c>
      <c r="BD202" s="39" t="s">
        <v>357</v>
      </c>
      <c r="BE202" s="39" t="s">
        <v>357</v>
      </c>
      <c r="BF202" s="39" t="s">
        <v>357</v>
      </c>
      <c r="BG202" s="41" t="s">
        <v>357</v>
      </c>
      <c r="BH202" s="41" t="s">
        <v>357</v>
      </c>
      <c r="BI202" s="41"/>
    </row>
    <row r="203">
      <c r="A203" s="21" t="s">
        <v>849</v>
      </c>
      <c r="B203" s="23">
        <v>121.0</v>
      </c>
      <c r="C203" s="21" t="s">
        <v>1422</v>
      </c>
      <c r="D203" s="18" t="s">
        <v>708</v>
      </c>
      <c r="E203" s="18" t="s">
        <v>103</v>
      </c>
      <c r="F203" s="18" t="s">
        <v>192</v>
      </c>
      <c r="G203" s="20" t="s">
        <v>1423</v>
      </c>
      <c r="H203" s="22" t="s">
        <v>198</v>
      </c>
      <c r="I203" s="26">
        <v>6.0</v>
      </c>
      <c r="J203" s="26" t="str">
        <f t="shared" ref="J203:J208" si="467">IF((I203&gt;=19),"S",IF(AND(I203&lt;19),"R", "NA"))</f>
        <v>R</v>
      </c>
      <c r="K203" s="26">
        <v>23.0</v>
      </c>
      <c r="L203" s="26" t="str">
        <f t="shared" ref="L203:L208" si="468">IF((K203&gt;=19),"S",IF(AND(K203&lt;19),"R", "NA"))</f>
        <v>S</v>
      </c>
      <c r="M203" s="26">
        <v>6.0</v>
      </c>
      <c r="N203" s="26" t="str">
        <f t="shared" ref="N203:N208" si="469">IF((M203&gt;=23),"S",IF(AND(M203&lt;23),"R","NA"))</f>
        <v>R</v>
      </c>
      <c r="O203" s="32" t="s">
        <v>357</v>
      </c>
      <c r="P203" s="32" t="s">
        <v>357</v>
      </c>
      <c r="Q203" s="26">
        <v>13.0</v>
      </c>
      <c r="R203" s="26" t="str">
        <f t="shared" ref="R203:R208" si="470">IF((Q203&gt;=20),"S",IF(AND(Q203&lt;20),"R", "NA"))</f>
        <v>R</v>
      </c>
      <c r="S203" s="26">
        <v>27.0</v>
      </c>
      <c r="T203" s="26" t="str">
        <f t="shared" ref="T203:T208" si="471">IF((S203&gt;=20),"S",IF(AND(S203&lt;20),"R", "NA"))</f>
        <v>S</v>
      </c>
      <c r="U203" s="26">
        <v>26.0</v>
      </c>
      <c r="V203" s="26" t="str">
        <f t="shared" ref="V203:V208" si="472">IF((U203&gt;=20),"S",IF(AND(U203&lt;20,U203&gt;=17),"I",IF(AND(U203&lt;17),"R","NA")))</f>
        <v>S</v>
      </c>
      <c r="W203" s="32" t="s">
        <v>299</v>
      </c>
      <c r="X203" s="33">
        <v>8.0</v>
      </c>
      <c r="Y203" s="33" t="str">
        <f t="shared" ref="Y203:Y208" si="473">IF((X203&gt;=20),"S",IF(AND(X203&lt;20,X203&gt;=17),"I",IF(AND(X203&lt;17),"R","NA")))</f>
        <v>R</v>
      </c>
      <c r="Z203" s="33">
        <v>29.0</v>
      </c>
      <c r="AA203" s="33" t="str">
        <f t="shared" ref="AA203:AA208" si="474">IF((Z203&gt;=18),"S",IF(AND(Z203&lt;18),"R", "NA"))</f>
        <v>S</v>
      </c>
      <c r="AB203" s="33">
        <v>20.0</v>
      </c>
      <c r="AC203" s="33" t="str">
        <f t="shared" ref="AC203:AC208" si="475">IF((AB203&gt;=22),"S",IF(AND(AB203&lt;22,AB203&gt;=19),"I",IF(AND(AB203&lt;19),"R","NA")))</f>
        <v>I</v>
      </c>
      <c r="AD203" s="33">
        <v>28.0</v>
      </c>
      <c r="AE203" s="33" t="str">
        <f t="shared" ref="AE203:AE208" si="476">IF((AD203&gt;=13),"S",IF(AND(AD203&lt;13),"R", "NA"))</f>
        <v>S</v>
      </c>
      <c r="AF203" s="33">
        <v>23.0</v>
      </c>
      <c r="AG203" s="33" t="str">
        <f t="shared" ref="AG203:AG208" si="477">IF((AF203&gt;=27),"S",IF(AND(AF203&lt;27,AF203&gt;=24),"I",IF(AND(AF203&lt;24),"R","NA")))</f>
        <v>R</v>
      </c>
      <c r="AH203" s="33" t="s">
        <v>299</v>
      </c>
      <c r="AI203" s="36">
        <v>29.0</v>
      </c>
      <c r="AJ203" s="36" t="str">
        <f t="shared" ref="AJ203:AJ208" si="478">IF((AI203&gt;=25),"S",IF(AND(AI203&lt;25,AI203&gt;=22),"I",IF(AND(AI203&lt;22),"R","NA")))</f>
        <v>S</v>
      </c>
      <c r="AK203" s="36">
        <v>27.0</v>
      </c>
      <c r="AL203" s="36" t="str">
        <f t="shared" ref="AL203:AL208" si="479">IF((AK203&gt;=23),"S",IF(AND(AK203&lt;23,AK203&gt;=19),"I",IF(AND(AK203&lt;19),"R","NA")))</f>
        <v>S</v>
      </c>
      <c r="AM203" s="36">
        <v>22.0</v>
      </c>
      <c r="AN203" s="36" t="str">
        <f t="shared" ref="AN203:AN208" si="480">IF((AM203&gt;=14),"S",IF(AND(AM203&lt;14),"R","NA"))</f>
        <v>S</v>
      </c>
      <c r="AO203" s="36" t="s">
        <v>300</v>
      </c>
      <c r="AP203" s="37">
        <v>27.0</v>
      </c>
      <c r="AQ203" s="37" t="str">
        <f t="shared" ref="AQ203:AQ208" si="481">IF((AP203&gt;=14),"S",IF(AND(AP203&lt;14,AP203&gt;=11),"I",IF(AND(AP203&lt;11),"R","NA")))</f>
        <v>S</v>
      </c>
      <c r="AR203" s="33">
        <v>23.0</v>
      </c>
      <c r="AS203" s="33" t="str">
        <f t="shared" ref="AS203:AS208" si="482">IF((AR203&gt;=18),"S",IF(AND(AR203&lt;18),"R", "NA"))</f>
        <v>S</v>
      </c>
      <c r="AT203" s="33">
        <v>20.0</v>
      </c>
      <c r="AU203" s="33" t="str">
        <f t="shared" ref="AU203:AU208" si="483">IF((AT203&gt;=16),"S",IF(AND(AT203&lt;16),"R", "NA"))</f>
        <v>S</v>
      </c>
      <c r="AV203" s="33" t="s">
        <v>300</v>
      </c>
      <c r="AW203" s="26">
        <v>26.0</v>
      </c>
      <c r="AX203" s="26" t="str">
        <f t="shared" ref="AX203:AX208" si="484">IF((AW203&gt;=20),"S",IF(AND(AW203&lt;20),"R", "NA"))</f>
        <v>S</v>
      </c>
      <c r="AY203" s="37">
        <v>20.0</v>
      </c>
      <c r="AZ203" s="37" t="str">
        <f t="shared" ref="AZ203:AZ208" si="485">IF((AY203&gt;=26),"S",IF(AND(AY203&lt;26,AY203&gt;=21),"I",IF(AND(AY203&lt;21),"R","NA")))</f>
        <v>R</v>
      </c>
      <c r="BA203" s="36">
        <v>28.0</v>
      </c>
      <c r="BB203" s="36" t="str">
        <f t="shared" ref="BB203:BB208" si="486">IF((BA203&gt;=23),"S",IF(AND(BA203&lt;23),"R","NA"))</f>
        <v>S</v>
      </c>
      <c r="BC203" s="39" t="s">
        <v>357</v>
      </c>
      <c r="BD203" s="39" t="s">
        <v>357</v>
      </c>
      <c r="BE203" s="36">
        <v>30.0</v>
      </c>
      <c r="BF203" s="36" t="str">
        <f t="shared" ref="BF203:BF208" si="487">IF((BE203&gt;=22),"S",IF(AND(BE203&lt;22,BE203&gt;=19),"I",IF(AND(BE203&lt;19),"R","NA")))</f>
        <v>S</v>
      </c>
      <c r="BG203" s="40">
        <v>20.0</v>
      </c>
      <c r="BH203" s="41" t="str">
        <f t="shared" ref="BH203:BH208" si="488">IF((BG203&gt;=17),"S",IF(AND(BG203&lt;17),"R", "NA"))</f>
        <v>S</v>
      </c>
      <c r="BI203" s="41"/>
    </row>
    <row r="204">
      <c r="A204" s="21" t="s">
        <v>849</v>
      </c>
      <c r="B204" s="21" t="s">
        <v>444</v>
      </c>
      <c r="C204" s="21" t="s">
        <v>1424</v>
      </c>
      <c r="D204" s="18" t="s">
        <v>708</v>
      </c>
      <c r="E204" s="18" t="s">
        <v>103</v>
      </c>
      <c r="F204" s="18" t="s">
        <v>192</v>
      </c>
      <c r="G204" s="20" t="s">
        <v>1425</v>
      </c>
      <c r="H204" s="22" t="s">
        <v>198</v>
      </c>
      <c r="I204" s="26">
        <v>6.0</v>
      </c>
      <c r="J204" s="26" t="str">
        <f t="shared" si="467"/>
        <v>R</v>
      </c>
      <c r="K204" s="26">
        <v>25.0</v>
      </c>
      <c r="L204" s="26" t="str">
        <f t="shared" si="468"/>
        <v>S</v>
      </c>
      <c r="M204" s="26">
        <v>6.0</v>
      </c>
      <c r="N204" s="26" t="str">
        <f t="shared" si="469"/>
        <v>R</v>
      </c>
      <c r="O204" s="32" t="s">
        <v>357</v>
      </c>
      <c r="P204" s="32" t="s">
        <v>357</v>
      </c>
      <c r="Q204" s="26">
        <v>13.0</v>
      </c>
      <c r="R204" s="26" t="str">
        <f t="shared" si="470"/>
        <v>R</v>
      </c>
      <c r="S204" s="26">
        <v>26.0</v>
      </c>
      <c r="T204" s="26" t="str">
        <f t="shared" si="471"/>
        <v>S</v>
      </c>
      <c r="U204" s="26">
        <v>25.0</v>
      </c>
      <c r="V204" s="26" t="str">
        <f t="shared" si="472"/>
        <v>S</v>
      </c>
      <c r="W204" s="32" t="s">
        <v>299</v>
      </c>
      <c r="X204" s="33">
        <v>6.0</v>
      </c>
      <c r="Y204" s="33" t="str">
        <f t="shared" si="473"/>
        <v>R</v>
      </c>
      <c r="Z204" s="33">
        <v>26.0</v>
      </c>
      <c r="AA204" s="33" t="str">
        <f t="shared" si="474"/>
        <v>S</v>
      </c>
      <c r="AB204" s="33">
        <v>19.0</v>
      </c>
      <c r="AC204" s="33" t="str">
        <f t="shared" si="475"/>
        <v>I</v>
      </c>
      <c r="AD204" s="33">
        <v>29.0</v>
      </c>
      <c r="AE204" s="33" t="str">
        <f t="shared" si="476"/>
        <v>S</v>
      </c>
      <c r="AF204" s="33">
        <v>25.0</v>
      </c>
      <c r="AG204" s="33" t="str">
        <f t="shared" si="477"/>
        <v>I</v>
      </c>
      <c r="AH204" s="33" t="s">
        <v>299</v>
      </c>
      <c r="AI204" s="36">
        <v>29.0</v>
      </c>
      <c r="AJ204" s="36" t="str">
        <f t="shared" si="478"/>
        <v>S</v>
      </c>
      <c r="AK204" s="36">
        <v>27.0</v>
      </c>
      <c r="AL204" s="36" t="str">
        <f t="shared" si="479"/>
        <v>S</v>
      </c>
      <c r="AM204" s="36">
        <v>6.0</v>
      </c>
      <c r="AN204" s="36" t="str">
        <f t="shared" si="480"/>
        <v>R</v>
      </c>
      <c r="AO204" s="36" t="s">
        <v>299</v>
      </c>
      <c r="AP204" s="37">
        <v>32.0</v>
      </c>
      <c r="AQ204" s="37" t="str">
        <f t="shared" si="481"/>
        <v>S</v>
      </c>
      <c r="AR204" s="33">
        <v>25.0</v>
      </c>
      <c r="AS204" s="33" t="str">
        <f t="shared" si="482"/>
        <v>S</v>
      </c>
      <c r="AT204" s="33">
        <v>20.0</v>
      </c>
      <c r="AU204" s="33" t="str">
        <f t="shared" si="483"/>
        <v>S</v>
      </c>
      <c r="AV204" s="33" t="s">
        <v>300</v>
      </c>
      <c r="AW204" s="26">
        <v>26.0</v>
      </c>
      <c r="AX204" s="26" t="str">
        <f t="shared" si="484"/>
        <v>S</v>
      </c>
      <c r="AY204" s="37">
        <v>21.0</v>
      </c>
      <c r="AZ204" s="37" t="str">
        <f t="shared" si="485"/>
        <v>I</v>
      </c>
      <c r="BA204" s="36">
        <v>30.0</v>
      </c>
      <c r="BB204" s="36" t="str">
        <f t="shared" si="486"/>
        <v>S</v>
      </c>
      <c r="BC204" s="39" t="s">
        <v>357</v>
      </c>
      <c r="BD204" s="39" t="s">
        <v>357</v>
      </c>
      <c r="BE204" s="36">
        <v>30.0</v>
      </c>
      <c r="BF204" s="36" t="str">
        <f t="shared" si="487"/>
        <v>S</v>
      </c>
      <c r="BG204" s="40">
        <v>23.0</v>
      </c>
      <c r="BH204" s="41" t="str">
        <f t="shared" si="488"/>
        <v>S</v>
      </c>
      <c r="BI204" s="41"/>
    </row>
    <row r="205">
      <c r="A205" s="51" t="s">
        <v>824</v>
      </c>
      <c r="B205" s="53">
        <v>122.0</v>
      </c>
      <c r="C205" s="51" t="s">
        <v>1426</v>
      </c>
      <c r="D205" s="18" t="s">
        <v>190</v>
      </c>
      <c r="E205" s="18" t="s">
        <v>190</v>
      </c>
      <c r="F205" s="18" t="s">
        <v>192</v>
      </c>
      <c r="G205" s="20" t="s">
        <v>1427</v>
      </c>
      <c r="H205" s="22" t="s">
        <v>198</v>
      </c>
      <c r="I205" s="26">
        <v>6.0</v>
      </c>
      <c r="J205" s="26" t="str">
        <f t="shared" si="467"/>
        <v>R</v>
      </c>
      <c r="K205" s="26">
        <v>22.0</v>
      </c>
      <c r="L205" s="26" t="str">
        <f t="shared" si="468"/>
        <v>S</v>
      </c>
      <c r="M205" s="26">
        <v>6.0</v>
      </c>
      <c r="N205" s="26" t="str">
        <f t="shared" si="469"/>
        <v>R</v>
      </c>
      <c r="O205" s="32" t="s">
        <v>357</v>
      </c>
      <c r="P205" s="32" t="s">
        <v>357</v>
      </c>
      <c r="Q205" s="26">
        <v>12.0</v>
      </c>
      <c r="R205" s="26" t="str">
        <f t="shared" si="470"/>
        <v>R</v>
      </c>
      <c r="S205" s="26">
        <v>26.0</v>
      </c>
      <c r="T205" s="26" t="str">
        <f t="shared" si="471"/>
        <v>S</v>
      </c>
      <c r="U205" s="26">
        <v>25.0</v>
      </c>
      <c r="V205" s="26" t="str">
        <f t="shared" si="472"/>
        <v>S</v>
      </c>
      <c r="W205" s="32" t="s">
        <v>299</v>
      </c>
      <c r="X205" s="33">
        <v>6.0</v>
      </c>
      <c r="Y205" s="33" t="str">
        <f t="shared" si="473"/>
        <v>R</v>
      </c>
      <c r="Z205" s="33">
        <v>29.0</v>
      </c>
      <c r="AA205" s="33" t="str">
        <f t="shared" si="474"/>
        <v>S</v>
      </c>
      <c r="AB205" s="33">
        <v>19.0</v>
      </c>
      <c r="AC205" s="33" t="str">
        <f t="shared" si="475"/>
        <v>I</v>
      </c>
      <c r="AD205" s="33">
        <v>26.0</v>
      </c>
      <c r="AE205" s="33" t="str">
        <f t="shared" si="476"/>
        <v>S</v>
      </c>
      <c r="AF205" s="33">
        <v>23.0</v>
      </c>
      <c r="AG205" s="33" t="str">
        <f t="shared" si="477"/>
        <v>R</v>
      </c>
      <c r="AH205" s="33" t="s">
        <v>299</v>
      </c>
      <c r="AI205" s="36">
        <v>28.0</v>
      </c>
      <c r="AJ205" s="36" t="str">
        <f t="shared" si="478"/>
        <v>S</v>
      </c>
      <c r="AK205" s="36">
        <v>25.0</v>
      </c>
      <c r="AL205" s="36" t="str">
        <f t="shared" si="479"/>
        <v>S</v>
      </c>
      <c r="AM205" s="36">
        <v>21.0</v>
      </c>
      <c r="AN205" s="36" t="str">
        <f t="shared" si="480"/>
        <v>S</v>
      </c>
      <c r="AO205" s="36" t="s">
        <v>300</v>
      </c>
      <c r="AP205" s="37">
        <v>29.0</v>
      </c>
      <c r="AQ205" s="37" t="str">
        <f t="shared" si="481"/>
        <v>S</v>
      </c>
      <c r="AR205" s="33">
        <v>23.0</v>
      </c>
      <c r="AS205" s="33" t="str">
        <f t="shared" si="482"/>
        <v>S</v>
      </c>
      <c r="AT205" s="33">
        <v>20.0</v>
      </c>
      <c r="AU205" s="33" t="str">
        <f t="shared" si="483"/>
        <v>S</v>
      </c>
      <c r="AV205" s="33" t="s">
        <v>300</v>
      </c>
      <c r="AW205" s="26">
        <v>25.0</v>
      </c>
      <c r="AX205" s="26" t="str">
        <f t="shared" si="484"/>
        <v>S</v>
      </c>
      <c r="AY205" s="37">
        <v>19.0</v>
      </c>
      <c r="AZ205" s="37" t="str">
        <f t="shared" si="485"/>
        <v>R</v>
      </c>
      <c r="BA205" s="36">
        <v>30.0</v>
      </c>
      <c r="BB205" s="36" t="str">
        <f t="shared" si="486"/>
        <v>S</v>
      </c>
      <c r="BC205" s="39" t="s">
        <v>357</v>
      </c>
      <c r="BD205" s="39" t="s">
        <v>357</v>
      </c>
      <c r="BE205" s="36">
        <v>31.0</v>
      </c>
      <c r="BF205" s="36" t="str">
        <f t="shared" si="487"/>
        <v>S</v>
      </c>
      <c r="BG205" s="40">
        <v>21.0</v>
      </c>
      <c r="BH205" s="41" t="str">
        <f t="shared" si="488"/>
        <v>S</v>
      </c>
      <c r="BI205" s="41"/>
    </row>
    <row r="206">
      <c r="A206" s="51" t="s">
        <v>824</v>
      </c>
      <c r="B206" s="51" t="s">
        <v>444</v>
      </c>
      <c r="C206" s="51" t="s">
        <v>1428</v>
      </c>
      <c r="D206" s="18" t="s">
        <v>190</v>
      </c>
      <c r="E206" s="18" t="s">
        <v>190</v>
      </c>
      <c r="F206" s="18" t="s">
        <v>192</v>
      </c>
      <c r="G206" s="20" t="s">
        <v>1429</v>
      </c>
      <c r="H206" s="22" t="s">
        <v>198</v>
      </c>
      <c r="I206" s="26">
        <v>6.0</v>
      </c>
      <c r="J206" s="26" t="str">
        <f t="shared" si="467"/>
        <v>R</v>
      </c>
      <c r="K206" s="26">
        <v>19.0</v>
      </c>
      <c r="L206" s="26" t="str">
        <f t="shared" si="468"/>
        <v>S</v>
      </c>
      <c r="M206" s="26">
        <v>6.0</v>
      </c>
      <c r="N206" s="26" t="str">
        <f t="shared" si="469"/>
        <v>R</v>
      </c>
      <c r="O206" s="32" t="s">
        <v>357</v>
      </c>
      <c r="P206" s="32" t="s">
        <v>357</v>
      </c>
      <c r="Q206" s="26">
        <v>14.0</v>
      </c>
      <c r="R206" s="26" t="str">
        <f t="shared" si="470"/>
        <v>R</v>
      </c>
      <c r="S206" s="26">
        <v>26.0</v>
      </c>
      <c r="T206" s="26" t="str">
        <f t="shared" si="471"/>
        <v>S</v>
      </c>
      <c r="U206" s="26">
        <v>23.0</v>
      </c>
      <c r="V206" s="26" t="str">
        <f t="shared" si="472"/>
        <v>S</v>
      </c>
      <c r="W206" s="32" t="s">
        <v>299</v>
      </c>
      <c r="X206" s="33">
        <v>10.0</v>
      </c>
      <c r="Y206" s="33" t="str">
        <f t="shared" si="473"/>
        <v>R</v>
      </c>
      <c r="Z206" s="33">
        <v>24.0</v>
      </c>
      <c r="AA206" s="33" t="str">
        <f t="shared" si="474"/>
        <v>S</v>
      </c>
      <c r="AB206" s="33">
        <v>22.0</v>
      </c>
      <c r="AC206" s="33" t="str">
        <f t="shared" si="475"/>
        <v>S</v>
      </c>
      <c r="AD206" s="33">
        <v>25.0</v>
      </c>
      <c r="AE206" s="33" t="str">
        <f t="shared" si="476"/>
        <v>S</v>
      </c>
      <c r="AF206" s="33">
        <v>27.0</v>
      </c>
      <c r="AG206" s="33" t="str">
        <f t="shared" si="477"/>
        <v>S</v>
      </c>
      <c r="AH206" s="33" t="s">
        <v>299</v>
      </c>
      <c r="AI206" s="36">
        <v>6.0</v>
      </c>
      <c r="AJ206" s="36" t="str">
        <f t="shared" si="478"/>
        <v>R</v>
      </c>
      <c r="AK206" s="36">
        <v>6.0</v>
      </c>
      <c r="AL206" s="36" t="str">
        <f t="shared" si="479"/>
        <v>R</v>
      </c>
      <c r="AM206" s="36">
        <v>6.0</v>
      </c>
      <c r="AN206" s="36" t="str">
        <f t="shared" si="480"/>
        <v>R</v>
      </c>
      <c r="AO206" s="36" t="s">
        <v>299</v>
      </c>
      <c r="AP206" s="37">
        <v>6.0</v>
      </c>
      <c r="AQ206" s="37" t="str">
        <f t="shared" si="481"/>
        <v>R</v>
      </c>
      <c r="AR206" s="33">
        <v>21.0</v>
      </c>
      <c r="AS206" s="33" t="str">
        <f t="shared" si="482"/>
        <v>S</v>
      </c>
      <c r="AT206" s="33">
        <v>19.0</v>
      </c>
      <c r="AU206" s="33" t="str">
        <f t="shared" si="483"/>
        <v>S</v>
      </c>
      <c r="AV206" s="33" t="s">
        <v>300</v>
      </c>
      <c r="AW206" s="26">
        <v>6.0</v>
      </c>
      <c r="AX206" s="26" t="str">
        <f t="shared" si="484"/>
        <v>R</v>
      </c>
      <c r="AY206" s="37">
        <v>23.0</v>
      </c>
      <c r="AZ206" s="37" t="str">
        <f t="shared" si="485"/>
        <v>I</v>
      </c>
      <c r="BA206" s="36">
        <v>31.0</v>
      </c>
      <c r="BB206" s="36" t="str">
        <f t="shared" si="486"/>
        <v>S</v>
      </c>
      <c r="BC206" s="39" t="s">
        <v>357</v>
      </c>
      <c r="BD206" s="39" t="s">
        <v>357</v>
      </c>
      <c r="BE206" s="36">
        <v>31.0</v>
      </c>
      <c r="BF206" s="36" t="str">
        <f t="shared" si="487"/>
        <v>S</v>
      </c>
      <c r="BG206" s="40">
        <v>20.0</v>
      </c>
      <c r="BH206" s="41" t="str">
        <f t="shared" si="488"/>
        <v>S</v>
      </c>
      <c r="BI206" s="41"/>
    </row>
    <row r="207">
      <c r="A207" s="51" t="s">
        <v>824</v>
      </c>
      <c r="B207" s="53">
        <v>123.0</v>
      </c>
      <c r="C207" s="51" t="s">
        <v>1430</v>
      </c>
      <c r="D207" s="18" t="s">
        <v>571</v>
      </c>
      <c r="E207" s="18" t="s">
        <v>572</v>
      </c>
      <c r="F207" s="18" t="s">
        <v>192</v>
      </c>
      <c r="G207" s="20" t="s">
        <v>1431</v>
      </c>
      <c r="H207" s="22" t="s">
        <v>198</v>
      </c>
      <c r="I207" s="26">
        <v>6.0</v>
      </c>
      <c r="J207" s="26" t="str">
        <f t="shared" si="467"/>
        <v>R</v>
      </c>
      <c r="K207" s="26">
        <v>22.0</v>
      </c>
      <c r="L207" s="26" t="str">
        <f t="shared" si="468"/>
        <v>S</v>
      </c>
      <c r="M207" s="26">
        <v>6.0</v>
      </c>
      <c r="N207" s="26" t="str">
        <f t="shared" si="469"/>
        <v>R</v>
      </c>
      <c r="O207" s="32" t="s">
        <v>357</v>
      </c>
      <c r="P207" s="32" t="s">
        <v>357</v>
      </c>
      <c r="Q207" s="26">
        <v>11.0</v>
      </c>
      <c r="R207" s="26" t="str">
        <f t="shared" si="470"/>
        <v>R</v>
      </c>
      <c r="S207" s="26">
        <v>27.0</v>
      </c>
      <c r="T207" s="26" t="str">
        <f t="shared" si="471"/>
        <v>S</v>
      </c>
      <c r="U207" s="26">
        <v>24.0</v>
      </c>
      <c r="V207" s="26" t="str">
        <f t="shared" si="472"/>
        <v>S</v>
      </c>
      <c r="W207" s="32" t="s">
        <v>299</v>
      </c>
      <c r="X207" s="33">
        <v>6.0</v>
      </c>
      <c r="Y207" s="33" t="str">
        <f t="shared" si="473"/>
        <v>R</v>
      </c>
      <c r="Z207" s="33">
        <v>26.0</v>
      </c>
      <c r="AA207" s="33" t="str">
        <f t="shared" si="474"/>
        <v>S</v>
      </c>
      <c r="AB207" s="33">
        <v>18.0</v>
      </c>
      <c r="AC207" s="33" t="str">
        <f t="shared" si="475"/>
        <v>R</v>
      </c>
      <c r="AD207" s="33">
        <v>26.0</v>
      </c>
      <c r="AE207" s="33" t="str">
        <f t="shared" si="476"/>
        <v>S</v>
      </c>
      <c r="AF207" s="33">
        <v>24.0</v>
      </c>
      <c r="AG207" s="33" t="str">
        <f t="shared" si="477"/>
        <v>I</v>
      </c>
      <c r="AH207" s="33" t="s">
        <v>299</v>
      </c>
      <c r="AI207" s="36">
        <v>32.0</v>
      </c>
      <c r="AJ207" s="36" t="str">
        <f t="shared" si="478"/>
        <v>S</v>
      </c>
      <c r="AK207" s="36">
        <v>26.0</v>
      </c>
      <c r="AL207" s="36" t="str">
        <f t="shared" si="479"/>
        <v>S</v>
      </c>
      <c r="AM207" s="36">
        <v>21.0</v>
      </c>
      <c r="AN207" s="36" t="str">
        <f t="shared" si="480"/>
        <v>S</v>
      </c>
      <c r="AO207" s="36" t="s">
        <v>300</v>
      </c>
      <c r="AP207" s="37">
        <v>30.0</v>
      </c>
      <c r="AQ207" s="37" t="str">
        <f t="shared" si="481"/>
        <v>S</v>
      </c>
      <c r="AR207" s="33">
        <v>21.0</v>
      </c>
      <c r="AS207" s="33" t="str">
        <f t="shared" si="482"/>
        <v>S</v>
      </c>
      <c r="AT207" s="33">
        <v>19.0</v>
      </c>
      <c r="AU207" s="33" t="str">
        <f t="shared" si="483"/>
        <v>S</v>
      </c>
      <c r="AV207" s="33" t="s">
        <v>300</v>
      </c>
      <c r="AW207" s="26">
        <v>24.0</v>
      </c>
      <c r="AX207" s="26" t="str">
        <f t="shared" si="484"/>
        <v>S</v>
      </c>
      <c r="AY207" s="37">
        <v>18.0</v>
      </c>
      <c r="AZ207" s="37" t="str">
        <f t="shared" si="485"/>
        <v>R</v>
      </c>
      <c r="BA207" s="36">
        <v>30.0</v>
      </c>
      <c r="BB207" s="36" t="str">
        <f t="shared" si="486"/>
        <v>S</v>
      </c>
      <c r="BC207" s="39" t="s">
        <v>357</v>
      </c>
      <c r="BD207" s="39" t="s">
        <v>357</v>
      </c>
      <c r="BE207" s="36">
        <v>30.0</v>
      </c>
      <c r="BF207" s="36" t="str">
        <f t="shared" si="487"/>
        <v>S</v>
      </c>
      <c r="BG207" s="40">
        <v>20.0</v>
      </c>
      <c r="BH207" s="41" t="str">
        <f t="shared" si="488"/>
        <v>S</v>
      </c>
      <c r="BI207" s="41"/>
    </row>
    <row r="208">
      <c r="A208" s="51" t="s">
        <v>824</v>
      </c>
      <c r="B208" s="51" t="s">
        <v>444</v>
      </c>
      <c r="C208" s="51" t="s">
        <v>1432</v>
      </c>
      <c r="D208" s="18" t="s">
        <v>571</v>
      </c>
      <c r="E208" s="18" t="s">
        <v>572</v>
      </c>
      <c r="F208" s="18" t="s">
        <v>192</v>
      </c>
      <c r="G208" s="20" t="s">
        <v>1433</v>
      </c>
      <c r="H208" s="22" t="s">
        <v>198</v>
      </c>
      <c r="I208" s="26">
        <v>6.0</v>
      </c>
      <c r="J208" s="26" t="str">
        <f t="shared" si="467"/>
        <v>R</v>
      </c>
      <c r="K208" s="26">
        <v>21.0</v>
      </c>
      <c r="L208" s="26" t="str">
        <f t="shared" si="468"/>
        <v>S</v>
      </c>
      <c r="M208" s="26">
        <v>6.0</v>
      </c>
      <c r="N208" s="26" t="str">
        <f t="shared" si="469"/>
        <v>R</v>
      </c>
      <c r="O208" s="32" t="s">
        <v>357</v>
      </c>
      <c r="P208" s="32" t="s">
        <v>357</v>
      </c>
      <c r="Q208" s="26">
        <v>12.0</v>
      </c>
      <c r="R208" s="26" t="str">
        <f t="shared" si="470"/>
        <v>R</v>
      </c>
      <c r="S208" s="26">
        <v>25.0</v>
      </c>
      <c r="T208" s="26" t="str">
        <f t="shared" si="471"/>
        <v>S</v>
      </c>
      <c r="U208" s="26">
        <v>23.0</v>
      </c>
      <c r="V208" s="26" t="str">
        <f t="shared" si="472"/>
        <v>S</v>
      </c>
      <c r="W208" s="32" t="s">
        <v>299</v>
      </c>
      <c r="X208" s="33">
        <v>6.0</v>
      </c>
      <c r="Y208" s="33" t="str">
        <f t="shared" si="473"/>
        <v>R</v>
      </c>
      <c r="Z208" s="33">
        <v>25.0</v>
      </c>
      <c r="AA208" s="33" t="str">
        <f t="shared" si="474"/>
        <v>S</v>
      </c>
      <c r="AB208" s="33">
        <v>15.0</v>
      </c>
      <c r="AC208" s="33" t="str">
        <f t="shared" si="475"/>
        <v>R</v>
      </c>
      <c r="AD208" s="33">
        <v>29.0</v>
      </c>
      <c r="AE208" s="33" t="str">
        <f t="shared" si="476"/>
        <v>S</v>
      </c>
      <c r="AF208" s="33">
        <v>22.0</v>
      </c>
      <c r="AG208" s="33" t="str">
        <f t="shared" si="477"/>
        <v>R</v>
      </c>
      <c r="AH208" s="33" t="s">
        <v>299</v>
      </c>
      <c r="AI208" s="36">
        <v>32.0</v>
      </c>
      <c r="AJ208" s="36" t="str">
        <f t="shared" si="478"/>
        <v>S</v>
      </c>
      <c r="AK208" s="36">
        <v>26.0</v>
      </c>
      <c r="AL208" s="36" t="str">
        <f t="shared" si="479"/>
        <v>S</v>
      </c>
      <c r="AM208" s="36">
        <v>24.0</v>
      </c>
      <c r="AN208" s="36" t="str">
        <f t="shared" si="480"/>
        <v>S</v>
      </c>
      <c r="AO208" s="36" t="s">
        <v>300</v>
      </c>
      <c r="AP208" s="37">
        <v>28.0</v>
      </c>
      <c r="AQ208" s="37" t="str">
        <f t="shared" si="481"/>
        <v>S</v>
      </c>
      <c r="AR208" s="33">
        <v>21.0</v>
      </c>
      <c r="AS208" s="33" t="str">
        <f t="shared" si="482"/>
        <v>S</v>
      </c>
      <c r="AT208" s="33">
        <v>20.0</v>
      </c>
      <c r="AU208" s="33" t="str">
        <f t="shared" si="483"/>
        <v>S</v>
      </c>
      <c r="AV208" s="33" t="s">
        <v>300</v>
      </c>
      <c r="AW208" s="26">
        <v>25.0</v>
      </c>
      <c r="AX208" s="26" t="str">
        <f t="shared" si="484"/>
        <v>S</v>
      </c>
      <c r="AY208" s="37">
        <v>17.0</v>
      </c>
      <c r="AZ208" s="37" t="str">
        <f t="shared" si="485"/>
        <v>R</v>
      </c>
      <c r="BA208" s="36">
        <v>29.0</v>
      </c>
      <c r="BB208" s="36" t="str">
        <f t="shared" si="486"/>
        <v>S</v>
      </c>
      <c r="BC208" s="39" t="s">
        <v>357</v>
      </c>
      <c r="BD208" s="39" t="s">
        <v>357</v>
      </c>
      <c r="BE208" s="36">
        <v>31.0</v>
      </c>
      <c r="BF208" s="36" t="str">
        <f t="shared" si="487"/>
        <v>S</v>
      </c>
      <c r="BG208" s="40">
        <v>20.0</v>
      </c>
      <c r="BH208" s="41" t="str">
        <f t="shared" si="488"/>
        <v>S</v>
      </c>
      <c r="BI208" s="41"/>
    </row>
    <row r="209">
      <c r="A209" s="51" t="s">
        <v>824</v>
      </c>
      <c r="B209" s="53">
        <v>124.0</v>
      </c>
      <c r="C209" s="51" t="s">
        <v>1434</v>
      </c>
      <c r="D209" s="18" t="s">
        <v>827</v>
      </c>
      <c r="E209" s="18" t="s">
        <v>572</v>
      </c>
      <c r="F209" s="18" t="s">
        <v>573</v>
      </c>
      <c r="G209" s="20" t="s">
        <v>357</v>
      </c>
      <c r="H209" s="47" t="s">
        <v>357</v>
      </c>
      <c r="I209" s="32" t="s">
        <v>357</v>
      </c>
      <c r="J209" s="32" t="s">
        <v>357</v>
      </c>
      <c r="K209" s="32" t="s">
        <v>357</v>
      </c>
      <c r="L209" s="32" t="s">
        <v>357</v>
      </c>
      <c r="M209" s="32" t="s">
        <v>357</v>
      </c>
      <c r="N209" s="32" t="s">
        <v>357</v>
      </c>
      <c r="O209" s="32" t="s">
        <v>357</v>
      </c>
      <c r="P209" s="32" t="s">
        <v>357</v>
      </c>
      <c r="Q209" s="32" t="s">
        <v>357</v>
      </c>
      <c r="R209" s="32" t="s">
        <v>357</v>
      </c>
      <c r="S209" s="32" t="s">
        <v>357</v>
      </c>
      <c r="T209" s="32" t="s">
        <v>357</v>
      </c>
      <c r="U209" s="32" t="s">
        <v>357</v>
      </c>
      <c r="V209" s="32" t="s">
        <v>357</v>
      </c>
      <c r="W209" s="32" t="s">
        <v>357</v>
      </c>
      <c r="X209" s="49" t="s">
        <v>357</v>
      </c>
      <c r="Y209" s="49" t="s">
        <v>357</v>
      </c>
      <c r="Z209" s="49" t="s">
        <v>357</v>
      </c>
      <c r="AA209" s="49" t="s">
        <v>357</v>
      </c>
      <c r="AB209" s="49" t="s">
        <v>357</v>
      </c>
      <c r="AC209" s="49" t="s">
        <v>357</v>
      </c>
      <c r="AD209" s="49" t="s">
        <v>357</v>
      </c>
      <c r="AE209" s="49" t="s">
        <v>357</v>
      </c>
      <c r="AF209" s="49" t="s">
        <v>357</v>
      </c>
      <c r="AG209" s="49" t="s">
        <v>357</v>
      </c>
      <c r="AH209" s="49" t="s">
        <v>357</v>
      </c>
      <c r="AI209" s="39" t="s">
        <v>357</v>
      </c>
      <c r="AJ209" s="39" t="s">
        <v>357</v>
      </c>
      <c r="AK209" s="39" t="s">
        <v>357</v>
      </c>
      <c r="AL209" s="39" t="s">
        <v>357</v>
      </c>
      <c r="AM209" s="39" t="s">
        <v>357</v>
      </c>
      <c r="AN209" s="39" t="s">
        <v>357</v>
      </c>
      <c r="AO209" s="39" t="s">
        <v>357</v>
      </c>
      <c r="AP209" s="50" t="s">
        <v>357</v>
      </c>
      <c r="AQ209" s="50" t="s">
        <v>357</v>
      </c>
      <c r="AR209" s="49" t="s">
        <v>357</v>
      </c>
      <c r="AS209" s="49" t="s">
        <v>357</v>
      </c>
      <c r="AT209" s="49" t="s">
        <v>357</v>
      </c>
      <c r="AU209" s="49" t="s">
        <v>357</v>
      </c>
      <c r="AV209" s="49" t="s">
        <v>357</v>
      </c>
      <c r="AW209" s="32" t="s">
        <v>357</v>
      </c>
      <c r="AX209" s="32" t="s">
        <v>357</v>
      </c>
      <c r="AY209" s="50" t="s">
        <v>357</v>
      </c>
      <c r="AZ209" s="50" t="s">
        <v>357</v>
      </c>
      <c r="BA209" s="39" t="s">
        <v>357</v>
      </c>
      <c r="BB209" s="39" t="s">
        <v>357</v>
      </c>
      <c r="BC209" s="39" t="s">
        <v>357</v>
      </c>
      <c r="BD209" s="39" t="s">
        <v>357</v>
      </c>
      <c r="BE209" s="39" t="s">
        <v>357</v>
      </c>
      <c r="BF209" s="39" t="s">
        <v>357</v>
      </c>
      <c r="BG209" s="41" t="s">
        <v>357</v>
      </c>
      <c r="BH209" s="41" t="s">
        <v>357</v>
      </c>
      <c r="BI209" s="41"/>
    </row>
    <row r="210">
      <c r="A210" s="51" t="s">
        <v>824</v>
      </c>
      <c r="B210" s="53">
        <v>125.0</v>
      </c>
      <c r="C210" s="51" t="s">
        <v>1435</v>
      </c>
      <c r="D210" s="18" t="s">
        <v>705</v>
      </c>
      <c r="E210" s="18" t="s">
        <v>572</v>
      </c>
      <c r="F210" s="18" t="s">
        <v>573</v>
      </c>
      <c r="G210" s="20" t="s">
        <v>357</v>
      </c>
      <c r="H210" s="47" t="s">
        <v>357</v>
      </c>
      <c r="I210" s="32" t="s">
        <v>357</v>
      </c>
      <c r="J210" s="32" t="s">
        <v>357</v>
      </c>
      <c r="K210" s="32" t="s">
        <v>357</v>
      </c>
      <c r="L210" s="32" t="s">
        <v>357</v>
      </c>
      <c r="M210" s="32" t="s">
        <v>357</v>
      </c>
      <c r="N210" s="32" t="s">
        <v>357</v>
      </c>
      <c r="O210" s="32" t="s">
        <v>357</v>
      </c>
      <c r="P210" s="32" t="s">
        <v>357</v>
      </c>
      <c r="Q210" s="32" t="s">
        <v>357</v>
      </c>
      <c r="R210" s="32" t="s">
        <v>357</v>
      </c>
      <c r="S210" s="32" t="s">
        <v>357</v>
      </c>
      <c r="T210" s="32" t="s">
        <v>357</v>
      </c>
      <c r="U210" s="32" t="s">
        <v>357</v>
      </c>
      <c r="V210" s="32" t="s">
        <v>357</v>
      </c>
      <c r="W210" s="32" t="s">
        <v>357</v>
      </c>
      <c r="X210" s="49" t="s">
        <v>357</v>
      </c>
      <c r="Y210" s="49" t="s">
        <v>357</v>
      </c>
      <c r="Z210" s="49" t="s">
        <v>357</v>
      </c>
      <c r="AA210" s="49" t="s">
        <v>357</v>
      </c>
      <c r="AB210" s="49" t="s">
        <v>357</v>
      </c>
      <c r="AC210" s="49" t="s">
        <v>357</v>
      </c>
      <c r="AD210" s="49" t="s">
        <v>357</v>
      </c>
      <c r="AE210" s="49" t="s">
        <v>357</v>
      </c>
      <c r="AF210" s="49" t="s">
        <v>357</v>
      </c>
      <c r="AG210" s="49" t="s">
        <v>357</v>
      </c>
      <c r="AH210" s="49" t="s">
        <v>357</v>
      </c>
      <c r="AI210" s="39" t="s">
        <v>357</v>
      </c>
      <c r="AJ210" s="39" t="s">
        <v>357</v>
      </c>
      <c r="AK210" s="39" t="s">
        <v>357</v>
      </c>
      <c r="AL210" s="39" t="s">
        <v>357</v>
      </c>
      <c r="AM210" s="39" t="s">
        <v>357</v>
      </c>
      <c r="AN210" s="39" t="s">
        <v>357</v>
      </c>
      <c r="AO210" s="39" t="s">
        <v>357</v>
      </c>
      <c r="AP210" s="50" t="s">
        <v>357</v>
      </c>
      <c r="AQ210" s="50" t="s">
        <v>357</v>
      </c>
      <c r="AR210" s="49" t="s">
        <v>357</v>
      </c>
      <c r="AS210" s="49" t="s">
        <v>357</v>
      </c>
      <c r="AT210" s="49" t="s">
        <v>357</v>
      </c>
      <c r="AU210" s="49" t="s">
        <v>357</v>
      </c>
      <c r="AV210" s="49" t="s">
        <v>357</v>
      </c>
      <c r="AW210" s="32" t="s">
        <v>357</v>
      </c>
      <c r="AX210" s="32" t="s">
        <v>357</v>
      </c>
      <c r="AY210" s="50" t="s">
        <v>357</v>
      </c>
      <c r="AZ210" s="50" t="s">
        <v>357</v>
      </c>
      <c r="BA210" s="39" t="s">
        <v>357</v>
      </c>
      <c r="BB210" s="39" t="s">
        <v>357</v>
      </c>
      <c r="BC210" s="39" t="s">
        <v>357</v>
      </c>
      <c r="BD210" s="39" t="s">
        <v>357</v>
      </c>
      <c r="BE210" s="39" t="s">
        <v>357</v>
      </c>
      <c r="BF210" s="39" t="s">
        <v>357</v>
      </c>
      <c r="BG210" s="41" t="s">
        <v>357</v>
      </c>
      <c r="BH210" s="41" t="s">
        <v>357</v>
      </c>
      <c r="BI210" s="41"/>
    </row>
    <row r="211">
      <c r="A211" s="51" t="s">
        <v>824</v>
      </c>
      <c r="B211" s="53">
        <v>126.0</v>
      </c>
      <c r="C211" s="51" t="s">
        <v>1436</v>
      </c>
      <c r="D211" s="18" t="s">
        <v>708</v>
      </c>
      <c r="E211" s="18" t="s">
        <v>103</v>
      </c>
      <c r="F211" s="18" t="s">
        <v>192</v>
      </c>
      <c r="G211" s="20" t="s">
        <v>1437</v>
      </c>
      <c r="H211" s="22" t="s">
        <v>198</v>
      </c>
      <c r="I211" s="26">
        <v>6.0</v>
      </c>
      <c r="J211" s="26" t="str">
        <f>IF((I211&gt;=19),"S",IF(AND(I211&lt;19),"R", "NA"))</f>
        <v>R</v>
      </c>
      <c r="K211" s="26">
        <v>23.0</v>
      </c>
      <c r="L211" s="26" t="str">
        <f>IF((K211&gt;=19),"S",IF(AND(K211&lt;19),"R", "NA"))</f>
        <v>S</v>
      </c>
      <c r="M211" s="26">
        <v>6.0</v>
      </c>
      <c r="N211" s="26" t="str">
        <f>IF((M211&gt;=23),"S",IF(AND(M211&lt;23),"R","NA"))</f>
        <v>R</v>
      </c>
      <c r="O211" s="32" t="s">
        <v>357</v>
      </c>
      <c r="P211" s="32" t="s">
        <v>357</v>
      </c>
      <c r="Q211" s="26">
        <v>16.0</v>
      </c>
      <c r="R211" s="26" t="str">
        <f>IF((Q211&gt;=20),"S",IF(AND(Q211&lt;20),"R", "NA"))</f>
        <v>R</v>
      </c>
      <c r="S211" s="26">
        <v>27.0</v>
      </c>
      <c r="T211" s="26" t="str">
        <f>IF((S211&gt;=20),"S",IF(AND(S211&lt;20),"R", "NA"))</f>
        <v>S</v>
      </c>
      <c r="U211" s="26">
        <v>24.0</v>
      </c>
      <c r="V211" s="26" t="str">
        <f>IF((U211&gt;=20),"S",IF(AND(U211&lt;20,U211&gt;=17),"I",IF(AND(U211&lt;17),"R","NA")))</f>
        <v>S</v>
      </c>
      <c r="W211" s="32" t="s">
        <v>299</v>
      </c>
      <c r="X211" s="33">
        <v>10.0</v>
      </c>
      <c r="Y211" s="33" t="str">
        <f>IF((X211&gt;=20),"S",IF(AND(X211&lt;20,X211&gt;=17),"I",IF(AND(X211&lt;17),"R","NA")))</f>
        <v>R</v>
      </c>
      <c r="Z211" s="33">
        <v>27.0</v>
      </c>
      <c r="AA211" s="33" t="str">
        <f>IF((Z211&gt;=18),"S",IF(AND(Z211&lt;18),"R", "NA"))</f>
        <v>S</v>
      </c>
      <c r="AB211" s="33">
        <v>21.0</v>
      </c>
      <c r="AC211" s="33" t="str">
        <f>IF((AB211&gt;=22),"S",IF(AND(AB211&lt;22,AB211&gt;=19),"I",IF(AND(AB211&lt;19),"R","NA")))</f>
        <v>I</v>
      </c>
      <c r="AD211" s="33">
        <v>26.0</v>
      </c>
      <c r="AE211" s="33" t="str">
        <f>IF((AD211&gt;=13),"S",IF(AND(AD211&lt;13),"R", "NA"))</f>
        <v>S</v>
      </c>
      <c r="AF211" s="33">
        <v>27.0</v>
      </c>
      <c r="AG211" s="33" t="str">
        <f>IF((AF211&gt;=27),"S",IF(AND(AF211&lt;27,AF211&gt;=24),"I",IF(AND(AF211&lt;24),"R","NA")))</f>
        <v>S</v>
      </c>
      <c r="AH211" s="33" t="s">
        <v>299</v>
      </c>
      <c r="AI211" s="36">
        <v>30.0</v>
      </c>
      <c r="AJ211" s="36" t="str">
        <f>IF((AI211&gt;=25),"S",IF(AND(AI211&lt;25,AI211&gt;=22),"I",IF(AND(AI211&lt;22),"R","NA")))</f>
        <v>S</v>
      </c>
      <c r="AK211" s="36">
        <v>27.0</v>
      </c>
      <c r="AL211" s="36" t="str">
        <f>IF((AK211&gt;=23),"S",IF(AND(AK211&lt;23,AK211&gt;=19),"I",IF(AND(AK211&lt;19),"R","NA")))</f>
        <v>S</v>
      </c>
      <c r="AM211" s="36">
        <v>22.0</v>
      </c>
      <c r="AN211" s="36" t="str">
        <f>IF((AM211&gt;=14),"S",IF(AND(AM211&lt;14),"R","NA"))</f>
        <v>S</v>
      </c>
      <c r="AO211" s="36" t="s">
        <v>300</v>
      </c>
      <c r="AP211" s="37">
        <v>6.0</v>
      </c>
      <c r="AQ211" s="37" t="str">
        <f>IF((AP211&gt;=14),"S",IF(AND(AP211&lt;14,AP211&gt;=11),"I",IF(AND(AP211&lt;11),"R","NA")))</f>
        <v>R</v>
      </c>
      <c r="AR211" s="33">
        <v>22.0</v>
      </c>
      <c r="AS211" s="33" t="str">
        <f>IF((AR211&gt;=18),"S",IF(AND(AR211&lt;18),"R", "NA"))</f>
        <v>S</v>
      </c>
      <c r="AT211" s="33">
        <v>20.0</v>
      </c>
      <c r="AU211" s="33" t="str">
        <f>IF((AT211&gt;=16),"S",IF(AND(AT211&lt;16),"R", "NA"))</f>
        <v>S</v>
      </c>
      <c r="AV211" s="33" t="s">
        <v>300</v>
      </c>
      <c r="AW211" s="26">
        <v>27.0</v>
      </c>
      <c r="AX211" s="26" t="str">
        <f>IF((AW211&gt;=20),"S",IF(AND(AW211&lt;20),"R", "NA"))</f>
        <v>S</v>
      </c>
      <c r="AY211" s="37">
        <v>22.0</v>
      </c>
      <c r="AZ211" s="37" t="str">
        <f>IF((AY211&gt;=26),"S",IF(AND(AY211&lt;26,AY211&gt;=21),"I",IF(AND(AY211&lt;21),"R","NA")))</f>
        <v>I</v>
      </c>
      <c r="BA211" s="36">
        <v>30.0</v>
      </c>
      <c r="BB211" s="36" t="str">
        <f>IF((BA211&gt;=23),"S",IF(AND(BA211&lt;23),"R","NA"))</f>
        <v>S</v>
      </c>
      <c r="BC211" s="39" t="s">
        <v>357</v>
      </c>
      <c r="BD211" s="39" t="s">
        <v>357</v>
      </c>
      <c r="BE211" s="36">
        <v>32.0</v>
      </c>
      <c r="BF211" s="36" t="str">
        <f>IF((BE211&gt;=22),"S",IF(AND(BE211&lt;22,BE211&gt;=19),"I",IF(AND(BE211&lt;19),"R","NA")))</f>
        <v>S</v>
      </c>
      <c r="BG211" s="40">
        <v>20.0</v>
      </c>
      <c r="BH211" s="41" t="str">
        <f>IF((BG211&gt;=17),"S",IF(AND(BG211&lt;17),"R", "NA"))</f>
        <v>S</v>
      </c>
      <c r="BI211" s="41"/>
    </row>
    <row r="212">
      <c r="A212" s="51" t="s">
        <v>824</v>
      </c>
      <c r="B212" s="53">
        <v>127.0</v>
      </c>
      <c r="C212" s="51" t="s">
        <v>1438</v>
      </c>
      <c r="D212" s="18" t="s">
        <v>555</v>
      </c>
      <c r="E212" s="18" t="s">
        <v>103</v>
      </c>
      <c r="F212" s="18" t="s">
        <v>573</v>
      </c>
      <c r="G212" s="20" t="s">
        <v>357</v>
      </c>
      <c r="H212" s="47" t="s">
        <v>357</v>
      </c>
      <c r="I212" s="32" t="s">
        <v>357</v>
      </c>
      <c r="J212" s="32" t="s">
        <v>357</v>
      </c>
      <c r="K212" s="32" t="s">
        <v>357</v>
      </c>
      <c r="L212" s="32" t="s">
        <v>357</v>
      </c>
      <c r="M212" s="32" t="s">
        <v>357</v>
      </c>
      <c r="N212" s="32" t="s">
        <v>357</v>
      </c>
      <c r="O212" s="32" t="s">
        <v>357</v>
      </c>
      <c r="P212" s="32" t="s">
        <v>357</v>
      </c>
      <c r="Q212" s="32" t="s">
        <v>357</v>
      </c>
      <c r="R212" s="32" t="s">
        <v>357</v>
      </c>
      <c r="S212" s="32" t="s">
        <v>357</v>
      </c>
      <c r="T212" s="32" t="s">
        <v>357</v>
      </c>
      <c r="U212" s="32" t="s">
        <v>357</v>
      </c>
      <c r="V212" s="32" t="s">
        <v>357</v>
      </c>
      <c r="W212" s="32" t="s">
        <v>357</v>
      </c>
      <c r="X212" s="49" t="s">
        <v>357</v>
      </c>
      <c r="Y212" s="49" t="s">
        <v>357</v>
      </c>
      <c r="Z212" s="49" t="s">
        <v>357</v>
      </c>
      <c r="AA212" s="49" t="s">
        <v>357</v>
      </c>
      <c r="AB212" s="49" t="s">
        <v>357</v>
      </c>
      <c r="AC212" s="49" t="s">
        <v>357</v>
      </c>
      <c r="AD212" s="49" t="s">
        <v>357</v>
      </c>
      <c r="AE212" s="49" t="s">
        <v>357</v>
      </c>
      <c r="AF212" s="49" t="s">
        <v>357</v>
      </c>
      <c r="AG212" s="49" t="s">
        <v>357</v>
      </c>
      <c r="AH212" s="49" t="s">
        <v>357</v>
      </c>
      <c r="AI212" s="39" t="s">
        <v>357</v>
      </c>
      <c r="AJ212" s="39" t="s">
        <v>357</v>
      </c>
      <c r="AK212" s="39" t="s">
        <v>357</v>
      </c>
      <c r="AL212" s="39" t="s">
        <v>357</v>
      </c>
      <c r="AM212" s="39" t="s">
        <v>357</v>
      </c>
      <c r="AN212" s="39" t="s">
        <v>357</v>
      </c>
      <c r="AO212" s="39" t="s">
        <v>357</v>
      </c>
      <c r="AP212" s="50" t="s">
        <v>357</v>
      </c>
      <c r="AQ212" s="50" t="s">
        <v>357</v>
      </c>
      <c r="AR212" s="49" t="s">
        <v>357</v>
      </c>
      <c r="AS212" s="49" t="s">
        <v>357</v>
      </c>
      <c r="AT212" s="49" t="s">
        <v>357</v>
      </c>
      <c r="AU212" s="49" t="s">
        <v>357</v>
      </c>
      <c r="AV212" s="49" t="s">
        <v>357</v>
      </c>
      <c r="AW212" s="32" t="s">
        <v>357</v>
      </c>
      <c r="AX212" s="32" t="s">
        <v>357</v>
      </c>
      <c r="AY212" s="50" t="s">
        <v>357</v>
      </c>
      <c r="AZ212" s="50" t="s">
        <v>357</v>
      </c>
      <c r="BA212" s="39" t="s">
        <v>357</v>
      </c>
      <c r="BB212" s="39" t="s">
        <v>357</v>
      </c>
      <c r="BC212" s="39" t="s">
        <v>357</v>
      </c>
      <c r="BD212" s="39" t="s">
        <v>357</v>
      </c>
      <c r="BE212" s="39" t="s">
        <v>357</v>
      </c>
      <c r="BF212" s="39" t="s">
        <v>357</v>
      </c>
      <c r="BG212" s="41" t="s">
        <v>357</v>
      </c>
      <c r="BH212" s="41" t="s">
        <v>357</v>
      </c>
      <c r="BI212" s="41"/>
    </row>
    <row r="213">
      <c r="A213" s="21" t="s">
        <v>522</v>
      </c>
      <c r="B213" s="23">
        <v>128.0</v>
      </c>
      <c r="C213" s="21" t="s">
        <v>920</v>
      </c>
      <c r="D213" s="62" t="s">
        <v>190</v>
      </c>
      <c r="E213" s="18" t="s">
        <v>190</v>
      </c>
      <c r="F213" s="18" t="s">
        <v>192</v>
      </c>
      <c r="G213" s="63" t="s">
        <v>921</v>
      </c>
      <c r="H213" s="22" t="s">
        <v>198</v>
      </c>
      <c r="I213" s="28">
        <v>6.0</v>
      </c>
      <c r="J213" s="26" t="str">
        <f t="shared" ref="J213:J761" si="489">IF((I213&gt;=19),"S",IF(AND(I213&lt;19),"R", "NA"))</f>
        <v>R</v>
      </c>
      <c r="K213" s="28">
        <v>18.0</v>
      </c>
      <c r="L213" s="26" t="str">
        <f t="shared" ref="L213:L761" si="490">IF((K213&gt;=19),"S",IF(AND(K213&lt;19),"R", "NA"))</f>
        <v>R</v>
      </c>
      <c r="M213" s="28">
        <v>6.0</v>
      </c>
      <c r="N213" s="26" t="str">
        <f t="shared" ref="N213:N761" si="491">IF((M213&gt;=23),"S",IF(AND(M213&lt;23),"R","NA"))</f>
        <v>R</v>
      </c>
      <c r="O213" s="28">
        <v>24.0</v>
      </c>
      <c r="P213" s="26" t="str">
        <f t="shared" ref="P213:P761" si="492">IF((O213&gt;=23),"S",IF(AND(O213&lt;23,O213&gt;=20),"I",IF(AND(O213&lt;20),"R","NA")))</f>
        <v>S</v>
      </c>
      <c r="Q213" s="28">
        <v>6.0</v>
      </c>
      <c r="R213" s="26" t="str">
        <f t="shared" ref="R213:R761" si="493">IF((Q213&gt;=20),"S",IF(AND(Q213&lt;20),"R", "NA"))</f>
        <v>R</v>
      </c>
      <c r="S213" s="28">
        <v>18.0</v>
      </c>
      <c r="T213" s="26" t="str">
        <f t="shared" ref="T213:T761" si="494">IF((S213&gt;=20),"S",IF(AND(S213&lt;20),"R", "NA"))</f>
        <v>R</v>
      </c>
      <c r="U213" s="28">
        <v>19.0</v>
      </c>
      <c r="V213" s="26" t="str">
        <f t="shared" ref="V213:V761" si="495">IF((U213&gt;=20),"S",IF(AND(U213&lt;20,U213&gt;=17),"I",IF(AND(U213&lt;17),"R","NA")))</f>
        <v>I</v>
      </c>
      <c r="W213" s="32" t="s">
        <v>299</v>
      </c>
      <c r="X213" s="65">
        <v>25.0</v>
      </c>
      <c r="Y213" s="33" t="str">
        <f t="shared" ref="Y213:Y761" si="496">IF((X213&gt;=20),"S",IF(AND(X213&lt;20,X213&gt;=17),"I",IF(AND(X213&lt;17),"R","NA")))</f>
        <v>S</v>
      </c>
      <c r="Z213" s="65">
        <v>18.0</v>
      </c>
      <c r="AA213" s="33" t="str">
        <f t="shared" ref="AA213:AA761" si="497">IF((Z213&gt;=18),"S",IF(AND(Z213&lt;18),"R", "NA"))</f>
        <v>S</v>
      </c>
      <c r="AB213" s="65">
        <v>22.0</v>
      </c>
      <c r="AC213" s="33" t="str">
        <f t="shared" ref="AC213:AC761" si="498">IF((AB213&gt;=22),"S",IF(AND(AB213&lt;22,AB213&gt;=19),"I",IF(AND(AB213&lt;19),"R","NA")))</f>
        <v>S</v>
      </c>
      <c r="AD213" s="65">
        <v>18.0</v>
      </c>
      <c r="AE213" s="33" t="str">
        <f t="shared" ref="AE213:AE761" si="499">IF((AD213&gt;=13),"S",IF(AND(AD213&lt;13),"R", "NA"))</f>
        <v>S</v>
      </c>
      <c r="AF213" s="65">
        <v>28.0</v>
      </c>
      <c r="AG213" s="33" t="str">
        <f t="shared" ref="AG213:AG761" si="500">IF((AF213&gt;=27),"S",IF(AND(AF213&lt;27,AF213&gt;=24),"I",IF(AND(AF213&lt;24),"R","NA")))</f>
        <v>S</v>
      </c>
      <c r="AH213" s="33" t="s">
        <v>300</v>
      </c>
      <c r="AI213" s="66">
        <v>23.0</v>
      </c>
      <c r="AJ213" s="36" t="str">
        <f t="shared" ref="AJ213:AJ761" si="501">IF((AI213&gt;=25),"S",IF(AND(AI213&lt;25,AI213&gt;=22),"I",IF(AND(AI213&lt;22),"R","NA")))</f>
        <v>I</v>
      </c>
      <c r="AK213" s="66">
        <v>21.0</v>
      </c>
      <c r="AL213" s="36" t="str">
        <f t="shared" ref="AL213:AL761" si="502">IF((AK213&gt;=23),"S",IF(AND(AK213&lt;23,AK213&gt;=19),"I",IF(AND(AK213&lt;19),"R","NA")))</f>
        <v>I</v>
      </c>
      <c r="AM213" s="66">
        <v>16.0</v>
      </c>
      <c r="AN213" s="36" t="str">
        <f t="shared" ref="AN213:AN761" si="503">IF((AM213&gt;=14),"S",IF(AND(AM213&lt;14),"R","NA"))</f>
        <v>S</v>
      </c>
      <c r="AO213" s="66" t="s">
        <v>299</v>
      </c>
      <c r="AP213" s="67">
        <v>20.0</v>
      </c>
      <c r="AQ213" s="37" t="str">
        <f t="shared" ref="AQ213:AQ761" si="504">IF((AP213&gt;=14),"S",IF(AND(AP213&lt;14,AP213&gt;=11),"I",IF(AND(AP213&lt;11),"R","NA")))</f>
        <v>S</v>
      </c>
      <c r="AR213" s="65">
        <v>16.0</v>
      </c>
      <c r="AS213" s="33" t="str">
        <f t="shared" ref="AS213:AS761" si="505">IF((AR213&gt;=18),"S",IF(AND(AR213&lt;18),"R", "NA"))</f>
        <v>R</v>
      </c>
      <c r="AT213" s="65">
        <v>16.0</v>
      </c>
      <c r="AU213" s="33" t="str">
        <f t="shared" ref="AU213:AU761" si="506">IF((AT213&gt;=16),"S",IF(AND(AT213&lt;16),"R", "NA"))</f>
        <v>S</v>
      </c>
      <c r="AV213" s="65" t="s">
        <v>299</v>
      </c>
      <c r="AW213" s="28">
        <v>6.0</v>
      </c>
      <c r="AX213" s="26" t="str">
        <f t="shared" ref="AX213:AX761" si="507">IF((AW213&gt;=20),"S",IF(AND(AW213&lt;20),"R", "NA"))</f>
        <v>R</v>
      </c>
      <c r="AY213" s="67">
        <v>22.0</v>
      </c>
      <c r="AZ213" s="37" t="str">
        <f t="shared" ref="AZ213:AZ761" si="508">IF((AY213&gt;=26),"S",IF(AND(AY213&lt;26,AY213&gt;=21),"I",IF(AND(AY213&lt;21),"R","NA")))</f>
        <v>I</v>
      </c>
      <c r="BA213" s="66">
        <v>23.0</v>
      </c>
      <c r="BB213" s="36" t="str">
        <f t="shared" ref="BB213:BB761" si="509">IF((BA213&gt;=23),"S",IF(AND(BA213&lt;23),"R","NA"))</f>
        <v>S</v>
      </c>
      <c r="BC213" s="39" t="s">
        <v>357</v>
      </c>
      <c r="BD213" s="39" t="s">
        <v>357</v>
      </c>
      <c r="BE213" s="66">
        <v>23.0</v>
      </c>
      <c r="BF213" s="36" t="str">
        <f t="shared" ref="BF213:BF761" si="510">IF((BE213&gt;=22),"S",IF(AND(BE213&lt;22,BE213&gt;=19),"I",IF(AND(BE213&lt;19),"R","NA")))</f>
        <v>S</v>
      </c>
      <c r="BG213" s="68">
        <v>14.0</v>
      </c>
      <c r="BH213" s="41" t="str">
        <f t="shared" ref="BH213:BH761" si="511">IF((BG213&gt;=17),"S",IF(AND(BG213&lt;17),"R", "NA"))</f>
        <v>R</v>
      </c>
      <c r="BI213" s="41"/>
    </row>
    <row r="214">
      <c r="A214" s="21" t="s">
        <v>522</v>
      </c>
      <c r="B214" s="21" t="s">
        <v>444</v>
      </c>
      <c r="C214" s="21" t="s">
        <v>1439</v>
      </c>
      <c r="D214" s="62" t="s">
        <v>190</v>
      </c>
      <c r="E214" s="18" t="s">
        <v>190</v>
      </c>
      <c r="F214" s="18" t="s">
        <v>192</v>
      </c>
      <c r="G214" s="63" t="s">
        <v>1440</v>
      </c>
      <c r="H214" s="22" t="s">
        <v>198</v>
      </c>
      <c r="I214" s="28">
        <v>6.0</v>
      </c>
      <c r="J214" s="26" t="str">
        <f t="shared" si="489"/>
        <v>R</v>
      </c>
      <c r="K214" s="28">
        <v>19.0</v>
      </c>
      <c r="L214" s="26" t="str">
        <f t="shared" si="490"/>
        <v>S</v>
      </c>
      <c r="M214" s="28">
        <v>6.0</v>
      </c>
      <c r="N214" s="26" t="str">
        <f t="shared" si="491"/>
        <v>R</v>
      </c>
      <c r="O214" s="28">
        <v>24.0</v>
      </c>
      <c r="P214" s="26" t="str">
        <f t="shared" si="492"/>
        <v>S</v>
      </c>
      <c r="Q214" s="28">
        <v>6.0</v>
      </c>
      <c r="R214" s="26" t="str">
        <f t="shared" si="493"/>
        <v>R</v>
      </c>
      <c r="S214" s="28">
        <v>18.0</v>
      </c>
      <c r="T214" s="26" t="str">
        <f t="shared" si="494"/>
        <v>R</v>
      </c>
      <c r="U214" s="28">
        <v>19.0</v>
      </c>
      <c r="V214" s="26" t="str">
        <f t="shared" si="495"/>
        <v>I</v>
      </c>
      <c r="W214" s="32" t="s">
        <v>299</v>
      </c>
      <c r="X214" s="65">
        <v>28.0</v>
      </c>
      <c r="Y214" s="33" t="str">
        <f t="shared" si="496"/>
        <v>S</v>
      </c>
      <c r="Z214" s="65">
        <v>19.0</v>
      </c>
      <c r="AA214" s="33" t="str">
        <f t="shared" si="497"/>
        <v>S</v>
      </c>
      <c r="AB214" s="65">
        <v>23.0</v>
      </c>
      <c r="AC214" s="33" t="str">
        <f t="shared" si="498"/>
        <v>S</v>
      </c>
      <c r="AD214" s="65">
        <v>18.0</v>
      </c>
      <c r="AE214" s="33" t="str">
        <f t="shared" si="499"/>
        <v>S</v>
      </c>
      <c r="AF214" s="65">
        <v>27.0</v>
      </c>
      <c r="AG214" s="33" t="str">
        <f t="shared" si="500"/>
        <v>S</v>
      </c>
      <c r="AH214" s="33" t="s">
        <v>300</v>
      </c>
      <c r="AI214" s="66">
        <v>23.0</v>
      </c>
      <c r="AJ214" s="36" t="str">
        <f t="shared" si="501"/>
        <v>I</v>
      </c>
      <c r="AK214" s="66">
        <v>21.0</v>
      </c>
      <c r="AL214" s="36" t="str">
        <f t="shared" si="502"/>
        <v>I</v>
      </c>
      <c r="AM214" s="66">
        <v>18.0</v>
      </c>
      <c r="AN214" s="36" t="str">
        <f t="shared" si="503"/>
        <v>S</v>
      </c>
      <c r="AO214" s="66" t="s">
        <v>299</v>
      </c>
      <c r="AP214" s="67">
        <v>20.0</v>
      </c>
      <c r="AQ214" s="37" t="str">
        <f t="shared" si="504"/>
        <v>S</v>
      </c>
      <c r="AR214" s="65">
        <v>17.0</v>
      </c>
      <c r="AS214" s="33" t="str">
        <f t="shared" si="505"/>
        <v>R</v>
      </c>
      <c r="AT214" s="65">
        <v>16.0</v>
      </c>
      <c r="AU214" s="33" t="str">
        <f t="shared" si="506"/>
        <v>S</v>
      </c>
      <c r="AV214" s="65" t="s">
        <v>299</v>
      </c>
      <c r="AW214" s="28">
        <v>6.0</v>
      </c>
      <c r="AX214" s="26" t="str">
        <f t="shared" si="507"/>
        <v>R</v>
      </c>
      <c r="AY214" s="67">
        <v>22.0</v>
      </c>
      <c r="AZ214" s="37" t="str">
        <f t="shared" si="508"/>
        <v>I</v>
      </c>
      <c r="BA214" s="66">
        <v>24.0</v>
      </c>
      <c r="BB214" s="36" t="str">
        <f t="shared" si="509"/>
        <v>S</v>
      </c>
      <c r="BC214" s="39" t="s">
        <v>357</v>
      </c>
      <c r="BD214" s="39" t="s">
        <v>357</v>
      </c>
      <c r="BE214" s="66">
        <v>23.0</v>
      </c>
      <c r="BF214" s="36" t="str">
        <f t="shared" si="510"/>
        <v>S</v>
      </c>
      <c r="BG214" s="68">
        <v>14.0</v>
      </c>
      <c r="BH214" s="41" t="str">
        <f t="shared" si="511"/>
        <v>R</v>
      </c>
      <c r="BI214" s="41"/>
    </row>
    <row r="215">
      <c r="A215" s="21" t="s">
        <v>522</v>
      </c>
      <c r="B215" s="21" t="s">
        <v>444</v>
      </c>
      <c r="C215" s="21" t="s">
        <v>1441</v>
      </c>
      <c r="D215" s="62" t="s">
        <v>190</v>
      </c>
      <c r="E215" s="18" t="s">
        <v>190</v>
      </c>
      <c r="F215" s="18" t="s">
        <v>192</v>
      </c>
      <c r="G215" s="63" t="s">
        <v>1442</v>
      </c>
      <c r="H215" s="22" t="s">
        <v>198</v>
      </c>
      <c r="I215" s="28">
        <v>6.0</v>
      </c>
      <c r="J215" s="26" t="str">
        <f t="shared" si="489"/>
        <v>R</v>
      </c>
      <c r="K215" s="28">
        <v>17.0</v>
      </c>
      <c r="L215" s="26" t="str">
        <f t="shared" si="490"/>
        <v>R</v>
      </c>
      <c r="M215" s="28">
        <v>6.0</v>
      </c>
      <c r="N215" s="26" t="str">
        <f t="shared" si="491"/>
        <v>R</v>
      </c>
      <c r="O215" s="28">
        <v>24.0</v>
      </c>
      <c r="P215" s="26" t="str">
        <f t="shared" si="492"/>
        <v>S</v>
      </c>
      <c r="Q215" s="28">
        <v>6.0</v>
      </c>
      <c r="R215" s="26" t="str">
        <f t="shared" si="493"/>
        <v>R</v>
      </c>
      <c r="S215" s="28">
        <v>18.0</v>
      </c>
      <c r="T215" s="26" t="str">
        <f t="shared" si="494"/>
        <v>R</v>
      </c>
      <c r="U215" s="28">
        <v>19.0</v>
      </c>
      <c r="V215" s="26" t="str">
        <f t="shared" si="495"/>
        <v>I</v>
      </c>
      <c r="W215" s="32" t="s">
        <v>299</v>
      </c>
      <c r="X215" s="65">
        <v>27.0</v>
      </c>
      <c r="Y215" s="33" t="str">
        <f t="shared" si="496"/>
        <v>S</v>
      </c>
      <c r="Z215" s="65">
        <v>18.0</v>
      </c>
      <c r="AA215" s="33" t="str">
        <f t="shared" si="497"/>
        <v>S</v>
      </c>
      <c r="AB215" s="65">
        <v>26.0</v>
      </c>
      <c r="AC215" s="33" t="str">
        <f t="shared" si="498"/>
        <v>S</v>
      </c>
      <c r="AD215" s="65">
        <v>18.0</v>
      </c>
      <c r="AE215" s="33" t="str">
        <f t="shared" si="499"/>
        <v>S</v>
      </c>
      <c r="AF215" s="65">
        <v>28.0</v>
      </c>
      <c r="AG215" s="33" t="str">
        <f t="shared" si="500"/>
        <v>S</v>
      </c>
      <c r="AH215" s="33" t="s">
        <v>300</v>
      </c>
      <c r="AI215" s="66">
        <v>23.0</v>
      </c>
      <c r="AJ215" s="36" t="str">
        <f t="shared" si="501"/>
        <v>I</v>
      </c>
      <c r="AK215" s="66">
        <v>21.0</v>
      </c>
      <c r="AL215" s="36" t="str">
        <f t="shared" si="502"/>
        <v>I</v>
      </c>
      <c r="AM215" s="66">
        <v>18.0</v>
      </c>
      <c r="AN215" s="36" t="str">
        <f t="shared" si="503"/>
        <v>S</v>
      </c>
      <c r="AO215" s="66" t="s">
        <v>299</v>
      </c>
      <c r="AP215" s="67">
        <v>20.0</v>
      </c>
      <c r="AQ215" s="37" t="str">
        <f t="shared" si="504"/>
        <v>S</v>
      </c>
      <c r="AR215" s="65">
        <v>16.0</v>
      </c>
      <c r="AS215" s="33" t="str">
        <f t="shared" si="505"/>
        <v>R</v>
      </c>
      <c r="AT215" s="65">
        <v>16.0</v>
      </c>
      <c r="AU215" s="33" t="str">
        <f t="shared" si="506"/>
        <v>S</v>
      </c>
      <c r="AV215" s="65" t="s">
        <v>299</v>
      </c>
      <c r="AW215" s="28">
        <v>6.0</v>
      </c>
      <c r="AX215" s="26" t="str">
        <f t="shared" si="507"/>
        <v>R</v>
      </c>
      <c r="AY215" s="67">
        <v>22.0</v>
      </c>
      <c r="AZ215" s="37" t="str">
        <f t="shared" si="508"/>
        <v>I</v>
      </c>
      <c r="BA215" s="66">
        <v>24.0</v>
      </c>
      <c r="BB215" s="36" t="str">
        <f t="shared" si="509"/>
        <v>S</v>
      </c>
      <c r="BC215" s="39" t="s">
        <v>357</v>
      </c>
      <c r="BD215" s="39" t="s">
        <v>357</v>
      </c>
      <c r="BE215" s="66">
        <v>23.0</v>
      </c>
      <c r="BF215" s="36" t="str">
        <f t="shared" si="510"/>
        <v>S</v>
      </c>
      <c r="BG215" s="68">
        <v>14.0</v>
      </c>
      <c r="BH215" s="41" t="str">
        <f t="shared" si="511"/>
        <v>R</v>
      </c>
      <c r="BI215" s="41"/>
    </row>
    <row r="216">
      <c r="A216" s="21" t="s">
        <v>522</v>
      </c>
      <c r="B216" s="23">
        <v>129.0</v>
      </c>
      <c r="C216" s="21" t="s">
        <v>933</v>
      </c>
      <c r="D216" s="62" t="s">
        <v>190</v>
      </c>
      <c r="E216" s="18" t="s">
        <v>190</v>
      </c>
      <c r="F216" s="18" t="s">
        <v>192</v>
      </c>
      <c r="G216" s="63" t="s">
        <v>934</v>
      </c>
      <c r="H216" s="22" t="s">
        <v>198</v>
      </c>
      <c r="I216" s="28">
        <v>28.0</v>
      </c>
      <c r="J216" s="26" t="str">
        <f t="shared" si="489"/>
        <v>S</v>
      </c>
      <c r="K216" s="28">
        <v>17.0</v>
      </c>
      <c r="L216" s="26" t="str">
        <f t="shared" si="490"/>
        <v>R</v>
      </c>
      <c r="M216" s="28">
        <v>21.0</v>
      </c>
      <c r="N216" s="26" t="str">
        <f t="shared" si="491"/>
        <v>R</v>
      </c>
      <c r="O216" s="28">
        <v>22.0</v>
      </c>
      <c r="P216" s="26" t="str">
        <f t="shared" si="492"/>
        <v>I</v>
      </c>
      <c r="Q216" s="28">
        <v>18.0</v>
      </c>
      <c r="R216" s="26" t="str">
        <f t="shared" si="493"/>
        <v>R</v>
      </c>
      <c r="S216" s="28">
        <v>15.0</v>
      </c>
      <c r="T216" s="26" t="str">
        <f t="shared" si="494"/>
        <v>R</v>
      </c>
      <c r="U216" s="28">
        <v>19.0</v>
      </c>
      <c r="V216" s="26" t="str">
        <f t="shared" si="495"/>
        <v>I</v>
      </c>
      <c r="W216" s="32" t="s">
        <v>299</v>
      </c>
      <c r="X216" s="65">
        <v>21.0</v>
      </c>
      <c r="Y216" s="33" t="str">
        <f t="shared" si="496"/>
        <v>S</v>
      </c>
      <c r="Z216" s="65">
        <v>13.0</v>
      </c>
      <c r="AA216" s="33" t="str">
        <f t="shared" si="497"/>
        <v>R</v>
      </c>
      <c r="AB216" s="65">
        <v>24.0</v>
      </c>
      <c r="AC216" s="33" t="str">
        <f t="shared" si="498"/>
        <v>S</v>
      </c>
      <c r="AD216" s="65">
        <v>18.0</v>
      </c>
      <c r="AE216" s="33" t="str">
        <f t="shared" si="499"/>
        <v>S</v>
      </c>
      <c r="AF216" s="65">
        <v>27.0</v>
      </c>
      <c r="AG216" s="33" t="str">
        <f t="shared" si="500"/>
        <v>S</v>
      </c>
      <c r="AH216" s="65" t="s">
        <v>299</v>
      </c>
      <c r="AI216" s="66">
        <v>23.0</v>
      </c>
      <c r="AJ216" s="36" t="str">
        <f t="shared" si="501"/>
        <v>I</v>
      </c>
      <c r="AK216" s="66">
        <v>20.0</v>
      </c>
      <c r="AL216" s="36" t="str">
        <f t="shared" si="502"/>
        <v>I</v>
      </c>
      <c r="AM216" s="66">
        <v>17.0</v>
      </c>
      <c r="AN216" s="36" t="str">
        <f t="shared" si="503"/>
        <v>S</v>
      </c>
      <c r="AO216" s="66" t="s">
        <v>299</v>
      </c>
      <c r="AP216" s="67">
        <v>19.0</v>
      </c>
      <c r="AQ216" s="37" t="str">
        <f t="shared" si="504"/>
        <v>S</v>
      </c>
      <c r="AR216" s="65">
        <v>14.0</v>
      </c>
      <c r="AS216" s="33" t="str">
        <f t="shared" si="505"/>
        <v>R</v>
      </c>
      <c r="AT216" s="65">
        <v>16.0</v>
      </c>
      <c r="AU216" s="33" t="str">
        <f t="shared" si="506"/>
        <v>S</v>
      </c>
      <c r="AV216" s="65" t="s">
        <v>299</v>
      </c>
      <c r="AW216" s="28">
        <v>18.0</v>
      </c>
      <c r="AX216" s="26" t="str">
        <f t="shared" si="507"/>
        <v>R</v>
      </c>
      <c r="AY216" s="67">
        <v>18.0</v>
      </c>
      <c r="AZ216" s="37" t="str">
        <f t="shared" si="508"/>
        <v>R</v>
      </c>
      <c r="BA216" s="66">
        <v>23.0</v>
      </c>
      <c r="BB216" s="36" t="str">
        <f t="shared" si="509"/>
        <v>S</v>
      </c>
      <c r="BC216" s="39" t="s">
        <v>357</v>
      </c>
      <c r="BD216" s="39" t="s">
        <v>357</v>
      </c>
      <c r="BE216" s="66">
        <v>22.0</v>
      </c>
      <c r="BF216" s="36" t="str">
        <f t="shared" si="510"/>
        <v>S</v>
      </c>
      <c r="BG216" s="68">
        <v>14.0</v>
      </c>
      <c r="BH216" s="41" t="str">
        <f t="shared" si="511"/>
        <v>R</v>
      </c>
      <c r="BI216" s="41"/>
    </row>
    <row r="217">
      <c r="A217" s="21" t="s">
        <v>522</v>
      </c>
      <c r="B217" s="21" t="s">
        <v>444</v>
      </c>
      <c r="C217" s="21" t="s">
        <v>1443</v>
      </c>
      <c r="D217" s="62" t="s">
        <v>190</v>
      </c>
      <c r="E217" s="18" t="s">
        <v>190</v>
      </c>
      <c r="F217" s="18" t="s">
        <v>192</v>
      </c>
      <c r="G217" s="63" t="s">
        <v>1444</v>
      </c>
      <c r="H217" s="22" t="s">
        <v>198</v>
      </c>
      <c r="I217" s="28">
        <v>26.0</v>
      </c>
      <c r="J217" s="26" t="str">
        <f t="shared" si="489"/>
        <v>S</v>
      </c>
      <c r="K217" s="28">
        <v>16.0</v>
      </c>
      <c r="L217" s="26" t="str">
        <f t="shared" si="490"/>
        <v>R</v>
      </c>
      <c r="M217" s="28">
        <v>21.0</v>
      </c>
      <c r="N217" s="26" t="str">
        <f t="shared" si="491"/>
        <v>R</v>
      </c>
      <c r="O217" s="28">
        <v>22.0</v>
      </c>
      <c r="P217" s="26" t="str">
        <f t="shared" si="492"/>
        <v>I</v>
      </c>
      <c r="Q217" s="28">
        <v>18.0</v>
      </c>
      <c r="R217" s="26" t="str">
        <f t="shared" si="493"/>
        <v>R</v>
      </c>
      <c r="S217" s="28">
        <v>15.0</v>
      </c>
      <c r="T217" s="26" t="str">
        <f t="shared" si="494"/>
        <v>R</v>
      </c>
      <c r="U217" s="28">
        <v>6.0</v>
      </c>
      <c r="V217" s="26" t="str">
        <f t="shared" si="495"/>
        <v>R</v>
      </c>
      <c r="W217" s="32" t="s">
        <v>299</v>
      </c>
      <c r="X217" s="65">
        <v>23.0</v>
      </c>
      <c r="Y217" s="33" t="str">
        <f t="shared" si="496"/>
        <v>S</v>
      </c>
      <c r="Z217" s="65">
        <v>14.0</v>
      </c>
      <c r="AA217" s="33" t="str">
        <f t="shared" si="497"/>
        <v>R</v>
      </c>
      <c r="AB217" s="65">
        <v>22.0</v>
      </c>
      <c r="AC217" s="33" t="str">
        <f t="shared" si="498"/>
        <v>S</v>
      </c>
      <c r="AD217" s="65">
        <v>18.0</v>
      </c>
      <c r="AE217" s="33" t="str">
        <f t="shared" si="499"/>
        <v>S</v>
      </c>
      <c r="AF217" s="65">
        <v>28.0</v>
      </c>
      <c r="AG217" s="33" t="str">
        <f t="shared" si="500"/>
        <v>S</v>
      </c>
      <c r="AH217" s="65" t="s">
        <v>299</v>
      </c>
      <c r="AI217" s="66">
        <v>23.0</v>
      </c>
      <c r="AJ217" s="36" t="str">
        <f t="shared" si="501"/>
        <v>I</v>
      </c>
      <c r="AK217" s="66">
        <v>20.0</v>
      </c>
      <c r="AL217" s="36" t="str">
        <f t="shared" si="502"/>
        <v>I</v>
      </c>
      <c r="AM217" s="66">
        <v>15.0</v>
      </c>
      <c r="AN217" s="36" t="str">
        <f t="shared" si="503"/>
        <v>S</v>
      </c>
      <c r="AO217" s="66" t="s">
        <v>299</v>
      </c>
      <c r="AP217" s="67">
        <v>19.0</v>
      </c>
      <c r="AQ217" s="37" t="str">
        <f t="shared" si="504"/>
        <v>S</v>
      </c>
      <c r="AR217" s="65">
        <v>13.0</v>
      </c>
      <c r="AS217" s="33" t="str">
        <f t="shared" si="505"/>
        <v>R</v>
      </c>
      <c r="AT217" s="65">
        <v>16.0</v>
      </c>
      <c r="AU217" s="33" t="str">
        <f t="shared" si="506"/>
        <v>S</v>
      </c>
      <c r="AV217" s="65" t="s">
        <v>299</v>
      </c>
      <c r="AW217" s="28">
        <v>18.0</v>
      </c>
      <c r="AX217" s="26" t="str">
        <f t="shared" si="507"/>
        <v>R</v>
      </c>
      <c r="AY217" s="67">
        <v>18.0</v>
      </c>
      <c r="AZ217" s="37" t="str">
        <f t="shared" si="508"/>
        <v>R</v>
      </c>
      <c r="BA217" s="66">
        <v>24.0</v>
      </c>
      <c r="BB217" s="36" t="str">
        <f t="shared" si="509"/>
        <v>S</v>
      </c>
      <c r="BC217" s="39" t="s">
        <v>357</v>
      </c>
      <c r="BD217" s="39" t="s">
        <v>357</v>
      </c>
      <c r="BE217" s="66">
        <v>22.0</v>
      </c>
      <c r="BF217" s="36" t="str">
        <f t="shared" si="510"/>
        <v>S</v>
      </c>
      <c r="BG217" s="68">
        <v>14.0</v>
      </c>
      <c r="BH217" s="41" t="str">
        <f t="shared" si="511"/>
        <v>R</v>
      </c>
      <c r="BI217" s="41"/>
    </row>
    <row r="218">
      <c r="A218" s="21" t="s">
        <v>522</v>
      </c>
      <c r="B218" s="21" t="s">
        <v>444</v>
      </c>
      <c r="C218" s="21" t="s">
        <v>938</v>
      </c>
      <c r="D218" s="62" t="s">
        <v>190</v>
      </c>
      <c r="E218" s="18" t="s">
        <v>190</v>
      </c>
      <c r="F218" s="18" t="s">
        <v>192</v>
      </c>
      <c r="G218" s="63" t="s">
        <v>939</v>
      </c>
      <c r="H218" s="42" t="s">
        <v>479</v>
      </c>
      <c r="I218" s="28">
        <v>6.0</v>
      </c>
      <c r="J218" s="26" t="str">
        <f t="shared" si="489"/>
        <v>R</v>
      </c>
      <c r="K218" s="28">
        <v>18.0</v>
      </c>
      <c r="L218" s="26" t="str">
        <f t="shared" si="490"/>
        <v>R</v>
      </c>
      <c r="M218" s="28">
        <v>15.0</v>
      </c>
      <c r="N218" s="26" t="str">
        <f t="shared" si="491"/>
        <v>R</v>
      </c>
      <c r="O218" s="28">
        <v>21.0</v>
      </c>
      <c r="P218" s="26" t="str">
        <f t="shared" si="492"/>
        <v>I</v>
      </c>
      <c r="Q218" s="28">
        <v>18.0</v>
      </c>
      <c r="R218" s="26" t="str">
        <f t="shared" si="493"/>
        <v>R</v>
      </c>
      <c r="S218" s="28">
        <v>16.0</v>
      </c>
      <c r="T218" s="26" t="str">
        <f t="shared" si="494"/>
        <v>R</v>
      </c>
      <c r="U218" s="28">
        <v>6.0</v>
      </c>
      <c r="V218" s="26" t="str">
        <f t="shared" si="495"/>
        <v>R</v>
      </c>
      <c r="W218" s="32" t="s">
        <v>299</v>
      </c>
      <c r="X218" s="65">
        <v>22.0</v>
      </c>
      <c r="Y218" s="33" t="str">
        <f t="shared" si="496"/>
        <v>S</v>
      </c>
      <c r="Z218" s="65">
        <v>11.0</v>
      </c>
      <c r="AA218" s="33" t="str">
        <f t="shared" si="497"/>
        <v>R</v>
      </c>
      <c r="AB218" s="65">
        <v>26.0</v>
      </c>
      <c r="AC218" s="33" t="str">
        <f t="shared" si="498"/>
        <v>S</v>
      </c>
      <c r="AD218" s="65">
        <v>18.0</v>
      </c>
      <c r="AE218" s="33" t="str">
        <f t="shared" si="499"/>
        <v>S</v>
      </c>
      <c r="AF218" s="65">
        <v>27.0</v>
      </c>
      <c r="AG218" s="33" t="str">
        <f t="shared" si="500"/>
        <v>S</v>
      </c>
      <c r="AH218" s="65" t="s">
        <v>299</v>
      </c>
      <c r="AI218" s="66">
        <v>24.0</v>
      </c>
      <c r="AJ218" s="36" t="str">
        <f t="shared" si="501"/>
        <v>I</v>
      </c>
      <c r="AK218" s="66">
        <v>21.0</v>
      </c>
      <c r="AL218" s="36" t="str">
        <f t="shared" si="502"/>
        <v>I</v>
      </c>
      <c r="AM218" s="66">
        <v>17.0</v>
      </c>
      <c r="AN218" s="36" t="str">
        <f t="shared" si="503"/>
        <v>S</v>
      </c>
      <c r="AO218" s="66" t="s">
        <v>299</v>
      </c>
      <c r="AP218" s="67">
        <v>20.0</v>
      </c>
      <c r="AQ218" s="37" t="str">
        <f t="shared" si="504"/>
        <v>S</v>
      </c>
      <c r="AR218" s="65">
        <v>15.0</v>
      </c>
      <c r="AS218" s="33" t="str">
        <f t="shared" si="505"/>
        <v>R</v>
      </c>
      <c r="AT218" s="65">
        <v>18.0</v>
      </c>
      <c r="AU218" s="33" t="str">
        <f t="shared" si="506"/>
        <v>S</v>
      </c>
      <c r="AV218" s="65" t="s">
        <v>299</v>
      </c>
      <c r="AW218" s="28">
        <v>20.0</v>
      </c>
      <c r="AX218" s="26" t="str">
        <f t="shared" si="507"/>
        <v>S</v>
      </c>
      <c r="AY218" s="67">
        <v>16.0</v>
      </c>
      <c r="AZ218" s="37" t="str">
        <f t="shared" si="508"/>
        <v>R</v>
      </c>
      <c r="BA218" s="66">
        <v>22.0</v>
      </c>
      <c r="BB218" s="36" t="str">
        <f t="shared" si="509"/>
        <v>R</v>
      </c>
      <c r="BC218" s="39" t="s">
        <v>357</v>
      </c>
      <c r="BD218" s="39" t="s">
        <v>357</v>
      </c>
      <c r="BE218" s="66">
        <v>19.0</v>
      </c>
      <c r="BF218" s="36" t="str">
        <f t="shared" si="510"/>
        <v>I</v>
      </c>
      <c r="BG218" s="68">
        <v>14.0</v>
      </c>
      <c r="BH218" s="41" t="str">
        <f t="shared" si="511"/>
        <v>R</v>
      </c>
      <c r="BI218" s="41"/>
    </row>
    <row r="219">
      <c r="A219" s="21" t="s">
        <v>522</v>
      </c>
      <c r="B219" s="23">
        <v>130.0</v>
      </c>
      <c r="C219" s="21" t="s">
        <v>943</v>
      </c>
      <c r="D219" s="62" t="s">
        <v>190</v>
      </c>
      <c r="E219" s="18" t="s">
        <v>190</v>
      </c>
      <c r="F219" s="18" t="s">
        <v>192</v>
      </c>
      <c r="G219" s="63" t="s">
        <v>944</v>
      </c>
      <c r="H219" s="22" t="s">
        <v>198</v>
      </c>
      <c r="I219" s="28">
        <v>24.0</v>
      </c>
      <c r="J219" s="26" t="str">
        <f t="shared" si="489"/>
        <v>S</v>
      </c>
      <c r="K219" s="28">
        <v>22.0</v>
      </c>
      <c r="L219" s="26" t="str">
        <f t="shared" si="490"/>
        <v>S</v>
      </c>
      <c r="M219" s="28">
        <v>29.0</v>
      </c>
      <c r="N219" s="26" t="str">
        <f t="shared" si="491"/>
        <v>S</v>
      </c>
      <c r="O219" s="28">
        <v>25.0</v>
      </c>
      <c r="P219" s="26" t="str">
        <f t="shared" si="492"/>
        <v>S</v>
      </c>
      <c r="Q219" s="28">
        <v>22.0</v>
      </c>
      <c r="R219" s="26" t="str">
        <f t="shared" si="493"/>
        <v>S</v>
      </c>
      <c r="S219" s="28">
        <v>15.0</v>
      </c>
      <c r="T219" s="26" t="str">
        <f t="shared" si="494"/>
        <v>R</v>
      </c>
      <c r="U219" s="28">
        <v>12.0</v>
      </c>
      <c r="V219" s="26" t="str">
        <f t="shared" si="495"/>
        <v>R</v>
      </c>
      <c r="W219" s="32" t="s">
        <v>299</v>
      </c>
      <c r="X219" s="65">
        <v>26.0</v>
      </c>
      <c r="Y219" s="33" t="str">
        <f t="shared" si="496"/>
        <v>S</v>
      </c>
      <c r="Z219" s="65">
        <v>22.0</v>
      </c>
      <c r="AA219" s="33" t="str">
        <f t="shared" si="497"/>
        <v>S</v>
      </c>
      <c r="AB219" s="65">
        <v>28.0</v>
      </c>
      <c r="AC219" s="33" t="str">
        <f t="shared" si="498"/>
        <v>S</v>
      </c>
      <c r="AD219" s="65">
        <v>18.0</v>
      </c>
      <c r="AE219" s="33" t="str">
        <f t="shared" si="499"/>
        <v>S</v>
      </c>
      <c r="AF219" s="65">
        <v>30.0</v>
      </c>
      <c r="AG219" s="33" t="str">
        <f t="shared" si="500"/>
        <v>S</v>
      </c>
      <c r="AH219" s="33" t="s">
        <v>300</v>
      </c>
      <c r="AI219" s="66">
        <v>36.0</v>
      </c>
      <c r="AJ219" s="36" t="str">
        <f t="shared" si="501"/>
        <v>S</v>
      </c>
      <c r="AK219" s="66">
        <v>27.0</v>
      </c>
      <c r="AL219" s="36" t="str">
        <f t="shared" si="502"/>
        <v>S</v>
      </c>
      <c r="AM219" s="66">
        <v>18.0</v>
      </c>
      <c r="AN219" s="36" t="str">
        <f t="shared" si="503"/>
        <v>S</v>
      </c>
      <c r="AO219" s="36" t="s">
        <v>300</v>
      </c>
      <c r="AP219" s="67">
        <v>21.0</v>
      </c>
      <c r="AQ219" s="37" t="str">
        <f t="shared" si="504"/>
        <v>S</v>
      </c>
      <c r="AR219" s="65">
        <v>16.0</v>
      </c>
      <c r="AS219" s="33" t="str">
        <f t="shared" si="505"/>
        <v>R</v>
      </c>
      <c r="AT219" s="65">
        <v>24.0</v>
      </c>
      <c r="AU219" s="33" t="str">
        <f t="shared" si="506"/>
        <v>S</v>
      </c>
      <c r="AV219" s="65" t="s">
        <v>299</v>
      </c>
      <c r="AW219" s="28">
        <v>25.0</v>
      </c>
      <c r="AX219" s="26" t="str">
        <f t="shared" si="507"/>
        <v>S</v>
      </c>
      <c r="AY219" s="67">
        <v>22.0</v>
      </c>
      <c r="AZ219" s="37" t="str">
        <f t="shared" si="508"/>
        <v>I</v>
      </c>
      <c r="BA219" s="66">
        <v>26.0</v>
      </c>
      <c r="BB219" s="36" t="str">
        <f t="shared" si="509"/>
        <v>S</v>
      </c>
      <c r="BC219" s="39" t="s">
        <v>357</v>
      </c>
      <c r="BD219" s="39" t="s">
        <v>357</v>
      </c>
      <c r="BE219" s="66">
        <v>28.0</v>
      </c>
      <c r="BF219" s="36" t="str">
        <f t="shared" si="510"/>
        <v>S</v>
      </c>
      <c r="BG219" s="68">
        <v>18.0</v>
      </c>
      <c r="BH219" s="41" t="str">
        <f t="shared" si="511"/>
        <v>S</v>
      </c>
      <c r="BI219" s="41"/>
    </row>
    <row r="220">
      <c r="A220" s="21" t="s">
        <v>522</v>
      </c>
      <c r="B220" s="21" t="s">
        <v>444</v>
      </c>
      <c r="C220" s="21" t="s">
        <v>1445</v>
      </c>
      <c r="D220" s="62" t="s">
        <v>190</v>
      </c>
      <c r="E220" s="18" t="s">
        <v>190</v>
      </c>
      <c r="F220" s="18" t="s">
        <v>192</v>
      </c>
      <c r="G220" s="63" t="s">
        <v>1446</v>
      </c>
      <c r="H220" s="22" t="s">
        <v>198</v>
      </c>
      <c r="I220" s="28">
        <v>26.0</v>
      </c>
      <c r="J220" s="26" t="str">
        <f t="shared" si="489"/>
        <v>S</v>
      </c>
      <c r="K220" s="28">
        <v>24.0</v>
      </c>
      <c r="L220" s="26" t="str">
        <f t="shared" si="490"/>
        <v>S</v>
      </c>
      <c r="M220" s="28">
        <v>29.0</v>
      </c>
      <c r="N220" s="26" t="str">
        <f t="shared" si="491"/>
        <v>S</v>
      </c>
      <c r="O220" s="28">
        <v>25.0</v>
      </c>
      <c r="P220" s="26" t="str">
        <f t="shared" si="492"/>
        <v>S</v>
      </c>
      <c r="Q220" s="28">
        <v>22.0</v>
      </c>
      <c r="R220" s="26" t="str">
        <f t="shared" si="493"/>
        <v>S</v>
      </c>
      <c r="S220" s="28">
        <v>15.0</v>
      </c>
      <c r="T220" s="26" t="str">
        <f t="shared" si="494"/>
        <v>R</v>
      </c>
      <c r="U220" s="28">
        <v>12.0</v>
      </c>
      <c r="V220" s="26" t="str">
        <f t="shared" si="495"/>
        <v>R</v>
      </c>
      <c r="W220" s="32" t="s">
        <v>299</v>
      </c>
      <c r="X220" s="65">
        <v>28.0</v>
      </c>
      <c r="Y220" s="33" t="str">
        <f t="shared" si="496"/>
        <v>S</v>
      </c>
      <c r="Z220" s="65">
        <v>23.0</v>
      </c>
      <c r="AA220" s="33" t="str">
        <f t="shared" si="497"/>
        <v>S</v>
      </c>
      <c r="AB220" s="65">
        <v>26.0</v>
      </c>
      <c r="AC220" s="33" t="str">
        <f t="shared" si="498"/>
        <v>S</v>
      </c>
      <c r="AD220" s="65">
        <v>18.0</v>
      </c>
      <c r="AE220" s="33" t="str">
        <f t="shared" si="499"/>
        <v>S</v>
      </c>
      <c r="AF220" s="65">
        <v>31.0</v>
      </c>
      <c r="AG220" s="33" t="str">
        <f t="shared" si="500"/>
        <v>S</v>
      </c>
      <c r="AH220" s="33" t="s">
        <v>300</v>
      </c>
      <c r="AI220" s="66">
        <v>36.0</v>
      </c>
      <c r="AJ220" s="36" t="str">
        <f t="shared" si="501"/>
        <v>S</v>
      </c>
      <c r="AK220" s="66">
        <v>27.0</v>
      </c>
      <c r="AL220" s="36" t="str">
        <f t="shared" si="502"/>
        <v>S</v>
      </c>
      <c r="AM220" s="66">
        <v>18.0</v>
      </c>
      <c r="AN220" s="36" t="str">
        <f t="shared" si="503"/>
        <v>S</v>
      </c>
      <c r="AO220" s="36" t="s">
        <v>300</v>
      </c>
      <c r="AP220" s="67">
        <v>21.0</v>
      </c>
      <c r="AQ220" s="37" t="str">
        <f t="shared" si="504"/>
        <v>S</v>
      </c>
      <c r="AR220" s="65">
        <v>15.0</v>
      </c>
      <c r="AS220" s="33" t="str">
        <f t="shared" si="505"/>
        <v>R</v>
      </c>
      <c r="AT220" s="65">
        <v>24.0</v>
      </c>
      <c r="AU220" s="33" t="str">
        <f t="shared" si="506"/>
        <v>S</v>
      </c>
      <c r="AV220" s="65" t="s">
        <v>299</v>
      </c>
      <c r="AW220" s="28">
        <v>25.0</v>
      </c>
      <c r="AX220" s="26" t="str">
        <f t="shared" si="507"/>
        <v>S</v>
      </c>
      <c r="AY220" s="67">
        <v>22.0</v>
      </c>
      <c r="AZ220" s="37" t="str">
        <f t="shared" si="508"/>
        <v>I</v>
      </c>
      <c r="BA220" s="66">
        <v>25.0</v>
      </c>
      <c r="BB220" s="36" t="str">
        <f t="shared" si="509"/>
        <v>S</v>
      </c>
      <c r="BC220" s="39" t="s">
        <v>357</v>
      </c>
      <c r="BD220" s="39" t="s">
        <v>357</v>
      </c>
      <c r="BE220" s="66">
        <v>28.0</v>
      </c>
      <c r="BF220" s="36" t="str">
        <f t="shared" si="510"/>
        <v>S</v>
      </c>
      <c r="BG220" s="68">
        <v>18.0</v>
      </c>
      <c r="BH220" s="41" t="str">
        <f t="shared" si="511"/>
        <v>S</v>
      </c>
      <c r="BI220" s="41"/>
    </row>
    <row r="221">
      <c r="A221" s="21" t="s">
        <v>522</v>
      </c>
      <c r="B221" s="21" t="s">
        <v>444</v>
      </c>
      <c r="C221" s="21" t="s">
        <v>1447</v>
      </c>
      <c r="D221" s="62" t="s">
        <v>190</v>
      </c>
      <c r="E221" s="18" t="s">
        <v>190</v>
      </c>
      <c r="F221" s="18" t="s">
        <v>192</v>
      </c>
      <c r="G221" s="63" t="s">
        <v>1448</v>
      </c>
      <c r="H221" s="22" t="s">
        <v>198</v>
      </c>
      <c r="I221" s="28">
        <v>24.0</v>
      </c>
      <c r="J221" s="26" t="str">
        <f t="shared" si="489"/>
        <v>S</v>
      </c>
      <c r="K221" s="28">
        <v>23.0</v>
      </c>
      <c r="L221" s="26" t="str">
        <f t="shared" si="490"/>
        <v>S</v>
      </c>
      <c r="M221" s="28">
        <v>29.0</v>
      </c>
      <c r="N221" s="26" t="str">
        <f t="shared" si="491"/>
        <v>S</v>
      </c>
      <c r="O221" s="28">
        <v>25.0</v>
      </c>
      <c r="P221" s="26" t="str">
        <f t="shared" si="492"/>
        <v>S</v>
      </c>
      <c r="Q221" s="28">
        <v>22.0</v>
      </c>
      <c r="R221" s="26" t="str">
        <f t="shared" si="493"/>
        <v>S</v>
      </c>
      <c r="S221" s="28">
        <v>15.0</v>
      </c>
      <c r="T221" s="26" t="str">
        <f t="shared" si="494"/>
        <v>R</v>
      </c>
      <c r="U221" s="28">
        <v>12.0</v>
      </c>
      <c r="V221" s="26" t="str">
        <f t="shared" si="495"/>
        <v>R</v>
      </c>
      <c r="W221" s="32" t="s">
        <v>299</v>
      </c>
      <c r="X221" s="65">
        <v>23.0</v>
      </c>
      <c r="Y221" s="33" t="str">
        <f t="shared" si="496"/>
        <v>S</v>
      </c>
      <c r="Z221" s="65">
        <v>14.0</v>
      </c>
      <c r="AA221" s="33" t="str">
        <f t="shared" si="497"/>
        <v>R</v>
      </c>
      <c r="AB221" s="65">
        <v>26.0</v>
      </c>
      <c r="AC221" s="33" t="str">
        <f t="shared" si="498"/>
        <v>S</v>
      </c>
      <c r="AD221" s="65">
        <v>18.0</v>
      </c>
      <c r="AE221" s="33" t="str">
        <f t="shared" si="499"/>
        <v>S</v>
      </c>
      <c r="AF221" s="65">
        <v>30.0</v>
      </c>
      <c r="AG221" s="33" t="str">
        <f t="shared" si="500"/>
        <v>S</v>
      </c>
      <c r="AH221" s="65" t="s">
        <v>299</v>
      </c>
      <c r="AI221" s="66">
        <v>36.0</v>
      </c>
      <c r="AJ221" s="36" t="str">
        <f t="shared" si="501"/>
        <v>S</v>
      </c>
      <c r="AK221" s="66">
        <v>27.0</v>
      </c>
      <c r="AL221" s="36" t="str">
        <f t="shared" si="502"/>
        <v>S</v>
      </c>
      <c r="AM221" s="66">
        <v>21.0</v>
      </c>
      <c r="AN221" s="36" t="str">
        <f t="shared" si="503"/>
        <v>S</v>
      </c>
      <c r="AO221" s="36" t="s">
        <v>300</v>
      </c>
      <c r="AP221" s="67">
        <v>21.0</v>
      </c>
      <c r="AQ221" s="37" t="str">
        <f t="shared" si="504"/>
        <v>S</v>
      </c>
      <c r="AR221" s="65">
        <v>15.0</v>
      </c>
      <c r="AS221" s="33" t="str">
        <f t="shared" si="505"/>
        <v>R</v>
      </c>
      <c r="AT221" s="65">
        <v>24.0</v>
      </c>
      <c r="AU221" s="33" t="str">
        <f t="shared" si="506"/>
        <v>S</v>
      </c>
      <c r="AV221" s="65" t="s">
        <v>299</v>
      </c>
      <c r="AW221" s="28">
        <v>25.0</v>
      </c>
      <c r="AX221" s="26" t="str">
        <f t="shared" si="507"/>
        <v>S</v>
      </c>
      <c r="AY221" s="67">
        <v>22.0</v>
      </c>
      <c r="AZ221" s="37" t="str">
        <f t="shared" si="508"/>
        <v>I</v>
      </c>
      <c r="BA221" s="66">
        <v>27.0</v>
      </c>
      <c r="BB221" s="36" t="str">
        <f t="shared" si="509"/>
        <v>S</v>
      </c>
      <c r="BC221" s="39" t="s">
        <v>357</v>
      </c>
      <c r="BD221" s="39" t="s">
        <v>357</v>
      </c>
      <c r="BE221" s="66">
        <v>28.0</v>
      </c>
      <c r="BF221" s="36" t="str">
        <f t="shared" si="510"/>
        <v>S</v>
      </c>
      <c r="BG221" s="68">
        <v>18.0</v>
      </c>
      <c r="BH221" s="41" t="str">
        <f t="shared" si="511"/>
        <v>S</v>
      </c>
      <c r="BI221" s="41"/>
    </row>
    <row r="222">
      <c r="A222" s="21" t="s">
        <v>522</v>
      </c>
      <c r="B222" s="23">
        <v>131.0</v>
      </c>
      <c r="C222" s="21" t="s">
        <v>948</v>
      </c>
      <c r="D222" s="69" t="s">
        <v>571</v>
      </c>
      <c r="E222" s="18" t="s">
        <v>572</v>
      </c>
      <c r="F222" s="18" t="s">
        <v>192</v>
      </c>
      <c r="G222" s="63" t="s">
        <v>949</v>
      </c>
      <c r="H222" s="22" t="s">
        <v>198</v>
      </c>
      <c r="I222" s="28">
        <v>6.0</v>
      </c>
      <c r="J222" s="26" t="str">
        <f t="shared" si="489"/>
        <v>R</v>
      </c>
      <c r="K222" s="28">
        <v>6.0</v>
      </c>
      <c r="L222" s="26" t="str">
        <f t="shared" si="490"/>
        <v>R</v>
      </c>
      <c r="M222" s="28">
        <v>6.0</v>
      </c>
      <c r="N222" s="26" t="str">
        <f t="shared" si="491"/>
        <v>R</v>
      </c>
      <c r="O222" s="28">
        <v>23.0</v>
      </c>
      <c r="P222" s="26" t="str">
        <f t="shared" si="492"/>
        <v>S</v>
      </c>
      <c r="Q222" s="28">
        <v>6.0</v>
      </c>
      <c r="R222" s="26" t="str">
        <f t="shared" si="493"/>
        <v>R</v>
      </c>
      <c r="S222" s="28">
        <v>20.0</v>
      </c>
      <c r="T222" s="26" t="str">
        <f t="shared" si="494"/>
        <v>S</v>
      </c>
      <c r="U222" s="28">
        <v>15.0</v>
      </c>
      <c r="V222" s="26" t="str">
        <f t="shared" si="495"/>
        <v>R</v>
      </c>
      <c r="W222" s="32" t="s">
        <v>299</v>
      </c>
      <c r="X222" s="65">
        <v>15.0</v>
      </c>
      <c r="Y222" s="33" t="str">
        <f t="shared" si="496"/>
        <v>R</v>
      </c>
      <c r="Z222" s="65">
        <v>6.0</v>
      </c>
      <c r="AA222" s="33" t="str">
        <f t="shared" si="497"/>
        <v>R</v>
      </c>
      <c r="AB222" s="65">
        <v>6.0</v>
      </c>
      <c r="AC222" s="33" t="str">
        <f t="shared" si="498"/>
        <v>R</v>
      </c>
      <c r="AD222" s="65">
        <v>18.0</v>
      </c>
      <c r="AE222" s="33" t="str">
        <f t="shared" si="499"/>
        <v>S</v>
      </c>
      <c r="AF222" s="65">
        <v>18.0</v>
      </c>
      <c r="AG222" s="33" t="str">
        <f t="shared" si="500"/>
        <v>R</v>
      </c>
      <c r="AH222" s="65" t="s">
        <v>299</v>
      </c>
      <c r="AI222" s="66">
        <v>20.0</v>
      </c>
      <c r="AJ222" s="36" t="str">
        <f t="shared" si="501"/>
        <v>R</v>
      </c>
      <c r="AK222" s="66">
        <v>15.0</v>
      </c>
      <c r="AL222" s="36" t="str">
        <f t="shared" si="502"/>
        <v>R</v>
      </c>
      <c r="AM222" s="66">
        <v>10.0</v>
      </c>
      <c r="AN222" s="36" t="str">
        <f t="shared" si="503"/>
        <v>R</v>
      </c>
      <c r="AO222" s="66" t="s">
        <v>299</v>
      </c>
      <c r="AP222" s="67">
        <v>12.0</v>
      </c>
      <c r="AQ222" s="37" t="str">
        <f t="shared" si="504"/>
        <v>I</v>
      </c>
      <c r="AR222" s="65">
        <v>21.0</v>
      </c>
      <c r="AS222" s="33" t="str">
        <f t="shared" si="505"/>
        <v>S</v>
      </c>
      <c r="AT222" s="65">
        <v>18.0</v>
      </c>
      <c r="AU222" s="33" t="str">
        <f t="shared" si="506"/>
        <v>S</v>
      </c>
      <c r="AV222" s="33" t="s">
        <v>300</v>
      </c>
      <c r="AW222" s="28">
        <v>20.0</v>
      </c>
      <c r="AX222" s="26" t="str">
        <f t="shared" si="507"/>
        <v>S</v>
      </c>
      <c r="AY222" s="67">
        <v>20.0</v>
      </c>
      <c r="AZ222" s="37" t="str">
        <f t="shared" si="508"/>
        <v>R</v>
      </c>
      <c r="BA222" s="66">
        <v>18.0</v>
      </c>
      <c r="BB222" s="36" t="str">
        <f t="shared" si="509"/>
        <v>R</v>
      </c>
      <c r="BC222" s="39" t="s">
        <v>357</v>
      </c>
      <c r="BD222" s="39" t="s">
        <v>357</v>
      </c>
      <c r="BE222" s="66">
        <v>18.0</v>
      </c>
      <c r="BF222" s="36" t="str">
        <f t="shared" si="510"/>
        <v>R</v>
      </c>
      <c r="BG222" s="68">
        <v>10.0</v>
      </c>
      <c r="BH222" s="41" t="str">
        <f t="shared" si="511"/>
        <v>R</v>
      </c>
      <c r="BI222" s="41"/>
    </row>
    <row r="223">
      <c r="A223" s="21" t="s">
        <v>522</v>
      </c>
      <c r="B223" s="21" t="s">
        <v>444</v>
      </c>
      <c r="C223" s="21" t="s">
        <v>1449</v>
      </c>
      <c r="D223" s="69" t="s">
        <v>571</v>
      </c>
      <c r="E223" s="18" t="s">
        <v>572</v>
      </c>
      <c r="F223" s="18" t="s">
        <v>192</v>
      </c>
      <c r="G223" s="63" t="s">
        <v>1450</v>
      </c>
      <c r="H223" s="22" t="s">
        <v>198</v>
      </c>
      <c r="I223" s="28">
        <v>6.0</v>
      </c>
      <c r="J223" s="26" t="str">
        <f t="shared" si="489"/>
        <v>R</v>
      </c>
      <c r="K223" s="28">
        <v>6.0</v>
      </c>
      <c r="L223" s="26" t="str">
        <f t="shared" si="490"/>
        <v>R</v>
      </c>
      <c r="M223" s="28">
        <v>6.0</v>
      </c>
      <c r="N223" s="26" t="str">
        <f t="shared" si="491"/>
        <v>R</v>
      </c>
      <c r="O223" s="28">
        <v>23.0</v>
      </c>
      <c r="P223" s="26" t="str">
        <f t="shared" si="492"/>
        <v>S</v>
      </c>
      <c r="Q223" s="28">
        <v>6.0</v>
      </c>
      <c r="R223" s="26" t="str">
        <f t="shared" si="493"/>
        <v>R</v>
      </c>
      <c r="S223" s="28">
        <v>20.0</v>
      </c>
      <c r="T223" s="26" t="str">
        <f t="shared" si="494"/>
        <v>S</v>
      </c>
      <c r="U223" s="28">
        <v>15.0</v>
      </c>
      <c r="V223" s="26" t="str">
        <f t="shared" si="495"/>
        <v>R</v>
      </c>
      <c r="W223" s="32" t="s">
        <v>299</v>
      </c>
      <c r="X223" s="65">
        <v>15.0</v>
      </c>
      <c r="Y223" s="33" t="str">
        <f t="shared" si="496"/>
        <v>R</v>
      </c>
      <c r="Z223" s="65">
        <v>6.0</v>
      </c>
      <c r="AA223" s="33" t="str">
        <f t="shared" si="497"/>
        <v>R</v>
      </c>
      <c r="AB223" s="65">
        <v>6.0</v>
      </c>
      <c r="AC223" s="33" t="str">
        <f t="shared" si="498"/>
        <v>R</v>
      </c>
      <c r="AD223" s="65">
        <v>18.0</v>
      </c>
      <c r="AE223" s="33" t="str">
        <f t="shared" si="499"/>
        <v>S</v>
      </c>
      <c r="AF223" s="65">
        <v>18.0</v>
      </c>
      <c r="AG223" s="33" t="str">
        <f t="shared" si="500"/>
        <v>R</v>
      </c>
      <c r="AH223" s="65" t="s">
        <v>299</v>
      </c>
      <c r="AI223" s="66">
        <v>20.0</v>
      </c>
      <c r="AJ223" s="36" t="str">
        <f t="shared" si="501"/>
        <v>R</v>
      </c>
      <c r="AK223" s="66">
        <v>15.0</v>
      </c>
      <c r="AL223" s="36" t="str">
        <f t="shared" si="502"/>
        <v>R</v>
      </c>
      <c r="AM223" s="66">
        <v>10.0</v>
      </c>
      <c r="AN223" s="36" t="str">
        <f t="shared" si="503"/>
        <v>R</v>
      </c>
      <c r="AO223" s="66" t="s">
        <v>299</v>
      </c>
      <c r="AP223" s="67">
        <v>12.0</v>
      </c>
      <c r="AQ223" s="37" t="str">
        <f t="shared" si="504"/>
        <v>I</v>
      </c>
      <c r="AR223" s="65">
        <v>21.0</v>
      </c>
      <c r="AS223" s="33" t="str">
        <f t="shared" si="505"/>
        <v>S</v>
      </c>
      <c r="AT223" s="65">
        <v>18.0</v>
      </c>
      <c r="AU223" s="33" t="str">
        <f t="shared" si="506"/>
        <v>S</v>
      </c>
      <c r="AV223" s="33" t="s">
        <v>300</v>
      </c>
      <c r="AW223" s="28">
        <v>20.0</v>
      </c>
      <c r="AX223" s="26" t="str">
        <f t="shared" si="507"/>
        <v>S</v>
      </c>
      <c r="AY223" s="67">
        <v>20.0</v>
      </c>
      <c r="AZ223" s="37" t="str">
        <f t="shared" si="508"/>
        <v>R</v>
      </c>
      <c r="BA223" s="66">
        <v>18.0</v>
      </c>
      <c r="BB223" s="36" t="str">
        <f t="shared" si="509"/>
        <v>R</v>
      </c>
      <c r="BC223" s="39" t="s">
        <v>357</v>
      </c>
      <c r="BD223" s="39" t="s">
        <v>357</v>
      </c>
      <c r="BE223" s="66">
        <v>18.0</v>
      </c>
      <c r="BF223" s="36" t="str">
        <f t="shared" si="510"/>
        <v>R</v>
      </c>
      <c r="BG223" s="68">
        <v>10.0</v>
      </c>
      <c r="BH223" s="41" t="str">
        <f t="shared" si="511"/>
        <v>R</v>
      </c>
      <c r="BI223" s="41"/>
    </row>
    <row r="224">
      <c r="A224" s="21" t="s">
        <v>522</v>
      </c>
      <c r="B224" s="21" t="s">
        <v>444</v>
      </c>
      <c r="C224" s="21" t="s">
        <v>1451</v>
      </c>
      <c r="D224" s="69" t="s">
        <v>571</v>
      </c>
      <c r="E224" s="18" t="s">
        <v>572</v>
      </c>
      <c r="F224" s="18" t="s">
        <v>192</v>
      </c>
      <c r="G224" s="63" t="s">
        <v>1452</v>
      </c>
      <c r="H224" s="22" t="s">
        <v>198</v>
      </c>
      <c r="I224" s="28">
        <v>6.0</v>
      </c>
      <c r="J224" s="26" t="str">
        <f t="shared" si="489"/>
        <v>R</v>
      </c>
      <c r="K224" s="28">
        <v>6.0</v>
      </c>
      <c r="L224" s="26" t="str">
        <f t="shared" si="490"/>
        <v>R</v>
      </c>
      <c r="M224" s="28">
        <v>6.0</v>
      </c>
      <c r="N224" s="26" t="str">
        <f t="shared" si="491"/>
        <v>R</v>
      </c>
      <c r="O224" s="28">
        <v>23.0</v>
      </c>
      <c r="P224" s="26" t="str">
        <f t="shared" si="492"/>
        <v>S</v>
      </c>
      <c r="Q224" s="28">
        <v>6.0</v>
      </c>
      <c r="R224" s="26" t="str">
        <f t="shared" si="493"/>
        <v>R</v>
      </c>
      <c r="S224" s="28">
        <v>20.0</v>
      </c>
      <c r="T224" s="26" t="str">
        <f t="shared" si="494"/>
        <v>S</v>
      </c>
      <c r="U224" s="28">
        <v>15.0</v>
      </c>
      <c r="V224" s="26" t="str">
        <f t="shared" si="495"/>
        <v>R</v>
      </c>
      <c r="W224" s="32" t="s">
        <v>299</v>
      </c>
      <c r="X224" s="65">
        <v>15.0</v>
      </c>
      <c r="Y224" s="33" t="str">
        <f t="shared" si="496"/>
        <v>R</v>
      </c>
      <c r="Z224" s="65">
        <v>6.0</v>
      </c>
      <c r="AA224" s="33" t="str">
        <f t="shared" si="497"/>
        <v>R</v>
      </c>
      <c r="AB224" s="65">
        <v>6.0</v>
      </c>
      <c r="AC224" s="33" t="str">
        <f t="shared" si="498"/>
        <v>R</v>
      </c>
      <c r="AD224" s="65">
        <v>18.0</v>
      </c>
      <c r="AE224" s="33" t="str">
        <f t="shared" si="499"/>
        <v>S</v>
      </c>
      <c r="AF224" s="65">
        <v>18.0</v>
      </c>
      <c r="AG224" s="33" t="str">
        <f t="shared" si="500"/>
        <v>R</v>
      </c>
      <c r="AH224" s="65" t="s">
        <v>299</v>
      </c>
      <c r="AI224" s="66">
        <v>20.0</v>
      </c>
      <c r="AJ224" s="36" t="str">
        <f t="shared" si="501"/>
        <v>R</v>
      </c>
      <c r="AK224" s="66">
        <v>15.0</v>
      </c>
      <c r="AL224" s="36" t="str">
        <f t="shared" si="502"/>
        <v>R</v>
      </c>
      <c r="AM224" s="66">
        <v>10.0</v>
      </c>
      <c r="AN224" s="36" t="str">
        <f t="shared" si="503"/>
        <v>R</v>
      </c>
      <c r="AO224" s="66" t="s">
        <v>299</v>
      </c>
      <c r="AP224" s="67">
        <v>12.0</v>
      </c>
      <c r="AQ224" s="37" t="str">
        <f t="shared" si="504"/>
        <v>I</v>
      </c>
      <c r="AR224" s="65">
        <v>21.0</v>
      </c>
      <c r="AS224" s="33" t="str">
        <f t="shared" si="505"/>
        <v>S</v>
      </c>
      <c r="AT224" s="65">
        <v>18.0</v>
      </c>
      <c r="AU224" s="33" t="str">
        <f t="shared" si="506"/>
        <v>S</v>
      </c>
      <c r="AV224" s="33" t="s">
        <v>300</v>
      </c>
      <c r="AW224" s="28">
        <v>20.0</v>
      </c>
      <c r="AX224" s="26" t="str">
        <f t="shared" si="507"/>
        <v>S</v>
      </c>
      <c r="AY224" s="67">
        <v>20.0</v>
      </c>
      <c r="AZ224" s="37" t="str">
        <f t="shared" si="508"/>
        <v>R</v>
      </c>
      <c r="BA224" s="66">
        <v>18.0</v>
      </c>
      <c r="BB224" s="36" t="str">
        <f t="shared" si="509"/>
        <v>R</v>
      </c>
      <c r="BC224" s="39" t="s">
        <v>357</v>
      </c>
      <c r="BD224" s="39" t="s">
        <v>357</v>
      </c>
      <c r="BE224" s="66">
        <v>18.0</v>
      </c>
      <c r="BF224" s="36" t="str">
        <f t="shared" si="510"/>
        <v>R</v>
      </c>
      <c r="BG224" s="68">
        <v>10.0</v>
      </c>
      <c r="BH224" s="41" t="str">
        <f t="shared" si="511"/>
        <v>R</v>
      </c>
      <c r="BI224" s="41"/>
    </row>
    <row r="225">
      <c r="A225" s="21" t="s">
        <v>522</v>
      </c>
      <c r="B225" s="23">
        <v>132.0</v>
      </c>
      <c r="C225" s="21" t="s">
        <v>950</v>
      </c>
      <c r="D225" s="69" t="s">
        <v>705</v>
      </c>
      <c r="E225" s="18" t="s">
        <v>572</v>
      </c>
      <c r="F225" s="18" t="s">
        <v>573</v>
      </c>
      <c r="G225" s="63" t="s">
        <v>951</v>
      </c>
      <c r="H225" s="72" t="s">
        <v>952</v>
      </c>
      <c r="I225" s="28">
        <v>12.0</v>
      </c>
      <c r="J225" s="26" t="str">
        <f t="shared" si="489"/>
        <v>R</v>
      </c>
      <c r="K225" s="28">
        <v>10.0</v>
      </c>
      <c r="L225" s="26" t="str">
        <f t="shared" si="490"/>
        <v>R</v>
      </c>
      <c r="M225" s="28">
        <v>20.0</v>
      </c>
      <c r="N225" s="26" t="str">
        <f t="shared" si="491"/>
        <v>R</v>
      </c>
      <c r="O225" s="28">
        <v>32.0</v>
      </c>
      <c r="P225" s="26" t="str">
        <f t="shared" si="492"/>
        <v>S</v>
      </c>
      <c r="Q225" s="28">
        <v>20.0</v>
      </c>
      <c r="R225" s="26" t="str">
        <f t="shared" si="493"/>
        <v>S</v>
      </c>
      <c r="S225" s="28">
        <v>18.0</v>
      </c>
      <c r="T225" s="26" t="str">
        <f t="shared" si="494"/>
        <v>R</v>
      </c>
      <c r="U225" s="28">
        <v>6.0</v>
      </c>
      <c r="V225" s="26" t="str">
        <f t="shared" si="495"/>
        <v>R</v>
      </c>
      <c r="W225" s="32" t="s">
        <v>299</v>
      </c>
      <c r="X225" s="65">
        <v>23.0</v>
      </c>
      <c r="Y225" s="33" t="str">
        <f t="shared" si="496"/>
        <v>S</v>
      </c>
      <c r="Z225" s="65">
        <v>6.0</v>
      </c>
      <c r="AA225" s="33" t="str">
        <f t="shared" si="497"/>
        <v>R</v>
      </c>
      <c r="AB225" s="65">
        <v>20.0</v>
      </c>
      <c r="AC225" s="33" t="str">
        <f t="shared" si="498"/>
        <v>I</v>
      </c>
      <c r="AD225" s="65">
        <v>20.0</v>
      </c>
      <c r="AE225" s="33" t="str">
        <f t="shared" si="499"/>
        <v>S</v>
      </c>
      <c r="AF225" s="65">
        <v>25.0</v>
      </c>
      <c r="AG225" s="33" t="str">
        <f t="shared" si="500"/>
        <v>I</v>
      </c>
      <c r="AH225" s="65" t="s">
        <v>299</v>
      </c>
      <c r="AI225" s="66">
        <v>22.0</v>
      </c>
      <c r="AJ225" s="36" t="str">
        <f t="shared" si="501"/>
        <v>I</v>
      </c>
      <c r="AK225" s="66">
        <v>23.0</v>
      </c>
      <c r="AL225" s="36" t="str">
        <f t="shared" si="502"/>
        <v>S</v>
      </c>
      <c r="AM225" s="66">
        <v>18.0</v>
      </c>
      <c r="AN225" s="36" t="str">
        <f t="shared" si="503"/>
        <v>S</v>
      </c>
      <c r="AO225" s="66" t="s">
        <v>299</v>
      </c>
      <c r="AP225" s="67">
        <v>22.0</v>
      </c>
      <c r="AQ225" s="37" t="str">
        <f t="shared" si="504"/>
        <v>S</v>
      </c>
      <c r="AR225" s="65">
        <v>18.0</v>
      </c>
      <c r="AS225" s="33" t="str">
        <f t="shared" si="505"/>
        <v>S</v>
      </c>
      <c r="AT225" s="65">
        <v>19.0</v>
      </c>
      <c r="AU225" s="33" t="str">
        <f t="shared" si="506"/>
        <v>S</v>
      </c>
      <c r="AV225" s="33" t="s">
        <v>300</v>
      </c>
      <c r="AW225" s="28">
        <v>21.0</v>
      </c>
      <c r="AX225" s="26" t="str">
        <f t="shared" si="507"/>
        <v>S</v>
      </c>
      <c r="AY225" s="67">
        <v>24.0</v>
      </c>
      <c r="AZ225" s="37" t="str">
        <f t="shared" si="508"/>
        <v>I</v>
      </c>
      <c r="BA225" s="66">
        <v>25.0</v>
      </c>
      <c r="BB225" s="36" t="str">
        <f t="shared" si="509"/>
        <v>S</v>
      </c>
      <c r="BC225" s="39" t="s">
        <v>357</v>
      </c>
      <c r="BD225" s="39" t="s">
        <v>357</v>
      </c>
      <c r="BE225" s="66">
        <v>23.0</v>
      </c>
      <c r="BF225" s="36" t="str">
        <f t="shared" si="510"/>
        <v>S</v>
      </c>
      <c r="BG225" s="68">
        <v>16.0</v>
      </c>
      <c r="BH225" s="41" t="str">
        <f t="shared" si="511"/>
        <v>R</v>
      </c>
      <c r="BI225" s="41"/>
    </row>
    <row r="226">
      <c r="A226" s="21" t="s">
        <v>522</v>
      </c>
      <c r="B226" s="21" t="s">
        <v>444</v>
      </c>
      <c r="C226" s="21" t="s">
        <v>1453</v>
      </c>
      <c r="D226" s="69" t="s">
        <v>705</v>
      </c>
      <c r="E226" s="18" t="s">
        <v>572</v>
      </c>
      <c r="F226" s="18" t="s">
        <v>573</v>
      </c>
      <c r="G226" s="63" t="s">
        <v>1454</v>
      </c>
      <c r="H226" s="72" t="s">
        <v>952</v>
      </c>
      <c r="I226" s="28">
        <v>13.0</v>
      </c>
      <c r="J226" s="26" t="str">
        <f t="shared" si="489"/>
        <v>R</v>
      </c>
      <c r="K226" s="28">
        <v>11.0</v>
      </c>
      <c r="L226" s="26" t="str">
        <f t="shared" si="490"/>
        <v>R</v>
      </c>
      <c r="M226" s="28">
        <v>20.0</v>
      </c>
      <c r="N226" s="26" t="str">
        <f t="shared" si="491"/>
        <v>R</v>
      </c>
      <c r="O226" s="28">
        <v>30.0</v>
      </c>
      <c r="P226" s="26" t="str">
        <f t="shared" si="492"/>
        <v>S</v>
      </c>
      <c r="Q226" s="28">
        <v>20.0</v>
      </c>
      <c r="R226" s="26" t="str">
        <f t="shared" si="493"/>
        <v>S</v>
      </c>
      <c r="S226" s="28">
        <v>18.0</v>
      </c>
      <c r="T226" s="26" t="str">
        <f t="shared" si="494"/>
        <v>R</v>
      </c>
      <c r="U226" s="28">
        <v>6.0</v>
      </c>
      <c r="V226" s="26" t="str">
        <f t="shared" si="495"/>
        <v>R</v>
      </c>
      <c r="W226" s="32" t="s">
        <v>299</v>
      </c>
      <c r="X226" s="65">
        <v>22.0</v>
      </c>
      <c r="Y226" s="33" t="str">
        <f t="shared" si="496"/>
        <v>S</v>
      </c>
      <c r="Z226" s="65">
        <v>6.0</v>
      </c>
      <c r="AA226" s="33" t="str">
        <f t="shared" si="497"/>
        <v>R</v>
      </c>
      <c r="AB226" s="65">
        <v>21.0</v>
      </c>
      <c r="AC226" s="33" t="str">
        <f t="shared" si="498"/>
        <v>I</v>
      </c>
      <c r="AD226" s="65">
        <v>20.0</v>
      </c>
      <c r="AE226" s="33" t="str">
        <f t="shared" si="499"/>
        <v>S</v>
      </c>
      <c r="AF226" s="65">
        <v>26.0</v>
      </c>
      <c r="AG226" s="33" t="str">
        <f t="shared" si="500"/>
        <v>I</v>
      </c>
      <c r="AH226" s="65" t="s">
        <v>299</v>
      </c>
      <c r="AI226" s="66">
        <v>22.0</v>
      </c>
      <c r="AJ226" s="36" t="str">
        <f t="shared" si="501"/>
        <v>I</v>
      </c>
      <c r="AK226" s="66">
        <v>23.0</v>
      </c>
      <c r="AL226" s="36" t="str">
        <f t="shared" si="502"/>
        <v>S</v>
      </c>
      <c r="AM226" s="66">
        <v>19.0</v>
      </c>
      <c r="AN226" s="36" t="str">
        <f t="shared" si="503"/>
        <v>S</v>
      </c>
      <c r="AO226" s="66" t="s">
        <v>299</v>
      </c>
      <c r="AP226" s="67">
        <v>22.0</v>
      </c>
      <c r="AQ226" s="37" t="str">
        <f t="shared" si="504"/>
        <v>S</v>
      </c>
      <c r="AR226" s="65">
        <v>19.0</v>
      </c>
      <c r="AS226" s="33" t="str">
        <f t="shared" si="505"/>
        <v>S</v>
      </c>
      <c r="AT226" s="65">
        <v>19.0</v>
      </c>
      <c r="AU226" s="33" t="str">
        <f t="shared" si="506"/>
        <v>S</v>
      </c>
      <c r="AV226" s="33" t="s">
        <v>300</v>
      </c>
      <c r="AW226" s="28">
        <v>21.0</v>
      </c>
      <c r="AX226" s="26" t="str">
        <f t="shared" si="507"/>
        <v>S</v>
      </c>
      <c r="AY226" s="67">
        <v>24.0</v>
      </c>
      <c r="AZ226" s="37" t="str">
        <f t="shared" si="508"/>
        <v>I</v>
      </c>
      <c r="BA226" s="66">
        <v>26.0</v>
      </c>
      <c r="BB226" s="36" t="str">
        <f t="shared" si="509"/>
        <v>S</v>
      </c>
      <c r="BC226" s="39" t="s">
        <v>357</v>
      </c>
      <c r="BD226" s="39" t="s">
        <v>357</v>
      </c>
      <c r="BE226" s="66">
        <v>23.0</v>
      </c>
      <c r="BF226" s="36" t="str">
        <f t="shared" si="510"/>
        <v>S</v>
      </c>
      <c r="BG226" s="68">
        <v>16.0</v>
      </c>
      <c r="BH226" s="41" t="str">
        <f t="shared" si="511"/>
        <v>R</v>
      </c>
      <c r="BI226" s="41"/>
    </row>
    <row r="227">
      <c r="A227" s="21" t="s">
        <v>522</v>
      </c>
      <c r="B227" s="21" t="s">
        <v>444</v>
      </c>
      <c r="C227" s="21" t="s">
        <v>1455</v>
      </c>
      <c r="D227" s="69" t="s">
        <v>705</v>
      </c>
      <c r="E227" s="18" t="s">
        <v>572</v>
      </c>
      <c r="F227" s="18" t="s">
        <v>573</v>
      </c>
      <c r="G227" s="63" t="s">
        <v>1456</v>
      </c>
      <c r="H227" s="72" t="s">
        <v>952</v>
      </c>
      <c r="I227" s="28">
        <v>12.0</v>
      </c>
      <c r="J227" s="26" t="str">
        <f t="shared" si="489"/>
        <v>R</v>
      </c>
      <c r="K227" s="28">
        <v>12.0</v>
      </c>
      <c r="L227" s="26" t="str">
        <f t="shared" si="490"/>
        <v>R</v>
      </c>
      <c r="M227" s="28">
        <v>20.0</v>
      </c>
      <c r="N227" s="26" t="str">
        <f t="shared" si="491"/>
        <v>R</v>
      </c>
      <c r="O227" s="28">
        <v>33.0</v>
      </c>
      <c r="P227" s="26" t="str">
        <f t="shared" si="492"/>
        <v>S</v>
      </c>
      <c r="Q227" s="28">
        <v>20.0</v>
      </c>
      <c r="R227" s="26" t="str">
        <f t="shared" si="493"/>
        <v>S</v>
      </c>
      <c r="S227" s="28">
        <v>18.0</v>
      </c>
      <c r="T227" s="26" t="str">
        <f t="shared" si="494"/>
        <v>R</v>
      </c>
      <c r="U227" s="28">
        <v>6.0</v>
      </c>
      <c r="V227" s="26" t="str">
        <f t="shared" si="495"/>
        <v>R</v>
      </c>
      <c r="W227" s="32" t="s">
        <v>299</v>
      </c>
      <c r="X227" s="65">
        <v>21.0</v>
      </c>
      <c r="Y227" s="33" t="str">
        <f t="shared" si="496"/>
        <v>S</v>
      </c>
      <c r="Z227" s="65">
        <v>6.0</v>
      </c>
      <c r="AA227" s="33" t="str">
        <f t="shared" si="497"/>
        <v>R</v>
      </c>
      <c r="AB227" s="65">
        <v>21.0</v>
      </c>
      <c r="AC227" s="33" t="str">
        <f t="shared" si="498"/>
        <v>I</v>
      </c>
      <c r="AD227" s="65">
        <v>20.0</v>
      </c>
      <c r="AE227" s="33" t="str">
        <f t="shared" si="499"/>
        <v>S</v>
      </c>
      <c r="AF227" s="65">
        <v>25.0</v>
      </c>
      <c r="AG227" s="33" t="str">
        <f t="shared" si="500"/>
        <v>I</v>
      </c>
      <c r="AH227" s="65" t="s">
        <v>299</v>
      </c>
      <c r="AI227" s="66">
        <v>22.0</v>
      </c>
      <c r="AJ227" s="36" t="str">
        <f t="shared" si="501"/>
        <v>I</v>
      </c>
      <c r="AK227" s="66">
        <v>23.0</v>
      </c>
      <c r="AL227" s="36" t="str">
        <f t="shared" si="502"/>
        <v>S</v>
      </c>
      <c r="AM227" s="66">
        <v>18.0</v>
      </c>
      <c r="AN227" s="36" t="str">
        <f t="shared" si="503"/>
        <v>S</v>
      </c>
      <c r="AO227" s="66" t="s">
        <v>299</v>
      </c>
      <c r="AP227" s="67">
        <v>22.0</v>
      </c>
      <c r="AQ227" s="37" t="str">
        <f t="shared" si="504"/>
        <v>S</v>
      </c>
      <c r="AR227" s="65">
        <v>18.0</v>
      </c>
      <c r="AS227" s="33" t="str">
        <f t="shared" si="505"/>
        <v>S</v>
      </c>
      <c r="AT227" s="65">
        <v>19.0</v>
      </c>
      <c r="AU227" s="33" t="str">
        <f t="shared" si="506"/>
        <v>S</v>
      </c>
      <c r="AV227" s="33" t="s">
        <v>300</v>
      </c>
      <c r="AW227" s="28">
        <v>21.0</v>
      </c>
      <c r="AX227" s="26" t="str">
        <f t="shared" si="507"/>
        <v>S</v>
      </c>
      <c r="AY227" s="67">
        <v>24.0</v>
      </c>
      <c r="AZ227" s="37" t="str">
        <f t="shared" si="508"/>
        <v>I</v>
      </c>
      <c r="BA227" s="66">
        <v>25.0</v>
      </c>
      <c r="BB227" s="36" t="str">
        <f t="shared" si="509"/>
        <v>S</v>
      </c>
      <c r="BC227" s="39" t="s">
        <v>357</v>
      </c>
      <c r="BD227" s="39" t="s">
        <v>357</v>
      </c>
      <c r="BE227" s="66">
        <v>23.0</v>
      </c>
      <c r="BF227" s="36" t="str">
        <f t="shared" si="510"/>
        <v>S</v>
      </c>
      <c r="BG227" s="68">
        <v>16.0</v>
      </c>
      <c r="BH227" s="41" t="str">
        <f t="shared" si="511"/>
        <v>R</v>
      </c>
      <c r="BI227" s="41"/>
    </row>
    <row r="228">
      <c r="A228" s="21" t="s">
        <v>522</v>
      </c>
      <c r="B228" s="23">
        <v>133.0</v>
      </c>
      <c r="C228" s="21" t="s">
        <v>955</v>
      </c>
      <c r="D228" s="69" t="s">
        <v>956</v>
      </c>
      <c r="E228" s="18" t="s">
        <v>103</v>
      </c>
      <c r="F228" s="18" t="s">
        <v>573</v>
      </c>
      <c r="G228" s="63" t="s">
        <v>957</v>
      </c>
      <c r="H228" s="72" t="s">
        <v>958</v>
      </c>
      <c r="I228" s="28">
        <v>6.0</v>
      </c>
      <c r="J228" s="26" t="str">
        <f t="shared" si="489"/>
        <v>R</v>
      </c>
      <c r="K228" s="28">
        <v>12.0</v>
      </c>
      <c r="L228" s="26" t="str">
        <f t="shared" si="490"/>
        <v>R</v>
      </c>
      <c r="M228" s="28">
        <v>9.0</v>
      </c>
      <c r="N228" s="26" t="str">
        <f t="shared" si="491"/>
        <v>R</v>
      </c>
      <c r="O228" s="28">
        <v>6.0</v>
      </c>
      <c r="P228" s="26" t="str">
        <f t="shared" si="492"/>
        <v>R</v>
      </c>
      <c r="Q228" s="28">
        <v>20.0</v>
      </c>
      <c r="R228" s="26" t="str">
        <f t="shared" si="493"/>
        <v>S</v>
      </c>
      <c r="S228" s="28">
        <v>18.0</v>
      </c>
      <c r="T228" s="26" t="str">
        <f t="shared" si="494"/>
        <v>R</v>
      </c>
      <c r="U228" s="28">
        <v>6.0</v>
      </c>
      <c r="V228" s="26" t="str">
        <f t="shared" si="495"/>
        <v>R</v>
      </c>
      <c r="W228" s="32" t="s">
        <v>299</v>
      </c>
      <c r="X228" s="65">
        <v>16.0</v>
      </c>
      <c r="Y228" s="33" t="str">
        <f t="shared" si="496"/>
        <v>R</v>
      </c>
      <c r="Z228" s="65">
        <v>16.0</v>
      </c>
      <c r="AA228" s="33" t="str">
        <f t="shared" si="497"/>
        <v>R</v>
      </c>
      <c r="AB228" s="65">
        <v>12.0</v>
      </c>
      <c r="AC228" s="33" t="str">
        <f t="shared" si="498"/>
        <v>R</v>
      </c>
      <c r="AD228" s="65">
        <v>13.0</v>
      </c>
      <c r="AE228" s="33" t="str">
        <f t="shared" si="499"/>
        <v>S</v>
      </c>
      <c r="AF228" s="65">
        <v>19.0</v>
      </c>
      <c r="AG228" s="33" t="str">
        <f t="shared" si="500"/>
        <v>R</v>
      </c>
      <c r="AH228" s="65" t="s">
        <v>299</v>
      </c>
      <c r="AI228" s="66">
        <v>14.0</v>
      </c>
      <c r="AJ228" s="36" t="str">
        <f t="shared" si="501"/>
        <v>R</v>
      </c>
      <c r="AK228" s="66">
        <v>12.0</v>
      </c>
      <c r="AL228" s="36" t="str">
        <f t="shared" si="502"/>
        <v>R</v>
      </c>
      <c r="AM228" s="66">
        <v>12.0</v>
      </c>
      <c r="AN228" s="36" t="str">
        <f t="shared" si="503"/>
        <v>R</v>
      </c>
      <c r="AO228" s="66" t="s">
        <v>299</v>
      </c>
      <c r="AP228" s="67">
        <v>10.0</v>
      </c>
      <c r="AQ228" s="37" t="str">
        <f t="shared" si="504"/>
        <v>R</v>
      </c>
      <c r="AR228" s="65">
        <v>17.0</v>
      </c>
      <c r="AS228" s="33" t="str">
        <f t="shared" si="505"/>
        <v>R</v>
      </c>
      <c r="AT228" s="65">
        <v>22.0</v>
      </c>
      <c r="AU228" s="33" t="str">
        <f t="shared" si="506"/>
        <v>S</v>
      </c>
      <c r="AV228" s="65" t="s">
        <v>299</v>
      </c>
      <c r="AW228" s="28">
        <v>6.0</v>
      </c>
      <c r="AX228" s="26" t="str">
        <f t="shared" si="507"/>
        <v>R</v>
      </c>
      <c r="AY228" s="67">
        <v>15.0</v>
      </c>
      <c r="AZ228" s="37" t="str">
        <f t="shared" si="508"/>
        <v>R</v>
      </c>
      <c r="BA228" s="66">
        <v>22.0</v>
      </c>
      <c r="BB228" s="36" t="str">
        <f t="shared" si="509"/>
        <v>R</v>
      </c>
      <c r="BC228" s="39" t="s">
        <v>357</v>
      </c>
      <c r="BD228" s="39" t="s">
        <v>357</v>
      </c>
      <c r="BE228" s="66">
        <v>15.0</v>
      </c>
      <c r="BF228" s="36" t="str">
        <f t="shared" si="510"/>
        <v>R</v>
      </c>
      <c r="BG228" s="68">
        <v>20.0</v>
      </c>
      <c r="BH228" s="41" t="str">
        <f t="shared" si="511"/>
        <v>S</v>
      </c>
      <c r="BI228" s="41"/>
    </row>
    <row r="229">
      <c r="A229" s="21" t="s">
        <v>522</v>
      </c>
      <c r="B229" s="21" t="s">
        <v>444</v>
      </c>
      <c r="C229" s="21" t="s">
        <v>1457</v>
      </c>
      <c r="D229" s="69" t="s">
        <v>956</v>
      </c>
      <c r="E229" s="18" t="s">
        <v>103</v>
      </c>
      <c r="F229" s="18" t="s">
        <v>573</v>
      </c>
      <c r="G229" s="63" t="s">
        <v>1458</v>
      </c>
      <c r="H229" s="72" t="s">
        <v>958</v>
      </c>
      <c r="I229" s="28">
        <v>6.0</v>
      </c>
      <c r="J229" s="26" t="str">
        <f t="shared" si="489"/>
        <v>R</v>
      </c>
      <c r="K229" s="28">
        <v>12.0</v>
      </c>
      <c r="L229" s="26" t="str">
        <f t="shared" si="490"/>
        <v>R</v>
      </c>
      <c r="M229" s="28">
        <v>6.0</v>
      </c>
      <c r="N229" s="26" t="str">
        <f t="shared" si="491"/>
        <v>R</v>
      </c>
      <c r="O229" s="28">
        <v>6.0</v>
      </c>
      <c r="P229" s="26" t="str">
        <f t="shared" si="492"/>
        <v>R</v>
      </c>
      <c r="Q229" s="28">
        <v>20.0</v>
      </c>
      <c r="R229" s="26" t="str">
        <f t="shared" si="493"/>
        <v>S</v>
      </c>
      <c r="S229" s="28">
        <v>18.0</v>
      </c>
      <c r="T229" s="26" t="str">
        <f t="shared" si="494"/>
        <v>R</v>
      </c>
      <c r="U229" s="28">
        <v>6.0</v>
      </c>
      <c r="V229" s="26" t="str">
        <f t="shared" si="495"/>
        <v>R</v>
      </c>
      <c r="W229" s="32" t="s">
        <v>299</v>
      </c>
      <c r="X229" s="65">
        <v>14.0</v>
      </c>
      <c r="Y229" s="33" t="str">
        <f t="shared" si="496"/>
        <v>R</v>
      </c>
      <c r="Z229" s="65">
        <v>16.0</v>
      </c>
      <c r="AA229" s="33" t="str">
        <f t="shared" si="497"/>
        <v>R</v>
      </c>
      <c r="AB229" s="65">
        <v>11.0</v>
      </c>
      <c r="AC229" s="33" t="str">
        <f t="shared" si="498"/>
        <v>R</v>
      </c>
      <c r="AD229" s="65">
        <v>14.0</v>
      </c>
      <c r="AE229" s="33" t="str">
        <f t="shared" si="499"/>
        <v>S</v>
      </c>
      <c r="AF229" s="65">
        <v>19.0</v>
      </c>
      <c r="AG229" s="33" t="str">
        <f t="shared" si="500"/>
        <v>R</v>
      </c>
      <c r="AH229" s="65" t="s">
        <v>299</v>
      </c>
      <c r="AI229" s="66">
        <v>14.0</v>
      </c>
      <c r="AJ229" s="36" t="str">
        <f t="shared" si="501"/>
        <v>R</v>
      </c>
      <c r="AK229" s="66">
        <v>12.0</v>
      </c>
      <c r="AL229" s="36" t="str">
        <f t="shared" si="502"/>
        <v>R</v>
      </c>
      <c r="AM229" s="66">
        <v>12.0</v>
      </c>
      <c r="AN229" s="36" t="str">
        <f t="shared" si="503"/>
        <v>R</v>
      </c>
      <c r="AO229" s="66" t="s">
        <v>299</v>
      </c>
      <c r="AP229" s="67">
        <v>10.0</v>
      </c>
      <c r="AQ229" s="37" t="str">
        <f t="shared" si="504"/>
        <v>R</v>
      </c>
      <c r="AR229" s="65">
        <v>17.0</v>
      </c>
      <c r="AS229" s="33" t="str">
        <f t="shared" si="505"/>
        <v>R</v>
      </c>
      <c r="AT229" s="65">
        <v>22.0</v>
      </c>
      <c r="AU229" s="33" t="str">
        <f t="shared" si="506"/>
        <v>S</v>
      </c>
      <c r="AV229" s="65" t="s">
        <v>299</v>
      </c>
      <c r="AW229" s="28">
        <v>6.0</v>
      </c>
      <c r="AX229" s="26" t="str">
        <f t="shared" si="507"/>
        <v>R</v>
      </c>
      <c r="AY229" s="67">
        <v>17.0</v>
      </c>
      <c r="AZ229" s="37" t="str">
        <f t="shared" si="508"/>
        <v>R</v>
      </c>
      <c r="BA229" s="66">
        <v>20.0</v>
      </c>
      <c r="BB229" s="36" t="str">
        <f t="shared" si="509"/>
        <v>R</v>
      </c>
      <c r="BC229" s="39" t="s">
        <v>357</v>
      </c>
      <c r="BD229" s="39" t="s">
        <v>357</v>
      </c>
      <c r="BE229" s="66">
        <v>19.0</v>
      </c>
      <c r="BF229" s="36" t="str">
        <f t="shared" si="510"/>
        <v>I</v>
      </c>
      <c r="BG229" s="68">
        <v>20.0</v>
      </c>
      <c r="BH229" s="41" t="str">
        <f t="shared" si="511"/>
        <v>S</v>
      </c>
      <c r="BI229" s="41"/>
    </row>
    <row r="230">
      <c r="A230" s="21" t="s">
        <v>522</v>
      </c>
      <c r="B230" s="21" t="s">
        <v>444</v>
      </c>
      <c r="C230" s="21" t="s">
        <v>1459</v>
      </c>
      <c r="D230" s="69" t="s">
        <v>956</v>
      </c>
      <c r="E230" s="18" t="s">
        <v>103</v>
      </c>
      <c r="F230" s="18" t="s">
        <v>573</v>
      </c>
      <c r="G230" s="63" t="s">
        <v>1460</v>
      </c>
      <c r="H230" s="72" t="s">
        <v>958</v>
      </c>
      <c r="I230" s="28">
        <v>6.0</v>
      </c>
      <c r="J230" s="26" t="str">
        <f t="shared" si="489"/>
        <v>R</v>
      </c>
      <c r="K230" s="28">
        <v>12.0</v>
      </c>
      <c r="L230" s="26" t="str">
        <f t="shared" si="490"/>
        <v>R</v>
      </c>
      <c r="M230" s="28">
        <v>6.0</v>
      </c>
      <c r="N230" s="26" t="str">
        <f t="shared" si="491"/>
        <v>R</v>
      </c>
      <c r="O230" s="28">
        <v>6.0</v>
      </c>
      <c r="P230" s="26" t="str">
        <f t="shared" si="492"/>
        <v>R</v>
      </c>
      <c r="Q230" s="28">
        <v>20.0</v>
      </c>
      <c r="R230" s="26" t="str">
        <f t="shared" si="493"/>
        <v>S</v>
      </c>
      <c r="S230" s="28">
        <v>18.0</v>
      </c>
      <c r="T230" s="26" t="str">
        <f t="shared" si="494"/>
        <v>R</v>
      </c>
      <c r="U230" s="28">
        <v>6.0</v>
      </c>
      <c r="V230" s="26" t="str">
        <f t="shared" si="495"/>
        <v>R</v>
      </c>
      <c r="W230" s="32" t="s">
        <v>299</v>
      </c>
      <c r="X230" s="65">
        <v>16.0</v>
      </c>
      <c r="Y230" s="33" t="str">
        <f t="shared" si="496"/>
        <v>R</v>
      </c>
      <c r="Z230" s="65">
        <v>16.0</v>
      </c>
      <c r="AA230" s="33" t="str">
        <f t="shared" si="497"/>
        <v>R</v>
      </c>
      <c r="AB230" s="65">
        <v>14.0</v>
      </c>
      <c r="AC230" s="33" t="str">
        <f t="shared" si="498"/>
        <v>R</v>
      </c>
      <c r="AD230" s="65">
        <v>13.0</v>
      </c>
      <c r="AE230" s="33" t="str">
        <f t="shared" si="499"/>
        <v>S</v>
      </c>
      <c r="AF230" s="65">
        <v>19.0</v>
      </c>
      <c r="AG230" s="33" t="str">
        <f t="shared" si="500"/>
        <v>R</v>
      </c>
      <c r="AH230" s="65" t="s">
        <v>299</v>
      </c>
      <c r="AI230" s="66">
        <v>14.0</v>
      </c>
      <c r="AJ230" s="36" t="str">
        <f t="shared" si="501"/>
        <v>R</v>
      </c>
      <c r="AK230" s="66">
        <v>12.0</v>
      </c>
      <c r="AL230" s="36" t="str">
        <f t="shared" si="502"/>
        <v>R</v>
      </c>
      <c r="AM230" s="66">
        <v>12.0</v>
      </c>
      <c r="AN230" s="36" t="str">
        <f t="shared" si="503"/>
        <v>R</v>
      </c>
      <c r="AO230" s="66" t="s">
        <v>299</v>
      </c>
      <c r="AP230" s="67">
        <v>10.0</v>
      </c>
      <c r="AQ230" s="37" t="str">
        <f t="shared" si="504"/>
        <v>R</v>
      </c>
      <c r="AR230" s="65">
        <v>17.0</v>
      </c>
      <c r="AS230" s="33" t="str">
        <f t="shared" si="505"/>
        <v>R</v>
      </c>
      <c r="AT230" s="65">
        <v>22.0</v>
      </c>
      <c r="AU230" s="33" t="str">
        <f t="shared" si="506"/>
        <v>S</v>
      </c>
      <c r="AV230" s="65" t="s">
        <v>299</v>
      </c>
      <c r="AW230" s="28">
        <v>6.0</v>
      </c>
      <c r="AX230" s="26" t="str">
        <f t="shared" si="507"/>
        <v>R</v>
      </c>
      <c r="AY230" s="67">
        <v>15.0</v>
      </c>
      <c r="AZ230" s="37" t="str">
        <f t="shared" si="508"/>
        <v>R</v>
      </c>
      <c r="BA230" s="66">
        <v>19.0</v>
      </c>
      <c r="BB230" s="36" t="str">
        <f t="shared" si="509"/>
        <v>R</v>
      </c>
      <c r="BC230" s="39" t="s">
        <v>357</v>
      </c>
      <c r="BD230" s="39" t="s">
        <v>357</v>
      </c>
      <c r="BE230" s="66">
        <v>17.0</v>
      </c>
      <c r="BF230" s="36" t="str">
        <f t="shared" si="510"/>
        <v>R</v>
      </c>
      <c r="BG230" s="68">
        <v>20.0</v>
      </c>
      <c r="BH230" s="41" t="str">
        <f t="shared" si="511"/>
        <v>S</v>
      </c>
      <c r="BI230" s="41"/>
    </row>
    <row r="231">
      <c r="A231" s="51" t="s">
        <v>855</v>
      </c>
      <c r="B231" s="53">
        <v>134.0</v>
      </c>
      <c r="C231" s="51" t="s">
        <v>1461</v>
      </c>
      <c r="D231" s="69" t="s">
        <v>190</v>
      </c>
      <c r="E231" s="18" t="s">
        <v>190</v>
      </c>
      <c r="F231" s="18" t="s">
        <v>192</v>
      </c>
      <c r="G231" s="63" t="s">
        <v>1462</v>
      </c>
      <c r="H231" s="22" t="s">
        <v>198</v>
      </c>
      <c r="I231" s="28">
        <v>6.0</v>
      </c>
      <c r="J231" s="26" t="str">
        <f t="shared" si="489"/>
        <v>R</v>
      </c>
      <c r="K231" s="28">
        <v>6.0</v>
      </c>
      <c r="L231" s="26" t="str">
        <f t="shared" si="490"/>
        <v>R</v>
      </c>
      <c r="M231" s="28">
        <v>6.0</v>
      </c>
      <c r="N231" s="26" t="str">
        <f t="shared" si="491"/>
        <v>R</v>
      </c>
      <c r="O231" s="28">
        <v>12.0</v>
      </c>
      <c r="P231" s="26" t="str">
        <f t="shared" si="492"/>
        <v>R</v>
      </c>
      <c r="Q231" s="28">
        <v>6.0</v>
      </c>
      <c r="R231" s="26" t="str">
        <f t="shared" si="493"/>
        <v>R</v>
      </c>
      <c r="S231" s="28">
        <v>22.0</v>
      </c>
      <c r="T231" s="26" t="str">
        <f t="shared" si="494"/>
        <v>S</v>
      </c>
      <c r="U231" s="28">
        <v>9.0</v>
      </c>
      <c r="V231" s="26" t="str">
        <f t="shared" si="495"/>
        <v>R</v>
      </c>
      <c r="W231" s="32" t="s">
        <v>299</v>
      </c>
      <c r="X231" s="65">
        <v>9.0</v>
      </c>
      <c r="Y231" s="33" t="str">
        <f t="shared" si="496"/>
        <v>R</v>
      </c>
      <c r="Z231" s="65">
        <v>9.0</v>
      </c>
      <c r="AA231" s="33" t="str">
        <f t="shared" si="497"/>
        <v>R</v>
      </c>
      <c r="AB231" s="65">
        <v>6.0</v>
      </c>
      <c r="AC231" s="33" t="str">
        <f t="shared" si="498"/>
        <v>R</v>
      </c>
      <c r="AD231" s="65">
        <v>23.0</v>
      </c>
      <c r="AE231" s="33" t="str">
        <f t="shared" si="499"/>
        <v>S</v>
      </c>
      <c r="AF231" s="65">
        <v>6.0</v>
      </c>
      <c r="AG231" s="33" t="str">
        <f t="shared" si="500"/>
        <v>R</v>
      </c>
      <c r="AH231" s="65" t="s">
        <v>299</v>
      </c>
      <c r="AI231" s="66">
        <v>6.0</v>
      </c>
      <c r="AJ231" s="36" t="str">
        <f t="shared" si="501"/>
        <v>R</v>
      </c>
      <c r="AK231" s="66">
        <v>6.0</v>
      </c>
      <c r="AL231" s="36" t="str">
        <f t="shared" si="502"/>
        <v>R</v>
      </c>
      <c r="AM231" s="66">
        <v>6.0</v>
      </c>
      <c r="AN231" s="36" t="str">
        <f t="shared" si="503"/>
        <v>R</v>
      </c>
      <c r="AO231" s="66" t="s">
        <v>299</v>
      </c>
      <c r="AP231" s="67">
        <v>6.0</v>
      </c>
      <c r="AQ231" s="37" t="str">
        <f t="shared" si="504"/>
        <v>R</v>
      </c>
      <c r="AR231" s="65">
        <v>12.0</v>
      </c>
      <c r="AS231" s="33" t="str">
        <f t="shared" si="505"/>
        <v>R</v>
      </c>
      <c r="AT231" s="65">
        <v>12.0</v>
      </c>
      <c r="AU231" s="33" t="str">
        <f t="shared" si="506"/>
        <v>R</v>
      </c>
      <c r="AV231" s="65" t="s">
        <v>299</v>
      </c>
      <c r="AW231" s="28">
        <v>6.0</v>
      </c>
      <c r="AX231" s="26" t="str">
        <f t="shared" si="507"/>
        <v>R</v>
      </c>
      <c r="AY231" s="67">
        <v>11.0</v>
      </c>
      <c r="AZ231" s="37" t="str">
        <f t="shared" si="508"/>
        <v>R</v>
      </c>
      <c r="BA231" s="66">
        <v>18.0</v>
      </c>
      <c r="BB231" s="36" t="str">
        <f t="shared" si="509"/>
        <v>R</v>
      </c>
      <c r="BC231" s="39" t="s">
        <v>357</v>
      </c>
      <c r="BD231" s="39" t="s">
        <v>357</v>
      </c>
      <c r="BE231" s="66">
        <v>18.0</v>
      </c>
      <c r="BF231" s="36" t="str">
        <f t="shared" si="510"/>
        <v>R</v>
      </c>
      <c r="BG231" s="68">
        <v>6.0</v>
      </c>
      <c r="BH231" s="41" t="str">
        <f t="shared" si="511"/>
        <v>R</v>
      </c>
      <c r="BI231" s="41"/>
    </row>
    <row r="232">
      <c r="A232" s="51" t="s">
        <v>855</v>
      </c>
      <c r="B232" s="51" t="s">
        <v>444</v>
      </c>
      <c r="C232" s="51" t="s">
        <v>1463</v>
      </c>
      <c r="D232" s="69" t="s">
        <v>190</v>
      </c>
      <c r="E232" s="18" t="s">
        <v>190</v>
      </c>
      <c r="F232" s="18" t="s">
        <v>192</v>
      </c>
      <c r="G232" s="63" t="s">
        <v>1464</v>
      </c>
      <c r="H232" s="22" t="s">
        <v>198</v>
      </c>
      <c r="I232" s="28">
        <v>11.0</v>
      </c>
      <c r="J232" s="26" t="str">
        <f t="shared" si="489"/>
        <v>R</v>
      </c>
      <c r="K232" s="28">
        <v>9.0</v>
      </c>
      <c r="L232" s="26" t="str">
        <f t="shared" si="490"/>
        <v>R</v>
      </c>
      <c r="M232" s="28">
        <v>6.0</v>
      </c>
      <c r="N232" s="26" t="str">
        <f t="shared" si="491"/>
        <v>R</v>
      </c>
      <c r="O232" s="28">
        <v>12.0</v>
      </c>
      <c r="P232" s="26" t="str">
        <f t="shared" si="492"/>
        <v>R</v>
      </c>
      <c r="Q232" s="28">
        <v>6.0</v>
      </c>
      <c r="R232" s="26" t="str">
        <f t="shared" si="493"/>
        <v>R</v>
      </c>
      <c r="S232" s="28">
        <v>21.0</v>
      </c>
      <c r="T232" s="26" t="str">
        <f t="shared" si="494"/>
        <v>S</v>
      </c>
      <c r="U232" s="28">
        <v>9.0</v>
      </c>
      <c r="V232" s="26" t="str">
        <f t="shared" si="495"/>
        <v>R</v>
      </c>
      <c r="W232" s="32" t="s">
        <v>299</v>
      </c>
      <c r="X232" s="65">
        <v>6.0</v>
      </c>
      <c r="Y232" s="33" t="str">
        <f t="shared" si="496"/>
        <v>R</v>
      </c>
      <c r="Z232" s="65">
        <v>6.0</v>
      </c>
      <c r="AA232" s="33" t="str">
        <f t="shared" si="497"/>
        <v>R</v>
      </c>
      <c r="AB232" s="65">
        <v>12.0</v>
      </c>
      <c r="AC232" s="33" t="str">
        <f t="shared" si="498"/>
        <v>R</v>
      </c>
      <c r="AD232" s="65">
        <v>22.0</v>
      </c>
      <c r="AE232" s="33" t="str">
        <f t="shared" si="499"/>
        <v>S</v>
      </c>
      <c r="AF232" s="65">
        <v>6.0</v>
      </c>
      <c r="AG232" s="33" t="str">
        <f t="shared" si="500"/>
        <v>R</v>
      </c>
      <c r="AH232" s="65" t="s">
        <v>299</v>
      </c>
      <c r="AI232" s="66">
        <v>9.0</v>
      </c>
      <c r="AJ232" s="36" t="str">
        <f t="shared" si="501"/>
        <v>R</v>
      </c>
      <c r="AK232" s="66">
        <v>6.0</v>
      </c>
      <c r="AL232" s="36" t="str">
        <f t="shared" si="502"/>
        <v>R</v>
      </c>
      <c r="AM232" s="66">
        <v>6.0</v>
      </c>
      <c r="AN232" s="36" t="str">
        <f t="shared" si="503"/>
        <v>R</v>
      </c>
      <c r="AO232" s="66" t="s">
        <v>299</v>
      </c>
      <c r="AP232" s="67">
        <v>6.0</v>
      </c>
      <c r="AQ232" s="37" t="str">
        <f t="shared" si="504"/>
        <v>R</v>
      </c>
      <c r="AR232" s="65">
        <v>15.0</v>
      </c>
      <c r="AS232" s="33" t="str">
        <f t="shared" si="505"/>
        <v>R</v>
      </c>
      <c r="AT232" s="65">
        <v>14.0</v>
      </c>
      <c r="AU232" s="33" t="str">
        <f t="shared" si="506"/>
        <v>R</v>
      </c>
      <c r="AV232" s="65" t="s">
        <v>299</v>
      </c>
      <c r="AW232" s="28">
        <v>9.0</v>
      </c>
      <c r="AX232" s="26" t="str">
        <f t="shared" si="507"/>
        <v>R</v>
      </c>
      <c r="AY232" s="67">
        <v>10.0</v>
      </c>
      <c r="AZ232" s="37" t="str">
        <f t="shared" si="508"/>
        <v>R</v>
      </c>
      <c r="BA232" s="66">
        <v>22.0</v>
      </c>
      <c r="BB232" s="36" t="str">
        <f t="shared" si="509"/>
        <v>R</v>
      </c>
      <c r="BC232" s="39" t="s">
        <v>357</v>
      </c>
      <c r="BD232" s="39" t="s">
        <v>357</v>
      </c>
      <c r="BE232" s="66">
        <v>16.0</v>
      </c>
      <c r="BF232" s="36" t="str">
        <f t="shared" si="510"/>
        <v>R</v>
      </c>
      <c r="BG232" s="68">
        <v>6.0</v>
      </c>
      <c r="BH232" s="41" t="str">
        <f t="shared" si="511"/>
        <v>R</v>
      </c>
      <c r="BI232" s="41"/>
    </row>
    <row r="233">
      <c r="A233" s="51" t="s">
        <v>855</v>
      </c>
      <c r="B233" s="51" t="s">
        <v>444</v>
      </c>
      <c r="C233" s="51" t="s">
        <v>1465</v>
      </c>
      <c r="D233" s="69" t="s">
        <v>190</v>
      </c>
      <c r="E233" s="18" t="s">
        <v>190</v>
      </c>
      <c r="F233" s="18" t="s">
        <v>192</v>
      </c>
      <c r="G233" s="63" t="s">
        <v>1466</v>
      </c>
      <c r="H233" s="22" t="s">
        <v>198</v>
      </c>
      <c r="I233" s="28">
        <v>10.0</v>
      </c>
      <c r="J233" s="26" t="str">
        <f t="shared" si="489"/>
        <v>R</v>
      </c>
      <c r="K233" s="28">
        <v>11.0</v>
      </c>
      <c r="L233" s="26" t="str">
        <f t="shared" si="490"/>
        <v>R</v>
      </c>
      <c r="M233" s="28">
        <v>6.0</v>
      </c>
      <c r="N233" s="26" t="str">
        <f t="shared" si="491"/>
        <v>R</v>
      </c>
      <c r="O233" s="28">
        <v>12.0</v>
      </c>
      <c r="P233" s="26" t="str">
        <f t="shared" si="492"/>
        <v>R</v>
      </c>
      <c r="Q233" s="28">
        <v>6.0</v>
      </c>
      <c r="R233" s="26" t="str">
        <f t="shared" si="493"/>
        <v>R</v>
      </c>
      <c r="S233" s="28">
        <v>20.0</v>
      </c>
      <c r="T233" s="26" t="str">
        <f t="shared" si="494"/>
        <v>S</v>
      </c>
      <c r="U233" s="28">
        <v>9.0</v>
      </c>
      <c r="V233" s="26" t="str">
        <f t="shared" si="495"/>
        <v>R</v>
      </c>
      <c r="W233" s="32" t="s">
        <v>299</v>
      </c>
      <c r="X233" s="65">
        <v>6.0</v>
      </c>
      <c r="Y233" s="33" t="str">
        <f t="shared" si="496"/>
        <v>R</v>
      </c>
      <c r="Z233" s="65">
        <v>6.0</v>
      </c>
      <c r="AA233" s="33" t="str">
        <f t="shared" si="497"/>
        <v>R</v>
      </c>
      <c r="AB233" s="65">
        <v>10.0</v>
      </c>
      <c r="AC233" s="33" t="str">
        <f t="shared" si="498"/>
        <v>R</v>
      </c>
      <c r="AD233" s="65">
        <v>21.0</v>
      </c>
      <c r="AE233" s="33" t="str">
        <f t="shared" si="499"/>
        <v>S</v>
      </c>
      <c r="AF233" s="65">
        <v>6.0</v>
      </c>
      <c r="AG233" s="33" t="str">
        <f t="shared" si="500"/>
        <v>R</v>
      </c>
      <c r="AH233" s="65" t="s">
        <v>299</v>
      </c>
      <c r="AI233" s="66">
        <v>11.0</v>
      </c>
      <c r="AJ233" s="36" t="str">
        <f t="shared" si="501"/>
        <v>R</v>
      </c>
      <c r="AK233" s="66">
        <v>6.0</v>
      </c>
      <c r="AL233" s="36" t="str">
        <f t="shared" si="502"/>
        <v>R</v>
      </c>
      <c r="AM233" s="66">
        <v>6.0</v>
      </c>
      <c r="AN233" s="36" t="str">
        <f t="shared" si="503"/>
        <v>R</v>
      </c>
      <c r="AO233" s="66" t="s">
        <v>299</v>
      </c>
      <c r="AP233" s="67">
        <v>6.0</v>
      </c>
      <c r="AQ233" s="37" t="str">
        <f t="shared" si="504"/>
        <v>R</v>
      </c>
      <c r="AR233" s="65">
        <v>13.0</v>
      </c>
      <c r="AS233" s="33" t="str">
        <f t="shared" si="505"/>
        <v>R</v>
      </c>
      <c r="AT233" s="65">
        <v>11.0</v>
      </c>
      <c r="AU233" s="33" t="str">
        <f t="shared" si="506"/>
        <v>R</v>
      </c>
      <c r="AV233" s="65" t="s">
        <v>299</v>
      </c>
      <c r="AW233" s="28">
        <v>6.0</v>
      </c>
      <c r="AX233" s="26" t="str">
        <f t="shared" si="507"/>
        <v>R</v>
      </c>
      <c r="AY233" s="67">
        <v>11.0</v>
      </c>
      <c r="AZ233" s="37" t="str">
        <f t="shared" si="508"/>
        <v>R</v>
      </c>
      <c r="BA233" s="66">
        <v>20.0</v>
      </c>
      <c r="BB233" s="36" t="str">
        <f t="shared" si="509"/>
        <v>R</v>
      </c>
      <c r="BC233" s="39" t="s">
        <v>357</v>
      </c>
      <c r="BD233" s="39" t="s">
        <v>357</v>
      </c>
      <c r="BE233" s="66">
        <v>18.0</v>
      </c>
      <c r="BF233" s="36" t="str">
        <f t="shared" si="510"/>
        <v>R</v>
      </c>
      <c r="BG233" s="68">
        <v>6.0</v>
      </c>
      <c r="BH233" s="41" t="str">
        <f t="shared" si="511"/>
        <v>R</v>
      </c>
      <c r="BI233" s="41"/>
    </row>
    <row r="234">
      <c r="A234" s="51" t="s">
        <v>855</v>
      </c>
      <c r="B234" s="53">
        <v>135.0</v>
      </c>
      <c r="C234" s="51" t="s">
        <v>1467</v>
      </c>
      <c r="D234" s="69" t="s">
        <v>190</v>
      </c>
      <c r="E234" s="18" t="s">
        <v>190</v>
      </c>
      <c r="F234" s="18" t="s">
        <v>192</v>
      </c>
      <c r="G234" s="63" t="s">
        <v>1468</v>
      </c>
      <c r="H234" s="42" t="s">
        <v>479</v>
      </c>
      <c r="I234" s="28">
        <v>6.0</v>
      </c>
      <c r="J234" s="26" t="str">
        <f t="shared" si="489"/>
        <v>R</v>
      </c>
      <c r="K234" s="28">
        <v>20.0</v>
      </c>
      <c r="L234" s="26" t="str">
        <f t="shared" si="490"/>
        <v>S</v>
      </c>
      <c r="M234" s="28">
        <v>22.0</v>
      </c>
      <c r="N234" s="26" t="str">
        <f t="shared" si="491"/>
        <v>R</v>
      </c>
      <c r="O234" s="28">
        <v>19.0</v>
      </c>
      <c r="P234" s="26" t="str">
        <f t="shared" si="492"/>
        <v>R</v>
      </c>
      <c r="Q234" s="28">
        <v>13.0</v>
      </c>
      <c r="R234" s="26" t="str">
        <f t="shared" si="493"/>
        <v>R</v>
      </c>
      <c r="S234" s="28">
        <v>25.0</v>
      </c>
      <c r="T234" s="26" t="str">
        <f t="shared" si="494"/>
        <v>S</v>
      </c>
      <c r="U234" s="28">
        <v>18.0</v>
      </c>
      <c r="V234" s="26" t="str">
        <f t="shared" si="495"/>
        <v>I</v>
      </c>
      <c r="W234" s="32" t="s">
        <v>299</v>
      </c>
      <c r="X234" s="65">
        <v>16.0</v>
      </c>
      <c r="Y234" s="33" t="str">
        <f t="shared" si="496"/>
        <v>R</v>
      </c>
      <c r="Z234" s="65">
        <v>21.0</v>
      </c>
      <c r="AA234" s="33" t="str">
        <f t="shared" si="497"/>
        <v>S</v>
      </c>
      <c r="AB234" s="65">
        <v>16.0</v>
      </c>
      <c r="AC234" s="33" t="str">
        <f t="shared" si="498"/>
        <v>R</v>
      </c>
      <c r="AD234" s="65">
        <v>6.0</v>
      </c>
      <c r="AE234" s="33" t="str">
        <f t="shared" si="499"/>
        <v>R</v>
      </c>
      <c r="AF234" s="65">
        <v>6.0</v>
      </c>
      <c r="AG234" s="33" t="str">
        <f t="shared" si="500"/>
        <v>R</v>
      </c>
      <c r="AH234" s="65" t="s">
        <v>299</v>
      </c>
      <c r="AI234" s="66">
        <v>24.0</v>
      </c>
      <c r="AJ234" s="36" t="str">
        <f t="shared" si="501"/>
        <v>I</v>
      </c>
      <c r="AK234" s="66">
        <v>20.0</v>
      </c>
      <c r="AL234" s="36" t="str">
        <f t="shared" si="502"/>
        <v>I</v>
      </c>
      <c r="AM234" s="66">
        <v>18.0</v>
      </c>
      <c r="AN234" s="36" t="str">
        <f t="shared" si="503"/>
        <v>S</v>
      </c>
      <c r="AO234" s="66" t="s">
        <v>299</v>
      </c>
      <c r="AP234" s="67">
        <v>6.0</v>
      </c>
      <c r="AQ234" s="37" t="str">
        <f t="shared" si="504"/>
        <v>R</v>
      </c>
      <c r="AR234" s="65">
        <v>18.0</v>
      </c>
      <c r="AS234" s="33" t="str">
        <f t="shared" si="505"/>
        <v>S</v>
      </c>
      <c r="AT234" s="65">
        <v>6.0</v>
      </c>
      <c r="AU234" s="33" t="str">
        <f t="shared" si="506"/>
        <v>R</v>
      </c>
      <c r="AV234" s="65" t="s">
        <v>299</v>
      </c>
      <c r="AW234" s="28">
        <v>30.0</v>
      </c>
      <c r="AX234" s="26" t="str">
        <f t="shared" si="507"/>
        <v>S</v>
      </c>
      <c r="AY234" s="67">
        <v>6.0</v>
      </c>
      <c r="AZ234" s="37" t="str">
        <f t="shared" si="508"/>
        <v>R</v>
      </c>
      <c r="BA234" s="66">
        <v>28.0</v>
      </c>
      <c r="BB234" s="36" t="str">
        <f t="shared" si="509"/>
        <v>S</v>
      </c>
      <c r="BC234" s="39" t="s">
        <v>357</v>
      </c>
      <c r="BD234" s="39" t="s">
        <v>357</v>
      </c>
      <c r="BE234" s="66">
        <v>30.0</v>
      </c>
      <c r="BF234" s="36" t="str">
        <f t="shared" si="510"/>
        <v>S</v>
      </c>
      <c r="BG234" s="68">
        <v>20.0</v>
      </c>
      <c r="BH234" s="41" t="str">
        <f t="shared" si="511"/>
        <v>S</v>
      </c>
      <c r="BI234" s="41"/>
    </row>
    <row r="235">
      <c r="A235" s="51" t="s">
        <v>855</v>
      </c>
      <c r="B235" s="51" t="s">
        <v>444</v>
      </c>
      <c r="C235" s="51" t="s">
        <v>1469</v>
      </c>
      <c r="D235" s="69" t="s">
        <v>190</v>
      </c>
      <c r="E235" s="18" t="s">
        <v>190</v>
      </c>
      <c r="F235" s="18" t="s">
        <v>192</v>
      </c>
      <c r="G235" s="63" t="s">
        <v>1470</v>
      </c>
      <c r="H235" s="42" t="s">
        <v>479</v>
      </c>
      <c r="I235" s="28">
        <v>6.0</v>
      </c>
      <c r="J235" s="26" t="str">
        <f t="shared" si="489"/>
        <v>R</v>
      </c>
      <c r="K235" s="28">
        <v>20.0</v>
      </c>
      <c r="L235" s="26" t="str">
        <f t="shared" si="490"/>
        <v>S</v>
      </c>
      <c r="M235" s="28">
        <v>22.0</v>
      </c>
      <c r="N235" s="26" t="str">
        <f t="shared" si="491"/>
        <v>R</v>
      </c>
      <c r="O235" s="28">
        <v>19.0</v>
      </c>
      <c r="P235" s="26" t="str">
        <f t="shared" si="492"/>
        <v>R</v>
      </c>
      <c r="Q235" s="28">
        <v>12.0</v>
      </c>
      <c r="R235" s="26" t="str">
        <f t="shared" si="493"/>
        <v>R</v>
      </c>
      <c r="S235" s="28">
        <v>24.0</v>
      </c>
      <c r="T235" s="26" t="str">
        <f t="shared" si="494"/>
        <v>S</v>
      </c>
      <c r="U235" s="28">
        <v>18.0</v>
      </c>
      <c r="V235" s="26" t="str">
        <f t="shared" si="495"/>
        <v>I</v>
      </c>
      <c r="W235" s="32" t="s">
        <v>299</v>
      </c>
      <c r="X235" s="65">
        <v>16.0</v>
      </c>
      <c r="Y235" s="33" t="str">
        <f t="shared" si="496"/>
        <v>R</v>
      </c>
      <c r="Z235" s="65">
        <v>21.0</v>
      </c>
      <c r="AA235" s="33" t="str">
        <f t="shared" si="497"/>
        <v>S</v>
      </c>
      <c r="AB235" s="65">
        <v>16.0</v>
      </c>
      <c r="AC235" s="33" t="str">
        <f t="shared" si="498"/>
        <v>R</v>
      </c>
      <c r="AD235" s="65">
        <v>9.0</v>
      </c>
      <c r="AE235" s="33" t="str">
        <f t="shared" si="499"/>
        <v>R</v>
      </c>
      <c r="AF235" s="65">
        <v>6.0</v>
      </c>
      <c r="AG235" s="33" t="str">
        <f t="shared" si="500"/>
        <v>R</v>
      </c>
      <c r="AH235" s="65" t="s">
        <v>299</v>
      </c>
      <c r="AI235" s="66">
        <v>25.0</v>
      </c>
      <c r="AJ235" s="36" t="str">
        <f t="shared" si="501"/>
        <v>S</v>
      </c>
      <c r="AK235" s="66">
        <v>20.0</v>
      </c>
      <c r="AL235" s="36" t="str">
        <f t="shared" si="502"/>
        <v>I</v>
      </c>
      <c r="AM235" s="66">
        <v>18.0</v>
      </c>
      <c r="AN235" s="36" t="str">
        <f t="shared" si="503"/>
        <v>S</v>
      </c>
      <c r="AO235" s="66" t="s">
        <v>299</v>
      </c>
      <c r="AP235" s="67">
        <v>10.0</v>
      </c>
      <c r="AQ235" s="37" t="str">
        <f t="shared" si="504"/>
        <v>R</v>
      </c>
      <c r="AR235" s="65">
        <v>20.0</v>
      </c>
      <c r="AS235" s="33" t="str">
        <f t="shared" si="505"/>
        <v>S</v>
      </c>
      <c r="AT235" s="65">
        <v>6.0</v>
      </c>
      <c r="AU235" s="33" t="str">
        <f t="shared" si="506"/>
        <v>R</v>
      </c>
      <c r="AV235" s="65" t="s">
        <v>299</v>
      </c>
      <c r="AW235" s="28">
        <v>28.0</v>
      </c>
      <c r="AX235" s="26" t="str">
        <f t="shared" si="507"/>
        <v>S</v>
      </c>
      <c r="AY235" s="67">
        <v>6.0</v>
      </c>
      <c r="AZ235" s="37" t="str">
        <f t="shared" si="508"/>
        <v>R</v>
      </c>
      <c r="BA235" s="66">
        <v>28.0</v>
      </c>
      <c r="BB235" s="36" t="str">
        <f t="shared" si="509"/>
        <v>S</v>
      </c>
      <c r="BC235" s="39" t="s">
        <v>357</v>
      </c>
      <c r="BD235" s="39" t="s">
        <v>357</v>
      </c>
      <c r="BE235" s="66">
        <v>32.0</v>
      </c>
      <c r="BF235" s="36" t="str">
        <f t="shared" si="510"/>
        <v>S</v>
      </c>
      <c r="BG235" s="68">
        <v>19.0</v>
      </c>
      <c r="BH235" s="41" t="str">
        <f t="shared" si="511"/>
        <v>S</v>
      </c>
      <c r="BI235" s="41"/>
    </row>
    <row r="236">
      <c r="A236" s="51" t="s">
        <v>855</v>
      </c>
      <c r="B236" s="51" t="s">
        <v>444</v>
      </c>
      <c r="C236" s="51" t="s">
        <v>1471</v>
      </c>
      <c r="D236" s="69" t="s">
        <v>190</v>
      </c>
      <c r="E236" s="18" t="s">
        <v>190</v>
      </c>
      <c r="F236" s="18" t="s">
        <v>192</v>
      </c>
      <c r="G236" s="63" t="s">
        <v>1472</v>
      </c>
      <c r="H236" s="42" t="s">
        <v>479</v>
      </c>
      <c r="I236" s="28">
        <v>6.0</v>
      </c>
      <c r="J236" s="26" t="str">
        <f t="shared" si="489"/>
        <v>R</v>
      </c>
      <c r="K236" s="28">
        <v>20.0</v>
      </c>
      <c r="L236" s="26" t="str">
        <f t="shared" si="490"/>
        <v>S</v>
      </c>
      <c r="M236" s="28">
        <v>22.0</v>
      </c>
      <c r="N236" s="26" t="str">
        <f t="shared" si="491"/>
        <v>R</v>
      </c>
      <c r="O236" s="28">
        <v>19.0</v>
      </c>
      <c r="P236" s="26" t="str">
        <f t="shared" si="492"/>
        <v>R</v>
      </c>
      <c r="Q236" s="28">
        <v>13.0</v>
      </c>
      <c r="R236" s="26" t="str">
        <f t="shared" si="493"/>
        <v>R</v>
      </c>
      <c r="S236" s="28">
        <v>24.0</v>
      </c>
      <c r="T236" s="26" t="str">
        <f t="shared" si="494"/>
        <v>S</v>
      </c>
      <c r="U236" s="28">
        <v>18.0</v>
      </c>
      <c r="V236" s="26" t="str">
        <f t="shared" si="495"/>
        <v>I</v>
      </c>
      <c r="W236" s="32" t="s">
        <v>299</v>
      </c>
      <c r="X236" s="65">
        <v>16.0</v>
      </c>
      <c r="Y236" s="33" t="str">
        <f t="shared" si="496"/>
        <v>R</v>
      </c>
      <c r="Z236" s="65">
        <v>21.0</v>
      </c>
      <c r="AA236" s="33" t="str">
        <f t="shared" si="497"/>
        <v>S</v>
      </c>
      <c r="AB236" s="65">
        <v>16.0</v>
      </c>
      <c r="AC236" s="33" t="str">
        <f t="shared" si="498"/>
        <v>R</v>
      </c>
      <c r="AD236" s="65">
        <v>6.0</v>
      </c>
      <c r="AE236" s="33" t="str">
        <f t="shared" si="499"/>
        <v>R</v>
      </c>
      <c r="AF236" s="65">
        <v>6.0</v>
      </c>
      <c r="AG236" s="33" t="str">
        <f t="shared" si="500"/>
        <v>R</v>
      </c>
      <c r="AH236" s="65" t="s">
        <v>299</v>
      </c>
      <c r="AI236" s="66">
        <v>25.0</v>
      </c>
      <c r="AJ236" s="36" t="str">
        <f t="shared" si="501"/>
        <v>S</v>
      </c>
      <c r="AK236" s="66">
        <v>20.0</v>
      </c>
      <c r="AL236" s="36" t="str">
        <f t="shared" si="502"/>
        <v>I</v>
      </c>
      <c r="AM236" s="66">
        <v>18.0</v>
      </c>
      <c r="AN236" s="36" t="str">
        <f t="shared" si="503"/>
        <v>S</v>
      </c>
      <c r="AO236" s="66" t="s">
        <v>299</v>
      </c>
      <c r="AP236" s="67">
        <v>10.0</v>
      </c>
      <c r="AQ236" s="37" t="str">
        <f t="shared" si="504"/>
        <v>R</v>
      </c>
      <c r="AR236" s="65">
        <v>18.0</v>
      </c>
      <c r="AS236" s="33" t="str">
        <f t="shared" si="505"/>
        <v>S</v>
      </c>
      <c r="AT236" s="65">
        <v>6.0</v>
      </c>
      <c r="AU236" s="33" t="str">
        <f t="shared" si="506"/>
        <v>R</v>
      </c>
      <c r="AV236" s="65" t="s">
        <v>299</v>
      </c>
      <c r="AW236" s="28">
        <v>28.0</v>
      </c>
      <c r="AX236" s="26" t="str">
        <f t="shared" si="507"/>
        <v>S</v>
      </c>
      <c r="AY236" s="67">
        <v>6.0</v>
      </c>
      <c r="AZ236" s="37" t="str">
        <f t="shared" si="508"/>
        <v>R</v>
      </c>
      <c r="BA236" s="66">
        <v>28.0</v>
      </c>
      <c r="BB236" s="36" t="str">
        <f t="shared" si="509"/>
        <v>S</v>
      </c>
      <c r="BC236" s="39" t="s">
        <v>357</v>
      </c>
      <c r="BD236" s="39" t="s">
        <v>357</v>
      </c>
      <c r="BE236" s="66">
        <v>30.0</v>
      </c>
      <c r="BF236" s="36" t="str">
        <f t="shared" si="510"/>
        <v>S</v>
      </c>
      <c r="BG236" s="68">
        <v>19.0</v>
      </c>
      <c r="BH236" s="41" t="str">
        <f t="shared" si="511"/>
        <v>S</v>
      </c>
      <c r="BI236" s="41"/>
    </row>
    <row r="237">
      <c r="A237" s="51" t="s">
        <v>855</v>
      </c>
      <c r="B237" s="53">
        <v>136.0</v>
      </c>
      <c r="C237" s="51" t="s">
        <v>1473</v>
      </c>
      <c r="D237" s="69" t="s">
        <v>571</v>
      </c>
      <c r="E237" s="18" t="s">
        <v>572</v>
      </c>
      <c r="F237" s="18" t="s">
        <v>192</v>
      </c>
      <c r="G237" s="63" t="s">
        <v>1474</v>
      </c>
      <c r="H237" s="42" t="s">
        <v>479</v>
      </c>
      <c r="I237" s="28">
        <v>6.0</v>
      </c>
      <c r="J237" s="26" t="str">
        <f t="shared" si="489"/>
        <v>R</v>
      </c>
      <c r="K237" s="28">
        <v>6.0</v>
      </c>
      <c r="L237" s="26" t="str">
        <f t="shared" si="490"/>
        <v>R</v>
      </c>
      <c r="M237" s="28">
        <v>6.0</v>
      </c>
      <c r="N237" s="26" t="str">
        <f t="shared" si="491"/>
        <v>R</v>
      </c>
      <c r="O237" s="28">
        <v>26.0</v>
      </c>
      <c r="P237" s="26" t="str">
        <f t="shared" si="492"/>
        <v>S</v>
      </c>
      <c r="Q237" s="28">
        <v>12.0</v>
      </c>
      <c r="R237" s="26" t="str">
        <f t="shared" si="493"/>
        <v>R</v>
      </c>
      <c r="S237" s="28">
        <v>11.0</v>
      </c>
      <c r="T237" s="26" t="str">
        <f t="shared" si="494"/>
        <v>R</v>
      </c>
      <c r="U237" s="28">
        <v>19.0</v>
      </c>
      <c r="V237" s="26" t="str">
        <f t="shared" si="495"/>
        <v>I</v>
      </c>
      <c r="W237" s="32" t="s">
        <v>299</v>
      </c>
      <c r="X237" s="65">
        <v>6.0</v>
      </c>
      <c r="Y237" s="33" t="str">
        <f t="shared" si="496"/>
        <v>R</v>
      </c>
      <c r="Z237" s="65">
        <v>18.0</v>
      </c>
      <c r="AA237" s="33" t="str">
        <f t="shared" si="497"/>
        <v>S</v>
      </c>
      <c r="AB237" s="65">
        <v>6.0</v>
      </c>
      <c r="AC237" s="33" t="str">
        <f t="shared" si="498"/>
        <v>R</v>
      </c>
      <c r="AD237" s="65">
        <v>16.0</v>
      </c>
      <c r="AE237" s="33" t="str">
        <f t="shared" si="499"/>
        <v>S</v>
      </c>
      <c r="AF237" s="65">
        <v>6.0</v>
      </c>
      <c r="AG237" s="33" t="str">
        <f t="shared" si="500"/>
        <v>R</v>
      </c>
      <c r="AH237" s="65" t="s">
        <v>299</v>
      </c>
      <c r="AI237" s="66">
        <v>23.0</v>
      </c>
      <c r="AJ237" s="36" t="str">
        <f t="shared" si="501"/>
        <v>I</v>
      </c>
      <c r="AK237" s="66">
        <v>23.0</v>
      </c>
      <c r="AL237" s="36" t="str">
        <f t="shared" si="502"/>
        <v>S</v>
      </c>
      <c r="AM237" s="66">
        <v>23.0</v>
      </c>
      <c r="AN237" s="36" t="str">
        <f t="shared" si="503"/>
        <v>S</v>
      </c>
      <c r="AO237" s="66" t="s">
        <v>299</v>
      </c>
      <c r="AP237" s="67">
        <v>6.0</v>
      </c>
      <c r="AQ237" s="37" t="str">
        <f t="shared" si="504"/>
        <v>R</v>
      </c>
      <c r="AR237" s="65">
        <v>18.0</v>
      </c>
      <c r="AS237" s="33" t="str">
        <f t="shared" si="505"/>
        <v>S</v>
      </c>
      <c r="AT237" s="65">
        <v>13.0</v>
      </c>
      <c r="AU237" s="33" t="str">
        <f t="shared" si="506"/>
        <v>R</v>
      </c>
      <c r="AV237" s="65" t="s">
        <v>299</v>
      </c>
      <c r="AW237" s="28">
        <v>20.0</v>
      </c>
      <c r="AX237" s="26" t="str">
        <f t="shared" si="507"/>
        <v>S</v>
      </c>
      <c r="AY237" s="67">
        <v>6.0</v>
      </c>
      <c r="AZ237" s="37" t="str">
        <f t="shared" si="508"/>
        <v>R</v>
      </c>
      <c r="BA237" s="66">
        <v>16.0</v>
      </c>
      <c r="BB237" s="36" t="str">
        <f t="shared" si="509"/>
        <v>R</v>
      </c>
      <c r="BC237" s="39" t="s">
        <v>357</v>
      </c>
      <c r="BD237" s="39" t="s">
        <v>357</v>
      </c>
      <c r="BE237" s="66">
        <v>15.0</v>
      </c>
      <c r="BF237" s="36" t="str">
        <f t="shared" si="510"/>
        <v>R</v>
      </c>
      <c r="BG237" s="68">
        <v>16.0</v>
      </c>
      <c r="BH237" s="41" t="str">
        <f t="shared" si="511"/>
        <v>R</v>
      </c>
      <c r="BI237" s="41"/>
    </row>
    <row r="238">
      <c r="A238" s="51" t="s">
        <v>855</v>
      </c>
      <c r="B238" s="51" t="s">
        <v>444</v>
      </c>
      <c r="C238" s="51" t="s">
        <v>1475</v>
      </c>
      <c r="D238" s="69" t="s">
        <v>571</v>
      </c>
      <c r="E238" s="18" t="s">
        <v>572</v>
      </c>
      <c r="F238" s="18" t="s">
        <v>192</v>
      </c>
      <c r="G238" s="63" t="s">
        <v>1476</v>
      </c>
      <c r="H238" s="42" t="s">
        <v>479</v>
      </c>
      <c r="I238" s="28">
        <v>6.0</v>
      </c>
      <c r="J238" s="26" t="str">
        <f t="shared" si="489"/>
        <v>R</v>
      </c>
      <c r="K238" s="28">
        <v>6.0</v>
      </c>
      <c r="L238" s="26" t="str">
        <f t="shared" si="490"/>
        <v>R</v>
      </c>
      <c r="M238" s="28">
        <v>6.0</v>
      </c>
      <c r="N238" s="26" t="str">
        <f t="shared" si="491"/>
        <v>R</v>
      </c>
      <c r="O238" s="28">
        <v>26.0</v>
      </c>
      <c r="P238" s="26" t="str">
        <f t="shared" si="492"/>
        <v>S</v>
      </c>
      <c r="Q238" s="28">
        <v>12.0</v>
      </c>
      <c r="R238" s="26" t="str">
        <f t="shared" si="493"/>
        <v>R</v>
      </c>
      <c r="S238" s="28">
        <v>11.0</v>
      </c>
      <c r="T238" s="26" t="str">
        <f t="shared" si="494"/>
        <v>R</v>
      </c>
      <c r="U238" s="28">
        <v>19.0</v>
      </c>
      <c r="V238" s="26" t="str">
        <f t="shared" si="495"/>
        <v>I</v>
      </c>
      <c r="W238" s="32" t="s">
        <v>299</v>
      </c>
      <c r="X238" s="65">
        <v>6.0</v>
      </c>
      <c r="Y238" s="33" t="str">
        <f t="shared" si="496"/>
        <v>R</v>
      </c>
      <c r="Z238" s="65">
        <v>19.0</v>
      </c>
      <c r="AA238" s="33" t="str">
        <f t="shared" si="497"/>
        <v>S</v>
      </c>
      <c r="AB238" s="65">
        <v>6.0</v>
      </c>
      <c r="AC238" s="33" t="str">
        <f t="shared" si="498"/>
        <v>R</v>
      </c>
      <c r="AD238" s="65">
        <v>16.0</v>
      </c>
      <c r="AE238" s="33" t="str">
        <f t="shared" si="499"/>
        <v>S</v>
      </c>
      <c r="AF238" s="65">
        <v>6.0</v>
      </c>
      <c r="AG238" s="33" t="str">
        <f t="shared" si="500"/>
        <v>R</v>
      </c>
      <c r="AH238" s="65" t="s">
        <v>299</v>
      </c>
      <c r="AI238" s="66">
        <v>23.0</v>
      </c>
      <c r="AJ238" s="36" t="str">
        <f t="shared" si="501"/>
        <v>I</v>
      </c>
      <c r="AK238" s="66">
        <v>23.0</v>
      </c>
      <c r="AL238" s="36" t="str">
        <f t="shared" si="502"/>
        <v>S</v>
      </c>
      <c r="AM238" s="66">
        <v>21.0</v>
      </c>
      <c r="AN238" s="36" t="str">
        <f t="shared" si="503"/>
        <v>S</v>
      </c>
      <c r="AO238" s="66" t="s">
        <v>299</v>
      </c>
      <c r="AP238" s="67">
        <v>6.0</v>
      </c>
      <c r="AQ238" s="37" t="str">
        <f t="shared" si="504"/>
        <v>R</v>
      </c>
      <c r="AR238" s="65">
        <v>20.0</v>
      </c>
      <c r="AS238" s="33" t="str">
        <f t="shared" si="505"/>
        <v>S</v>
      </c>
      <c r="AT238" s="65">
        <v>13.0</v>
      </c>
      <c r="AU238" s="33" t="str">
        <f t="shared" si="506"/>
        <v>R</v>
      </c>
      <c r="AV238" s="65" t="s">
        <v>299</v>
      </c>
      <c r="AW238" s="28">
        <v>20.0</v>
      </c>
      <c r="AX238" s="26" t="str">
        <f t="shared" si="507"/>
        <v>S</v>
      </c>
      <c r="AY238" s="67">
        <v>6.0</v>
      </c>
      <c r="AZ238" s="37" t="str">
        <f t="shared" si="508"/>
        <v>R</v>
      </c>
      <c r="BA238" s="66">
        <v>15.0</v>
      </c>
      <c r="BB238" s="36" t="str">
        <f t="shared" si="509"/>
        <v>R</v>
      </c>
      <c r="BC238" s="39" t="s">
        <v>357</v>
      </c>
      <c r="BD238" s="39" t="s">
        <v>357</v>
      </c>
      <c r="BE238" s="66">
        <v>15.0</v>
      </c>
      <c r="BF238" s="36" t="str">
        <f t="shared" si="510"/>
        <v>R</v>
      </c>
      <c r="BG238" s="68">
        <v>16.0</v>
      </c>
      <c r="BH238" s="41" t="str">
        <f t="shared" si="511"/>
        <v>R</v>
      </c>
      <c r="BI238" s="41"/>
    </row>
    <row r="239">
      <c r="A239" s="51" t="s">
        <v>855</v>
      </c>
      <c r="B239" s="51" t="s">
        <v>444</v>
      </c>
      <c r="C239" s="51" t="s">
        <v>1477</v>
      </c>
      <c r="D239" s="69" t="s">
        <v>571</v>
      </c>
      <c r="E239" s="18" t="s">
        <v>572</v>
      </c>
      <c r="F239" s="18" t="s">
        <v>192</v>
      </c>
      <c r="G239" s="63" t="s">
        <v>1478</v>
      </c>
      <c r="H239" s="42" t="s">
        <v>479</v>
      </c>
      <c r="I239" s="28">
        <v>6.0</v>
      </c>
      <c r="J239" s="26" t="str">
        <f t="shared" si="489"/>
        <v>R</v>
      </c>
      <c r="K239" s="28">
        <v>6.0</v>
      </c>
      <c r="L239" s="26" t="str">
        <f t="shared" si="490"/>
        <v>R</v>
      </c>
      <c r="M239" s="28">
        <v>6.0</v>
      </c>
      <c r="N239" s="26" t="str">
        <f t="shared" si="491"/>
        <v>R</v>
      </c>
      <c r="O239" s="28">
        <v>26.0</v>
      </c>
      <c r="P239" s="26" t="str">
        <f t="shared" si="492"/>
        <v>S</v>
      </c>
      <c r="Q239" s="28">
        <v>12.0</v>
      </c>
      <c r="R239" s="26" t="str">
        <f t="shared" si="493"/>
        <v>R</v>
      </c>
      <c r="S239" s="28">
        <v>11.0</v>
      </c>
      <c r="T239" s="26" t="str">
        <f t="shared" si="494"/>
        <v>R</v>
      </c>
      <c r="U239" s="28">
        <v>19.0</v>
      </c>
      <c r="V239" s="26" t="str">
        <f t="shared" si="495"/>
        <v>I</v>
      </c>
      <c r="W239" s="32" t="s">
        <v>299</v>
      </c>
      <c r="X239" s="65">
        <v>6.0</v>
      </c>
      <c r="Y239" s="33" t="str">
        <f t="shared" si="496"/>
        <v>R</v>
      </c>
      <c r="Z239" s="65">
        <v>18.0</v>
      </c>
      <c r="AA239" s="33" t="str">
        <f t="shared" si="497"/>
        <v>S</v>
      </c>
      <c r="AB239" s="65">
        <v>6.0</v>
      </c>
      <c r="AC239" s="33" t="str">
        <f t="shared" si="498"/>
        <v>R</v>
      </c>
      <c r="AD239" s="65">
        <v>16.0</v>
      </c>
      <c r="AE239" s="33" t="str">
        <f t="shared" si="499"/>
        <v>S</v>
      </c>
      <c r="AF239" s="65">
        <v>6.0</v>
      </c>
      <c r="AG239" s="33" t="str">
        <f t="shared" si="500"/>
        <v>R</v>
      </c>
      <c r="AH239" s="65" t="s">
        <v>299</v>
      </c>
      <c r="AI239" s="66">
        <v>23.0</v>
      </c>
      <c r="AJ239" s="36" t="str">
        <f t="shared" si="501"/>
        <v>I</v>
      </c>
      <c r="AK239" s="66">
        <v>23.0</v>
      </c>
      <c r="AL239" s="36" t="str">
        <f t="shared" si="502"/>
        <v>S</v>
      </c>
      <c r="AM239" s="66">
        <v>21.0</v>
      </c>
      <c r="AN239" s="36" t="str">
        <f t="shared" si="503"/>
        <v>S</v>
      </c>
      <c r="AO239" s="66" t="s">
        <v>299</v>
      </c>
      <c r="AP239" s="67">
        <v>6.0</v>
      </c>
      <c r="AQ239" s="37" t="str">
        <f t="shared" si="504"/>
        <v>R</v>
      </c>
      <c r="AR239" s="65">
        <v>18.0</v>
      </c>
      <c r="AS239" s="33" t="str">
        <f t="shared" si="505"/>
        <v>S</v>
      </c>
      <c r="AT239" s="65">
        <v>13.0</v>
      </c>
      <c r="AU239" s="33" t="str">
        <f t="shared" si="506"/>
        <v>R</v>
      </c>
      <c r="AV239" s="65" t="s">
        <v>299</v>
      </c>
      <c r="AW239" s="28">
        <v>20.0</v>
      </c>
      <c r="AX239" s="26" t="str">
        <f t="shared" si="507"/>
        <v>S</v>
      </c>
      <c r="AY239" s="67">
        <v>6.0</v>
      </c>
      <c r="AZ239" s="37" t="str">
        <f t="shared" si="508"/>
        <v>R</v>
      </c>
      <c r="BA239" s="66">
        <v>16.0</v>
      </c>
      <c r="BB239" s="36" t="str">
        <f t="shared" si="509"/>
        <v>R</v>
      </c>
      <c r="BC239" s="39" t="s">
        <v>357</v>
      </c>
      <c r="BD239" s="39" t="s">
        <v>357</v>
      </c>
      <c r="BE239" s="66">
        <v>15.0</v>
      </c>
      <c r="BF239" s="36" t="str">
        <f t="shared" si="510"/>
        <v>R</v>
      </c>
      <c r="BG239" s="68">
        <v>16.0</v>
      </c>
      <c r="BH239" s="41" t="str">
        <f t="shared" si="511"/>
        <v>R</v>
      </c>
      <c r="BI239" s="41"/>
    </row>
    <row r="240">
      <c r="A240" s="21" t="s">
        <v>859</v>
      </c>
      <c r="B240" s="23">
        <v>137.0</v>
      </c>
      <c r="C240" s="21" t="s">
        <v>1479</v>
      </c>
      <c r="D240" s="69" t="s">
        <v>190</v>
      </c>
      <c r="E240" s="18" t="s">
        <v>190</v>
      </c>
      <c r="F240" s="18" t="s">
        <v>192</v>
      </c>
      <c r="G240" s="63" t="s">
        <v>1480</v>
      </c>
      <c r="H240" s="42" t="s">
        <v>479</v>
      </c>
      <c r="I240" s="28">
        <v>9.0</v>
      </c>
      <c r="J240" s="26" t="str">
        <f t="shared" si="489"/>
        <v>R</v>
      </c>
      <c r="K240" s="28">
        <v>19.0</v>
      </c>
      <c r="L240" s="26" t="str">
        <f t="shared" si="490"/>
        <v>S</v>
      </c>
      <c r="M240" s="28">
        <v>6.0</v>
      </c>
      <c r="N240" s="26" t="str">
        <f t="shared" si="491"/>
        <v>R</v>
      </c>
      <c r="O240" s="28">
        <v>15.0</v>
      </c>
      <c r="P240" s="26" t="str">
        <f t="shared" si="492"/>
        <v>R</v>
      </c>
      <c r="Q240" s="28">
        <v>11.0</v>
      </c>
      <c r="R240" s="26" t="str">
        <f t="shared" si="493"/>
        <v>R</v>
      </c>
      <c r="S240" s="28">
        <v>23.0</v>
      </c>
      <c r="T240" s="26" t="str">
        <f t="shared" si="494"/>
        <v>S</v>
      </c>
      <c r="U240" s="28">
        <v>20.0</v>
      </c>
      <c r="V240" s="26" t="str">
        <f t="shared" si="495"/>
        <v>S</v>
      </c>
      <c r="W240" s="32" t="s">
        <v>299</v>
      </c>
      <c r="X240" s="65">
        <v>17.0</v>
      </c>
      <c r="Y240" s="33" t="str">
        <f t="shared" si="496"/>
        <v>I</v>
      </c>
      <c r="Z240" s="65">
        <v>24.0</v>
      </c>
      <c r="AA240" s="33" t="str">
        <f t="shared" si="497"/>
        <v>S</v>
      </c>
      <c r="AB240" s="65">
        <v>21.0</v>
      </c>
      <c r="AC240" s="33" t="str">
        <f t="shared" si="498"/>
        <v>I</v>
      </c>
      <c r="AD240" s="65">
        <v>24.0</v>
      </c>
      <c r="AE240" s="33" t="str">
        <f t="shared" si="499"/>
        <v>S</v>
      </c>
      <c r="AF240" s="65">
        <v>23.0</v>
      </c>
      <c r="AG240" s="33" t="str">
        <f t="shared" si="500"/>
        <v>R</v>
      </c>
      <c r="AH240" s="65" t="s">
        <v>299</v>
      </c>
      <c r="AI240" s="66">
        <v>32.0</v>
      </c>
      <c r="AJ240" s="36" t="str">
        <f t="shared" si="501"/>
        <v>S</v>
      </c>
      <c r="AK240" s="66">
        <v>26.0</v>
      </c>
      <c r="AL240" s="36" t="str">
        <f t="shared" si="502"/>
        <v>S</v>
      </c>
      <c r="AM240" s="66">
        <v>26.0</v>
      </c>
      <c r="AN240" s="36" t="str">
        <f t="shared" si="503"/>
        <v>S</v>
      </c>
      <c r="AO240" s="36" t="s">
        <v>300</v>
      </c>
      <c r="AP240" s="67">
        <v>6.0</v>
      </c>
      <c r="AQ240" s="37" t="str">
        <f t="shared" si="504"/>
        <v>R</v>
      </c>
      <c r="AR240" s="65">
        <v>24.0</v>
      </c>
      <c r="AS240" s="33" t="str">
        <f t="shared" si="505"/>
        <v>S</v>
      </c>
      <c r="AT240" s="65">
        <v>24.0</v>
      </c>
      <c r="AU240" s="33" t="str">
        <f t="shared" si="506"/>
        <v>S</v>
      </c>
      <c r="AV240" s="33" t="s">
        <v>300</v>
      </c>
      <c r="AW240" s="28">
        <v>6.0</v>
      </c>
      <c r="AX240" s="26" t="str">
        <f t="shared" si="507"/>
        <v>R</v>
      </c>
      <c r="AY240" s="67">
        <v>26.0</v>
      </c>
      <c r="AZ240" s="37" t="str">
        <f t="shared" si="508"/>
        <v>S</v>
      </c>
      <c r="BA240" s="66">
        <v>34.0</v>
      </c>
      <c r="BB240" s="36" t="str">
        <f t="shared" si="509"/>
        <v>S</v>
      </c>
      <c r="BC240" s="39" t="s">
        <v>357</v>
      </c>
      <c r="BD240" s="39" t="s">
        <v>357</v>
      </c>
      <c r="BE240" s="66">
        <v>27.0</v>
      </c>
      <c r="BF240" s="36" t="str">
        <f t="shared" si="510"/>
        <v>S</v>
      </c>
      <c r="BG240" s="68">
        <v>23.0</v>
      </c>
      <c r="BH240" s="41" t="str">
        <f t="shared" si="511"/>
        <v>S</v>
      </c>
      <c r="BI240" s="41"/>
    </row>
    <row r="241">
      <c r="A241" s="21" t="s">
        <v>859</v>
      </c>
      <c r="B241" s="21" t="s">
        <v>444</v>
      </c>
      <c r="C241" s="21" t="s">
        <v>1481</v>
      </c>
      <c r="D241" s="69" t="s">
        <v>190</v>
      </c>
      <c r="E241" s="18" t="s">
        <v>190</v>
      </c>
      <c r="F241" s="18" t="s">
        <v>192</v>
      </c>
      <c r="G241" s="63" t="s">
        <v>1482</v>
      </c>
      <c r="H241" s="42" t="s">
        <v>479</v>
      </c>
      <c r="I241" s="28">
        <v>6.0</v>
      </c>
      <c r="J241" s="26" t="str">
        <f t="shared" si="489"/>
        <v>R</v>
      </c>
      <c r="K241" s="28">
        <v>19.0</v>
      </c>
      <c r="L241" s="26" t="str">
        <f t="shared" si="490"/>
        <v>S</v>
      </c>
      <c r="M241" s="28">
        <v>6.0</v>
      </c>
      <c r="N241" s="26" t="str">
        <f t="shared" si="491"/>
        <v>R</v>
      </c>
      <c r="O241" s="28">
        <v>15.0</v>
      </c>
      <c r="P241" s="26" t="str">
        <f t="shared" si="492"/>
        <v>R</v>
      </c>
      <c r="Q241" s="28">
        <v>10.0</v>
      </c>
      <c r="R241" s="26" t="str">
        <f t="shared" si="493"/>
        <v>R</v>
      </c>
      <c r="S241" s="28">
        <v>20.0</v>
      </c>
      <c r="T241" s="26" t="str">
        <f t="shared" si="494"/>
        <v>S</v>
      </c>
      <c r="U241" s="28">
        <v>20.0</v>
      </c>
      <c r="V241" s="26" t="str">
        <f t="shared" si="495"/>
        <v>S</v>
      </c>
      <c r="W241" s="32" t="s">
        <v>299</v>
      </c>
      <c r="X241" s="65">
        <v>18.0</v>
      </c>
      <c r="Y241" s="33" t="str">
        <f t="shared" si="496"/>
        <v>I</v>
      </c>
      <c r="Z241" s="65">
        <v>22.0</v>
      </c>
      <c r="AA241" s="33" t="str">
        <f t="shared" si="497"/>
        <v>S</v>
      </c>
      <c r="AB241" s="65">
        <v>20.0</v>
      </c>
      <c r="AC241" s="33" t="str">
        <f t="shared" si="498"/>
        <v>I</v>
      </c>
      <c r="AD241" s="65">
        <v>22.0</v>
      </c>
      <c r="AE241" s="33" t="str">
        <f t="shared" si="499"/>
        <v>S</v>
      </c>
      <c r="AF241" s="65">
        <v>22.0</v>
      </c>
      <c r="AG241" s="33" t="str">
        <f t="shared" si="500"/>
        <v>R</v>
      </c>
      <c r="AH241" s="65" t="s">
        <v>299</v>
      </c>
      <c r="AI241" s="66">
        <v>32.0</v>
      </c>
      <c r="AJ241" s="36" t="str">
        <f t="shared" si="501"/>
        <v>S</v>
      </c>
      <c r="AK241" s="66">
        <v>26.0</v>
      </c>
      <c r="AL241" s="36" t="str">
        <f t="shared" si="502"/>
        <v>S</v>
      </c>
      <c r="AM241" s="66">
        <v>25.0</v>
      </c>
      <c r="AN241" s="36" t="str">
        <f t="shared" si="503"/>
        <v>S</v>
      </c>
      <c r="AO241" s="36" t="s">
        <v>300</v>
      </c>
      <c r="AP241" s="67">
        <v>9.0</v>
      </c>
      <c r="AQ241" s="37" t="str">
        <f t="shared" si="504"/>
        <v>R</v>
      </c>
      <c r="AR241" s="65">
        <v>22.0</v>
      </c>
      <c r="AS241" s="33" t="str">
        <f t="shared" si="505"/>
        <v>S</v>
      </c>
      <c r="AT241" s="65">
        <v>24.0</v>
      </c>
      <c r="AU241" s="33" t="str">
        <f t="shared" si="506"/>
        <v>S</v>
      </c>
      <c r="AV241" s="33" t="s">
        <v>300</v>
      </c>
      <c r="AW241" s="28">
        <v>9.0</v>
      </c>
      <c r="AX241" s="26" t="str">
        <f t="shared" si="507"/>
        <v>R</v>
      </c>
      <c r="AY241" s="67">
        <v>25.0</v>
      </c>
      <c r="AZ241" s="37" t="str">
        <f t="shared" si="508"/>
        <v>I</v>
      </c>
      <c r="BA241" s="66">
        <v>32.0</v>
      </c>
      <c r="BB241" s="36" t="str">
        <f t="shared" si="509"/>
        <v>S</v>
      </c>
      <c r="BC241" s="39" t="s">
        <v>357</v>
      </c>
      <c r="BD241" s="39" t="s">
        <v>357</v>
      </c>
      <c r="BE241" s="66">
        <v>28.0</v>
      </c>
      <c r="BF241" s="36" t="str">
        <f t="shared" si="510"/>
        <v>S</v>
      </c>
      <c r="BG241" s="68">
        <v>23.0</v>
      </c>
      <c r="BH241" s="41" t="str">
        <f t="shared" si="511"/>
        <v>S</v>
      </c>
      <c r="BI241" s="41"/>
    </row>
    <row r="242">
      <c r="A242" s="21" t="s">
        <v>859</v>
      </c>
      <c r="B242" s="21" t="s">
        <v>444</v>
      </c>
      <c r="C242" s="21" t="s">
        <v>1483</v>
      </c>
      <c r="D242" s="69" t="s">
        <v>190</v>
      </c>
      <c r="E242" s="18" t="s">
        <v>190</v>
      </c>
      <c r="F242" s="18" t="s">
        <v>192</v>
      </c>
      <c r="G242" s="63" t="s">
        <v>1484</v>
      </c>
      <c r="H242" s="42" t="s">
        <v>479</v>
      </c>
      <c r="I242" s="28">
        <v>6.0</v>
      </c>
      <c r="J242" s="26" t="str">
        <f t="shared" si="489"/>
        <v>R</v>
      </c>
      <c r="K242" s="28">
        <v>19.0</v>
      </c>
      <c r="L242" s="26" t="str">
        <f t="shared" si="490"/>
        <v>S</v>
      </c>
      <c r="M242" s="28">
        <v>6.0</v>
      </c>
      <c r="N242" s="26" t="str">
        <f t="shared" si="491"/>
        <v>R</v>
      </c>
      <c r="O242" s="28">
        <v>15.0</v>
      </c>
      <c r="P242" s="26" t="str">
        <f t="shared" si="492"/>
        <v>R</v>
      </c>
      <c r="Q242" s="28">
        <v>11.0</v>
      </c>
      <c r="R242" s="26" t="str">
        <f t="shared" si="493"/>
        <v>R</v>
      </c>
      <c r="S242" s="28">
        <v>22.0</v>
      </c>
      <c r="T242" s="26" t="str">
        <f t="shared" si="494"/>
        <v>S</v>
      </c>
      <c r="U242" s="28">
        <v>20.0</v>
      </c>
      <c r="V242" s="26" t="str">
        <f t="shared" si="495"/>
        <v>S</v>
      </c>
      <c r="W242" s="32" t="s">
        <v>299</v>
      </c>
      <c r="X242" s="65">
        <v>18.0</v>
      </c>
      <c r="Y242" s="33" t="str">
        <f t="shared" si="496"/>
        <v>I</v>
      </c>
      <c r="Z242" s="65">
        <v>24.0</v>
      </c>
      <c r="AA242" s="33" t="str">
        <f t="shared" si="497"/>
        <v>S</v>
      </c>
      <c r="AB242" s="65">
        <v>21.0</v>
      </c>
      <c r="AC242" s="33" t="str">
        <f t="shared" si="498"/>
        <v>I</v>
      </c>
      <c r="AD242" s="65">
        <v>22.0</v>
      </c>
      <c r="AE242" s="33" t="str">
        <f t="shared" si="499"/>
        <v>S</v>
      </c>
      <c r="AF242" s="65">
        <v>23.0</v>
      </c>
      <c r="AG242" s="33" t="str">
        <f t="shared" si="500"/>
        <v>R</v>
      </c>
      <c r="AH242" s="65" t="s">
        <v>299</v>
      </c>
      <c r="AI242" s="66">
        <v>32.0</v>
      </c>
      <c r="AJ242" s="36" t="str">
        <f t="shared" si="501"/>
        <v>S</v>
      </c>
      <c r="AK242" s="66">
        <v>26.0</v>
      </c>
      <c r="AL242" s="36" t="str">
        <f t="shared" si="502"/>
        <v>S</v>
      </c>
      <c r="AM242" s="66">
        <v>26.0</v>
      </c>
      <c r="AN242" s="36" t="str">
        <f t="shared" si="503"/>
        <v>S</v>
      </c>
      <c r="AO242" s="36" t="s">
        <v>300</v>
      </c>
      <c r="AP242" s="67">
        <v>6.0</v>
      </c>
      <c r="AQ242" s="37" t="str">
        <f t="shared" si="504"/>
        <v>R</v>
      </c>
      <c r="AR242" s="65">
        <v>22.0</v>
      </c>
      <c r="AS242" s="33" t="str">
        <f t="shared" si="505"/>
        <v>S</v>
      </c>
      <c r="AT242" s="65">
        <v>24.0</v>
      </c>
      <c r="AU242" s="33" t="str">
        <f t="shared" si="506"/>
        <v>S</v>
      </c>
      <c r="AV242" s="33" t="s">
        <v>300</v>
      </c>
      <c r="AW242" s="28">
        <v>6.0</v>
      </c>
      <c r="AX242" s="26" t="str">
        <f t="shared" si="507"/>
        <v>R</v>
      </c>
      <c r="AY242" s="67">
        <v>26.0</v>
      </c>
      <c r="AZ242" s="37" t="str">
        <f t="shared" si="508"/>
        <v>S</v>
      </c>
      <c r="BA242" s="66">
        <v>34.0</v>
      </c>
      <c r="BB242" s="36" t="str">
        <f t="shared" si="509"/>
        <v>S</v>
      </c>
      <c r="BC242" s="39" t="s">
        <v>357</v>
      </c>
      <c r="BD242" s="39" t="s">
        <v>357</v>
      </c>
      <c r="BE242" s="66">
        <v>25.0</v>
      </c>
      <c r="BF242" s="36" t="str">
        <f t="shared" si="510"/>
        <v>S</v>
      </c>
      <c r="BG242" s="68">
        <v>23.0</v>
      </c>
      <c r="BH242" s="41" t="str">
        <f t="shared" si="511"/>
        <v>S</v>
      </c>
      <c r="BI242" s="41"/>
    </row>
    <row r="243">
      <c r="A243" s="51" t="s">
        <v>861</v>
      </c>
      <c r="B243" s="53">
        <v>138.0</v>
      </c>
      <c r="C243" s="51" t="s">
        <v>1485</v>
      </c>
      <c r="D243" s="69" t="s">
        <v>190</v>
      </c>
      <c r="E243" s="18" t="s">
        <v>190</v>
      </c>
      <c r="F243" s="18" t="s">
        <v>192</v>
      </c>
      <c r="G243" s="63" t="s">
        <v>1486</v>
      </c>
      <c r="H243" s="22" t="s">
        <v>198</v>
      </c>
      <c r="I243" s="28">
        <v>6.0</v>
      </c>
      <c r="J243" s="26" t="str">
        <f t="shared" si="489"/>
        <v>R</v>
      </c>
      <c r="K243" s="28">
        <v>15.0</v>
      </c>
      <c r="L243" s="26" t="str">
        <f t="shared" si="490"/>
        <v>R</v>
      </c>
      <c r="M243" s="28">
        <v>6.0</v>
      </c>
      <c r="N243" s="26" t="str">
        <f t="shared" si="491"/>
        <v>R</v>
      </c>
      <c r="O243" s="28">
        <v>22.0</v>
      </c>
      <c r="P243" s="26" t="str">
        <f t="shared" si="492"/>
        <v>I</v>
      </c>
      <c r="Q243" s="28">
        <v>6.0</v>
      </c>
      <c r="R243" s="26" t="str">
        <f t="shared" si="493"/>
        <v>R</v>
      </c>
      <c r="S243" s="28">
        <v>15.0</v>
      </c>
      <c r="T243" s="26" t="str">
        <f t="shared" si="494"/>
        <v>R</v>
      </c>
      <c r="U243" s="28">
        <v>18.0</v>
      </c>
      <c r="V243" s="26" t="str">
        <f t="shared" si="495"/>
        <v>I</v>
      </c>
      <c r="W243" s="32" t="s">
        <v>299</v>
      </c>
      <c r="X243" s="65">
        <v>12.0</v>
      </c>
      <c r="Y243" s="33" t="str">
        <f t="shared" si="496"/>
        <v>R</v>
      </c>
      <c r="Z243" s="65">
        <v>18.0</v>
      </c>
      <c r="AA243" s="33" t="str">
        <f t="shared" si="497"/>
        <v>S</v>
      </c>
      <c r="AB243" s="65">
        <v>6.0</v>
      </c>
      <c r="AC243" s="33" t="str">
        <f t="shared" si="498"/>
        <v>R</v>
      </c>
      <c r="AD243" s="65">
        <v>18.0</v>
      </c>
      <c r="AE243" s="33" t="str">
        <f t="shared" si="499"/>
        <v>S</v>
      </c>
      <c r="AF243" s="65">
        <v>16.0</v>
      </c>
      <c r="AG243" s="33" t="str">
        <f t="shared" si="500"/>
        <v>R</v>
      </c>
      <c r="AH243" s="65" t="s">
        <v>299</v>
      </c>
      <c r="AI243" s="66">
        <v>12.0</v>
      </c>
      <c r="AJ243" s="36" t="str">
        <f t="shared" si="501"/>
        <v>R</v>
      </c>
      <c r="AK243" s="66">
        <v>17.0</v>
      </c>
      <c r="AL243" s="36" t="str">
        <f t="shared" si="502"/>
        <v>R</v>
      </c>
      <c r="AM243" s="66">
        <v>6.0</v>
      </c>
      <c r="AN243" s="36" t="str">
        <f t="shared" si="503"/>
        <v>R</v>
      </c>
      <c r="AO243" s="66" t="s">
        <v>299</v>
      </c>
      <c r="AP243" s="67">
        <v>6.0</v>
      </c>
      <c r="AQ243" s="37" t="str">
        <f t="shared" si="504"/>
        <v>R</v>
      </c>
      <c r="AR243" s="65">
        <v>21.0</v>
      </c>
      <c r="AS243" s="33" t="str">
        <f t="shared" si="505"/>
        <v>S</v>
      </c>
      <c r="AT243" s="65">
        <v>15.0</v>
      </c>
      <c r="AU243" s="33" t="str">
        <f t="shared" si="506"/>
        <v>R</v>
      </c>
      <c r="AV243" s="65" t="s">
        <v>299</v>
      </c>
      <c r="AW243" s="28">
        <v>9.0</v>
      </c>
      <c r="AX243" s="26" t="str">
        <f t="shared" si="507"/>
        <v>R</v>
      </c>
      <c r="AY243" s="67">
        <v>10.0</v>
      </c>
      <c r="AZ243" s="37" t="str">
        <f t="shared" si="508"/>
        <v>R</v>
      </c>
      <c r="BA243" s="66">
        <v>21.0</v>
      </c>
      <c r="BB243" s="36" t="str">
        <f t="shared" si="509"/>
        <v>R</v>
      </c>
      <c r="BC243" s="39" t="s">
        <v>357</v>
      </c>
      <c r="BD243" s="39" t="s">
        <v>357</v>
      </c>
      <c r="BE243" s="66">
        <v>19.0</v>
      </c>
      <c r="BF243" s="36" t="str">
        <f t="shared" si="510"/>
        <v>I</v>
      </c>
      <c r="BG243" s="68">
        <v>11.0</v>
      </c>
      <c r="BH243" s="41" t="str">
        <f t="shared" si="511"/>
        <v>R</v>
      </c>
      <c r="BI243" s="41"/>
    </row>
    <row r="244">
      <c r="A244" s="51" t="s">
        <v>861</v>
      </c>
      <c r="B244" s="51" t="s">
        <v>444</v>
      </c>
      <c r="C244" s="51" t="s">
        <v>1487</v>
      </c>
      <c r="D244" s="69" t="s">
        <v>190</v>
      </c>
      <c r="E244" s="18" t="s">
        <v>190</v>
      </c>
      <c r="F244" s="18" t="s">
        <v>192</v>
      </c>
      <c r="G244" s="63" t="s">
        <v>1488</v>
      </c>
      <c r="H244" s="22" t="s">
        <v>198</v>
      </c>
      <c r="I244" s="28">
        <v>9.0</v>
      </c>
      <c r="J244" s="26" t="str">
        <f t="shared" si="489"/>
        <v>R</v>
      </c>
      <c r="K244" s="28">
        <v>15.0</v>
      </c>
      <c r="L244" s="26" t="str">
        <f t="shared" si="490"/>
        <v>R</v>
      </c>
      <c r="M244" s="28">
        <v>6.0</v>
      </c>
      <c r="N244" s="26" t="str">
        <f t="shared" si="491"/>
        <v>R</v>
      </c>
      <c r="O244" s="28">
        <v>22.0</v>
      </c>
      <c r="P244" s="26" t="str">
        <f t="shared" si="492"/>
        <v>I</v>
      </c>
      <c r="Q244" s="28">
        <v>6.0</v>
      </c>
      <c r="R244" s="26" t="str">
        <f t="shared" si="493"/>
        <v>R</v>
      </c>
      <c r="S244" s="28">
        <v>15.0</v>
      </c>
      <c r="T244" s="26" t="str">
        <f t="shared" si="494"/>
        <v>R</v>
      </c>
      <c r="U244" s="28">
        <v>18.0</v>
      </c>
      <c r="V244" s="26" t="str">
        <f t="shared" si="495"/>
        <v>I</v>
      </c>
      <c r="W244" s="32" t="s">
        <v>299</v>
      </c>
      <c r="X244" s="65">
        <v>12.0</v>
      </c>
      <c r="Y244" s="33" t="str">
        <f t="shared" si="496"/>
        <v>R</v>
      </c>
      <c r="Z244" s="65">
        <v>18.0</v>
      </c>
      <c r="AA244" s="33" t="str">
        <f t="shared" si="497"/>
        <v>S</v>
      </c>
      <c r="AB244" s="65">
        <v>9.0</v>
      </c>
      <c r="AC244" s="33" t="str">
        <f t="shared" si="498"/>
        <v>R</v>
      </c>
      <c r="AD244" s="65">
        <v>18.0</v>
      </c>
      <c r="AE244" s="33" t="str">
        <f t="shared" si="499"/>
        <v>S</v>
      </c>
      <c r="AF244" s="65">
        <v>17.0</v>
      </c>
      <c r="AG244" s="33" t="str">
        <f t="shared" si="500"/>
        <v>R</v>
      </c>
      <c r="AH244" s="65" t="s">
        <v>299</v>
      </c>
      <c r="AI244" s="66">
        <v>12.0</v>
      </c>
      <c r="AJ244" s="36" t="str">
        <f t="shared" si="501"/>
        <v>R</v>
      </c>
      <c r="AK244" s="66">
        <v>15.0</v>
      </c>
      <c r="AL244" s="36" t="str">
        <f t="shared" si="502"/>
        <v>R</v>
      </c>
      <c r="AM244" s="66">
        <v>6.0</v>
      </c>
      <c r="AN244" s="36" t="str">
        <f t="shared" si="503"/>
        <v>R</v>
      </c>
      <c r="AO244" s="66" t="s">
        <v>299</v>
      </c>
      <c r="AP244" s="67">
        <v>9.0</v>
      </c>
      <c r="AQ244" s="37" t="str">
        <f t="shared" si="504"/>
        <v>R</v>
      </c>
      <c r="AR244" s="65">
        <v>19.0</v>
      </c>
      <c r="AS244" s="33" t="str">
        <f t="shared" si="505"/>
        <v>S</v>
      </c>
      <c r="AT244" s="65">
        <v>15.0</v>
      </c>
      <c r="AU244" s="33" t="str">
        <f t="shared" si="506"/>
        <v>R</v>
      </c>
      <c r="AV244" s="65" t="s">
        <v>299</v>
      </c>
      <c r="AW244" s="28">
        <v>9.0</v>
      </c>
      <c r="AX244" s="26" t="str">
        <f t="shared" si="507"/>
        <v>R</v>
      </c>
      <c r="AY244" s="67">
        <v>11.0</v>
      </c>
      <c r="AZ244" s="37" t="str">
        <f t="shared" si="508"/>
        <v>R</v>
      </c>
      <c r="BA244" s="66">
        <v>18.0</v>
      </c>
      <c r="BB244" s="36" t="str">
        <f t="shared" si="509"/>
        <v>R</v>
      </c>
      <c r="BC244" s="39" t="s">
        <v>357</v>
      </c>
      <c r="BD244" s="39" t="s">
        <v>357</v>
      </c>
      <c r="BE244" s="66">
        <v>20.0</v>
      </c>
      <c r="BF244" s="36" t="str">
        <f t="shared" si="510"/>
        <v>I</v>
      </c>
      <c r="BG244" s="68">
        <v>10.0</v>
      </c>
      <c r="BH244" s="41" t="str">
        <f t="shared" si="511"/>
        <v>R</v>
      </c>
      <c r="BI244" s="41"/>
    </row>
    <row r="245">
      <c r="A245" s="51" t="s">
        <v>861</v>
      </c>
      <c r="B245" s="51" t="s">
        <v>444</v>
      </c>
      <c r="C245" s="51" t="s">
        <v>1489</v>
      </c>
      <c r="D245" s="69" t="s">
        <v>190</v>
      </c>
      <c r="E245" s="18" t="s">
        <v>190</v>
      </c>
      <c r="F245" s="18" t="s">
        <v>192</v>
      </c>
      <c r="G245" s="63" t="s">
        <v>1490</v>
      </c>
      <c r="H245" s="22" t="s">
        <v>198</v>
      </c>
      <c r="I245" s="28">
        <v>9.0</v>
      </c>
      <c r="J245" s="26" t="str">
        <f t="shared" si="489"/>
        <v>R</v>
      </c>
      <c r="K245" s="28">
        <v>15.0</v>
      </c>
      <c r="L245" s="26" t="str">
        <f t="shared" si="490"/>
        <v>R</v>
      </c>
      <c r="M245" s="28">
        <v>6.0</v>
      </c>
      <c r="N245" s="26" t="str">
        <f t="shared" si="491"/>
        <v>R</v>
      </c>
      <c r="O245" s="28">
        <v>22.0</v>
      </c>
      <c r="P245" s="26" t="str">
        <f t="shared" si="492"/>
        <v>I</v>
      </c>
      <c r="Q245" s="28">
        <v>6.0</v>
      </c>
      <c r="R245" s="26" t="str">
        <f t="shared" si="493"/>
        <v>R</v>
      </c>
      <c r="S245" s="28">
        <v>15.0</v>
      </c>
      <c r="T245" s="26" t="str">
        <f t="shared" si="494"/>
        <v>R</v>
      </c>
      <c r="U245" s="28">
        <v>18.0</v>
      </c>
      <c r="V245" s="26" t="str">
        <f t="shared" si="495"/>
        <v>I</v>
      </c>
      <c r="W245" s="32" t="s">
        <v>299</v>
      </c>
      <c r="X245" s="65">
        <v>10.0</v>
      </c>
      <c r="Y245" s="33" t="str">
        <f t="shared" si="496"/>
        <v>R</v>
      </c>
      <c r="Z245" s="65">
        <v>18.0</v>
      </c>
      <c r="AA245" s="33" t="str">
        <f t="shared" si="497"/>
        <v>S</v>
      </c>
      <c r="AB245" s="65">
        <v>9.0</v>
      </c>
      <c r="AC245" s="33" t="str">
        <f t="shared" si="498"/>
        <v>R</v>
      </c>
      <c r="AD245" s="65">
        <v>18.0</v>
      </c>
      <c r="AE245" s="33" t="str">
        <f t="shared" si="499"/>
        <v>S</v>
      </c>
      <c r="AF245" s="65">
        <v>16.0</v>
      </c>
      <c r="AG245" s="33" t="str">
        <f t="shared" si="500"/>
        <v>R</v>
      </c>
      <c r="AH245" s="65" t="s">
        <v>299</v>
      </c>
      <c r="AI245" s="66">
        <v>12.0</v>
      </c>
      <c r="AJ245" s="36" t="str">
        <f t="shared" si="501"/>
        <v>R</v>
      </c>
      <c r="AK245" s="66">
        <v>15.0</v>
      </c>
      <c r="AL245" s="36" t="str">
        <f t="shared" si="502"/>
        <v>R</v>
      </c>
      <c r="AM245" s="66">
        <v>6.0</v>
      </c>
      <c r="AN245" s="36" t="str">
        <f t="shared" si="503"/>
        <v>R</v>
      </c>
      <c r="AO245" s="66" t="s">
        <v>299</v>
      </c>
      <c r="AP245" s="67">
        <v>6.0</v>
      </c>
      <c r="AQ245" s="37" t="str">
        <f t="shared" si="504"/>
        <v>R</v>
      </c>
      <c r="AR245" s="65">
        <v>20.0</v>
      </c>
      <c r="AS245" s="33" t="str">
        <f t="shared" si="505"/>
        <v>S</v>
      </c>
      <c r="AT245" s="65">
        <v>15.0</v>
      </c>
      <c r="AU245" s="33" t="str">
        <f t="shared" si="506"/>
        <v>R</v>
      </c>
      <c r="AV245" s="65" t="s">
        <v>299</v>
      </c>
      <c r="AW245" s="28">
        <v>9.0</v>
      </c>
      <c r="AX245" s="26" t="str">
        <f t="shared" si="507"/>
        <v>R</v>
      </c>
      <c r="AY245" s="67">
        <v>11.0</v>
      </c>
      <c r="AZ245" s="37" t="str">
        <f t="shared" si="508"/>
        <v>R</v>
      </c>
      <c r="BA245" s="66">
        <v>19.0</v>
      </c>
      <c r="BB245" s="36" t="str">
        <f t="shared" si="509"/>
        <v>R</v>
      </c>
      <c r="BC245" s="39" t="s">
        <v>357</v>
      </c>
      <c r="BD245" s="39" t="s">
        <v>357</v>
      </c>
      <c r="BE245" s="66">
        <v>18.0</v>
      </c>
      <c r="BF245" s="36" t="str">
        <f t="shared" si="510"/>
        <v>R</v>
      </c>
      <c r="BG245" s="68">
        <v>10.0</v>
      </c>
      <c r="BH245" s="41" t="str">
        <f t="shared" si="511"/>
        <v>R</v>
      </c>
      <c r="BI245" s="41"/>
    </row>
    <row r="246">
      <c r="A246" s="51" t="s">
        <v>861</v>
      </c>
      <c r="B246" s="53">
        <v>139.0</v>
      </c>
      <c r="C246" s="51" t="s">
        <v>1491</v>
      </c>
      <c r="D246" s="69" t="s">
        <v>571</v>
      </c>
      <c r="E246" s="18" t="s">
        <v>572</v>
      </c>
      <c r="F246" s="18" t="s">
        <v>192</v>
      </c>
      <c r="G246" s="63" t="s">
        <v>1492</v>
      </c>
      <c r="H246" s="22" t="s">
        <v>198</v>
      </c>
      <c r="I246" s="28">
        <v>6.0</v>
      </c>
      <c r="J246" s="26" t="str">
        <f t="shared" si="489"/>
        <v>R</v>
      </c>
      <c r="K246" s="28">
        <v>18.0</v>
      </c>
      <c r="L246" s="26" t="str">
        <f t="shared" si="490"/>
        <v>R</v>
      </c>
      <c r="M246" s="28">
        <v>6.0</v>
      </c>
      <c r="N246" s="26" t="str">
        <f t="shared" si="491"/>
        <v>R</v>
      </c>
      <c r="O246" s="28">
        <v>20.0</v>
      </c>
      <c r="P246" s="26" t="str">
        <f t="shared" si="492"/>
        <v>I</v>
      </c>
      <c r="Q246" s="28">
        <v>6.0</v>
      </c>
      <c r="R246" s="26" t="str">
        <f t="shared" si="493"/>
        <v>R</v>
      </c>
      <c r="S246" s="28">
        <v>20.0</v>
      </c>
      <c r="T246" s="26" t="str">
        <f t="shared" si="494"/>
        <v>S</v>
      </c>
      <c r="U246" s="28">
        <v>15.0</v>
      </c>
      <c r="V246" s="26" t="str">
        <f t="shared" si="495"/>
        <v>R</v>
      </c>
      <c r="W246" s="32" t="s">
        <v>299</v>
      </c>
      <c r="X246" s="65">
        <v>6.0</v>
      </c>
      <c r="Y246" s="33" t="str">
        <f t="shared" si="496"/>
        <v>R</v>
      </c>
      <c r="Z246" s="65">
        <v>19.0</v>
      </c>
      <c r="AA246" s="33" t="str">
        <f t="shared" si="497"/>
        <v>S</v>
      </c>
      <c r="AB246" s="65">
        <v>6.0</v>
      </c>
      <c r="AC246" s="33" t="str">
        <f t="shared" si="498"/>
        <v>R</v>
      </c>
      <c r="AD246" s="65">
        <v>21.0</v>
      </c>
      <c r="AE246" s="33" t="str">
        <f t="shared" si="499"/>
        <v>S</v>
      </c>
      <c r="AF246" s="65">
        <v>6.0</v>
      </c>
      <c r="AG246" s="33" t="str">
        <f t="shared" si="500"/>
        <v>R</v>
      </c>
      <c r="AH246" s="65" t="s">
        <v>299</v>
      </c>
      <c r="AI246" s="66">
        <v>6.0</v>
      </c>
      <c r="AJ246" s="36" t="str">
        <f t="shared" si="501"/>
        <v>R</v>
      </c>
      <c r="AK246" s="66">
        <v>6.0</v>
      </c>
      <c r="AL246" s="36" t="str">
        <f t="shared" si="502"/>
        <v>R</v>
      </c>
      <c r="AM246" s="66">
        <v>6.0</v>
      </c>
      <c r="AN246" s="36" t="str">
        <f t="shared" si="503"/>
        <v>R</v>
      </c>
      <c r="AO246" s="66" t="s">
        <v>299</v>
      </c>
      <c r="AP246" s="67">
        <v>6.0</v>
      </c>
      <c r="AQ246" s="37" t="str">
        <f t="shared" si="504"/>
        <v>R</v>
      </c>
      <c r="AR246" s="65">
        <v>20.0</v>
      </c>
      <c r="AS246" s="33" t="str">
        <f t="shared" si="505"/>
        <v>S</v>
      </c>
      <c r="AT246" s="65">
        <v>19.0</v>
      </c>
      <c r="AU246" s="33" t="str">
        <f t="shared" si="506"/>
        <v>S</v>
      </c>
      <c r="AV246" s="33" t="s">
        <v>300</v>
      </c>
      <c r="AW246" s="28">
        <v>6.0</v>
      </c>
      <c r="AX246" s="26" t="str">
        <f t="shared" si="507"/>
        <v>R</v>
      </c>
      <c r="AY246" s="67">
        <v>15.0</v>
      </c>
      <c r="AZ246" s="37" t="str">
        <f t="shared" si="508"/>
        <v>R</v>
      </c>
      <c r="BA246" s="66">
        <v>27.0</v>
      </c>
      <c r="BB246" s="36" t="str">
        <f t="shared" si="509"/>
        <v>S</v>
      </c>
      <c r="BC246" s="39" t="s">
        <v>357</v>
      </c>
      <c r="BD246" s="39" t="s">
        <v>357</v>
      </c>
      <c r="BE246" s="66">
        <v>27.0</v>
      </c>
      <c r="BF246" s="36" t="str">
        <f t="shared" si="510"/>
        <v>S</v>
      </c>
      <c r="BG246" s="68">
        <v>21.0</v>
      </c>
      <c r="BH246" s="41" t="str">
        <f t="shared" si="511"/>
        <v>S</v>
      </c>
      <c r="BI246" s="41"/>
    </row>
    <row r="247">
      <c r="A247" s="51" t="s">
        <v>861</v>
      </c>
      <c r="B247" s="51" t="s">
        <v>444</v>
      </c>
      <c r="C247" s="51" t="s">
        <v>1493</v>
      </c>
      <c r="D247" s="69" t="s">
        <v>571</v>
      </c>
      <c r="E247" s="18" t="s">
        <v>572</v>
      </c>
      <c r="F247" s="18" t="s">
        <v>192</v>
      </c>
      <c r="G247" s="63" t="s">
        <v>1494</v>
      </c>
      <c r="H247" s="22" t="s">
        <v>198</v>
      </c>
      <c r="I247" s="28">
        <v>6.0</v>
      </c>
      <c r="J247" s="26" t="str">
        <f t="shared" si="489"/>
        <v>R</v>
      </c>
      <c r="K247" s="28">
        <v>16.0</v>
      </c>
      <c r="L247" s="26" t="str">
        <f t="shared" si="490"/>
        <v>R</v>
      </c>
      <c r="M247" s="28">
        <v>6.0</v>
      </c>
      <c r="N247" s="26" t="str">
        <f t="shared" si="491"/>
        <v>R</v>
      </c>
      <c r="O247" s="28">
        <v>20.0</v>
      </c>
      <c r="P247" s="26" t="str">
        <f t="shared" si="492"/>
        <v>I</v>
      </c>
      <c r="Q247" s="28">
        <v>6.0</v>
      </c>
      <c r="R247" s="26" t="str">
        <f t="shared" si="493"/>
        <v>R</v>
      </c>
      <c r="S247" s="28">
        <v>21.0</v>
      </c>
      <c r="T247" s="26" t="str">
        <f t="shared" si="494"/>
        <v>S</v>
      </c>
      <c r="U247" s="28">
        <v>15.0</v>
      </c>
      <c r="V247" s="26" t="str">
        <f t="shared" si="495"/>
        <v>R</v>
      </c>
      <c r="W247" s="32" t="s">
        <v>299</v>
      </c>
      <c r="X247" s="65">
        <v>6.0</v>
      </c>
      <c r="Y247" s="33" t="str">
        <f t="shared" si="496"/>
        <v>R</v>
      </c>
      <c r="Z247" s="65">
        <v>18.0</v>
      </c>
      <c r="AA247" s="33" t="str">
        <f t="shared" si="497"/>
        <v>S</v>
      </c>
      <c r="AB247" s="65">
        <v>6.0</v>
      </c>
      <c r="AC247" s="33" t="str">
        <f t="shared" si="498"/>
        <v>R</v>
      </c>
      <c r="AD247" s="65">
        <v>20.0</v>
      </c>
      <c r="AE247" s="33" t="str">
        <f t="shared" si="499"/>
        <v>S</v>
      </c>
      <c r="AF247" s="65">
        <v>9.0</v>
      </c>
      <c r="AG247" s="33" t="str">
        <f t="shared" si="500"/>
        <v>R</v>
      </c>
      <c r="AH247" s="65" t="s">
        <v>299</v>
      </c>
      <c r="AI247" s="66">
        <v>6.0</v>
      </c>
      <c r="AJ247" s="36" t="str">
        <f t="shared" si="501"/>
        <v>R</v>
      </c>
      <c r="AK247" s="66">
        <v>9.0</v>
      </c>
      <c r="AL247" s="36" t="str">
        <f t="shared" si="502"/>
        <v>R</v>
      </c>
      <c r="AM247" s="66">
        <v>6.0</v>
      </c>
      <c r="AN247" s="36" t="str">
        <f t="shared" si="503"/>
        <v>R</v>
      </c>
      <c r="AO247" s="66" t="s">
        <v>299</v>
      </c>
      <c r="AP247" s="67">
        <v>9.0</v>
      </c>
      <c r="AQ247" s="37" t="str">
        <f t="shared" si="504"/>
        <v>R</v>
      </c>
      <c r="AR247" s="65">
        <v>21.0</v>
      </c>
      <c r="AS247" s="33" t="str">
        <f t="shared" si="505"/>
        <v>S</v>
      </c>
      <c r="AT247" s="65">
        <v>19.0</v>
      </c>
      <c r="AU247" s="33" t="str">
        <f t="shared" si="506"/>
        <v>S</v>
      </c>
      <c r="AV247" s="33" t="s">
        <v>300</v>
      </c>
      <c r="AW247" s="28">
        <v>6.0</v>
      </c>
      <c r="AX247" s="26" t="str">
        <f t="shared" si="507"/>
        <v>R</v>
      </c>
      <c r="AY247" s="67">
        <v>14.0</v>
      </c>
      <c r="AZ247" s="37" t="str">
        <f t="shared" si="508"/>
        <v>R</v>
      </c>
      <c r="BA247" s="66">
        <v>27.0</v>
      </c>
      <c r="BB247" s="36" t="str">
        <f t="shared" si="509"/>
        <v>S</v>
      </c>
      <c r="BC247" s="39" t="s">
        <v>357</v>
      </c>
      <c r="BD247" s="39" t="s">
        <v>357</v>
      </c>
      <c r="BE247" s="66">
        <v>25.0</v>
      </c>
      <c r="BF247" s="36" t="str">
        <f t="shared" si="510"/>
        <v>S</v>
      </c>
      <c r="BG247" s="68">
        <v>21.0</v>
      </c>
      <c r="BH247" s="41" t="str">
        <f t="shared" si="511"/>
        <v>S</v>
      </c>
      <c r="BI247" s="41"/>
    </row>
    <row r="248">
      <c r="A248" s="51" t="s">
        <v>861</v>
      </c>
      <c r="B248" s="51" t="s">
        <v>444</v>
      </c>
      <c r="C248" s="51" t="s">
        <v>1495</v>
      </c>
      <c r="D248" s="69" t="s">
        <v>571</v>
      </c>
      <c r="E248" s="18" t="s">
        <v>572</v>
      </c>
      <c r="F248" s="18" t="s">
        <v>192</v>
      </c>
      <c r="G248" s="63" t="s">
        <v>1496</v>
      </c>
      <c r="H248" s="22" t="s">
        <v>198</v>
      </c>
      <c r="I248" s="28">
        <v>6.0</v>
      </c>
      <c r="J248" s="26" t="str">
        <f t="shared" si="489"/>
        <v>R</v>
      </c>
      <c r="K248" s="28">
        <v>16.0</v>
      </c>
      <c r="L248" s="26" t="str">
        <f t="shared" si="490"/>
        <v>R</v>
      </c>
      <c r="M248" s="28">
        <v>6.0</v>
      </c>
      <c r="N248" s="26" t="str">
        <f t="shared" si="491"/>
        <v>R</v>
      </c>
      <c r="O248" s="28">
        <v>20.0</v>
      </c>
      <c r="P248" s="26" t="str">
        <f t="shared" si="492"/>
        <v>I</v>
      </c>
      <c r="Q248" s="28">
        <v>6.0</v>
      </c>
      <c r="R248" s="26" t="str">
        <f t="shared" si="493"/>
        <v>R</v>
      </c>
      <c r="S248" s="28">
        <v>20.0</v>
      </c>
      <c r="T248" s="26" t="str">
        <f t="shared" si="494"/>
        <v>S</v>
      </c>
      <c r="U248" s="28">
        <v>15.0</v>
      </c>
      <c r="V248" s="26" t="str">
        <f t="shared" si="495"/>
        <v>R</v>
      </c>
      <c r="W248" s="32" t="s">
        <v>299</v>
      </c>
      <c r="X248" s="65">
        <v>6.0</v>
      </c>
      <c r="Y248" s="33" t="str">
        <f t="shared" si="496"/>
        <v>R</v>
      </c>
      <c r="Z248" s="65">
        <v>19.0</v>
      </c>
      <c r="AA248" s="33" t="str">
        <f t="shared" si="497"/>
        <v>S</v>
      </c>
      <c r="AB248" s="65">
        <v>6.0</v>
      </c>
      <c r="AC248" s="33" t="str">
        <f t="shared" si="498"/>
        <v>R</v>
      </c>
      <c r="AD248" s="65">
        <v>21.0</v>
      </c>
      <c r="AE248" s="33" t="str">
        <f t="shared" si="499"/>
        <v>S</v>
      </c>
      <c r="AF248" s="65">
        <v>9.0</v>
      </c>
      <c r="AG248" s="33" t="str">
        <f t="shared" si="500"/>
        <v>R</v>
      </c>
      <c r="AH248" s="65" t="s">
        <v>299</v>
      </c>
      <c r="AI248" s="66">
        <v>6.0</v>
      </c>
      <c r="AJ248" s="36" t="str">
        <f t="shared" si="501"/>
        <v>R</v>
      </c>
      <c r="AK248" s="66">
        <v>9.0</v>
      </c>
      <c r="AL248" s="36" t="str">
        <f t="shared" si="502"/>
        <v>R</v>
      </c>
      <c r="AM248" s="66">
        <v>6.0</v>
      </c>
      <c r="AN248" s="36" t="str">
        <f t="shared" si="503"/>
        <v>R</v>
      </c>
      <c r="AO248" s="66" t="s">
        <v>299</v>
      </c>
      <c r="AP248" s="67">
        <v>9.0</v>
      </c>
      <c r="AQ248" s="37" t="str">
        <f t="shared" si="504"/>
        <v>R</v>
      </c>
      <c r="AR248" s="65">
        <v>20.0</v>
      </c>
      <c r="AS248" s="33" t="str">
        <f t="shared" si="505"/>
        <v>S</v>
      </c>
      <c r="AT248" s="65">
        <v>19.0</v>
      </c>
      <c r="AU248" s="33" t="str">
        <f t="shared" si="506"/>
        <v>S</v>
      </c>
      <c r="AV248" s="33" t="s">
        <v>300</v>
      </c>
      <c r="AW248" s="28">
        <v>6.0</v>
      </c>
      <c r="AX248" s="26" t="str">
        <f t="shared" si="507"/>
        <v>R</v>
      </c>
      <c r="AY248" s="67">
        <v>15.0</v>
      </c>
      <c r="AZ248" s="37" t="str">
        <f t="shared" si="508"/>
        <v>R</v>
      </c>
      <c r="BA248" s="66">
        <v>27.0</v>
      </c>
      <c r="BB248" s="36" t="str">
        <f t="shared" si="509"/>
        <v>S</v>
      </c>
      <c r="BC248" s="39" t="s">
        <v>357</v>
      </c>
      <c r="BD248" s="39" t="s">
        <v>357</v>
      </c>
      <c r="BE248" s="66">
        <v>25.0</v>
      </c>
      <c r="BF248" s="36" t="str">
        <f t="shared" si="510"/>
        <v>S</v>
      </c>
      <c r="BG248" s="68">
        <v>21.0</v>
      </c>
      <c r="BH248" s="41" t="str">
        <f t="shared" si="511"/>
        <v>S</v>
      </c>
      <c r="BI248" s="41"/>
    </row>
    <row r="249">
      <c r="A249" s="21" t="s">
        <v>862</v>
      </c>
      <c r="B249" s="23">
        <v>140.0</v>
      </c>
      <c r="C249" s="21" t="s">
        <v>1497</v>
      </c>
      <c r="D249" s="69" t="s">
        <v>190</v>
      </c>
      <c r="E249" s="18" t="s">
        <v>190</v>
      </c>
      <c r="F249" s="18" t="s">
        <v>192</v>
      </c>
      <c r="G249" s="63" t="s">
        <v>1498</v>
      </c>
      <c r="H249" s="22" t="s">
        <v>198</v>
      </c>
      <c r="I249" s="28">
        <v>6.0</v>
      </c>
      <c r="J249" s="26" t="str">
        <f t="shared" si="489"/>
        <v>R</v>
      </c>
      <c r="K249" s="28">
        <v>18.0</v>
      </c>
      <c r="L249" s="26" t="str">
        <f t="shared" si="490"/>
        <v>R</v>
      </c>
      <c r="M249" s="28">
        <v>6.0</v>
      </c>
      <c r="N249" s="26" t="str">
        <f t="shared" si="491"/>
        <v>R</v>
      </c>
      <c r="O249" s="28">
        <v>25.0</v>
      </c>
      <c r="P249" s="26" t="str">
        <f t="shared" si="492"/>
        <v>S</v>
      </c>
      <c r="Q249" s="28">
        <v>6.0</v>
      </c>
      <c r="R249" s="26" t="str">
        <f t="shared" si="493"/>
        <v>R</v>
      </c>
      <c r="S249" s="28">
        <v>20.0</v>
      </c>
      <c r="T249" s="26" t="str">
        <f t="shared" si="494"/>
        <v>S</v>
      </c>
      <c r="U249" s="28">
        <v>18.0</v>
      </c>
      <c r="V249" s="26" t="str">
        <f t="shared" si="495"/>
        <v>I</v>
      </c>
      <c r="W249" s="32" t="s">
        <v>299</v>
      </c>
      <c r="X249" s="65">
        <v>6.0</v>
      </c>
      <c r="Y249" s="33" t="str">
        <f t="shared" si="496"/>
        <v>R</v>
      </c>
      <c r="Z249" s="65">
        <v>27.0</v>
      </c>
      <c r="AA249" s="33" t="str">
        <f t="shared" si="497"/>
        <v>S</v>
      </c>
      <c r="AB249" s="65">
        <v>9.0</v>
      </c>
      <c r="AC249" s="33" t="str">
        <f t="shared" si="498"/>
        <v>R</v>
      </c>
      <c r="AD249" s="65">
        <v>20.0</v>
      </c>
      <c r="AE249" s="33" t="str">
        <f t="shared" si="499"/>
        <v>S</v>
      </c>
      <c r="AF249" s="65">
        <v>6.0</v>
      </c>
      <c r="AG249" s="33" t="str">
        <f t="shared" si="500"/>
        <v>R</v>
      </c>
      <c r="AH249" s="65" t="s">
        <v>299</v>
      </c>
      <c r="AI249" s="66">
        <v>6.0</v>
      </c>
      <c r="AJ249" s="36" t="str">
        <f t="shared" si="501"/>
        <v>R</v>
      </c>
      <c r="AK249" s="66">
        <v>11.0</v>
      </c>
      <c r="AL249" s="36" t="str">
        <f t="shared" si="502"/>
        <v>R</v>
      </c>
      <c r="AM249" s="66">
        <v>9.0</v>
      </c>
      <c r="AN249" s="36" t="str">
        <f t="shared" si="503"/>
        <v>R</v>
      </c>
      <c r="AO249" s="66" t="s">
        <v>299</v>
      </c>
      <c r="AP249" s="67">
        <v>10.0</v>
      </c>
      <c r="AQ249" s="37" t="str">
        <f t="shared" si="504"/>
        <v>R</v>
      </c>
      <c r="AR249" s="65">
        <v>18.0</v>
      </c>
      <c r="AS249" s="33" t="str">
        <f t="shared" si="505"/>
        <v>S</v>
      </c>
      <c r="AT249" s="65">
        <v>14.0</v>
      </c>
      <c r="AU249" s="33" t="str">
        <f t="shared" si="506"/>
        <v>R</v>
      </c>
      <c r="AV249" s="65" t="s">
        <v>299</v>
      </c>
      <c r="AW249" s="28">
        <v>6.0</v>
      </c>
      <c r="AX249" s="26" t="str">
        <f t="shared" si="507"/>
        <v>R</v>
      </c>
      <c r="AY249" s="67">
        <v>11.0</v>
      </c>
      <c r="AZ249" s="37" t="str">
        <f t="shared" si="508"/>
        <v>R</v>
      </c>
      <c r="BA249" s="66">
        <v>25.0</v>
      </c>
      <c r="BB249" s="36" t="str">
        <f t="shared" si="509"/>
        <v>S</v>
      </c>
      <c r="BC249" s="39" t="s">
        <v>357</v>
      </c>
      <c r="BD249" s="39" t="s">
        <v>357</v>
      </c>
      <c r="BE249" s="66">
        <v>26.0</v>
      </c>
      <c r="BF249" s="36" t="str">
        <f t="shared" si="510"/>
        <v>S</v>
      </c>
      <c r="BG249" s="68">
        <v>9.0</v>
      </c>
      <c r="BH249" s="41" t="str">
        <f t="shared" si="511"/>
        <v>R</v>
      </c>
      <c r="BI249" s="41"/>
    </row>
    <row r="250">
      <c r="A250" s="21" t="s">
        <v>862</v>
      </c>
      <c r="B250" s="21" t="s">
        <v>444</v>
      </c>
      <c r="C250" s="21" t="s">
        <v>1499</v>
      </c>
      <c r="D250" s="69" t="s">
        <v>190</v>
      </c>
      <c r="E250" s="18" t="s">
        <v>190</v>
      </c>
      <c r="F250" s="18" t="s">
        <v>192</v>
      </c>
      <c r="G250" s="63" t="s">
        <v>1500</v>
      </c>
      <c r="H250" s="22" t="s">
        <v>198</v>
      </c>
      <c r="I250" s="28">
        <v>9.0</v>
      </c>
      <c r="J250" s="26" t="str">
        <f t="shared" si="489"/>
        <v>R</v>
      </c>
      <c r="K250" s="28">
        <v>18.0</v>
      </c>
      <c r="L250" s="26" t="str">
        <f t="shared" si="490"/>
        <v>R</v>
      </c>
      <c r="M250" s="28">
        <v>6.0</v>
      </c>
      <c r="N250" s="26" t="str">
        <f t="shared" si="491"/>
        <v>R</v>
      </c>
      <c r="O250" s="28">
        <v>25.0</v>
      </c>
      <c r="P250" s="26" t="str">
        <f t="shared" si="492"/>
        <v>S</v>
      </c>
      <c r="Q250" s="28">
        <v>6.0</v>
      </c>
      <c r="R250" s="26" t="str">
        <f t="shared" si="493"/>
        <v>R</v>
      </c>
      <c r="S250" s="28">
        <v>21.0</v>
      </c>
      <c r="T250" s="26" t="str">
        <f t="shared" si="494"/>
        <v>S</v>
      </c>
      <c r="U250" s="28">
        <v>18.0</v>
      </c>
      <c r="V250" s="26" t="str">
        <f t="shared" si="495"/>
        <v>I</v>
      </c>
      <c r="W250" s="32" t="s">
        <v>299</v>
      </c>
      <c r="X250" s="65">
        <v>6.0</v>
      </c>
      <c r="Y250" s="33" t="str">
        <f t="shared" si="496"/>
        <v>R</v>
      </c>
      <c r="Z250" s="65">
        <v>25.0</v>
      </c>
      <c r="AA250" s="33" t="str">
        <f t="shared" si="497"/>
        <v>S</v>
      </c>
      <c r="AB250" s="65">
        <v>6.0</v>
      </c>
      <c r="AC250" s="33" t="str">
        <f t="shared" si="498"/>
        <v>R</v>
      </c>
      <c r="AD250" s="65">
        <v>21.0</v>
      </c>
      <c r="AE250" s="33" t="str">
        <f t="shared" si="499"/>
        <v>S</v>
      </c>
      <c r="AF250" s="65">
        <v>6.0</v>
      </c>
      <c r="AG250" s="33" t="str">
        <f t="shared" si="500"/>
        <v>R</v>
      </c>
      <c r="AH250" s="65" t="s">
        <v>299</v>
      </c>
      <c r="AI250" s="66">
        <v>9.0</v>
      </c>
      <c r="AJ250" s="36" t="str">
        <f t="shared" si="501"/>
        <v>R</v>
      </c>
      <c r="AK250" s="66">
        <v>10.0</v>
      </c>
      <c r="AL250" s="36" t="str">
        <f t="shared" si="502"/>
        <v>R</v>
      </c>
      <c r="AM250" s="66">
        <v>9.0</v>
      </c>
      <c r="AN250" s="36" t="str">
        <f t="shared" si="503"/>
        <v>R</v>
      </c>
      <c r="AO250" s="66" t="s">
        <v>299</v>
      </c>
      <c r="AP250" s="67">
        <v>10.0</v>
      </c>
      <c r="AQ250" s="37" t="str">
        <f t="shared" si="504"/>
        <v>R</v>
      </c>
      <c r="AR250" s="65">
        <v>19.0</v>
      </c>
      <c r="AS250" s="33" t="str">
        <f t="shared" si="505"/>
        <v>S</v>
      </c>
      <c r="AT250" s="65">
        <v>14.0</v>
      </c>
      <c r="AU250" s="33" t="str">
        <f t="shared" si="506"/>
        <v>R</v>
      </c>
      <c r="AV250" s="65" t="s">
        <v>299</v>
      </c>
      <c r="AW250" s="28">
        <v>6.0</v>
      </c>
      <c r="AX250" s="26" t="str">
        <f t="shared" si="507"/>
        <v>R</v>
      </c>
      <c r="AY250" s="67">
        <v>10.0</v>
      </c>
      <c r="AZ250" s="37" t="str">
        <f t="shared" si="508"/>
        <v>R</v>
      </c>
      <c r="BA250" s="66">
        <v>26.0</v>
      </c>
      <c r="BB250" s="36" t="str">
        <f t="shared" si="509"/>
        <v>S</v>
      </c>
      <c r="BC250" s="39" t="s">
        <v>357</v>
      </c>
      <c r="BD250" s="39" t="s">
        <v>357</v>
      </c>
      <c r="BE250" s="66">
        <v>25.0</v>
      </c>
      <c r="BF250" s="36" t="str">
        <f t="shared" si="510"/>
        <v>S</v>
      </c>
      <c r="BG250" s="68">
        <v>8.0</v>
      </c>
      <c r="BH250" s="41" t="str">
        <f t="shared" si="511"/>
        <v>R</v>
      </c>
      <c r="BI250" s="41"/>
    </row>
    <row r="251">
      <c r="A251" s="21" t="s">
        <v>862</v>
      </c>
      <c r="B251" s="21" t="s">
        <v>444</v>
      </c>
      <c r="C251" s="21" t="s">
        <v>1501</v>
      </c>
      <c r="D251" s="69" t="s">
        <v>190</v>
      </c>
      <c r="E251" s="18" t="s">
        <v>190</v>
      </c>
      <c r="F251" s="18" t="s">
        <v>192</v>
      </c>
      <c r="G251" s="63" t="s">
        <v>1502</v>
      </c>
      <c r="H251" s="22" t="s">
        <v>198</v>
      </c>
      <c r="I251" s="28">
        <v>6.0</v>
      </c>
      <c r="J251" s="26" t="str">
        <f t="shared" si="489"/>
        <v>R</v>
      </c>
      <c r="K251" s="28">
        <v>18.0</v>
      </c>
      <c r="L251" s="26" t="str">
        <f t="shared" si="490"/>
        <v>R</v>
      </c>
      <c r="M251" s="28">
        <v>6.0</v>
      </c>
      <c r="N251" s="26" t="str">
        <f t="shared" si="491"/>
        <v>R</v>
      </c>
      <c r="O251" s="28">
        <v>25.0</v>
      </c>
      <c r="P251" s="26" t="str">
        <f t="shared" si="492"/>
        <v>S</v>
      </c>
      <c r="Q251" s="28">
        <v>6.0</v>
      </c>
      <c r="R251" s="26" t="str">
        <f t="shared" si="493"/>
        <v>R</v>
      </c>
      <c r="S251" s="28">
        <v>20.0</v>
      </c>
      <c r="T251" s="26" t="str">
        <f t="shared" si="494"/>
        <v>S</v>
      </c>
      <c r="U251" s="28">
        <v>18.0</v>
      </c>
      <c r="V251" s="26" t="str">
        <f t="shared" si="495"/>
        <v>I</v>
      </c>
      <c r="W251" s="32" t="s">
        <v>299</v>
      </c>
      <c r="X251" s="65">
        <v>6.0</v>
      </c>
      <c r="Y251" s="33" t="str">
        <f t="shared" si="496"/>
        <v>R</v>
      </c>
      <c r="Z251" s="65">
        <v>23.0</v>
      </c>
      <c r="AA251" s="33" t="str">
        <f t="shared" si="497"/>
        <v>S</v>
      </c>
      <c r="AB251" s="65">
        <v>6.0</v>
      </c>
      <c r="AC251" s="33" t="str">
        <f t="shared" si="498"/>
        <v>R</v>
      </c>
      <c r="AD251" s="65">
        <v>20.0</v>
      </c>
      <c r="AE251" s="33" t="str">
        <f t="shared" si="499"/>
        <v>S</v>
      </c>
      <c r="AF251" s="65">
        <v>6.0</v>
      </c>
      <c r="AG251" s="33" t="str">
        <f t="shared" si="500"/>
        <v>R</v>
      </c>
      <c r="AH251" s="65" t="s">
        <v>299</v>
      </c>
      <c r="AI251" s="66">
        <v>9.0</v>
      </c>
      <c r="AJ251" s="36" t="str">
        <f t="shared" si="501"/>
        <v>R</v>
      </c>
      <c r="AK251" s="66">
        <v>10.0</v>
      </c>
      <c r="AL251" s="36" t="str">
        <f t="shared" si="502"/>
        <v>R</v>
      </c>
      <c r="AM251" s="66">
        <v>9.0</v>
      </c>
      <c r="AN251" s="36" t="str">
        <f t="shared" si="503"/>
        <v>R</v>
      </c>
      <c r="AO251" s="66" t="s">
        <v>299</v>
      </c>
      <c r="AP251" s="67">
        <v>9.0</v>
      </c>
      <c r="AQ251" s="37" t="str">
        <f t="shared" si="504"/>
        <v>R</v>
      </c>
      <c r="AR251" s="65">
        <v>18.0</v>
      </c>
      <c r="AS251" s="33" t="str">
        <f t="shared" si="505"/>
        <v>S</v>
      </c>
      <c r="AT251" s="65">
        <v>14.0</v>
      </c>
      <c r="AU251" s="33" t="str">
        <f t="shared" si="506"/>
        <v>R</v>
      </c>
      <c r="AV251" s="65" t="s">
        <v>299</v>
      </c>
      <c r="AW251" s="28">
        <v>6.0</v>
      </c>
      <c r="AX251" s="26" t="str">
        <f t="shared" si="507"/>
        <v>R</v>
      </c>
      <c r="AY251" s="67">
        <v>11.0</v>
      </c>
      <c r="AZ251" s="37" t="str">
        <f t="shared" si="508"/>
        <v>R</v>
      </c>
      <c r="BA251" s="66">
        <v>26.0</v>
      </c>
      <c r="BB251" s="36" t="str">
        <f t="shared" si="509"/>
        <v>S</v>
      </c>
      <c r="BC251" s="39" t="s">
        <v>357</v>
      </c>
      <c r="BD251" s="39" t="s">
        <v>357</v>
      </c>
      <c r="BE251" s="66">
        <v>22.0</v>
      </c>
      <c r="BF251" s="36" t="str">
        <f t="shared" si="510"/>
        <v>S</v>
      </c>
      <c r="BG251" s="68">
        <v>10.0</v>
      </c>
      <c r="BH251" s="41" t="str">
        <f t="shared" si="511"/>
        <v>R</v>
      </c>
      <c r="BI251" s="41"/>
    </row>
    <row r="252">
      <c r="A252" s="21" t="s">
        <v>862</v>
      </c>
      <c r="B252" s="23">
        <v>141.0</v>
      </c>
      <c r="C252" s="21" t="s">
        <v>1503</v>
      </c>
      <c r="D252" s="69" t="s">
        <v>190</v>
      </c>
      <c r="E252" s="18" t="s">
        <v>190</v>
      </c>
      <c r="F252" s="18" t="s">
        <v>192</v>
      </c>
      <c r="G252" s="63" t="s">
        <v>1504</v>
      </c>
      <c r="H252" s="42" t="s">
        <v>479</v>
      </c>
      <c r="I252" s="28">
        <v>6.0</v>
      </c>
      <c r="J252" s="26" t="str">
        <f t="shared" si="489"/>
        <v>R</v>
      </c>
      <c r="K252" s="28">
        <v>20.0</v>
      </c>
      <c r="L252" s="26" t="str">
        <f t="shared" si="490"/>
        <v>S</v>
      </c>
      <c r="M252" s="28">
        <v>6.0</v>
      </c>
      <c r="N252" s="26" t="str">
        <f t="shared" si="491"/>
        <v>R</v>
      </c>
      <c r="O252" s="28">
        <v>20.0</v>
      </c>
      <c r="P252" s="26" t="str">
        <f t="shared" si="492"/>
        <v>I</v>
      </c>
      <c r="Q252" s="28">
        <v>6.0</v>
      </c>
      <c r="R252" s="26" t="str">
        <f t="shared" si="493"/>
        <v>R</v>
      </c>
      <c r="S252" s="28">
        <v>21.0</v>
      </c>
      <c r="T252" s="26" t="str">
        <f t="shared" si="494"/>
        <v>S</v>
      </c>
      <c r="U252" s="28">
        <v>12.0</v>
      </c>
      <c r="V252" s="26" t="str">
        <f t="shared" si="495"/>
        <v>R</v>
      </c>
      <c r="W252" s="32" t="s">
        <v>299</v>
      </c>
      <c r="X252" s="65">
        <v>11.0</v>
      </c>
      <c r="Y252" s="33" t="str">
        <f t="shared" si="496"/>
        <v>R</v>
      </c>
      <c r="Z252" s="65">
        <v>20.0</v>
      </c>
      <c r="AA252" s="33" t="str">
        <f t="shared" si="497"/>
        <v>S</v>
      </c>
      <c r="AB252" s="65">
        <v>6.0</v>
      </c>
      <c r="AC252" s="33" t="str">
        <f t="shared" si="498"/>
        <v>R</v>
      </c>
      <c r="AD252" s="65">
        <v>21.0</v>
      </c>
      <c r="AE252" s="33" t="str">
        <f t="shared" si="499"/>
        <v>S</v>
      </c>
      <c r="AF252" s="65">
        <v>14.0</v>
      </c>
      <c r="AG252" s="33" t="str">
        <f t="shared" si="500"/>
        <v>R</v>
      </c>
      <c r="AH252" s="65" t="s">
        <v>299</v>
      </c>
      <c r="AI252" s="66">
        <v>6.0</v>
      </c>
      <c r="AJ252" s="36" t="str">
        <f t="shared" si="501"/>
        <v>R</v>
      </c>
      <c r="AK252" s="66">
        <v>9.0</v>
      </c>
      <c r="AL252" s="36" t="str">
        <f t="shared" si="502"/>
        <v>R</v>
      </c>
      <c r="AM252" s="66">
        <v>6.0</v>
      </c>
      <c r="AN252" s="36" t="str">
        <f t="shared" si="503"/>
        <v>R</v>
      </c>
      <c r="AO252" s="66" t="s">
        <v>299</v>
      </c>
      <c r="AP252" s="67">
        <v>6.0</v>
      </c>
      <c r="AQ252" s="37" t="str">
        <f t="shared" si="504"/>
        <v>R</v>
      </c>
      <c r="AR252" s="65">
        <v>18.0</v>
      </c>
      <c r="AS252" s="33" t="str">
        <f t="shared" si="505"/>
        <v>S</v>
      </c>
      <c r="AT252" s="65">
        <v>18.0</v>
      </c>
      <c r="AU252" s="33" t="str">
        <f t="shared" si="506"/>
        <v>S</v>
      </c>
      <c r="AV252" s="33" t="s">
        <v>300</v>
      </c>
      <c r="AW252" s="28">
        <v>12.0</v>
      </c>
      <c r="AX252" s="26" t="str">
        <f t="shared" si="507"/>
        <v>R</v>
      </c>
      <c r="AY252" s="67">
        <v>10.0</v>
      </c>
      <c r="AZ252" s="37" t="str">
        <f t="shared" si="508"/>
        <v>R</v>
      </c>
      <c r="BA252" s="66">
        <v>21.0</v>
      </c>
      <c r="BB252" s="36" t="str">
        <f t="shared" si="509"/>
        <v>R</v>
      </c>
      <c r="BC252" s="39" t="s">
        <v>357</v>
      </c>
      <c r="BD252" s="39" t="s">
        <v>357</v>
      </c>
      <c r="BE252" s="66">
        <v>17.0</v>
      </c>
      <c r="BF252" s="36" t="str">
        <f t="shared" si="510"/>
        <v>R</v>
      </c>
      <c r="BG252" s="68">
        <v>20.0</v>
      </c>
      <c r="BH252" s="41" t="str">
        <f t="shared" si="511"/>
        <v>S</v>
      </c>
      <c r="BI252" s="41"/>
    </row>
    <row r="253">
      <c r="A253" s="21" t="s">
        <v>862</v>
      </c>
      <c r="B253" s="21" t="s">
        <v>444</v>
      </c>
      <c r="C253" s="21" t="s">
        <v>1505</v>
      </c>
      <c r="D253" s="69" t="s">
        <v>190</v>
      </c>
      <c r="E253" s="18" t="s">
        <v>190</v>
      </c>
      <c r="F253" s="18" t="s">
        <v>192</v>
      </c>
      <c r="G253" s="63" t="s">
        <v>1506</v>
      </c>
      <c r="H253" s="42" t="s">
        <v>479</v>
      </c>
      <c r="I253" s="28">
        <v>6.0</v>
      </c>
      <c r="J253" s="26" t="str">
        <f t="shared" si="489"/>
        <v>R</v>
      </c>
      <c r="K253" s="28">
        <v>19.0</v>
      </c>
      <c r="L253" s="26" t="str">
        <f t="shared" si="490"/>
        <v>S</v>
      </c>
      <c r="M253" s="28">
        <v>6.0</v>
      </c>
      <c r="N253" s="26" t="str">
        <f t="shared" si="491"/>
        <v>R</v>
      </c>
      <c r="O253" s="28">
        <v>20.0</v>
      </c>
      <c r="P253" s="26" t="str">
        <f t="shared" si="492"/>
        <v>I</v>
      </c>
      <c r="Q253" s="28">
        <v>6.0</v>
      </c>
      <c r="R253" s="26" t="str">
        <f t="shared" si="493"/>
        <v>R</v>
      </c>
      <c r="S253" s="28">
        <v>20.0</v>
      </c>
      <c r="T253" s="26" t="str">
        <f t="shared" si="494"/>
        <v>S</v>
      </c>
      <c r="U253" s="28">
        <v>12.0</v>
      </c>
      <c r="V253" s="26" t="str">
        <f t="shared" si="495"/>
        <v>R</v>
      </c>
      <c r="W253" s="32" t="s">
        <v>299</v>
      </c>
      <c r="X253" s="65">
        <v>11.0</v>
      </c>
      <c r="Y253" s="33" t="str">
        <f t="shared" si="496"/>
        <v>R</v>
      </c>
      <c r="Z253" s="65">
        <v>20.0</v>
      </c>
      <c r="AA253" s="33" t="str">
        <f t="shared" si="497"/>
        <v>S</v>
      </c>
      <c r="AB253" s="65">
        <v>6.0</v>
      </c>
      <c r="AC253" s="33" t="str">
        <f t="shared" si="498"/>
        <v>R</v>
      </c>
      <c r="AD253" s="65">
        <v>22.0</v>
      </c>
      <c r="AE253" s="33" t="str">
        <f t="shared" si="499"/>
        <v>S</v>
      </c>
      <c r="AF253" s="65">
        <v>12.0</v>
      </c>
      <c r="AG253" s="33" t="str">
        <f t="shared" si="500"/>
        <v>R</v>
      </c>
      <c r="AH253" s="65" t="s">
        <v>299</v>
      </c>
      <c r="AI253" s="66">
        <v>6.0</v>
      </c>
      <c r="AJ253" s="36" t="str">
        <f t="shared" si="501"/>
        <v>R</v>
      </c>
      <c r="AK253" s="66">
        <v>6.0</v>
      </c>
      <c r="AL253" s="36" t="str">
        <f t="shared" si="502"/>
        <v>R</v>
      </c>
      <c r="AM253" s="66">
        <v>6.0</v>
      </c>
      <c r="AN253" s="36" t="str">
        <f t="shared" si="503"/>
        <v>R</v>
      </c>
      <c r="AO253" s="66" t="s">
        <v>299</v>
      </c>
      <c r="AP253" s="67">
        <v>6.0</v>
      </c>
      <c r="AQ253" s="37" t="str">
        <f t="shared" si="504"/>
        <v>R</v>
      </c>
      <c r="AR253" s="65">
        <v>18.0</v>
      </c>
      <c r="AS253" s="33" t="str">
        <f t="shared" si="505"/>
        <v>S</v>
      </c>
      <c r="AT253" s="65">
        <v>18.0</v>
      </c>
      <c r="AU253" s="33" t="str">
        <f t="shared" si="506"/>
        <v>S</v>
      </c>
      <c r="AV253" s="33" t="s">
        <v>300</v>
      </c>
      <c r="AW253" s="28">
        <v>12.0</v>
      </c>
      <c r="AX253" s="26" t="str">
        <f t="shared" si="507"/>
        <v>R</v>
      </c>
      <c r="AY253" s="67">
        <v>10.0</v>
      </c>
      <c r="AZ253" s="37" t="str">
        <f t="shared" si="508"/>
        <v>R</v>
      </c>
      <c r="BA253" s="66">
        <v>20.0</v>
      </c>
      <c r="BB253" s="36" t="str">
        <f t="shared" si="509"/>
        <v>R</v>
      </c>
      <c r="BC253" s="39" t="s">
        <v>357</v>
      </c>
      <c r="BD253" s="39" t="s">
        <v>357</v>
      </c>
      <c r="BE253" s="66">
        <v>15.0</v>
      </c>
      <c r="BF253" s="36" t="str">
        <f t="shared" si="510"/>
        <v>R</v>
      </c>
      <c r="BG253" s="68">
        <v>18.0</v>
      </c>
      <c r="BH253" s="41" t="str">
        <f t="shared" si="511"/>
        <v>S</v>
      </c>
      <c r="BI253" s="41"/>
    </row>
    <row r="254">
      <c r="A254" s="21" t="s">
        <v>862</v>
      </c>
      <c r="B254" s="21" t="s">
        <v>444</v>
      </c>
      <c r="C254" s="21" t="s">
        <v>1507</v>
      </c>
      <c r="D254" s="69" t="s">
        <v>190</v>
      </c>
      <c r="E254" s="18" t="s">
        <v>190</v>
      </c>
      <c r="F254" s="18" t="s">
        <v>192</v>
      </c>
      <c r="G254" s="63" t="s">
        <v>1508</v>
      </c>
      <c r="H254" s="42" t="s">
        <v>479</v>
      </c>
      <c r="I254" s="28">
        <v>6.0</v>
      </c>
      <c r="J254" s="26" t="str">
        <f t="shared" si="489"/>
        <v>R</v>
      </c>
      <c r="K254" s="28">
        <v>20.0</v>
      </c>
      <c r="L254" s="26" t="str">
        <f t="shared" si="490"/>
        <v>S</v>
      </c>
      <c r="M254" s="28">
        <v>6.0</v>
      </c>
      <c r="N254" s="26" t="str">
        <f t="shared" si="491"/>
        <v>R</v>
      </c>
      <c r="O254" s="28">
        <v>20.0</v>
      </c>
      <c r="P254" s="26" t="str">
        <f t="shared" si="492"/>
        <v>I</v>
      </c>
      <c r="Q254" s="28">
        <v>6.0</v>
      </c>
      <c r="R254" s="26" t="str">
        <f t="shared" si="493"/>
        <v>R</v>
      </c>
      <c r="S254" s="28">
        <v>20.0</v>
      </c>
      <c r="T254" s="26" t="str">
        <f t="shared" si="494"/>
        <v>S</v>
      </c>
      <c r="U254" s="28">
        <v>12.0</v>
      </c>
      <c r="V254" s="26" t="str">
        <f t="shared" si="495"/>
        <v>R</v>
      </c>
      <c r="W254" s="32" t="s">
        <v>299</v>
      </c>
      <c r="X254" s="65">
        <v>11.0</v>
      </c>
      <c r="Y254" s="33" t="str">
        <f t="shared" si="496"/>
        <v>R</v>
      </c>
      <c r="Z254" s="65">
        <v>20.0</v>
      </c>
      <c r="AA254" s="33" t="str">
        <f t="shared" si="497"/>
        <v>S</v>
      </c>
      <c r="AB254" s="65">
        <v>6.0</v>
      </c>
      <c r="AC254" s="33" t="str">
        <f t="shared" si="498"/>
        <v>R</v>
      </c>
      <c r="AD254" s="65">
        <v>21.0</v>
      </c>
      <c r="AE254" s="33" t="str">
        <f t="shared" si="499"/>
        <v>S</v>
      </c>
      <c r="AF254" s="65">
        <v>14.0</v>
      </c>
      <c r="AG254" s="33" t="str">
        <f t="shared" si="500"/>
        <v>R</v>
      </c>
      <c r="AH254" s="65" t="s">
        <v>299</v>
      </c>
      <c r="AI254" s="66">
        <v>6.0</v>
      </c>
      <c r="AJ254" s="36" t="str">
        <f t="shared" si="501"/>
        <v>R</v>
      </c>
      <c r="AK254" s="66">
        <v>6.0</v>
      </c>
      <c r="AL254" s="36" t="str">
        <f t="shared" si="502"/>
        <v>R</v>
      </c>
      <c r="AM254" s="66">
        <v>6.0</v>
      </c>
      <c r="AN254" s="36" t="str">
        <f t="shared" si="503"/>
        <v>R</v>
      </c>
      <c r="AO254" s="66" t="s">
        <v>299</v>
      </c>
      <c r="AP254" s="67">
        <v>6.0</v>
      </c>
      <c r="AQ254" s="37" t="str">
        <f t="shared" si="504"/>
        <v>R</v>
      </c>
      <c r="AR254" s="65">
        <v>18.0</v>
      </c>
      <c r="AS254" s="33" t="str">
        <f t="shared" si="505"/>
        <v>S</v>
      </c>
      <c r="AT254" s="65">
        <v>17.0</v>
      </c>
      <c r="AU254" s="33" t="str">
        <f t="shared" si="506"/>
        <v>S</v>
      </c>
      <c r="AV254" s="33" t="s">
        <v>300</v>
      </c>
      <c r="AW254" s="28">
        <v>12.0</v>
      </c>
      <c r="AX254" s="26" t="str">
        <f t="shared" si="507"/>
        <v>R</v>
      </c>
      <c r="AY254" s="67">
        <v>10.0</v>
      </c>
      <c r="AZ254" s="37" t="str">
        <f t="shared" si="508"/>
        <v>R</v>
      </c>
      <c r="BA254" s="66">
        <v>18.0</v>
      </c>
      <c r="BB254" s="36" t="str">
        <f t="shared" si="509"/>
        <v>R</v>
      </c>
      <c r="BC254" s="39" t="s">
        <v>357</v>
      </c>
      <c r="BD254" s="39" t="s">
        <v>357</v>
      </c>
      <c r="BE254" s="66">
        <v>20.0</v>
      </c>
      <c r="BF254" s="36" t="str">
        <f t="shared" si="510"/>
        <v>I</v>
      </c>
      <c r="BG254" s="68">
        <v>20.0</v>
      </c>
      <c r="BH254" s="41" t="str">
        <f t="shared" si="511"/>
        <v>S</v>
      </c>
      <c r="BI254" s="41"/>
    </row>
    <row r="255">
      <c r="A255" s="21" t="s">
        <v>862</v>
      </c>
      <c r="B255" s="23">
        <v>142.0</v>
      </c>
      <c r="C255" s="21" t="s">
        <v>1509</v>
      </c>
      <c r="D255" s="62" t="s">
        <v>705</v>
      </c>
      <c r="E255" s="18" t="s">
        <v>572</v>
      </c>
      <c r="F255" s="18" t="s">
        <v>192</v>
      </c>
      <c r="G255" s="63" t="s">
        <v>1510</v>
      </c>
      <c r="H255" s="42" t="s">
        <v>479</v>
      </c>
      <c r="I255" s="28">
        <v>6.0</v>
      </c>
      <c r="J255" s="26" t="str">
        <f t="shared" si="489"/>
        <v>R</v>
      </c>
      <c r="K255" s="28">
        <v>16.0</v>
      </c>
      <c r="L255" s="26" t="str">
        <f t="shared" si="490"/>
        <v>R</v>
      </c>
      <c r="M255" s="28">
        <v>6.0</v>
      </c>
      <c r="N255" s="26" t="str">
        <f t="shared" si="491"/>
        <v>R</v>
      </c>
      <c r="O255" s="28">
        <v>22.0</v>
      </c>
      <c r="P255" s="26" t="str">
        <f t="shared" si="492"/>
        <v>I</v>
      </c>
      <c r="Q255" s="28">
        <v>6.0</v>
      </c>
      <c r="R255" s="26" t="str">
        <f t="shared" si="493"/>
        <v>R</v>
      </c>
      <c r="S255" s="28">
        <v>16.0</v>
      </c>
      <c r="T255" s="26" t="str">
        <f t="shared" si="494"/>
        <v>R</v>
      </c>
      <c r="U255" s="28">
        <v>15.0</v>
      </c>
      <c r="V255" s="26" t="str">
        <f t="shared" si="495"/>
        <v>R</v>
      </c>
      <c r="W255" s="32" t="s">
        <v>299</v>
      </c>
      <c r="X255" s="65">
        <v>6.0</v>
      </c>
      <c r="Y255" s="33" t="str">
        <f t="shared" si="496"/>
        <v>R</v>
      </c>
      <c r="Z255" s="65">
        <v>18.0</v>
      </c>
      <c r="AA255" s="33" t="str">
        <f t="shared" si="497"/>
        <v>S</v>
      </c>
      <c r="AB255" s="65">
        <v>6.0</v>
      </c>
      <c r="AC255" s="33" t="str">
        <f t="shared" si="498"/>
        <v>R</v>
      </c>
      <c r="AD255" s="65">
        <v>16.0</v>
      </c>
      <c r="AE255" s="33" t="str">
        <f t="shared" si="499"/>
        <v>S</v>
      </c>
      <c r="AF255" s="65">
        <v>6.0</v>
      </c>
      <c r="AG255" s="33" t="str">
        <f t="shared" si="500"/>
        <v>R</v>
      </c>
      <c r="AH255" s="65" t="s">
        <v>299</v>
      </c>
      <c r="AI255" s="66">
        <v>10.0</v>
      </c>
      <c r="AJ255" s="36" t="str">
        <f t="shared" si="501"/>
        <v>R</v>
      </c>
      <c r="AK255" s="66">
        <v>14.0</v>
      </c>
      <c r="AL255" s="36" t="str">
        <f t="shared" si="502"/>
        <v>R</v>
      </c>
      <c r="AM255" s="66">
        <v>16.0</v>
      </c>
      <c r="AN255" s="36" t="str">
        <f t="shared" si="503"/>
        <v>S</v>
      </c>
      <c r="AO255" s="66" t="s">
        <v>299</v>
      </c>
      <c r="AP255" s="67">
        <v>6.0</v>
      </c>
      <c r="AQ255" s="37" t="str">
        <f t="shared" si="504"/>
        <v>R</v>
      </c>
      <c r="AR255" s="65">
        <v>12.0</v>
      </c>
      <c r="AS255" s="33" t="str">
        <f t="shared" si="505"/>
        <v>R</v>
      </c>
      <c r="AT255" s="65">
        <v>10.0</v>
      </c>
      <c r="AU255" s="33" t="str">
        <f t="shared" si="506"/>
        <v>R</v>
      </c>
      <c r="AV255" s="65" t="s">
        <v>299</v>
      </c>
      <c r="AW255" s="28">
        <v>17.0</v>
      </c>
      <c r="AX255" s="26" t="str">
        <f t="shared" si="507"/>
        <v>R</v>
      </c>
      <c r="AY255" s="67">
        <v>13.0</v>
      </c>
      <c r="AZ255" s="37" t="str">
        <f t="shared" si="508"/>
        <v>R</v>
      </c>
      <c r="BA255" s="66">
        <v>19.0</v>
      </c>
      <c r="BB255" s="36" t="str">
        <f t="shared" si="509"/>
        <v>R</v>
      </c>
      <c r="BC255" s="39" t="s">
        <v>357</v>
      </c>
      <c r="BD255" s="39" t="s">
        <v>357</v>
      </c>
      <c r="BE255" s="66">
        <v>19.0</v>
      </c>
      <c r="BF255" s="36" t="str">
        <f t="shared" si="510"/>
        <v>I</v>
      </c>
      <c r="BG255" s="68">
        <v>16.0</v>
      </c>
      <c r="BH255" s="41" t="str">
        <f t="shared" si="511"/>
        <v>R</v>
      </c>
      <c r="BI255" s="41"/>
    </row>
    <row r="256">
      <c r="A256" s="21" t="s">
        <v>862</v>
      </c>
      <c r="B256" s="21" t="s">
        <v>444</v>
      </c>
      <c r="C256" s="21" t="s">
        <v>1511</v>
      </c>
      <c r="D256" s="62" t="s">
        <v>705</v>
      </c>
      <c r="E256" s="18" t="s">
        <v>572</v>
      </c>
      <c r="F256" s="18" t="s">
        <v>192</v>
      </c>
      <c r="G256" s="63" t="s">
        <v>1512</v>
      </c>
      <c r="H256" s="42" t="s">
        <v>479</v>
      </c>
      <c r="I256" s="28">
        <v>6.0</v>
      </c>
      <c r="J256" s="26" t="str">
        <f t="shared" si="489"/>
        <v>R</v>
      </c>
      <c r="K256" s="28">
        <v>16.0</v>
      </c>
      <c r="L256" s="26" t="str">
        <f t="shared" si="490"/>
        <v>R</v>
      </c>
      <c r="M256" s="28">
        <v>9.0</v>
      </c>
      <c r="N256" s="26" t="str">
        <f t="shared" si="491"/>
        <v>R</v>
      </c>
      <c r="O256" s="28">
        <v>22.0</v>
      </c>
      <c r="P256" s="26" t="str">
        <f t="shared" si="492"/>
        <v>I</v>
      </c>
      <c r="Q256" s="28">
        <v>6.0</v>
      </c>
      <c r="R256" s="26" t="str">
        <f t="shared" si="493"/>
        <v>R</v>
      </c>
      <c r="S256" s="28">
        <v>16.0</v>
      </c>
      <c r="T256" s="26" t="str">
        <f t="shared" si="494"/>
        <v>R</v>
      </c>
      <c r="U256" s="28">
        <v>15.0</v>
      </c>
      <c r="V256" s="26" t="str">
        <f t="shared" si="495"/>
        <v>R</v>
      </c>
      <c r="W256" s="32" t="s">
        <v>299</v>
      </c>
      <c r="X256" s="65">
        <v>6.0</v>
      </c>
      <c r="Y256" s="33" t="str">
        <f t="shared" si="496"/>
        <v>R</v>
      </c>
      <c r="Z256" s="65">
        <v>18.0</v>
      </c>
      <c r="AA256" s="33" t="str">
        <f t="shared" si="497"/>
        <v>S</v>
      </c>
      <c r="AB256" s="65">
        <v>6.0</v>
      </c>
      <c r="AC256" s="33" t="str">
        <f t="shared" si="498"/>
        <v>R</v>
      </c>
      <c r="AD256" s="65">
        <v>16.0</v>
      </c>
      <c r="AE256" s="33" t="str">
        <f t="shared" si="499"/>
        <v>S</v>
      </c>
      <c r="AF256" s="65">
        <v>8.0</v>
      </c>
      <c r="AG256" s="33" t="str">
        <f t="shared" si="500"/>
        <v>R</v>
      </c>
      <c r="AH256" s="65" t="s">
        <v>299</v>
      </c>
      <c r="AI256" s="66">
        <v>10.0</v>
      </c>
      <c r="AJ256" s="36" t="str">
        <f t="shared" si="501"/>
        <v>R</v>
      </c>
      <c r="AK256" s="66">
        <v>14.0</v>
      </c>
      <c r="AL256" s="36" t="str">
        <f t="shared" si="502"/>
        <v>R</v>
      </c>
      <c r="AM256" s="66">
        <v>14.0</v>
      </c>
      <c r="AN256" s="36" t="str">
        <f t="shared" si="503"/>
        <v>S</v>
      </c>
      <c r="AO256" s="66" t="s">
        <v>299</v>
      </c>
      <c r="AP256" s="67">
        <v>6.0</v>
      </c>
      <c r="AQ256" s="37" t="str">
        <f t="shared" si="504"/>
        <v>R</v>
      </c>
      <c r="AR256" s="65">
        <v>12.0</v>
      </c>
      <c r="AS256" s="33" t="str">
        <f t="shared" si="505"/>
        <v>R</v>
      </c>
      <c r="AT256" s="65">
        <v>10.0</v>
      </c>
      <c r="AU256" s="33" t="str">
        <f t="shared" si="506"/>
        <v>R</v>
      </c>
      <c r="AV256" s="65" t="s">
        <v>299</v>
      </c>
      <c r="AW256" s="28">
        <v>17.0</v>
      </c>
      <c r="AX256" s="26" t="str">
        <f t="shared" si="507"/>
        <v>R</v>
      </c>
      <c r="AY256" s="67">
        <v>10.0</v>
      </c>
      <c r="AZ256" s="37" t="str">
        <f t="shared" si="508"/>
        <v>R</v>
      </c>
      <c r="BA256" s="66">
        <v>19.0</v>
      </c>
      <c r="BB256" s="36" t="str">
        <f t="shared" si="509"/>
        <v>R</v>
      </c>
      <c r="BC256" s="39" t="s">
        <v>357</v>
      </c>
      <c r="BD256" s="39" t="s">
        <v>357</v>
      </c>
      <c r="BE256" s="66">
        <v>20.0</v>
      </c>
      <c r="BF256" s="36" t="str">
        <f t="shared" si="510"/>
        <v>I</v>
      </c>
      <c r="BG256" s="68">
        <v>14.0</v>
      </c>
      <c r="BH256" s="41" t="str">
        <f t="shared" si="511"/>
        <v>R</v>
      </c>
      <c r="BI256" s="41"/>
    </row>
    <row r="257">
      <c r="A257" s="21" t="s">
        <v>862</v>
      </c>
      <c r="B257" s="21" t="s">
        <v>444</v>
      </c>
      <c r="C257" s="21" t="s">
        <v>1513</v>
      </c>
      <c r="D257" s="62" t="s">
        <v>705</v>
      </c>
      <c r="E257" s="18" t="s">
        <v>572</v>
      </c>
      <c r="F257" s="18" t="s">
        <v>192</v>
      </c>
      <c r="G257" s="63" t="s">
        <v>1514</v>
      </c>
      <c r="H257" s="42" t="s">
        <v>479</v>
      </c>
      <c r="I257" s="28">
        <v>6.0</v>
      </c>
      <c r="J257" s="26" t="str">
        <f t="shared" si="489"/>
        <v>R</v>
      </c>
      <c r="K257" s="28">
        <v>16.0</v>
      </c>
      <c r="L257" s="26" t="str">
        <f t="shared" si="490"/>
        <v>R</v>
      </c>
      <c r="M257" s="28">
        <v>9.0</v>
      </c>
      <c r="N257" s="26" t="str">
        <f t="shared" si="491"/>
        <v>R</v>
      </c>
      <c r="O257" s="28">
        <v>22.0</v>
      </c>
      <c r="P257" s="26" t="str">
        <f t="shared" si="492"/>
        <v>I</v>
      </c>
      <c r="Q257" s="28">
        <v>6.0</v>
      </c>
      <c r="R257" s="26" t="str">
        <f t="shared" si="493"/>
        <v>R</v>
      </c>
      <c r="S257" s="28">
        <v>14.0</v>
      </c>
      <c r="T257" s="26" t="str">
        <f t="shared" si="494"/>
        <v>R</v>
      </c>
      <c r="U257" s="28">
        <v>15.0</v>
      </c>
      <c r="V257" s="26" t="str">
        <f t="shared" si="495"/>
        <v>R</v>
      </c>
      <c r="W257" s="32" t="s">
        <v>299</v>
      </c>
      <c r="X257" s="65">
        <v>6.0</v>
      </c>
      <c r="Y257" s="33" t="str">
        <f t="shared" si="496"/>
        <v>R</v>
      </c>
      <c r="Z257" s="65">
        <v>20.0</v>
      </c>
      <c r="AA257" s="33" t="str">
        <f t="shared" si="497"/>
        <v>S</v>
      </c>
      <c r="AB257" s="65">
        <v>6.0</v>
      </c>
      <c r="AC257" s="33" t="str">
        <f t="shared" si="498"/>
        <v>R</v>
      </c>
      <c r="AD257" s="65">
        <v>16.0</v>
      </c>
      <c r="AE257" s="33" t="str">
        <f t="shared" si="499"/>
        <v>S</v>
      </c>
      <c r="AF257" s="65">
        <v>8.0</v>
      </c>
      <c r="AG257" s="33" t="str">
        <f t="shared" si="500"/>
        <v>R</v>
      </c>
      <c r="AH257" s="65" t="s">
        <v>299</v>
      </c>
      <c r="AI257" s="66">
        <v>10.0</v>
      </c>
      <c r="AJ257" s="36" t="str">
        <f t="shared" si="501"/>
        <v>R</v>
      </c>
      <c r="AK257" s="66">
        <v>14.0</v>
      </c>
      <c r="AL257" s="36" t="str">
        <f t="shared" si="502"/>
        <v>R</v>
      </c>
      <c r="AM257" s="66">
        <v>14.0</v>
      </c>
      <c r="AN257" s="36" t="str">
        <f t="shared" si="503"/>
        <v>S</v>
      </c>
      <c r="AO257" s="66" t="s">
        <v>299</v>
      </c>
      <c r="AP257" s="67">
        <v>6.0</v>
      </c>
      <c r="AQ257" s="37" t="str">
        <f t="shared" si="504"/>
        <v>R</v>
      </c>
      <c r="AR257" s="65">
        <v>12.0</v>
      </c>
      <c r="AS257" s="33" t="str">
        <f t="shared" si="505"/>
        <v>R</v>
      </c>
      <c r="AT257" s="65">
        <v>10.0</v>
      </c>
      <c r="AU257" s="33" t="str">
        <f t="shared" si="506"/>
        <v>R</v>
      </c>
      <c r="AV257" s="65" t="s">
        <v>299</v>
      </c>
      <c r="AW257" s="28">
        <v>17.0</v>
      </c>
      <c r="AX257" s="26" t="str">
        <f t="shared" si="507"/>
        <v>R</v>
      </c>
      <c r="AY257" s="67">
        <v>13.0</v>
      </c>
      <c r="AZ257" s="37" t="str">
        <f t="shared" si="508"/>
        <v>R</v>
      </c>
      <c r="BA257" s="66">
        <v>19.0</v>
      </c>
      <c r="BB257" s="36" t="str">
        <f t="shared" si="509"/>
        <v>R</v>
      </c>
      <c r="BC257" s="39" t="s">
        <v>357</v>
      </c>
      <c r="BD257" s="39" t="s">
        <v>357</v>
      </c>
      <c r="BE257" s="66">
        <v>20.0</v>
      </c>
      <c r="BF257" s="36" t="str">
        <f t="shared" si="510"/>
        <v>I</v>
      </c>
      <c r="BG257" s="68">
        <v>16.0</v>
      </c>
      <c r="BH257" s="41" t="str">
        <f t="shared" si="511"/>
        <v>R</v>
      </c>
      <c r="BI257" s="41"/>
    </row>
    <row r="258">
      <c r="A258" s="21" t="s">
        <v>862</v>
      </c>
      <c r="B258" s="23">
        <v>143.0</v>
      </c>
      <c r="C258" s="21" t="s">
        <v>1515</v>
      </c>
      <c r="D258" s="62" t="s">
        <v>555</v>
      </c>
      <c r="E258" s="18" t="s">
        <v>103</v>
      </c>
      <c r="F258" s="18" t="s">
        <v>192</v>
      </c>
      <c r="G258" s="63" t="s">
        <v>1516</v>
      </c>
      <c r="H258" s="42" t="s">
        <v>479</v>
      </c>
      <c r="I258" s="28">
        <v>14.0</v>
      </c>
      <c r="J258" s="26" t="str">
        <f t="shared" si="489"/>
        <v>R</v>
      </c>
      <c r="K258" s="28">
        <v>14.0</v>
      </c>
      <c r="L258" s="26" t="str">
        <f t="shared" si="490"/>
        <v>R</v>
      </c>
      <c r="M258" s="28">
        <v>20.0</v>
      </c>
      <c r="N258" s="26" t="str">
        <f t="shared" si="491"/>
        <v>R</v>
      </c>
      <c r="O258" s="28">
        <v>18.0</v>
      </c>
      <c r="P258" s="26" t="str">
        <f t="shared" si="492"/>
        <v>R</v>
      </c>
      <c r="Q258" s="28">
        <v>6.0</v>
      </c>
      <c r="R258" s="26" t="str">
        <f t="shared" si="493"/>
        <v>R</v>
      </c>
      <c r="S258" s="28">
        <v>19.0</v>
      </c>
      <c r="T258" s="26" t="str">
        <f t="shared" si="494"/>
        <v>R</v>
      </c>
      <c r="U258" s="28">
        <v>9.0</v>
      </c>
      <c r="V258" s="26" t="str">
        <f t="shared" si="495"/>
        <v>R</v>
      </c>
      <c r="W258" s="32" t="s">
        <v>299</v>
      </c>
      <c r="X258" s="65">
        <v>12.0</v>
      </c>
      <c r="Y258" s="33" t="str">
        <f t="shared" si="496"/>
        <v>R</v>
      </c>
      <c r="Z258" s="65">
        <v>12.0</v>
      </c>
      <c r="AA258" s="33" t="str">
        <f t="shared" si="497"/>
        <v>R</v>
      </c>
      <c r="AB258" s="65">
        <v>9.0</v>
      </c>
      <c r="AC258" s="33" t="str">
        <f t="shared" si="498"/>
        <v>R</v>
      </c>
      <c r="AD258" s="65">
        <v>16.0</v>
      </c>
      <c r="AE258" s="33" t="str">
        <f t="shared" si="499"/>
        <v>S</v>
      </c>
      <c r="AF258" s="65">
        <v>14.0</v>
      </c>
      <c r="AG258" s="33" t="str">
        <f t="shared" si="500"/>
        <v>R</v>
      </c>
      <c r="AH258" s="65" t="s">
        <v>299</v>
      </c>
      <c r="AI258" s="66">
        <v>19.0</v>
      </c>
      <c r="AJ258" s="36" t="str">
        <f t="shared" si="501"/>
        <v>R</v>
      </c>
      <c r="AK258" s="66">
        <v>19.0</v>
      </c>
      <c r="AL258" s="36" t="str">
        <f t="shared" si="502"/>
        <v>I</v>
      </c>
      <c r="AM258" s="66">
        <v>18.0</v>
      </c>
      <c r="AN258" s="36" t="str">
        <f t="shared" si="503"/>
        <v>S</v>
      </c>
      <c r="AO258" s="66" t="s">
        <v>299</v>
      </c>
      <c r="AP258" s="67">
        <v>11.0</v>
      </c>
      <c r="AQ258" s="37" t="str">
        <f t="shared" si="504"/>
        <v>I</v>
      </c>
      <c r="AR258" s="65">
        <v>17.0</v>
      </c>
      <c r="AS258" s="33" t="str">
        <f t="shared" si="505"/>
        <v>R</v>
      </c>
      <c r="AT258" s="65">
        <v>16.0</v>
      </c>
      <c r="AU258" s="33" t="str">
        <f t="shared" si="506"/>
        <v>S</v>
      </c>
      <c r="AV258" s="65" t="s">
        <v>299</v>
      </c>
      <c r="AW258" s="28">
        <v>19.0</v>
      </c>
      <c r="AX258" s="26" t="str">
        <f t="shared" si="507"/>
        <v>R</v>
      </c>
      <c r="AY258" s="67">
        <v>10.0</v>
      </c>
      <c r="AZ258" s="37" t="str">
        <f t="shared" si="508"/>
        <v>R</v>
      </c>
      <c r="BA258" s="66">
        <v>20.0</v>
      </c>
      <c r="BB258" s="36" t="str">
        <f t="shared" si="509"/>
        <v>R</v>
      </c>
      <c r="BC258" s="39" t="s">
        <v>357</v>
      </c>
      <c r="BD258" s="39" t="s">
        <v>357</v>
      </c>
      <c r="BE258" s="66">
        <v>20.0</v>
      </c>
      <c r="BF258" s="36" t="str">
        <f t="shared" si="510"/>
        <v>I</v>
      </c>
      <c r="BG258" s="68">
        <v>19.0</v>
      </c>
      <c r="BH258" s="41" t="str">
        <f t="shared" si="511"/>
        <v>S</v>
      </c>
      <c r="BI258" s="41"/>
    </row>
    <row r="259">
      <c r="A259" s="21" t="s">
        <v>862</v>
      </c>
      <c r="B259" s="21" t="s">
        <v>444</v>
      </c>
      <c r="C259" s="21" t="s">
        <v>1517</v>
      </c>
      <c r="D259" s="62" t="s">
        <v>555</v>
      </c>
      <c r="E259" s="18" t="s">
        <v>103</v>
      </c>
      <c r="F259" s="18" t="s">
        <v>192</v>
      </c>
      <c r="G259" s="63" t="s">
        <v>1518</v>
      </c>
      <c r="H259" s="42" t="s">
        <v>479</v>
      </c>
      <c r="I259" s="28">
        <v>14.0</v>
      </c>
      <c r="J259" s="26" t="str">
        <f t="shared" si="489"/>
        <v>R</v>
      </c>
      <c r="K259" s="28">
        <v>14.0</v>
      </c>
      <c r="L259" s="26" t="str">
        <f t="shared" si="490"/>
        <v>R</v>
      </c>
      <c r="M259" s="28">
        <v>20.0</v>
      </c>
      <c r="N259" s="26" t="str">
        <f t="shared" si="491"/>
        <v>R</v>
      </c>
      <c r="O259" s="28">
        <v>18.0</v>
      </c>
      <c r="P259" s="26" t="str">
        <f t="shared" si="492"/>
        <v>R</v>
      </c>
      <c r="Q259" s="28">
        <v>6.0</v>
      </c>
      <c r="R259" s="26" t="str">
        <f t="shared" si="493"/>
        <v>R</v>
      </c>
      <c r="S259" s="28">
        <v>19.0</v>
      </c>
      <c r="T259" s="26" t="str">
        <f t="shared" si="494"/>
        <v>R</v>
      </c>
      <c r="U259" s="28">
        <v>9.0</v>
      </c>
      <c r="V259" s="26" t="str">
        <f t="shared" si="495"/>
        <v>R</v>
      </c>
      <c r="W259" s="32" t="s">
        <v>299</v>
      </c>
      <c r="X259" s="65">
        <v>12.0</v>
      </c>
      <c r="Y259" s="33" t="str">
        <f t="shared" si="496"/>
        <v>R</v>
      </c>
      <c r="Z259" s="65">
        <v>12.0</v>
      </c>
      <c r="AA259" s="33" t="str">
        <f t="shared" si="497"/>
        <v>R</v>
      </c>
      <c r="AB259" s="65">
        <v>9.0</v>
      </c>
      <c r="AC259" s="33" t="str">
        <f t="shared" si="498"/>
        <v>R</v>
      </c>
      <c r="AD259" s="65">
        <v>16.0</v>
      </c>
      <c r="AE259" s="33" t="str">
        <f t="shared" si="499"/>
        <v>S</v>
      </c>
      <c r="AF259" s="65">
        <v>14.0</v>
      </c>
      <c r="AG259" s="33" t="str">
        <f t="shared" si="500"/>
        <v>R</v>
      </c>
      <c r="AH259" s="65" t="s">
        <v>299</v>
      </c>
      <c r="AI259" s="66">
        <v>19.0</v>
      </c>
      <c r="AJ259" s="36" t="str">
        <f t="shared" si="501"/>
        <v>R</v>
      </c>
      <c r="AK259" s="66">
        <v>19.0</v>
      </c>
      <c r="AL259" s="36" t="str">
        <f t="shared" si="502"/>
        <v>I</v>
      </c>
      <c r="AM259" s="66">
        <v>18.0</v>
      </c>
      <c r="AN259" s="36" t="str">
        <f t="shared" si="503"/>
        <v>S</v>
      </c>
      <c r="AO259" s="66" t="s">
        <v>299</v>
      </c>
      <c r="AP259" s="67">
        <v>11.0</v>
      </c>
      <c r="AQ259" s="37" t="str">
        <f t="shared" si="504"/>
        <v>I</v>
      </c>
      <c r="AR259" s="65">
        <v>17.0</v>
      </c>
      <c r="AS259" s="33" t="str">
        <f t="shared" si="505"/>
        <v>R</v>
      </c>
      <c r="AT259" s="65">
        <v>16.0</v>
      </c>
      <c r="AU259" s="33" t="str">
        <f t="shared" si="506"/>
        <v>S</v>
      </c>
      <c r="AV259" s="65" t="s">
        <v>299</v>
      </c>
      <c r="AW259" s="28">
        <v>19.0</v>
      </c>
      <c r="AX259" s="26" t="str">
        <f t="shared" si="507"/>
        <v>R</v>
      </c>
      <c r="AY259" s="67">
        <v>10.0</v>
      </c>
      <c r="AZ259" s="37" t="str">
        <f t="shared" si="508"/>
        <v>R</v>
      </c>
      <c r="BA259" s="66">
        <v>20.0</v>
      </c>
      <c r="BB259" s="36" t="str">
        <f t="shared" si="509"/>
        <v>R</v>
      </c>
      <c r="BC259" s="39" t="s">
        <v>357</v>
      </c>
      <c r="BD259" s="39" t="s">
        <v>357</v>
      </c>
      <c r="BE259" s="66">
        <v>20.0</v>
      </c>
      <c r="BF259" s="36" t="str">
        <f t="shared" si="510"/>
        <v>I</v>
      </c>
      <c r="BG259" s="68">
        <v>19.0</v>
      </c>
      <c r="BH259" s="41" t="str">
        <f t="shared" si="511"/>
        <v>S</v>
      </c>
      <c r="BI259" s="41"/>
    </row>
    <row r="260">
      <c r="A260" s="21" t="s">
        <v>862</v>
      </c>
      <c r="B260" s="21" t="s">
        <v>444</v>
      </c>
      <c r="C260" s="21" t="s">
        <v>1519</v>
      </c>
      <c r="D260" s="62" t="s">
        <v>555</v>
      </c>
      <c r="E260" s="18" t="s">
        <v>103</v>
      </c>
      <c r="F260" s="18" t="s">
        <v>192</v>
      </c>
      <c r="G260" s="63" t="s">
        <v>1520</v>
      </c>
      <c r="H260" s="42" t="s">
        <v>479</v>
      </c>
      <c r="I260" s="28">
        <v>14.0</v>
      </c>
      <c r="J260" s="26" t="str">
        <f t="shared" si="489"/>
        <v>R</v>
      </c>
      <c r="K260" s="28">
        <v>14.0</v>
      </c>
      <c r="L260" s="26" t="str">
        <f t="shared" si="490"/>
        <v>R</v>
      </c>
      <c r="M260" s="28">
        <v>20.0</v>
      </c>
      <c r="N260" s="26" t="str">
        <f t="shared" si="491"/>
        <v>R</v>
      </c>
      <c r="O260" s="28">
        <v>18.0</v>
      </c>
      <c r="P260" s="26" t="str">
        <f t="shared" si="492"/>
        <v>R</v>
      </c>
      <c r="Q260" s="28">
        <v>6.0</v>
      </c>
      <c r="R260" s="26" t="str">
        <f t="shared" si="493"/>
        <v>R</v>
      </c>
      <c r="S260" s="28">
        <v>19.0</v>
      </c>
      <c r="T260" s="26" t="str">
        <f t="shared" si="494"/>
        <v>R</v>
      </c>
      <c r="U260" s="28">
        <v>9.0</v>
      </c>
      <c r="V260" s="26" t="str">
        <f t="shared" si="495"/>
        <v>R</v>
      </c>
      <c r="W260" s="32" t="s">
        <v>299</v>
      </c>
      <c r="X260" s="65">
        <v>12.0</v>
      </c>
      <c r="Y260" s="33" t="str">
        <f t="shared" si="496"/>
        <v>R</v>
      </c>
      <c r="Z260" s="65">
        <v>12.0</v>
      </c>
      <c r="AA260" s="33" t="str">
        <f t="shared" si="497"/>
        <v>R</v>
      </c>
      <c r="AB260" s="65">
        <v>9.0</v>
      </c>
      <c r="AC260" s="33" t="str">
        <f t="shared" si="498"/>
        <v>R</v>
      </c>
      <c r="AD260" s="65">
        <v>16.0</v>
      </c>
      <c r="AE260" s="33" t="str">
        <f t="shared" si="499"/>
        <v>S</v>
      </c>
      <c r="AF260" s="65">
        <v>14.0</v>
      </c>
      <c r="AG260" s="33" t="str">
        <f t="shared" si="500"/>
        <v>R</v>
      </c>
      <c r="AH260" s="65" t="s">
        <v>299</v>
      </c>
      <c r="AI260" s="66">
        <v>19.0</v>
      </c>
      <c r="AJ260" s="36" t="str">
        <f t="shared" si="501"/>
        <v>R</v>
      </c>
      <c r="AK260" s="66">
        <v>19.0</v>
      </c>
      <c r="AL260" s="36" t="str">
        <f t="shared" si="502"/>
        <v>I</v>
      </c>
      <c r="AM260" s="66">
        <v>18.0</v>
      </c>
      <c r="AN260" s="36" t="str">
        <f t="shared" si="503"/>
        <v>S</v>
      </c>
      <c r="AO260" s="66" t="s">
        <v>299</v>
      </c>
      <c r="AP260" s="67">
        <v>11.0</v>
      </c>
      <c r="AQ260" s="37" t="str">
        <f t="shared" si="504"/>
        <v>I</v>
      </c>
      <c r="AR260" s="65">
        <v>17.0</v>
      </c>
      <c r="AS260" s="33" t="str">
        <f t="shared" si="505"/>
        <v>R</v>
      </c>
      <c r="AT260" s="65">
        <v>16.0</v>
      </c>
      <c r="AU260" s="33" t="str">
        <f t="shared" si="506"/>
        <v>S</v>
      </c>
      <c r="AV260" s="65" t="s">
        <v>299</v>
      </c>
      <c r="AW260" s="28">
        <v>19.0</v>
      </c>
      <c r="AX260" s="26" t="str">
        <f t="shared" si="507"/>
        <v>R</v>
      </c>
      <c r="AY260" s="67">
        <v>10.0</v>
      </c>
      <c r="AZ260" s="37" t="str">
        <f t="shared" si="508"/>
        <v>R</v>
      </c>
      <c r="BA260" s="66">
        <v>20.0</v>
      </c>
      <c r="BB260" s="36" t="str">
        <f t="shared" si="509"/>
        <v>R</v>
      </c>
      <c r="BC260" s="39" t="s">
        <v>357</v>
      </c>
      <c r="BD260" s="39" t="s">
        <v>357</v>
      </c>
      <c r="BE260" s="66">
        <v>20.0</v>
      </c>
      <c r="BF260" s="36" t="str">
        <f t="shared" si="510"/>
        <v>I</v>
      </c>
      <c r="BG260" s="68">
        <v>19.0</v>
      </c>
      <c r="BH260" s="41" t="str">
        <f t="shared" si="511"/>
        <v>S</v>
      </c>
      <c r="BI260" s="41"/>
    </row>
    <row r="261">
      <c r="A261" s="51" t="s">
        <v>866</v>
      </c>
      <c r="B261" s="53">
        <v>144.0</v>
      </c>
      <c r="C261" s="51" t="s">
        <v>1521</v>
      </c>
      <c r="D261" s="62" t="s">
        <v>571</v>
      </c>
      <c r="E261" s="18" t="s">
        <v>572</v>
      </c>
      <c r="F261" s="18" t="s">
        <v>192</v>
      </c>
      <c r="G261" s="63" t="s">
        <v>1522</v>
      </c>
      <c r="H261" s="22" t="s">
        <v>198</v>
      </c>
      <c r="I261" s="28">
        <v>6.0</v>
      </c>
      <c r="J261" s="26" t="str">
        <f t="shared" si="489"/>
        <v>R</v>
      </c>
      <c r="K261" s="28">
        <v>18.0</v>
      </c>
      <c r="L261" s="26" t="str">
        <f t="shared" si="490"/>
        <v>R</v>
      </c>
      <c r="M261" s="28">
        <v>6.0</v>
      </c>
      <c r="N261" s="26" t="str">
        <f t="shared" si="491"/>
        <v>R</v>
      </c>
      <c r="O261" s="28">
        <v>15.0</v>
      </c>
      <c r="P261" s="26" t="str">
        <f t="shared" si="492"/>
        <v>R</v>
      </c>
      <c r="Q261" s="28">
        <v>6.0</v>
      </c>
      <c r="R261" s="26" t="str">
        <f t="shared" si="493"/>
        <v>R</v>
      </c>
      <c r="S261" s="28">
        <v>16.0</v>
      </c>
      <c r="T261" s="26" t="str">
        <f t="shared" si="494"/>
        <v>R</v>
      </c>
      <c r="U261" s="28">
        <v>15.0</v>
      </c>
      <c r="V261" s="26" t="str">
        <f t="shared" si="495"/>
        <v>R</v>
      </c>
      <c r="W261" s="32" t="s">
        <v>299</v>
      </c>
      <c r="X261" s="65">
        <v>6.0</v>
      </c>
      <c r="Y261" s="33" t="str">
        <f t="shared" si="496"/>
        <v>R</v>
      </c>
      <c r="Z261" s="65">
        <v>21.0</v>
      </c>
      <c r="AA261" s="33" t="str">
        <f t="shared" si="497"/>
        <v>S</v>
      </c>
      <c r="AB261" s="65">
        <v>6.0</v>
      </c>
      <c r="AC261" s="33" t="str">
        <f t="shared" si="498"/>
        <v>R</v>
      </c>
      <c r="AD261" s="65">
        <v>6.0</v>
      </c>
      <c r="AE261" s="33" t="str">
        <f t="shared" si="499"/>
        <v>R</v>
      </c>
      <c r="AF261" s="65">
        <v>11.0</v>
      </c>
      <c r="AG261" s="33" t="str">
        <f t="shared" si="500"/>
        <v>R</v>
      </c>
      <c r="AH261" s="65" t="s">
        <v>299</v>
      </c>
      <c r="AI261" s="66">
        <v>6.0</v>
      </c>
      <c r="AJ261" s="36" t="str">
        <f t="shared" si="501"/>
        <v>R</v>
      </c>
      <c r="AK261" s="66">
        <v>6.0</v>
      </c>
      <c r="AL261" s="36" t="str">
        <f t="shared" si="502"/>
        <v>R</v>
      </c>
      <c r="AM261" s="66">
        <v>6.0</v>
      </c>
      <c r="AN261" s="36" t="str">
        <f t="shared" si="503"/>
        <v>R</v>
      </c>
      <c r="AO261" s="66" t="s">
        <v>299</v>
      </c>
      <c r="AP261" s="67">
        <v>6.0</v>
      </c>
      <c r="AQ261" s="37" t="str">
        <f t="shared" si="504"/>
        <v>R</v>
      </c>
      <c r="AR261" s="65">
        <v>16.0</v>
      </c>
      <c r="AS261" s="33" t="str">
        <f t="shared" si="505"/>
        <v>R</v>
      </c>
      <c r="AT261" s="65">
        <v>13.0</v>
      </c>
      <c r="AU261" s="33" t="str">
        <f t="shared" si="506"/>
        <v>R</v>
      </c>
      <c r="AV261" s="65" t="s">
        <v>299</v>
      </c>
      <c r="AW261" s="28">
        <v>6.0</v>
      </c>
      <c r="AX261" s="26" t="str">
        <f t="shared" si="507"/>
        <v>R</v>
      </c>
      <c r="AY261" s="67">
        <v>13.0</v>
      </c>
      <c r="AZ261" s="37" t="str">
        <f t="shared" si="508"/>
        <v>R</v>
      </c>
      <c r="BA261" s="66">
        <v>22.0</v>
      </c>
      <c r="BB261" s="36" t="str">
        <f t="shared" si="509"/>
        <v>R</v>
      </c>
      <c r="BC261" s="39" t="s">
        <v>357</v>
      </c>
      <c r="BD261" s="39" t="s">
        <v>357</v>
      </c>
      <c r="BE261" s="66">
        <v>23.0</v>
      </c>
      <c r="BF261" s="36" t="str">
        <f t="shared" si="510"/>
        <v>S</v>
      </c>
      <c r="BG261" s="68">
        <v>17.0</v>
      </c>
      <c r="BH261" s="41" t="str">
        <f t="shared" si="511"/>
        <v>S</v>
      </c>
      <c r="BI261" s="41"/>
    </row>
    <row r="262">
      <c r="A262" s="51" t="s">
        <v>866</v>
      </c>
      <c r="B262" s="51" t="s">
        <v>444</v>
      </c>
      <c r="C262" s="51" t="s">
        <v>1523</v>
      </c>
      <c r="D262" s="62" t="s">
        <v>571</v>
      </c>
      <c r="E262" s="18" t="s">
        <v>572</v>
      </c>
      <c r="F262" s="18" t="s">
        <v>192</v>
      </c>
      <c r="G262" s="63" t="s">
        <v>1524</v>
      </c>
      <c r="H262" s="22" t="s">
        <v>198</v>
      </c>
      <c r="I262" s="28">
        <v>6.0</v>
      </c>
      <c r="J262" s="26" t="str">
        <f t="shared" si="489"/>
        <v>R</v>
      </c>
      <c r="K262" s="28">
        <v>18.0</v>
      </c>
      <c r="L262" s="26" t="str">
        <f t="shared" si="490"/>
        <v>R</v>
      </c>
      <c r="M262" s="28">
        <v>6.0</v>
      </c>
      <c r="N262" s="26" t="str">
        <f t="shared" si="491"/>
        <v>R</v>
      </c>
      <c r="O262" s="28">
        <v>15.0</v>
      </c>
      <c r="P262" s="26" t="str">
        <f t="shared" si="492"/>
        <v>R</v>
      </c>
      <c r="Q262" s="28">
        <v>6.0</v>
      </c>
      <c r="R262" s="26" t="str">
        <f t="shared" si="493"/>
        <v>R</v>
      </c>
      <c r="S262" s="28">
        <v>14.0</v>
      </c>
      <c r="T262" s="26" t="str">
        <f t="shared" si="494"/>
        <v>R</v>
      </c>
      <c r="U262" s="28">
        <v>15.0</v>
      </c>
      <c r="V262" s="26" t="str">
        <f t="shared" si="495"/>
        <v>R</v>
      </c>
      <c r="W262" s="32" t="s">
        <v>299</v>
      </c>
      <c r="X262" s="65">
        <v>6.0</v>
      </c>
      <c r="Y262" s="33" t="str">
        <f t="shared" si="496"/>
        <v>R</v>
      </c>
      <c r="Z262" s="65">
        <v>21.0</v>
      </c>
      <c r="AA262" s="33" t="str">
        <f t="shared" si="497"/>
        <v>S</v>
      </c>
      <c r="AB262" s="65">
        <v>6.0</v>
      </c>
      <c r="AC262" s="33" t="str">
        <f t="shared" si="498"/>
        <v>R</v>
      </c>
      <c r="AD262" s="65">
        <v>6.0</v>
      </c>
      <c r="AE262" s="33" t="str">
        <f t="shared" si="499"/>
        <v>R</v>
      </c>
      <c r="AF262" s="65">
        <v>11.0</v>
      </c>
      <c r="AG262" s="33" t="str">
        <f t="shared" si="500"/>
        <v>R</v>
      </c>
      <c r="AH262" s="65" t="s">
        <v>299</v>
      </c>
      <c r="AI262" s="66">
        <v>6.0</v>
      </c>
      <c r="AJ262" s="36" t="str">
        <f t="shared" si="501"/>
        <v>R</v>
      </c>
      <c r="AK262" s="66">
        <v>6.0</v>
      </c>
      <c r="AL262" s="36" t="str">
        <f t="shared" si="502"/>
        <v>R</v>
      </c>
      <c r="AM262" s="66">
        <v>6.0</v>
      </c>
      <c r="AN262" s="36" t="str">
        <f t="shared" si="503"/>
        <v>R</v>
      </c>
      <c r="AO262" s="66" t="s">
        <v>299</v>
      </c>
      <c r="AP262" s="67">
        <v>6.0</v>
      </c>
      <c r="AQ262" s="37" t="str">
        <f t="shared" si="504"/>
        <v>R</v>
      </c>
      <c r="AR262" s="65">
        <v>16.0</v>
      </c>
      <c r="AS262" s="33" t="str">
        <f t="shared" si="505"/>
        <v>R</v>
      </c>
      <c r="AT262" s="65">
        <v>11.0</v>
      </c>
      <c r="AU262" s="33" t="str">
        <f t="shared" si="506"/>
        <v>R</v>
      </c>
      <c r="AV262" s="65" t="s">
        <v>299</v>
      </c>
      <c r="AW262" s="28">
        <v>9.0</v>
      </c>
      <c r="AX262" s="26" t="str">
        <f t="shared" si="507"/>
        <v>R</v>
      </c>
      <c r="AY262" s="67">
        <v>13.0</v>
      </c>
      <c r="AZ262" s="37" t="str">
        <f t="shared" si="508"/>
        <v>R</v>
      </c>
      <c r="BA262" s="66">
        <v>22.0</v>
      </c>
      <c r="BB262" s="36" t="str">
        <f t="shared" si="509"/>
        <v>R</v>
      </c>
      <c r="BC262" s="39" t="s">
        <v>357</v>
      </c>
      <c r="BD262" s="39" t="s">
        <v>357</v>
      </c>
      <c r="BE262" s="66">
        <v>23.0</v>
      </c>
      <c r="BF262" s="36" t="str">
        <f t="shared" si="510"/>
        <v>S</v>
      </c>
      <c r="BG262" s="68">
        <v>17.0</v>
      </c>
      <c r="BH262" s="41" t="str">
        <f t="shared" si="511"/>
        <v>S</v>
      </c>
      <c r="BI262" s="41"/>
    </row>
    <row r="263">
      <c r="A263" s="51" t="s">
        <v>866</v>
      </c>
      <c r="B263" s="51" t="s">
        <v>444</v>
      </c>
      <c r="C263" s="51" t="s">
        <v>1525</v>
      </c>
      <c r="D263" s="62" t="s">
        <v>571</v>
      </c>
      <c r="E263" s="18" t="s">
        <v>572</v>
      </c>
      <c r="F263" s="18" t="s">
        <v>192</v>
      </c>
      <c r="G263" s="63" t="s">
        <v>1526</v>
      </c>
      <c r="H263" s="22" t="s">
        <v>198</v>
      </c>
      <c r="I263" s="28">
        <v>6.0</v>
      </c>
      <c r="J263" s="26" t="str">
        <f t="shared" si="489"/>
        <v>R</v>
      </c>
      <c r="K263" s="28">
        <v>18.0</v>
      </c>
      <c r="L263" s="26" t="str">
        <f t="shared" si="490"/>
        <v>R</v>
      </c>
      <c r="M263" s="28">
        <v>6.0</v>
      </c>
      <c r="N263" s="26" t="str">
        <f t="shared" si="491"/>
        <v>R</v>
      </c>
      <c r="O263" s="28">
        <v>15.0</v>
      </c>
      <c r="P263" s="26" t="str">
        <f t="shared" si="492"/>
        <v>R</v>
      </c>
      <c r="Q263" s="28">
        <v>6.0</v>
      </c>
      <c r="R263" s="26" t="str">
        <f t="shared" si="493"/>
        <v>R</v>
      </c>
      <c r="S263" s="28">
        <v>16.0</v>
      </c>
      <c r="T263" s="26" t="str">
        <f t="shared" si="494"/>
        <v>R</v>
      </c>
      <c r="U263" s="28">
        <v>15.0</v>
      </c>
      <c r="V263" s="26" t="str">
        <f t="shared" si="495"/>
        <v>R</v>
      </c>
      <c r="W263" s="32" t="s">
        <v>299</v>
      </c>
      <c r="X263" s="65">
        <v>6.0</v>
      </c>
      <c r="Y263" s="33" t="str">
        <f t="shared" si="496"/>
        <v>R</v>
      </c>
      <c r="Z263" s="65">
        <v>21.0</v>
      </c>
      <c r="AA263" s="33" t="str">
        <f t="shared" si="497"/>
        <v>S</v>
      </c>
      <c r="AB263" s="65">
        <v>6.0</v>
      </c>
      <c r="AC263" s="33" t="str">
        <f t="shared" si="498"/>
        <v>R</v>
      </c>
      <c r="AD263" s="65">
        <v>9.0</v>
      </c>
      <c r="AE263" s="33" t="str">
        <f t="shared" si="499"/>
        <v>R</v>
      </c>
      <c r="AF263" s="65">
        <v>11.0</v>
      </c>
      <c r="AG263" s="33" t="str">
        <f t="shared" si="500"/>
        <v>R</v>
      </c>
      <c r="AH263" s="65" t="s">
        <v>299</v>
      </c>
      <c r="AI263" s="66">
        <v>6.0</v>
      </c>
      <c r="AJ263" s="36" t="str">
        <f t="shared" si="501"/>
        <v>R</v>
      </c>
      <c r="AK263" s="66">
        <v>6.0</v>
      </c>
      <c r="AL263" s="36" t="str">
        <f t="shared" si="502"/>
        <v>R</v>
      </c>
      <c r="AM263" s="66">
        <v>6.0</v>
      </c>
      <c r="AN263" s="36" t="str">
        <f t="shared" si="503"/>
        <v>R</v>
      </c>
      <c r="AO263" s="66" t="s">
        <v>299</v>
      </c>
      <c r="AP263" s="67">
        <v>6.0</v>
      </c>
      <c r="AQ263" s="37" t="str">
        <f t="shared" si="504"/>
        <v>R</v>
      </c>
      <c r="AR263" s="65">
        <v>16.0</v>
      </c>
      <c r="AS263" s="33" t="str">
        <f t="shared" si="505"/>
        <v>R</v>
      </c>
      <c r="AT263" s="65">
        <v>13.0</v>
      </c>
      <c r="AU263" s="33" t="str">
        <f t="shared" si="506"/>
        <v>R</v>
      </c>
      <c r="AV263" s="65" t="s">
        <v>299</v>
      </c>
      <c r="AW263" s="28">
        <v>9.0</v>
      </c>
      <c r="AX263" s="26" t="str">
        <f t="shared" si="507"/>
        <v>R</v>
      </c>
      <c r="AY263" s="67">
        <v>13.0</v>
      </c>
      <c r="AZ263" s="37" t="str">
        <f t="shared" si="508"/>
        <v>R</v>
      </c>
      <c r="BA263" s="66">
        <v>22.0</v>
      </c>
      <c r="BB263" s="36" t="str">
        <f t="shared" si="509"/>
        <v>R</v>
      </c>
      <c r="BC263" s="39" t="s">
        <v>357</v>
      </c>
      <c r="BD263" s="39" t="s">
        <v>357</v>
      </c>
      <c r="BE263" s="66">
        <v>23.0</v>
      </c>
      <c r="BF263" s="36" t="str">
        <f t="shared" si="510"/>
        <v>S</v>
      </c>
      <c r="BG263" s="68">
        <v>17.0</v>
      </c>
      <c r="BH263" s="41" t="str">
        <f t="shared" si="511"/>
        <v>S</v>
      </c>
      <c r="BI263" s="41"/>
    </row>
    <row r="264">
      <c r="A264" s="51" t="s">
        <v>866</v>
      </c>
      <c r="B264" s="53">
        <v>145.0</v>
      </c>
      <c r="C264" s="51" t="s">
        <v>1527</v>
      </c>
      <c r="D264" s="69" t="s">
        <v>1009</v>
      </c>
      <c r="E264" s="18" t="s">
        <v>103</v>
      </c>
      <c r="F264" s="18" t="s">
        <v>192</v>
      </c>
      <c r="G264" s="63" t="s">
        <v>1528</v>
      </c>
      <c r="H264" s="22" t="s">
        <v>198</v>
      </c>
      <c r="I264" s="28">
        <v>19.0</v>
      </c>
      <c r="J264" s="26" t="str">
        <f t="shared" si="489"/>
        <v>S</v>
      </c>
      <c r="K264" s="28">
        <v>18.0</v>
      </c>
      <c r="L264" s="26" t="str">
        <f t="shared" si="490"/>
        <v>R</v>
      </c>
      <c r="M264" s="28">
        <v>30.0</v>
      </c>
      <c r="N264" s="26" t="str">
        <f t="shared" si="491"/>
        <v>S</v>
      </c>
      <c r="O264" s="28">
        <v>24.0</v>
      </c>
      <c r="P264" s="26" t="str">
        <f t="shared" si="492"/>
        <v>S</v>
      </c>
      <c r="Q264" s="28">
        <v>18.0</v>
      </c>
      <c r="R264" s="26" t="str">
        <f t="shared" si="493"/>
        <v>R</v>
      </c>
      <c r="S264" s="28">
        <v>18.0</v>
      </c>
      <c r="T264" s="26" t="str">
        <f t="shared" si="494"/>
        <v>R</v>
      </c>
      <c r="U264" s="28">
        <v>19.0</v>
      </c>
      <c r="V264" s="26" t="str">
        <f t="shared" si="495"/>
        <v>I</v>
      </c>
      <c r="W264" s="32" t="s">
        <v>299</v>
      </c>
      <c r="X264" s="65">
        <v>27.0</v>
      </c>
      <c r="Y264" s="33" t="str">
        <f t="shared" si="496"/>
        <v>S</v>
      </c>
      <c r="Z264" s="65">
        <v>20.0</v>
      </c>
      <c r="AA264" s="33" t="str">
        <f t="shared" si="497"/>
        <v>S</v>
      </c>
      <c r="AB264" s="65">
        <v>18.0</v>
      </c>
      <c r="AC264" s="33" t="str">
        <f t="shared" si="498"/>
        <v>R</v>
      </c>
      <c r="AD264" s="65">
        <v>26.0</v>
      </c>
      <c r="AE264" s="33" t="str">
        <f t="shared" si="499"/>
        <v>S</v>
      </c>
      <c r="AF264" s="65">
        <v>19.0</v>
      </c>
      <c r="AG264" s="33" t="str">
        <f t="shared" si="500"/>
        <v>R</v>
      </c>
      <c r="AH264" s="65" t="s">
        <v>299</v>
      </c>
      <c r="AI264" s="66">
        <v>23.0</v>
      </c>
      <c r="AJ264" s="36" t="str">
        <f t="shared" si="501"/>
        <v>I</v>
      </c>
      <c r="AK264" s="66">
        <v>21.0</v>
      </c>
      <c r="AL264" s="36" t="str">
        <f t="shared" si="502"/>
        <v>I</v>
      </c>
      <c r="AM264" s="66">
        <v>6.0</v>
      </c>
      <c r="AN264" s="36" t="str">
        <f t="shared" si="503"/>
        <v>R</v>
      </c>
      <c r="AO264" s="66" t="s">
        <v>299</v>
      </c>
      <c r="AP264" s="67">
        <v>6.0</v>
      </c>
      <c r="AQ264" s="37" t="str">
        <f t="shared" si="504"/>
        <v>R</v>
      </c>
      <c r="AR264" s="65">
        <v>23.0</v>
      </c>
      <c r="AS264" s="33" t="str">
        <f t="shared" si="505"/>
        <v>S</v>
      </c>
      <c r="AT264" s="65">
        <v>18.0</v>
      </c>
      <c r="AU264" s="33" t="str">
        <f t="shared" si="506"/>
        <v>S</v>
      </c>
      <c r="AV264" s="33" t="s">
        <v>300</v>
      </c>
      <c r="AW264" s="28">
        <v>22.0</v>
      </c>
      <c r="AX264" s="26" t="str">
        <f t="shared" si="507"/>
        <v>S</v>
      </c>
      <c r="AY264" s="67">
        <v>6.0</v>
      </c>
      <c r="AZ264" s="37" t="str">
        <f t="shared" si="508"/>
        <v>R</v>
      </c>
      <c r="BA264" s="66">
        <v>30.0</v>
      </c>
      <c r="BB264" s="36" t="str">
        <f t="shared" si="509"/>
        <v>S</v>
      </c>
      <c r="BC264" s="39" t="s">
        <v>357</v>
      </c>
      <c r="BD264" s="39" t="s">
        <v>357</v>
      </c>
      <c r="BE264" s="66">
        <v>28.0</v>
      </c>
      <c r="BF264" s="36" t="str">
        <f t="shared" si="510"/>
        <v>S</v>
      </c>
      <c r="BG264" s="68">
        <v>19.0</v>
      </c>
      <c r="BH264" s="41" t="str">
        <f t="shared" si="511"/>
        <v>S</v>
      </c>
      <c r="BI264" s="41"/>
    </row>
    <row r="265">
      <c r="A265" s="51" t="s">
        <v>866</v>
      </c>
      <c r="B265" s="51" t="s">
        <v>444</v>
      </c>
      <c r="C265" s="51" t="s">
        <v>1529</v>
      </c>
      <c r="D265" s="69" t="s">
        <v>1009</v>
      </c>
      <c r="E265" s="18" t="s">
        <v>103</v>
      </c>
      <c r="F265" s="18" t="s">
        <v>192</v>
      </c>
      <c r="G265" s="63" t="s">
        <v>1530</v>
      </c>
      <c r="H265" s="22" t="s">
        <v>198</v>
      </c>
      <c r="I265" s="28">
        <v>19.0</v>
      </c>
      <c r="J265" s="26" t="str">
        <f t="shared" si="489"/>
        <v>S</v>
      </c>
      <c r="K265" s="28">
        <v>18.0</v>
      </c>
      <c r="L265" s="26" t="str">
        <f t="shared" si="490"/>
        <v>R</v>
      </c>
      <c r="M265" s="28">
        <v>30.0</v>
      </c>
      <c r="N265" s="26" t="str">
        <f t="shared" si="491"/>
        <v>S</v>
      </c>
      <c r="O265" s="28">
        <v>24.0</v>
      </c>
      <c r="P265" s="26" t="str">
        <f t="shared" si="492"/>
        <v>S</v>
      </c>
      <c r="Q265" s="28">
        <v>18.0</v>
      </c>
      <c r="R265" s="26" t="str">
        <f t="shared" si="493"/>
        <v>R</v>
      </c>
      <c r="S265" s="28">
        <v>18.0</v>
      </c>
      <c r="T265" s="26" t="str">
        <f t="shared" si="494"/>
        <v>R</v>
      </c>
      <c r="U265" s="28">
        <v>19.0</v>
      </c>
      <c r="V265" s="26" t="str">
        <f t="shared" si="495"/>
        <v>I</v>
      </c>
      <c r="W265" s="32" t="s">
        <v>299</v>
      </c>
      <c r="X265" s="65">
        <v>27.0</v>
      </c>
      <c r="Y265" s="33" t="str">
        <f t="shared" si="496"/>
        <v>S</v>
      </c>
      <c r="Z265" s="65">
        <v>20.0</v>
      </c>
      <c r="AA265" s="33" t="str">
        <f t="shared" si="497"/>
        <v>S</v>
      </c>
      <c r="AB265" s="65">
        <v>18.0</v>
      </c>
      <c r="AC265" s="33" t="str">
        <f t="shared" si="498"/>
        <v>R</v>
      </c>
      <c r="AD265" s="65">
        <v>26.0</v>
      </c>
      <c r="AE265" s="33" t="str">
        <f t="shared" si="499"/>
        <v>S</v>
      </c>
      <c r="AF265" s="65">
        <v>19.0</v>
      </c>
      <c r="AG265" s="33" t="str">
        <f t="shared" si="500"/>
        <v>R</v>
      </c>
      <c r="AH265" s="65" t="s">
        <v>299</v>
      </c>
      <c r="AI265" s="66">
        <v>23.0</v>
      </c>
      <c r="AJ265" s="36" t="str">
        <f t="shared" si="501"/>
        <v>I</v>
      </c>
      <c r="AK265" s="66">
        <v>21.0</v>
      </c>
      <c r="AL265" s="36" t="str">
        <f t="shared" si="502"/>
        <v>I</v>
      </c>
      <c r="AM265" s="66">
        <v>6.0</v>
      </c>
      <c r="AN265" s="36" t="str">
        <f t="shared" si="503"/>
        <v>R</v>
      </c>
      <c r="AO265" s="66" t="s">
        <v>299</v>
      </c>
      <c r="AP265" s="67">
        <v>6.0</v>
      </c>
      <c r="AQ265" s="37" t="str">
        <f t="shared" si="504"/>
        <v>R</v>
      </c>
      <c r="AR265" s="65">
        <v>23.0</v>
      </c>
      <c r="AS265" s="33" t="str">
        <f t="shared" si="505"/>
        <v>S</v>
      </c>
      <c r="AT265" s="65">
        <v>18.0</v>
      </c>
      <c r="AU265" s="33" t="str">
        <f t="shared" si="506"/>
        <v>S</v>
      </c>
      <c r="AV265" s="33" t="s">
        <v>300</v>
      </c>
      <c r="AW265" s="28">
        <v>22.0</v>
      </c>
      <c r="AX265" s="26" t="str">
        <f t="shared" si="507"/>
        <v>S</v>
      </c>
      <c r="AY265" s="67">
        <v>6.0</v>
      </c>
      <c r="AZ265" s="37" t="str">
        <f t="shared" si="508"/>
        <v>R</v>
      </c>
      <c r="BA265" s="66">
        <v>30.0</v>
      </c>
      <c r="BB265" s="36" t="str">
        <f t="shared" si="509"/>
        <v>S</v>
      </c>
      <c r="BC265" s="39" t="s">
        <v>357</v>
      </c>
      <c r="BD265" s="39" t="s">
        <v>357</v>
      </c>
      <c r="BE265" s="66">
        <v>28.0</v>
      </c>
      <c r="BF265" s="36" t="str">
        <f t="shared" si="510"/>
        <v>S</v>
      </c>
      <c r="BG265" s="68">
        <v>19.0</v>
      </c>
      <c r="BH265" s="41" t="str">
        <f t="shared" si="511"/>
        <v>S</v>
      </c>
      <c r="BI265" s="41"/>
    </row>
    <row r="266">
      <c r="A266" s="51" t="s">
        <v>866</v>
      </c>
      <c r="B266" s="51" t="s">
        <v>444</v>
      </c>
      <c r="C266" s="51" t="s">
        <v>1531</v>
      </c>
      <c r="D266" s="69" t="s">
        <v>1009</v>
      </c>
      <c r="E266" s="18" t="s">
        <v>103</v>
      </c>
      <c r="F266" s="18" t="s">
        <v>192</v>
      </c>
      <c r="G266" s="63" t="s">
        <v>1532</v>
      </c>
      <c r="H266" s="22" t="s">
        <v>198</v>
      </c>
      <c r="I266" s="28">
        <v>19.0</v>
      </c>
      <c r="J266" s="26" t="str">
        <f t="shared" si="489"/>
        <v>S</v>
      </c>
      <c r="K266" s="28">
        <v>18.0</v>
      </c>
      <c r="L266" s="26" t="str">
        <f t="shared" si="490"/>
        <v>R</v>
      </c>
      <c r="M266" s="28">
        <v>30.0</v>
      </c>
      <c r="N266" s="26" t="str">
        <f t="shared" si="491"/>
        <v>S</v>
      </c>
      <c r="O266" s="28">
        <v>24.0</v>
      </c>
      <c r="P266" s="26" t="str">
        <f t="shared" si="492"/>
        <v>S</v>
      </c>
      <c r="Q266" s="28">
        <v>18.0</v>
      </c>
      <c r="R266" s="26" t="str">
        <f t="shared" si="493"/>
        <v>R</v>
      </c>
      <c r="S266" s="28">
        <v>18.0</v>
      </c>
      <c r="T266" s="26" t="str">
        <f t="shared" si="494"/>
        <v>R</v>
      </c>
      <c r="U266" s="28">
        <v>19.0</v>
      </c>
      <c r="V266" s="26" t="str">
        <f t="shared" si="495"/>
        <v>I</v>
      </c>
      <c r="W266" s="32" t="s">
        <v>299</v>
      </c>
      <c r="X266" s="65">
        <v>27.0</v>
      </c>
      <c r="Y266" s="33" t="str">
        <f t="shared" si="496"/>
        <v>S</v>
      </c>
      <c r="Z266" s="65">
        <v>20.0</v>
      </c>
      <c r="AA266" s="33" t="str">
        <f t="shared" si="497"/>
        <v>S</v>
      </c>
      <c r="AB266" s="65">
        <v>18.0</v>
      </c>
      <c r="AC266" s="33" t="str">
        <f t="shared" si="498"/>
        <v>R</v>
      </c>
      <c r="AD266" s="65">
        <v>26.0</v>
      </c>
      <c r="AE266" s="33" t="str">
        <f t="shared" si="499"/>
        <v>S</v>
      </c>
      <c r="AF266" s="65">
        <v>19.0</v>
      </c>
      <c r="AG266" s="33" t="str">
        <f t="shared" si="500"/>
        <v>R</v>
      </c>
      <c r="AH266" s="65" t="s">
        <v>299</v>
      </c>
      <c r="AI266" s="66">
        <v>23.0</v>
      </c>
      <c r="AJ266" s="36" t="str">
        <f t="shared" si="501"/>
        <v>I</v>
      </c>
      <c r="AK266" s="66">
        <v>21.0</v>
      </c>
      <c r="AL266" s="36" t="str">
        <f t="shared" si="502"/>
        <v>I</v>
      </c>
      <c r="AM266" s="66">
        <v>6.0</v>
      </c>
      <c r="AN266" s="36" t="str">
        <f t="shared" si="503"/>
        <v>R</v>
      </c>
      <c r="AO266" s="66" t="s">
        <v>299</v>
      </c>
      <c r="AP266" s="67">
        <v>6.0</v>
      </c>
      <c r="AQ266" s="37" t="str">
        <f t="shared" si="504"/>
        <v>R</v>
      </c>
      <c r="AR266" s="65">
        <v>23.0</v>
      </c>
      <c r="AS266" s="33" t="str">
        <f t="shared" si="505"/>
        <v>S</v>
      </c>
      <c r="AT266" s="65">
        <v>18.0</v>
      </c>
      <c r="AU266" s="33" t="str">
        <f t="shared" si="506"/>
        <v>S</v>
      </c>
      <c r="AV266" s="33" t="s">
        <v>300</v>
      </c>
      <c r="AW266" s="28">
        <v>22.0</v>
      </c>
      <c r="AX266" s="26" t="str">
        <f t="shared" si="507"/>
        <v>S</v>
      </c>
      <c r="AY266" s="67">
        <v>6.0</v>
      </c>
      <c r="AZ266" s="37" t="str">
        <f t="shared" si="508"/>
        <v>R</v>
      </c>
      <c r="BA266" s="66">
        <v>30.0</v>
      </c>
      <c r="BB266" s="36" t="str">
        <f t="shared" si="509"/>
        <v>S</v>
      </c>
      <c r="BC266" s="39" t="s">
        <v>357</v>
      </c>
      <c r="BD266" s="39" t="s">
        <v>357</v>
      </c>
      <c r="BE266" s="66">
        <v>28.0</v>
      </c>
      <c r="BF266" s="36" t="str">
        <f t="shared" si="510"/>
        <v>S</v>
      </c>
      <c r="BG266" s="68">
        <v>19.0</v>
      </c>
      <c r="BH266" s="41" t="str">
        <f t="shared" si="511"/>
        <v>S</v>
      </c>
      <c r="BI266" s="41"/>
    </row>
    <row r="267">
      <c r="A267" s="21" t="s">
        <v>869</v>
      </c>
      <c r="B267" s="23">
        <v>146.0</v>
      </c>
      <c r="C267" s="21" t="s">
        <v>1533</v>
      </c>
      <c r="D267" s="69" t="s">
        <v>190</v>
      </c>
      <c r="E267" s="18" t="s">
        <v>190</v>
      </c>
      <c r="F267" s="18" t="s">
        <v>192</v>
      </c>
      <c r="G267" s="63" t="s">
        <v>1534</v>
      </c>
      <c r="H267" s="72" t="s">
        <v>1163</v>
      </c>
      <c r="I267" s="28">
        <v>18.0</v>
      </c>
      <c r="J267" s="26" t="str">
        <f t="shared" si="489"/>
        <v>R</v>
      </c>
      <c r="K267" s="28">
        <v>6.0</v>
      </c>
      <c r="L267" s="26" t="str">
        <f t="shared" si="490"/>
        <v>R</v>
      </c>
      <c r="M267" s="28">
        <v>22.0</v>
      </c>
      <c r="N267" s="26" t="str">
        <f t="shared" si="491"/>
        <v>R</v>
      </c>
      <c r="O267" s="28">
        <v>21.0</v>
      </c>
      <c r="P267" s="26" t="str">
        <f t="shared" si="492"/>
        <v>I</v>
      </c>
      <c r="Q267" s="28">
        <v>16.0</v>
      </c>
      <c r="R267" s="26" t="str">
        <f t="shared" si="493"/>
        <v>R</v>
      </c>
      <c r="S267" s="28">
        <v>22.0</v>
      </c>
      <c r="T267" s="26" t="str">
        <f t="shared" si="494"/>
        <v>S</v>
      </c>
      <c r="U267" s="28">
        <v>11.0</v>
      </c>
      <c r="V267" s="26" t="str">
        <f t="shared" si="495"/>
        <v>R</v>
      </c>
      <c r="W267" s="32" t="s">
        <v>299</v>
      </c>
      <c r="X267" s="65">
        <v>27.0</v>
      </c>
      <c r="Y267" s="33" t="str">
        <f t="shared" si="496"/>
        <v>S</v>
      </c>
      <c r="Z267" s="65">
        <v>21.0</v>
      </c>
      <c r="AA267" s="33" t="str">
        <f t="shared" si="497"/>
        <v>S</v>
      </c>
      <c r="AB267" s="65">
        <v>18.0</v>
      </c>
      <c r="AC267" s="33" t="str">
        <f t="shared" si="498"/>
        <v>R</v>
      </c>
      <c r="AD267" s="65">
        <v>25.0</v>
      </c>
      <c r="AE267" s="33" t="str">
        <f t="shared" si="499"/>
        <v>S</v>
      </c>
      <c r="AF267" s="65">
        <v>19.0</v>
      </c>
      <c r="AG267" s="33" t="str">
        <f t="shared" si="500"/>
        <v>R</v>
      </c>
      <c r="AH267" s="65" t="s">
        <v>299</v>
      </c>
      <c r="AI267" s="66">
        <v>24.0</v>
      </c>
      <c r="AJ267" s="36" t="str">
        <f t="shared" si="501"/>
        <v>I</v>
      </c>
      <c r="AK267" s="66">
        <v>20.0</v>
      </c>
      <c r="AL267" s="36" t="str">
        <f t="shared" si="502"/>
        <v>I</v>
      </c>
      <c r="AM267" s="66">
        <v>6.0</v>
      </c>
      <c r="AN267" s="36" t="str">
        <f t="shared" si="503"/>
        <v>R</v>
      </c>
      <c r="AO267" s="66" t="s">
        <v>299</v>
      </c>
      <c r="AP267" s="67">
        <v>30.0</v>
      </c>
      <c r="AQ267" s="37" t="str">
        <f t="shared" si="504"/>
        <v>S</v>
      </c>
      <c r="AR267" s="65">
        <v>24.0</v>
      </c>
      <c r="AS267" s="33" t="str">
        <f t="shared" si="505"/>
        <v>S</v>
      </c>
      <c r="AT267" s="65">
        <v>9.0</v>
      </c>
      <c r="AU267" s="33" t="str">
        <f t="shared" si="506"/>
        <v>R</v>
      </c>
      <c r="AV267" s="65" t="s">
        <v>299</v>
      </c>
      <c r="AW267" s="28">
        <v>25.0</v>
      </c>
      <c r="AX267" s="26" t="str">
        <f t="shared" si="507"/>
        <v>S</v>
      </c>
      <c r="AY267" s="67">
        <v>6.0</v>
      </c>
      <c r="AZ267" s="37" t="str">
        <f t="shared" si="508"/>
        <v>R</v>
      </c>
      <c r="BA267" s="66">
        <v>30.0</v>
      </c>
      <c r="BB267" s="36" t="str">
        <f t="shared" si="509"/>
        <v>S</v>
      </c>
      <c r="BC267" s="39" t="s">
        <v>357</v>
      </c>
      <c r="BD267" s="39" t="s">
        <v>357</v>
      </c>
      <c r="BE267" s="66">
        <v>29.0</v>
      </c>
      <c r="BF267" s="36" t="str">
        <f t="shared" si="510"/>
        <v>S</v>
      </c>
      <c r="BG267" s="68">
        <v>18.0</v>
      </c>
      <c r="BH267" s="41" t="str">
        <f t="shared" si="511"/>
        <v>S</v>
      </c>
      <c r="BI267" s="41"/>
    </row>
    <row r="268">
      <c r="A268" s="21" t="s">
        <v>869</v>
      </c>
      <c r="B268" s="21" t="s">
        <v>444</v>
      </c>
      <c r="C268" s="21" t="s">
        <v>1535</v>
      </c>
      <c r="D268" s="69" t="s">
        <v>190</v>
      </c>
      <c r="E268" s="18" t="s">
        <v>190</v>
      </c>
      <c r="F268" s="18" t="s">
        <v>192</v>
      </c>
      <c r="G268" s="63" t="s">
        <v>1536</v>
      </c>
      <c r="H268" s="72" t="s">
        <v>1163</v>
      </c>
      <c r="I268" s="28">
        <v>19.0</v>
      </c>
      <c r="J268" s="26" t="str">
        <f t="shared" si="489"/>
        <v>S</v>
      </c>
      <c r="K268" s="28">
        <v>6.0</v>
      </c>
      <c r="L268" s="26" t="str">
        <f t="shared" si="490"/>
        <v>R</v>
      </c>
      <c r="M268" s="28">
        <v>23.0</v>
      </c>
      <c r="N268" s="26" t="str">
        <f t="shared" si="491"/>
        <v>S</v>
      </c>
      <c r="O268" s="28">
        <v>23.0</v>
      </c>
      <c r="P268" s="26" t="str">
        <f t="shared" si="492"/>
        <v>S</v>
      </c>
      <c r="Q268" s="28">
        <v>18.0</v>
      </c>
      <c r="R268" s="26" t="str">
        <f t="shared" si="493"/>
        <v>R</v>
      </c>
      <c r="S268" s="28">
        <v>22.0</v>
      </c>
      <c r="T268" s="26" t="str">
        <f t="shared" si="494"/>
        <v>S</v>
      </c>
      <c r="U268" s="28">
        <v>11.0</v>
      </c>
      <c r="V268" s="26" t="str">
        <f t="shared" si="495"/>
        <v>R</v>
      </c>
      <c r="W268" s="32" t="s">
        <v>299</v>
      </c>
      <c r="X268" s="65">
        <v>29.0</v>
      </c>
      <c r="Y268" s="33" t="str">
        <f t="shared" si="496"/>
        <v>S</v>
      </c>
      <c r="Z268" s="65">
        <v>24.0</v>
      </c>
      <c r="AA268" s="33" t="str">
        <f t="shared" si="497"/>
        <v>S</v>
      </c>
      <c r="AB268" s="65">
        <v>20.0</v>
      </c>
      <c r="AC268" s="33" t="str">
        <f t="shared" si="498"/>
        <v>I</v>
      </c>
      <c r="AD268" s="65">
        <v>27.0</v>
      </c>
      <c r="AE268" s="33" t="str">
        <f t="shared" si="499"/>
        <v>S</v>
      </c>
      <c r="AF268" s="65">
        <v>20.0</v>
      </c>
      <c r="AG268" s="33" t="str">
        <f t="shared" si="500"/>
        <v>R</v>
      </c>
      <c r="AH268" s="65" t="s">
        <v>299</v>
      </c>
      <c r="AI268" s="66">
        <v>24.0</v>
      </c>
      <c r="AJ268" s="36" t="str">
        <f t="shared" si="501"/>
        <v>I</v>
      </c>
      <c r="AK268" s="66">
        <v>21.0</v>
      </c>
      <c r="AL268" s="36" t="str">
        <f t="shared" si="502"/>
        <v>I</v>
      </c>
      <c r="AM268" s="66">
        <v>6.0</v>
      </c>
      <c r="AN268" s="36" t="str">
        <f t="shared" si="503"/>
        <v>R</v>
      </c>
      <c r="AO268" s="66" t="s">
        <v>299</v>
      </c>
      <c r="AP268" s="67">
        <v>30.0</v>
      </c>
      <c r="AQ268" s="37" t="str">
        <f t="shared" si="504"/>
        <v>S</v>
      </c>
      <c r="AR268" s="65">
        <v>23.0</v>
      </c>
      <c r="AS268" s="33" t="str">
        <f t="shared" si="505"/>
        <v>S</v>
      </c>
      <c r="AT268" s="65">
        <v>10.0</v>
      </c>
      <c r="AU268" s="33" t="str">
        <f t="shared" si="506"/>
        <v>R</v>
      </c>
      <c r="AV268" s="65" t="s">
        <v>299</v>
      </c>
      <c r="AW268" s="28">
        <v>26.0</v>
      </c>
      <c r="AX268" s="26" t="str">
        <f t="shared" si="507"/>
        <v>S</v>
      </c>
      <c r="AY268" s="67">
        <v>6.0</v>
      </c>
      <c r="AZ268" s="37" t="str">
        <f t="shared" si="508"/>
        <v>R</v>
      </c>
      <c r="BA268" s="66">
        <v>30.0</v>
      </c>
      <c r="BB268" s="36" t="str">
        <f t="shared" si="509"/>
        <v>S</v>
      </c>
      <c r="BC268" s="39" t="s">
        <v>357</v>
      </c>
      <c r="BD268" s="39" t="s">
        <v>357</v>
      </c>
      <c r="BE268" s="66">
        <v>30.0</v>
      </c>
      <c r="BF268" s="36" t="str">
        <f t="shared" si="510"/>
        <v>S</v>
      </c>
      <c r="BG268" s="68">
        <v>19.0</v>
      </c>
      <c r="BH268" s="41" t="str">
        <f t="shared" si="511"/>
        <v>S</v>
      </c>
      <c r="BI268" s="41"/>
    </row>
    <row r="269">
      <c r="A269" s="21" t="s">
        <v>869</v>
      </c>
      <c r="B269" s="21" t="s">
        <v>444</v>
      </c>
      <c r="C269" s="21" t="s">
        <v>1537</v>
      </c>
      <c r="D269" s="69" t="s">
        <v>190</v>
      </c>
      <c r="E269" s="18" t="s">
        <v>190</v>
      </c>
      <c r="F269" s="18" t="s">
        <v>192</v>
      </c>
      <c r="G269" s="63" t="s">
        <v>1538</v>
      </c>
      <c r="H269" s="72" t="s">
        <v>1163</v>
      </c>
      <c r="I269" s="28">
        <v>19.0</v>
      </c>
      <c r="J269" s="26" t="str">
        <f t="shared" si="489"/>
        <v>S</v>
      </c>
      <c r="K269" s="28">
        <v>6.0</v>
      </c>
      <c r="L269" s="26" t="str">
        <f t="shared" si="490"/>
        <v>R</v>
      </c>
      <c r="M269" s="28">
        <v>22.0</v>
      </c>
      <c r="N269" s="26" t="str">
        <f t="shared" si="491"/>
        <v>R</v>
      </c>
      <c r="O269" s="28">
        <v>21.0</v>
      </c>
      <c r="P269" s="26" t="str">
        <f t="shared" si="492"/>
        <v>I</v>
      </c>
      <c r="Q269" s="28">
        <v>16.0</v>
      </c>
      <c r="R269" s="26" t="str">
        <f t="shared" si="493"/>
        <v>R</v>
      </c>
      <c r="S269" s="28">
        <v>23.0</v>
      </c>
      <c r="T269" s="26" t="str">
        <f t="shared" si="494"/>
        <v>S</v>
      </c>
      <c r="U269" s="28">
        <v>11.0</v>
      </c>
      <c r="V269" s="26" t="str">
        <f t="shared" si="495"/>
        <v>R</v>
      </c>
      <c r="W269" s="32" t="s">
        <v>299</v>
      </c>
      <c r="X269" s="65">
        <v>26.0</v>
      </c>
      <c r="Y269" s="33" t="str">
        <f t="shared" si="496"/>
        <v>S</v>
      </c>
      <c r="Z269" s="65">
        <v>22.0</v>
      </c>
      <c r="AA269" s="33" t="str">
        <f t="shared" si="497"/>
        <v>S</v>
      </c>
      <c r="AB269" s="65">
        <v>19.0</v>
      </c>
      <c r="AC269" s="33" t="str">
        <f t="shared" si="498"/>
        <v>I</v>
      </c>
      <c r="AD269" s="65">
        <v>27.0</v>
      </c>
      <c r="AE269" s="33" t="str">
        <f t="shared" si="499"/>
        <v>S</v>
      </c>
      <c r="AF269" s="65">
        <v>20.0</v>
      </c>
      <c r="AG269" s="33" t="str">
        <f t="shared" si="500"/>
        <v>R</v>
      </c>
      <c r="AH269" s="65" t="s">
        <v>299</v>
      </c>
      <c r="AI269" s="66">
        <v>24.0</v>
      </c>
      <c r="AJ269" s="36" t="str">
        <f t="shared" si="501"/>
        <v>I</v>
      </c>
      <c r="AK269" s="66">
        <v>22.0</v>
      </c>
      <c r="AL269" s="36" t="str">
        <f t="shared" si="502"/>
        <v>I</v>
      </c>
      <c r="AM269" s="66">
        <v>6.0</v>
      </c>
      <c r="AN269" s="36" t="str">
        <f t="shared" si="503"/>
        <v>R</v>
      </c>
      <c r="AO269" s="66" t="s">
        <v>299</v>
      </c>
      <c r="AP269" s="67">
        <v>32.0</v>
      </c>
      <c r="AQ269" s="37" t="str">
        <f t="shared" si="504"/>
        <v>S</v>
      </c>
      <c r="AR269" s="65">
        <v>23.0</v>
      </c>
      <c r="AS269" s="33" t="str">
        <f t="shared" si="505"/>
        <v>S</v>
      </c>
      <c r="AT269" s="65">
        <v>11.0</v>
      </c>
      <c r="AU269" s="33" t="str">
        <f t="shared" si="506"/>
        <v>R</v>
      </c>
      <c r="AV269" s="65" t="s">
        <v>299</v>
      </c>
      <c r="AW269" s="28">
        <v>25.0</v>
      </c>
      <c r="AX269" s="26" t="str">
        <f t="shared" si="507"/>
        <v>S</v>
      </c>
      <c r="AY269" s="67">
        <v>6.0</v>
      </c>
      <c r="AZ269" s="37" t="str">
        <f t="shared" si="508"/>
        <v>R</v>
      </c>
      <c r="BA269" s="66">
        <v>29.0</v>
      </c>
      <c r="BB269" s="36" t="str">
        <f t="shared" si="509"/>
        <v>S</v>
      </c>
      <c r="BC269" s="39" t="s">
        <v>357</v>
      </c>
      <c r="BD269" s="39" t="s">
        <v>357</v>
      </c>
      <c r="BE269" s="66">
        <v>29.0</v>
      </c>
      <c r="BF269" s="36" t="str">
        <f t="shared" si="510"/>
        <v>S</v>
      </c>
      <c r="BG269" s="68">
        <v>19.0</v>
      </c>
      <c r="BH269" s="41" t="str">
        <f t="shared" si="511"/>
        <v>S</v>
      </c>
      <c r="BI269" s="41"/>
    </row>
    <row r="270">
      <c r="A270" s="21" t="s">
        <v>869</v>
      </c>
      <c r="B270" s="23">
        <v>147.0</v>
      </c>
      <c r="C270" s="21" t="s">
        <v>1539</v>
      </c>
      <c r="D270" s="69" t="s">
        <v>190</v>
      </c>
      <c r="E270" s="18" t="s">
        <v>190</v>
      </c>
      <c r="F270" s="18" t="s">
        <v>192</v>
      </c>
      <c r="G270" s="63" t="s">
        <v>1540</v>
      </c>
      <c r="H270" s="22" t="s">
        <v>198</v>
      </c>
      <c r="I270" s="28">
        <v>6.0</v>
      </c>
      <c r="J270" s="26" t="str">
        <f t="shared" si="489"/>
        <v>R</v>
      </c>
      <c r="K270" s="28">
        <v>6.0</v>
      </c>
      <c r="L270" s="26" t="str">
        <f t="shared" si="490"/>
        <v>R</v>
      </c>
      <c r="M270" s="28">
        <v>22.0</v>
      </c>
      <c r="N270" s="26" t="str">
        <f t="shared" si="491"/>
        <v>R</v>
      </c>
      <c r="O270" s="28">
        <v>19.0</v>
      </c>
      <c r="P270" s="26" t="str">
        <f t="shared" si="492"/>
        <v>R</v>
      </c>
      <c r="Q270" s="28">
        <v>12.0</v>
      </c>
      <c r="R270" s="26" t="str">
        <f t="shared" si="493"/>
        <v>R</v>
      </c>
      <c r="S270" s="28">
        <v>15.0</v>
      </c>
      <c r="T270" s="26" t="str">
        <f t="shared" si="494"/>
        <v>R</v>
      </c>
      <c r="U270" s="28">
        <v>19.0</v>
      </c>
      <c r="V270" s="26" t="str">
        <f t="shared" si="495"/>
        <v>I</v>
      </c>
      <c r="W270" s="32" t="s">
        <v>299</v>
      </c>
      <c r="X270" s="65">
        <v>11.0</v>
      </c>
      <c r="Y270" s="33" t="str">
        <f t="shared" si="496"/>
        <v>R</v>
      </c>
      <c r="Z270" s="65">
        <v>25.0</v>
      </c>
      <c r="AA270" s="33" t="str">
        <f t="shared" si="497"/>
        <v>S</v>
      </c>
      <c r="AB270" s="65">
        <v>9.0</v>
      </c>
      <c r="AC270" s="33" t="str">
        <f t="shared" si="498"/>
        <v>R</v>
      </c>
      <c r="AD270" s="65">
        <v>22.0</v>
      </c>
      <c r="AE270" s="33" t="str">
        <f t="shared" si="499"/>
        <v>S</v>
      </c>
      <c r="AF270" s="65">
        <v>16.0</v>
      </c>
      <c r="AG270" s="33" t="str">
        <f t="shared" si="500"/>
        <v>R</v>
      </c>
      <c r="AH270" s="65" t="s">
        <v>299</v>
      </c>
      <c r="AI270" s="66">
        <v>10.0</v>
      </c>
      <c r="AJ270" s="36" t="str">
        <f t="shared" si="501"/>
        <v>R</v>
      </c>
      <c r="AK270" s="66">
        <v>6.0</v>
      </c>
      <c r="AL270" s="36" t="str">
        <f t="shared" si="502"/>
        <v>R</v>
      </c>
      <c r="AM270" s="66">
        <v>9.0</v>
      </c>
      <c r="AN270" s="36" t="str">
        <f t="shared" si="503"/>
        <v>R</v>
      </c>
      <c r="AO270" s="66" t="s">
        <v>299</v>
      </c>
      <c r="AP270" s="67">
        <v>6.0</v>
      </c>
      <c r="AQ270" s="37" t="str">
        <f t="shared" si="504"/>
        <v>R</v>
      </c>
      <c r="AR270" s="65">
        <v>20.0</v>
      </c>
      <c r="AS270" s="33" t="str">
        <f t="shared" si="505"/>
        <v>S</v>
      </c>
      <c r="AT270" s="65">
        <v>14.0</v>
      </c>
      <c r="AU270" s="33" t="str">
        <f t="shared" si="506"/>
        <v>R</v>
      </c>
      <c r="AV270" s="65" t="s">
        <v>299</v>
      </c>
      <c r="AW270" s="28">
        <v>13.0</v>
      </c>
      <c r="AX270" s="26" t="str">
        <f t="shared" si="507"/>
        <v>R</v>
      </c>
      <c r="AY270" s="67">
        <v>18.0</v>
      </c>
      <c r="AZ270" s="37" t="str">
        <f t="shared" si="508"/>
        <v>R</v>
      </c>
      <c r="BA270" s="66">
        <v>18.0</v>
      </c>
      <c r="BB270" s="36" t="str">
        <f t="shared" si="509"/>
        <v>R</v>
      </c>
      <c r="BC270" s="39" t="s">
        <v>357</v>
      </c>
      <c r="BD270" s="39" t="s">
        <v>357</v>
      </c>
      <c r="BE270" s="66">
        <v>21.0</v>
      </c>
      <c r="BF270" s="36" t="str">
        <f t="shared" si="510"/>
        <v>I</v>
      </c>
      <c r="BG270" s="68">
        <v>12.0</v>
      </c>
      <c r="BH270" s="41" t="str">
        <f t="shared" si="511"/>
        <v>R</v>
      </c>
      <c r="BI270" s="41"/>
    </row>
    <row r="271">
      <c r="A271" s="21" t="s">
        <v>869</v>
      </c>
      <c r="B271" s="21" t="s">
        <v>444</v>
      </c>
      <c r="C271" s="21" t="s">
        <v>1541</v>
      </c>
      <c r="D271" s="69" t="s">
        <v>190</v>
      </c>
      <c r="E271" s="18" t="s">
        <v>190</v>
      </c>
      <c r="F271" s="18" t="s">
        <v>192</v>
      </c>
      <c r="G271" s="63" t="s">
        <v>1542</v>
      </c>
      <c r="H271" s="22" t="s">
        <v>198</v>
      </c>
      <c r="I271" s="28">
        <v>6.0</v>
      </c>
      <c r="J271" s="26" t="str">
        <f t="shared" si="489"/>
        <v>R</v>
      </c>
      <c r="K271" s="28">
        <v>6.0</v>
      </c>
      <c r="L271" s="26" t="str">
        <f t="shared" si="490"/>
        <v>R</v>
      </c>
      <c r="M271" s="28">
        <v>22.0</v>
      </c>
      <c r="N271" s="26" t="str">
        <f t="shared" si="491"/>
        <v>R</v>
      </c>
      <c r="O271" s="28">
        <v>19.0</v>
      </c>
      <c r="P271" s="26" t="str">
        <f t="shared" si="492"/>
        <v>R</v>
      </c>
      <c r="Q271" s="28">
        <v>12.0</v>
      </c>
      <c r="R271" s="26" t="str">
        <f t="shared" si="493"/>
        <v>R</v>
      </c>
      <c r="S271" s="28">
        <v>15.0</v>
      </c>
      <c r="T271" s="26" t="str">
        <f t="shared" si="494"/>
        <v>R</v>
      </c>
      <c r="U271" s="28">
        <v>19.0</v>
      </c>
      <c r="V271" s="26" t="str">
        <f t="shared" si="495"/>
        <v>I</v>
      </c>
      <c r="W271" s="32" t="s">
        <v>299</v>
      </c>
      <c r="X271" s="65">
        <v>11.0</v>
      </c>
      <c r="Y271" s="33" t="str">
        <f t="shared" si="496"/>
        <v>R</v>
      </c>
      <c r="Z271" s="65">
        <v>24.0</v>
      </c>
      <c r="AA271" s="33" t="str">
        <f t="shared" si="497"/>
        <v>S</v>
      </c>
      <c r="AB271" s="65">
        <v>9.0</v>
      </c>
      <c r="AC271" s="33" t="str">
        <f t="shared" si="498"/>
        <v>R</v>
      </c>
      <c r="AD271" s="65">
        <v>22.0</v>
      </c>
      <c r="AE271" s="33" t="str">
        <f t="shared" si="499"/>
        <v>S</v>
      </c>
      <c r="AF271" s="65">
        <v>16.0</v>
      </c>
      <c r="AG271" s="33" t="str">
        <f t="shared" si="500"/>
        <v>R</v>
      </c>
      <c r="AH271" s="65" t="s">
        <v>299</v>
      </c>
      <c r="AI271" s="66">
        <v>10.0</v>
      </c>
      <c r="AJ271" s="36" t="str">
        <f t="shared" si="501"/>
        <v>R</v>
      </c>
      <c r="AK271" s="66">
        <v>6.0</v>
      </c>
      <c r="AL271" s="36" t="str">
        <f t="shared" si="502"/>
        <v>R</v>
      </c>
      <c r="AM271" s="66">
        <v>6.0</v>
      </c>
      <c r="AN271" s="36" t="str">
        <f t="shared" si="503"/>
        <v>R</v>
      </c>
      <c r="AO271" s="66" t="s">
        <v>299</v>
      </c>
      <c r="AP271" s="67">
        <v>6.0</v>
      </c>
      <c r="AQ271" s="37" t="str">
        <f t="shared" si="504"/>
        <v>R</v>
      </c>
      <c r="AR271" s="65">
        <v>20.0</v>
      </c>
      <c r="AS271" s="33" t="str">
        <f t="shared" si="505"/>
        <v>S</v>
      </c>
      <c r="AT271" s="65">
        <v>14.0</v>
      </c>
      <c r="AU271" s="33" t="str">
        <f t="shared" si="506"/>
        <v>R</v>
      </c>
      <c r="AV271" s="65" t="s">
        <v>299</v>
      </c>
      <c r="AW271" s="28">
        <v>13.0</v>
      </c>
      <c r="AX271" s="26" t="str">
        <f t="shared" si="507"/>
        <v>R</v>
      </c>
      <c r="AY271" s="67">
        <v>18.0</v>
      </c>
      <c r="AZ271" s="37" t="str">
        <f t="shared" si="508"/>
        <v>R</v>
      </c>
      <c r="BA271" s="66">
        <v>23.0</v>
      </c>
      <c r="BB271" s="36" t="str">
        <f t="shared" si="509"/>
        <v>S</v>
      </c>
      <c r="BC271" s="39" t="s">
        <v>357</v>
      </c>
      <c r="BD271" s="39" t="s">
        <v>357</v>
      </c>
      <c r="BE271" s="66">
        <v>21.0</v>
      </c>
      <c r="BF271" s="36" t="str">
        <f t="shared" si="510"/>
        <v>I</v>
      </c>
      <c r="BG271" s="68">
        <v>12.0</v>
      </c>
      <c r="BH271" s="41" t="str">
        <f t="shared" si="511"/>
        <v>R</v>
      </c>
      <c r="BI271" s="41"/>
    </row>
    <row r="272">
      <c r="A272" s="21" t="s">
        <v>869</v>
      </c>
      <c r="B272" s="21" t="s">
        <v>444</v>
      </c>
      <c r="C272" s="21" t="s">
        <v>1543</v>
      </c>
      <c r="D272" s="69" t="s">
        <v>190</v>
      </c>
      <c r="E272" s="18" t="s">
        <v>190</v>
      </c>
      <c r="F272" s="18" t="s">
        <v>192</v>
      </c>
      <c r="G272" s="63" t="s">
        <v>1544</v>
      </c>
      <c r="H272" s="22" t="s">
        <v>198</v>
      </c>
      <c r="I272" s="28">
        <v>6.0</v>
      </c>
      <c r="J272" s="26" t="str">
        <f t="shared" si="489"/>
        <v>R</v>
      </c>
      <c r="K272" s="28">
        <v>6.0</v>
      </c>
      <c r="L272" s="26" t="str">
        <f t="shared" si="490"/>
        <v>R</v>
      </c>
      <c r="M272" s="28">
        <v>22.0</v>
      </c>
      <c r="N272" s="26" t="str">
        <f t="shared" si="491"/>
        <v>R</v>
      </c>
      <c r="O272" s="28">
        <v>19.0</v>
      </c>
      <c r="P272" s="26" t="str">
        <f t="shared" si="492"/>
        <v>R</v>
      </c>
      <c r="Q272" s="28">
        <v>12.0</v>
      </c>
      <c r="R272" s="26" t="str">
        <f t="shared" si="493"/>
        <v>R</v>
      </c>
      <c r="S272" s="28">
        <v>15.0</v>
      </c>
      <c r="T272" s="26" t="str">
        <f t="shared" si="494"/>
        <v>R</v>
      </c>
      <c r="U272" s="28">
        <v>19.0</v>
      </c>
      <c r="V272" s="26" t="str">
        <f t="shared" si="495"/>
        <v>I</v>
      </c>
      <c r="W272" s="32" t="s">
        <v>299</v>
      </c>
      <c r="X272" s="65">
        <v>11.0</v>
      </c>
      <c r="Y272" s="33" t="str">
        <f t="shared" si="496"/>
        <v>R</v>
      </c>
      <c r="Z272" s="65">
        <v>25.0</v>
      </c>
      <c r="AA272" s="33" t="str">
        <f t="shared" si="497"/>
        <v>S</v>
      </c>
      <c r="AB272" s="65">
        <v>9.0</v>
      </c>
      <c r="AC272" s="33" t="str">
        <f t="shared" si="498"/>
        <v>R</v>
      </c>
      <c r="AD272" s="65">
        <v>22.0</v>
      </c>
      <c r="AE272" s="33" t="str">
        <f t="shared" si="499"/>
        <v>S</v>
      </c>
      <c r="AF272" s="65">
        <v>16.0</v>
      </c>
      <c r="AG272" s="33" t="str">
        <f t="shared" si="500"/>
        <v>R</v>
      </c>
      <c r="AH272" s="65" t="s">
        <v>299</v>
      </c>
      <c r="AI272" s="66">
        <v>10.0</v>
      </c>
      <c r="AJ272" s="36" t="str">
        <f t="shared" si="501"/>
        <v>R</v>
      </c>
      <c r="AK272" s="66">
        <v>6.0</v>
      </c>
      <c r="AL272" s="36" t="str">
        <f t="shared" si="502"/>
        <v>R</v>
      </c>
      <c r="AM272" s="66">
        <v>6.0</v>
      </c>
      <c r="AN272" s="36" t="str">
        <f t="shared" si="503"/>
        <v>R</v>
      </c>
      <c r="AO272" s="66" t="s">
        <v>299</v>
      </c>
      <c r="AP272" s="67">
        <v>6.0</v>
      </c>
      <c r="AQ272" s="37" t="str">
        <f t="shared" si="504"/>
        <v>R</v>
      </c>
      <c r="AR272" s="65">
        <v>20.0</v>
      </c>
      <c r="AS272" s="33" t="str">
        <f t="shared" si="505"/>
        <v>S</v>
      </c>
      <c r="AT272" s="65">
        <v>14.0</v>
      </c>
      <c r="AU272" s="33" t="str">
        <f t="shared" si="506"/>
        <v>R</v>
      </c>
      <c r="AV272" s="65" t="s">
        <v>299</v>
      </c>
      <c r="AW272" s="28">
        <v>13.0</v>
      </c>
      <c r="AX272" s="26" t="str">
        <f t="shared" si="507"/>
        <v>R</v>
      </c>
      <c r="AY272" s="67">
        <v>18.0</v>
      </c>
      <c r="AZ272" s="37" t="str">
        <f t="shared" si="508"/>
        <v>R</v>
      </c>
      <c r="BA272" s="66">
        <v>21.0</v>
      </c>
      <c r="BB272" s="36" t="str">
        <f t="shared" si="509"/>
        <v>R</v>
      </c>
      <c r="BC272" s="39" t="s">
        <v>357</v>
      </c>
      <c r="BD272" s="39" t="s">
        <v>357</v>
      </c>
      <c r="BE272" s="66">
        <v>20.0</v>
      </c>
      <c r="BF272" s="36" t="str">
        <f t="shared" si="510"/>
        <v>I</v>
      </c>
      <c r="BG272" s="68">
        <v>12.0</v>
      </c>
      <c r="BH272" s="41" t="str">
        <f t="shared" si="511"/>
        <v>R</v>
      </c>
      <c r="BI272" s="41"/>
    </row>
    <row r="273">
      <c r="A273" s="51" t="s">
        <v>872</v>
      </c>
      <c r="B273" s="53">
        <v>148.0</v>
      </c>
      <c r="C273" s="51" t="s">
        <v>1545</v>
      </c>
      <c r="D273" s="69" t="s">
        <v>190</v>
      </c>
      <c r="E273" s="18" t="s">
        <v>190</v>
      </c>
      <c r="F273" s="18" t="s">
        <v>192</v>
      </c>
      <c r="G273" s="63" t="s">
        <v>1546</v>
      </c>
      <c r="H273" s="22" t="s">
        <v>198</v>
      </c>
      <c r="I273" s="28">
        <v>6.0</v>
      </c>
      <c r="J273" s="26" t="str">
        <f t="shared" si="489"/>
        <v>R</v>
      </c>
      <c r="K273" s="28">
        <v>12.0</v>
      </c>
      <c r="L273" s="26" t="str">
        <f t="shared" si="490"/>
        <v>R</v>
      </c>
      <c r="M273" s="28">
        <v>18.0</v>
      </c>
      <c r="N273" s="26" t="str">
        <f t="shared" si="491"/>
        <v>R</v>
      </c>
      <c r="O273" s="28">
        <v>21.0</v>
      </c>
      <c r="P273" s="26" t="str">
        <f t="shared" si="492"/>
        <v>I</v>
      </c>
      <c r="Q273" s="28">
        <v>16.0</v>
      </c>
      <c r="R273" s="26" t="str">
        <f t="shared" si="493"/>
        <v>R</v>
      </c>
      <c r="S273" s="28">
        <v>20.0</v>
      </c>
      <c r="T273" s="26" t="str">
        <f t="shared" si="494"/>
        <v>S</v>
      </c>
      <c r="U273" s="28">
        <v>12.0</v>
      </c>
      <c r="V273" s="26" t="str">
        <f t="shared" si="495"/>
        <v>R</v>
      </c>
      <c r="W273" s="32" t="s">
        <v>299</v>
      </c>
      <c r="X273" s="65">
        <v>18.0</v>
      </c>
      <c r="Y273" s="33" t="str">
        <f t="shared" si="496"/>
        <v>I</v>
      </c>
      <c r="Z273" s="65">
        <v>27.0</v>
      </c>
      <c r="AA273" s="33" t="str">
        <f t="shared" si="497"/>
        <v>S</v>
      </c>
      <c r="AB273" s="65">
        <v>19.0</v>
      </c>
      <c r="AC273" s="33" t="str">
        <f t="shared" si="498"/>
        <v>I</v>
      </c>
      <c r="AD273" s="65">
        <v>18.0</v>
      </c>
      <c r="AE273" s="33" t="str">
        <f t="shared" si="499"/>
        <v>S</v>
      </c>
      <c r="AF273" s="65">
        <v>19.0</v>
      </c>
      <c r="AG273" s="33" t="str">
        <f t="shared" si="500"/>
        <v>R</v>
      </c>
      <c r="AH273" s="65" t="s">
        <v>299</v>
      </c>
      <c r="AI273" s="66">
        <v>24.0</v>
      </c>
      <c r="AJ273" s="36" t="str">
        <f t="shared" si="501"/>
        <v>I</v>
      </c>
      <c r="AK273" s="66">
        <v>11.0</v>
      </c>
      <c r="AL273" s="36" t="str">
        <f t="shared" si="502"/>
        <v>R</v>
      </c>
      <c r="AM273" s="66">
        <v>6.0</v>
      </c>
      <c r="AN273" s="36" t="str">
        <f t="shared" si="503"/>
        <v>R</v>
      </c>
      <c r="AO273" s="66" t="s">
        <v>299</v>
      </c>
      <c r="AP273" s="67">
        <v>14.0</v>
      </c>
      <c r="AQ273" s="37" t="str">
        <f t="shared" si="504"/>
        <v>S</v>
      </c>
      <c r="AR273" s="65">
        <v>19.0</v>
      </c>
      <c r="AS273" s="33" t="str">
        <f t="shared" si="505"/>
        <v>S</v>
      </c>
      <c r="AT273" s="65">
        <v>18.0</v>
      </c>
      <c r="AU273" s="33" t="str">
        <f t="shared" si="506"/>
        <v>S</v>
      </c>
      <c r="AV273" s="33" t="s">
        <v>300</v>
      </c>
      <c r="AW273" s="28">
        <v>12.0</v>
      </c>
      <c r="AX273" s="26" t="str">
        <f t="shared" si="507"/>
        <v>R</v>
      </c>
      <c r="AY273" s="67">
        <v>16.0</v>
      </c>
      <c r="AZ273" s="37" t="str">
        <f t="shared" si="508"/>
        <v>R</v>
      </c>
      <c r="BA273" s="66">
        <v>24.0</v>
      </c>
      <c r="BB273" s="36" t="str">
        <f t="shared" si="509"/>
        <v>S</v>
      </c>
      <c r="BC273" s="39" t="s">
        <v>357</v>
      </c>
      <c r="BD273" s="39" t="s">
        <v>357</v>
      </c>
      <c r="BE273" s="66">
        <v>25.0</v>
      </c>
      <c r="BF273" s="36" t="str">
        <f t="shared" si="510"/>
        <v>S</v>
      </c>
      <c r="BG273" s="68">
        <v>18.0</v>
      </c>
      <c r="BH273" s="41" t="str">
        <f t="shared" si="511"/>
        <v>S</v>
      </c>
      <c r="BI273" s="41"/>
    </row>
    <row r="274">
      <c r="A274" s="51" t="s">
        <v>872</v>
      </c>
      <c r="B274" s="51" t="s">
        <v>444</v>
      </c>
      <c r="C274" s="51" t="s">
        <v>1547</v>
      </c>
      <c r="D274" s="69" t="s">
        <v>190</v>
      </c>
      <c r="E274" s="18" t="s">
        <v>190</v>
      </c>
      <c r="F274" s="18" t="s">
        <v>192</v>
      </c>
      <c r="G274" s="63" t="s">
        <v>1548</v>
      </c>
      <c r="H274" s="22" t="s">
        <v>198</v>
      </c>
      <c r="I274" s="28">
        <v>6.0</v>
      </c>
      <c r="J274" s="26" t="str">
        <f t="shared" si="489"/>
        <v>R</v>
      </c>
      <c r="K274" s="28">
        <v>12.0</v>
      </c>
      <c r="L274" s="26" t="str">
        <f t="shared" si="490"/>
        <v>R</v>
      </c>
      <c r="M274" s="28">
        <v>18.0</v>
      </c>
      <c r="N274" s="26" t="str">
        <f t="shared" si="491"/>
        <v>R</v>
      </c>
      <c r="O274" s="28">
        <v>21.0</v>
      </c>
      <c r="P274" s="26" t="str">
        <f t="shared" si="492"/>
        <v>I</v>
      </c>
      <c r="Q274" s="28">
        <v>16.0</v>
      </c>
      <c r="R274" s="26" t="str">
        <f t="shared" si="493"/>
        <v>R</v>
      </c>
      <c r="S274" s="28">
        <v>20.0</v>
      </c>
      <c r="T274" s="26" t="str">
        <f t="shared" si="494"/>
        <v>S</v>
      </c>
      <c r="U274" s="28">
        <v>12.0</v>
      </c>
      <c r="V274" s="26" t="str">
        <f t="shared" si="495"/>
        <v>R</v>
      </c>
      <c r="W274" s="32" t="s">
        <v>299</v>
      </c>
      <c r="X274" s="65">
        <v>18.0</v>
      </c>
      <c r="Y274" s="33" t="str">
        <f t="shared" si="496"/>
        <v>I</v>
      </c>
      <c r="Z274" s="65">
        <v>25.0</v>
      </c>
      <c r="AA274" s="33" t="str">
        <f t="shared" si="497"/>
        <v>S</v>
      </c>
      <c r="AB274" s="65">
        <v>19.0</v>
      </c>
      <c r="AC274" s="33" t="str">
        <f t="shared" si="498"/>
        <v>I</v>
      </c>
      <c r="AD274" s="65">
        <v>18.0</v>
      </c>
      <c r="AE274" s="33" t="str">
        <f t="shared" si="499"/>
        <v>S</v>
      </c>
      <c r="AF274" s="65">
        <v>25.0</v>
      </c>
      <c r="AG274" s="33" t="str">
        <f t="shared" si="500"/>
        <v>I</v>
      </c>
      <c r="AH274" s="65" t="s">
        <v>299</v>
      </c>
      <c r="AI274" s="66">
        <v>24.0</v>
      </c>
      <c r="AJ274" s="36" t="str">
        <f t="shared" si="501"/>
        <v>I</v>
      </c>
      <c r="AK274" s="66">
        <v>11.0</v>
      </c>
      <c r="AL274" s="36" t="str">
        <f t="shared" si="502"/>
        <v>R</v>
      </c>
      <c r="AM274" s="66">
        <v>6.0</v>
      </c>
      <c r="AN274" s="36" t="str">
        <f t="shared" si="503"/>
        <v>R</v>
      </c>
      <c r="AO274" s="66" t="s">
        <v>299</v>
      </c>
      <c r="AP274" s="67">
        <v>14.0</v>
      </c>
      <c r="AQ274" s="37" t="str">
        <f t="shared" si="504"/>
        <v>S</v>
      </c>
      <c r="AR274" s="65">
        <v>19.0</v>
      </c>
      <c r="AS274" s="33" t="str">
        <f t="shared" si="505"/>
        <v>S</v>
      </c>
      <c r="AT274" s="65">
        <v>18.0</v>
      </c>
      <c r="AU274" s="33" t="str">
        <f t="shared" si="506"/>
        <v>S</v>
      </c>
      <c r="AV274" s="33" t="s">
        <v>300</v>
      </c>
      <c r="AW274" s="28">
        <v>12.0</v>
      </c>
      <c r="AX274" s="26" t="str">
        <f t="shared" si="507"/>
        <v>R</v>
      </c>
      <c r="AY274" s="67">
        <v>14.0</v>
      </c>
      <c r="AZ274" s="37" t="str">
        <f t="shared" si="508"/>
        <v>R</v>
      </c>
      <c r="BA274" s="66">
        <v>24.0</v>
      </c>
      <c r="BB274" s="36" t="str">
        <f t="shared" si="509"/>
        <v>S</v>
      </c>
      <c r="BC274" s="39" t="s">
        <v>357</v>
      </c>
      <c r="BD274" s="39" t="s">
        <v>357</v>
      </c>
      <c r="BE274" s="66">
        <v>25.0</v>
      </c>
      <c r="BF274" s="36" t="str">
        <f t="shared" si="510"/>
        <v>S</v>
      </c>
      <c r="BG274" s="68">
        <v>18.0</v>
      </c>
      <c r="BH274" s="41" t="str">
        <f t="shared" si="511"/>
        <v>S</v>
      </c>
      <c r="BI274" s="41"/>
    </row>
    <row r="275">
      <c r="A275" s="51" t="s">
        <v>872</v>
      </c>
      <c r="B275" s="51" t="s">
        <v>444</v>
      </c>
      <c r="C275" s="51" t="s">
        <v>1549</v>
      </c>
      <c r="D275" s="69" t="s">
        <v>190</v>
      </c>
      <c r="E275" s="18" t="s">
        <v>190</v>
      </c>
      <c r="F275" s="18" t="s">
        <v>192</v>
      </c>
      <c r="G275" s="63" t="s">
        <v>1550</v>
      </c>
      <c r="H275" s="22" t="s">
        <v>198</v>
      </c>
      <c r="I275" s="28">
        <v>6.0</v>
      </c>
      <c r="J275" s="26" t="str">
        <f t="shared" si="489"/>
        <v>R</v>
      </c>
      <c r="K275" s="28">
        <v>12.0</v>
      </c>
      <c r="L275" s="26" t="str">
        <f t="shared" si="490"/>
        <v>R</v>
      </c>
      <c r="M275" s="28">
        <v>18.0</v>
      </c>
      <c r="N275" s="26" t="str">
        <f t="shared" si="491"/>
        <v>R</v>
      </c>
      <c r="O275" s="28">
        <v>21.0</v>
      </c>
      <c r="P275" s="26" t="str">
        <f t="shared" si="492"/>
        <v>I</v>
      </c>
      <c r="Q275" s="28">
        <v>16.0</v>
      </c>
      <c r="R275" s="26" t="str">
        <f t="shared" si="493"/>
        <v>R</v>
      </c>
      <c r="S275" s="28">
        <v>20.0</v>
      </c>
      <c r="T275" s="26" t="str">
        <f t="shared" si="494"/>
        <v>S</v>
      </c>
      <c r="U275" s="28">
        <v>12.0</v>
      </c>
      <c r="V275" s="26" t="str">
        <f t="shared" si="495"/>
        <v>R</v>
      </c>
      <c r="W275" s="32" t="s">
        <v>299</v>
      </c>
      <c r="X275" s="65">
        <v>18.0</v>
      </c>
      <c r="Y275" s="33" t="str">
        <f t="shared" si="496"/>
        <v>I</v>
      </c>
      <c r="Z275" s="65">
        <v>27.0</v>
      </c>
      <c r="AA275" s="33" t="str">
        <f t="shared" si="497"/>
        <v>S</v>
      </c>
      <c r="AB275" s="65">
        <v>19.0</v>
      </c>
      <c r="AC275" s="33" t="str">
        <f t="shared" si="498"/>
        <v>I</v>
      </c>
      <c r="AD275" s="65">
        <v>18.0</v>
      </c>
      <c r="AE275" s="33" t="str">
        <f t="shared" si="499"/>
        <v>S</v>
      </c>
      <c r="AF275" s="65">
        <v>19.0</v>
      </c>
      <c r="AG275" s="33" t="str">
        <f t="shared" si="500"/>
        <v>R</v>
      </c>
      <c r="AH275" s="65" t="s">
        <v>299</v>
      </c>
      <c r="AI275" s="66">
        <v>24.0</v>
      </c>
      <c r="AJ275" s="36" t="str">
        <f t="shared" si="501"/>
        <v>I</v>
      </c>
      <c r="AK275" s="66">
        <v>11.0</v>
      </c>
      <c r="AL275" s="36" t="str">
        <f t="shared" si="502"/>
        <v>R</v>
      </c>
      <c r="AM275" s="66">
        <v>6.0</v>
      </c>
      <c r="AN275" s="36" t="str">
        <f t="shared" si="503"/>
        <v>R</v>
      </c>
      <c r="AO275" s="66" t="s">
        <v>299</v>
      </c>
      <c r="AP275" s="67">
        <v>14.0</v>
      </c>
      <c r="AQ275" s="37" t="str">
        <f t="shared" si="504"/>
        <v>S</v>
      </c>
      <c r="AR275" s="65">
        <v>19.0</v>
      </c>
      <c r="AS275" s="33" t="str">
        <f t="shared" si="505"/>
        <v>S</v>
      </c>
      <c r="AT275" s="65">
        <v>18.0</v>
      </c>
      <c r="AU275" s="33" t="str">
        <f t="shared" si="506"/>
        <v>S</v>
      </c>
      <c r="AV275" s="33" t="s">
        <v>300</v>
      </c>
      <c r="AW275" s="28">
        <v>12.0</v>
      </c>
      <c r="AX275" s="26" t="str">
        <f t="shared" si="507"/>
        <v>R</v>
      </c>
      <c r="AY275" s="67">
        <v>14.0</v>
      </c>
      <c r="AZ275" s="37" t="str">
        <f t="shared" si="508"/>
        <v>R</v>
      </c>
      <c r="BA275" s="66">
        <v>24.0</v>
      </c>
      <c r="BB275" s="36" t="str">
        <f t="shared" si="509"/>
        <v>S</v>
      </c>
      <c r="BC275" s="39" t="s">
        <v>357</v>
      </c>
      <c r="BD275" s="39" t="s">
        <v>357</v>
      </c>
      <c r="BE275" s="66">
        <v>25.0</v>
      </c>
      <c r="BF275" s="36" t="str">
        <f t="shared" si="510"/>
        <v>S</v>
      </c>
      <c r="BG275" s="68">
        <v>18.0</v>
      </c>
      <c r="BH275" s="41" t="str">
        <f t="shared" si="511"/>
        <v>S</v>
      </c>
      <c r="BI275" s="41"/>
    </row>
    <row r="276">
      <c r="A276" s="51" t="s">
        <v>872</v>
      </c>
      <c r="B276" s="53">
        <v>149.0</v>
      </c>
      <c r="C276" s="51" t="s">
        <v>1551</v>
      </c>
      <c r="D276" s="69" t="s">
        <v>571</v>
      </c>
      <c r="E276" s="18" t="s">
        <v>572</v>
      </c>
      <c r="F276" s="18" t="s">
        <v>192</v>
      </c>
      <c r="G276" s="63" t="s">
        <v>1552</v>
      </c>
      <c r="H276" s="22" t="s">
        <v>198</v>
      </c>
      <c r="I276" s="28">
        <v>9.0</v>
      </c>
      <c r="J276" s="26" t="str">
        <f t="shared" si="489"/>
        <v>R</v>
      </c>
      <c r="K276" s="28">
        <v>15.0</v>
      </c>
      <c r="L276" s="26" t="str">
        <f t="shared" si="490"/>
        <v>R</v>
      </c>
      <c r="M276" s="28">
        <v>12.0</v>
      </c>
      <c r="N276" s="26" t="str">
        <f t="shared" si="491"/>
        <v>R</v>
      </c>
      <c r="O276" s="28">
        <v>20.0</v>
      </c>
      <c r="P276" s="26" t="str">
        <f t="shared" si="492"/>
        <v>I</v>
      </c>
      <c r="Q276" s="28">
        <v>17.0</v>
      </c>
      <c r="R276" s="26" t="str">
        <f t="shared" si="493"/>
        <v>R</v>
      </c>
      <c r="S276" s="28">
        <v>18.0</v>
      </c>
      <c r="T276" s="26" t="str">
        <f t="shared" si="494"/>
        <v>R</v>
      </c>
      <c r="U276" s="28">
        <v>17.0</v>
      </c>
      <c r="V276" s="26" t="str">
        <f t="shared" si="495"/>
        <v>I</v>
      </c>
      <c r="W276" s="32" t="s">
        <v>299</v>
      </c>
      <c r="X276" s="65">
        <v>12.0</v>
      </c>
      <c r="Y276" s="33" t="str">
        <f t="shared" si="496"/>
        <v>R</v>
      </c>
      <c r="Z276" s="65">
        <v>23.0</v>
      </c>
      <c r="AA276" s="33" t="str">
        <f t="shared" si="497"/>
        <v>S</v>
      </c>
      <c r="AB276" s="65">
        <v>14.0</v>
      </c>
      <c r="AC276" s="33" t="str">
        <f t="shared" si="498"/>
        <v>R</v>
      </c>
      <c r="AD276" s="65">
        <v>15.0</v>
      </c>
      <c r="AE276" s="33" t="str">
        <f t="shared" si="499"/>
        <v>S</v>
      </c>
      <c r="AF276" s="65">
        <v>20.0</v>
      </c>
      <c r="AG276" s="33" t="str">
        <f t="shared" si="500"/>
        <v>R</v>
      </c>
      <c r="AH276" s="65" t="s">
        <v>299</v>
      </c>
      <c r="AI276" s="66">
        <v>22.0</v>
      </c>
      <c r="AJ276" s="36" t="str">
        <f t="shared" si="501"/>
        <v>I</v>
      </c>
      <c r="AK276" s="66">
        <v>10.0</v>
      </c>
      <c r="AL276" s="36" t="str">
        <f t="shared" si="502"/>
        <v>R</v>
      </c>
      <c r="AM276" s="66">
        <v>9.0</v>
      </c>
      <c r="AN276" s="36" t="str">
        <f t="shared" si="503"/>
        <v>R</v>
      </c>
      <c r="AO276" s="66" t="s">
        <v>299</v>
      </c>
      <c r="AP276" s="67">
        <v>15.0</v>
      </c>
      <c r="AQ276" s="37" t="str">
        <f t="shared" si="504"/>
        <v>S</v>
      </c>
      <c r="AR276" s="65">
        <v>20.0</v>
      </c>
      <c r="AS276" s="33" t="str">
        <f t="shared" si="505"/>
        <v>S</v>
      </c>
      <c r="AT276" s="65">
        <v>17.0</v>
      </c>
      <c r="AU276" s="33" t="str">
        <f t="shared" si="506"/>
        <v>S</v>
      </c>
      <c r="AV276" s="33" t="s">
        <v>300</v>
      </c>
      <c r="AW276" s="28">
        <v>13.0</v>
      </c>
      <c r="AX276" s="26" t="str">
        <f t="shared" si="507"/>
        <v>R</v>
      </c>
      <c r="AY276" s="67">
        <v>15.0</v>
      </c>
      <c r="AZ276" s="37" t="str">
        <f t="shared" si="508"/>
        <v>R</v>
      </c>
      <c r="BA276" s="66">
        <v>27.0</v>
      </c>
      <c r="BB276" s="36" t="str">
        <f t="shared" si="509"/>
        <v>S</v>
      </c>
      <c r="BC276" s="39" t="s">
        <v>357</v>
      </c>
      <c r="BD276" s="39" t="s">
        <v>357</v>
      </c>
      <c r="BE276" s="66">
        <v>25.0</v>
      </c>
      <c r="BF276" s="36" t="str">
        <f t="shared" si="510"/>
        <v>S</v>
      </c>
      <c r="BG276" s="68">
        <v>15.0</v>
      </c>
      <c r="BH276" s="41" t="str">
        <f t="shared" si="511"/>
        <v>R</v>
      </c>
      <c r="BI276" s="41"/>
    </row>
    <row r="277">
      <c r="A277" s="51" t="s">
        <v>872</v>
      </c>
      <c r="B277" s="51" t="s">
        <v>444</v>
      </c>
      <c r="C277" s="51" t="s">
        <v>1553</v>
      </c>
      <c r="D277" s="69" t="s">
        <v>571</v>
      </c>
      <c r="E277" s="18" t="s">
        <v>572</v>
      </c>
      <c r="F277" s="18" t="s">
        <v>192</v>
      </c>
      <c r="G277" s="63" t="s">
        <v>1554</v>
      </c>
      <c r="H277" s="22" t="s">
        <v>198</v>
      </c>
      <c r="I277" s="28">
        <v>9.0</v>
      </c>
      <c r="J277" s="26" t="str">
        <f t="shared" si="489"/>
        <v>R</v>
      </c>
      <c r="K277" s="28">
        <v>15.0</v>
      </c>
      <c r="L277" s="26" t="str">
        <f t="shared" si="490"/>
        <v>R</v>
      </c>
      <c r="M277" s="28">
        <v>12.0</v>
      </c>
      <c r="N277" s="26" t="str">
        <f t="shared" si="491"/>
        <v>R</v>
      </c>
      <c r="O277" s="28">
        <v>20.0</v>
      </c>
      <c r="P277" s="26" t="str">
        <f t="shared" si="492"/>
        <v>I</v>
      </c>
      <c r="Q277" s="28">
        <v>17.0</v>
      </c>
      <c r="R277" s="26" t="str">
        <f t="shared" si="493"/>
        <v>R</v>
      </c>
      <c r="S277" s="28">
        <v>18.0</v>
      </c>
      <c r="T277" s="26" t="str">
        <f t="shared" si="494"/>
        <v>R</v>
      </c>
      <c r="U277" s="28">
        <v>17.0</v>
      </c>
      <c r="V277" s="26" t="str">
        <f t="shared" si="495"/>
        <v>I</v>
      </c>
      <c r="W277" s="32" t="s">
        <v>299</v>
      </c>
      <c r="X277" s="65">
        <v>12.0</v>
      </c>
      <c r="Y277" s="33" t="str">
        <f t="shared" si="496"/>
        <v>R</v>
      </c>
      <c r="Z277" s="65">
        <v>23.0</v>
      </c>
      <c r="AA277" s="33" t="str">
        <f t="shared" si="497"/>
        <v>S</v>
      </c>
      <c r="AB277" s="65">
        <v>14.0</v>
      </c>
      <c r="AC277" s="33" t="str">
        <f t="shared" si="498"/>
        <v>R</v>
      </c>
      <c r="AD277" s="65">
        <v>15.0</v>
      </c>
      <c r="AE277" s="33" t="str">
        <f t="shared" si="499"/>
        <v>S</v>
      </c>
      <c r="AF277" s="65">
        <v>20.0</v>
      </c>
      <c r="AG277" s="33" t="str">
        <f t="shared" si="500"/>
        <v>R</v>
      </c>
      <c r="AH277" s="65" t="s">
        <v>299</v>
      </c>
      <c r="AI277" s="66">
        <v>22.0</v>
      </c>
      <c r="AJ277" s="36" t="str">
        <f t="shared" si="501"/>
        <v>I</v>
      </c>
      <c r="AK277" s="66">
        <v>10.0</v>
      </c>
      <c r="AL277" s="36" t="str">
        <f t="shared" si="502"/>
        <v>R</v>
      </c>
      <c r="AM277" s="66">
        <v>9.0</v>
      </c>
      <c r="AN277" s="36" t="str">
        <f t="shared" si="503"/>
        <v>R</v>
      </c>
      <c r="AO277" s="66" t="s">
        <v>299</v>
      </c>
      <c r="AP277" s="67">
        <v>15.0</v>
      </c>
      <c r="AQ277" s="37" t="str">
        <f t="shared" si="504"/>
        <v>S</v>
      </c>
      <c r="AR277" s="65">
        <v>20.0</v>
      </c>
      <c r="AS277" s="33" t="str">
        <f t="shared" si="505"/>
        <v>S</v>
      </c>
      <c r="AT277" s="65">
        <v>17.0</v>
      </c>
      <c r="AU277" s="33" t="str">
        <f t="shared" si="506"/>
        <v>S</v>
      </c>
      <c r="AV277" s="33" t="s">
        <v>300</v>
      </c>
      <c r="AW277" s="28">
        <v>13.0</v>
      </c>
      <c r="AX277" s="26" t="str">
        <f t="shared" si="507"/>
        <v>R</v>
      </c>
      <c r="AY277" s="67">
        <v>15.0</v>
      </c>
      <c r="AZ277" s="37" t="str">
        <f t="shared" si="508"/>
        <v>R</v>
      </c>
      <c r="BA277" s="66">
        <v>27.0</v>
      </c>
      <c r="BB277" s="36" t="str">
        <f t="shared" si="509"/>
        <v>S</v>
      </c>
      <c r="BC277" s="39" t="s">
        <v>357</v>
      </c>
      <c r="BD277" s="39" t="s">
        <v>357</v>
      </c>
      <c r="BE277" s="66">
        <v>25.0</v>
      </c>
      <c r="BF277" s="36" t="str">
        <f t="shared" si="510"/>
        <v>S</v>
      </c>
      <c r="BG277" s="68">
        <v>15.0</v>
      </c>
      <c r="BH277" s="41" t="str">
        <f t="shared" si="511"/>
        <v>R</v>
      </c>
      <c r="BI277" s="41"/>
    </row>
    <row r="278">
      <c r="A278" s="51" t="s">
        <v>872</v>
      </c>
      <c r="B278" s="51" t="s">
        <v>444</v>
      </c>
      <c r="C278" s="51" t="s">
        <v>1555</v>
      </c>
      <c r="D278" s="69" t="s">
        <v>571</v>
      </c>
      <c r="E278" s="18" t="s">
        <v>572</v>
      </c>
      <c r="F278" s="18" t="s">
        <v>192</v>
      </c>
      <c r="G278" s="63" t="s">
        <v>1556</v>
      </c>
      <c r="H278" s="22" t="s">
        <v>198</v>
      </c>
      <c r="I278" s="28">
        <v>9.0</v>
      </c>
      <c r="J278" s="26" t="str">
        <f t="shared" si="489"/>
        <v>R</v>
      </c>
      <c r="K278" s="28">
        <v>15.0</v>
      </c>
      <c r="L278" s="26" t="str">
        <f t="shared" si="490"/>
        <v>R</v>
      </c>
      <c r="M278" s="28">
        <v>12.0</v>
      </c>
      <c r="N278" s="26" t="str">
        <f t="shared" si="491"/>
        <v>R</v>
      </c>
      <c r="O278" s="28">
        <v>20.0</v>
      </c>
      <c r="P278" s="26" t="str">
        <f t="shared" si="492"/>
        <v>I</v>
      </c>
      <c r="Q278" s="28">
        <v>17.0</v>
      </c>
      <c r="R278" s="26" t="str">
        <f t="shared" si="493"/>
        <v>R</v>
      </c>
      <c r="S278" s="28">
        <v>18.0</v>
      </c>
      <c r="T278" s="26" t="str">
        <f t="shared" si="494"/>
        <v>R</v>
      </c>
      <c r="U278" s="28">
        <v>17.0</v>
      </c>
      <c r="V278" s="26" t="str">
        <f t="shared" si="495"/>
        <v>I</v>
      </c>
      <c r="W278" s="32" t="s">
        <v>299</v>
      </c>
      <c r="X278" s="65">
        <v>12.0</v>
      </c>
      <c r="Y278" s="33" t="str">
        <f t="shared" si="496"/>
        <v>R</v>
      </c>
      <c r="Z278" s="65">
        <v>23.0</v>
      </c>
      <c r="AA278" s="33" t="str">
        <f t="shared" si="497"/>
        <v>S</v>
      </c>
      <c r="AB278" s="65">
        <v>14.0</v>
      </c>
      <c r="AC278" s="33" t="str">
        <f t="shared" si="498"/>
        <v>R</v>
      </c>
      <c r="AD278" s="65">
        <v>15.0</v>
      </c>
      <c r="AE278" s="33" t="str">
        <f t="shared" si="499"/>
        <v>S</v>
      </c>
      <c r="AF278" s="65">
        <v>20.0</v>
      </c>
      <c r="AG278" s="33" t="str">
        <f t="shared" si="500"/>
        <v>R</v>
      </c>
      <c r="AH278" s="65" t="s">
        <v>299</v>
      </c>
      <c r="AI278" s="66">
        <v>22.0</v>
      </c>
      <c r="AJ278" s="36" t="str">
        <f t="shared" si="501"/>
        <v>I</v>
      </c>
      <c r="AK278" s="66">
        <v>10.0</v>
      </c>
      <c r="AL278" s="36" t="str">
        <f t="shared" si="502"/>
        <v>R</v>
      </c>
      <c r="AM278" s="66">
        <v>9.0</v>
      </c>
      <c r="AN278" s="36" t="str">
        <f t="shared" si="503"/>
        <v>R</v>
      </c>
      <c r="AO278" s="66" t="s">
        <v>299</v>
      </c>
      <c r="AP278" s="67">
        <v>15.0</v>
      </c>
      <c r="AQ278" s="37" t="str">
        <f t="shared" si="504"/>
        <v>S</v>
      </c>
      <c r="AR278" s="65">
        <v>20.0</v>
      </c>
      <c r="AS278" s="33" t="str">
        <f t="shared" si="505"/>
        <v>S</v>
      </c>
      <c r="AT278" s="65">
        <v>17.0</v>
      </c>
      <c r="AU278" s="33" t="str">
        <f t="shared" si="506"/>
        <v>S</v>
      </c>
      <c r="AV278" s="33" t="s">
        <v>300</v>
      </c>
      <c r="AW278" s="28">
        <v>13.0</v>
      </c>
      <c r="AX278" s="26" t="str">
        <f t="shared" si="507"/>
        <v>R</v>
      </c>
      <c r="AY278" s="67">
        <v>15.0</v>
      </c>
      <c r="AZ278" s="37" t="str">
        <f t="shared" si="508"/>
        <v>R</v>
      </c>
      <c r="BA278" s="66">
        <v>27.0</v>
      </c>
      <c r="BB278" s="36" t="str">
        <f t="shared" si="509"/>
        <v>S</v>
      </c>
      <c r="BC278" s="39" t="s">
        <v>357</v>
      </c>
      <c r="BD278" s="39" t="s">
        <v>357</v>
      </c>
      <c r="BE278" s="66">
        <v>25.0</v>
      </c>
      <c r="BF278" s="36" t="str">
        <f t="shared" si="510"/>
        <v>S</v>
      </c>
      <c r="BG278" s="68">
        <v>15.0</v>
      </c>
      <c r="BH278" s="41" t="str">
        <f t="shared" si="511"/>
        <v>R</v>
      </c>
      <c r="BI278" s="41"/>
    </row>
    <row r="279">
      <c r="A279" s="21" t="s">
        <v>567</v>
      </c>
      <c r="B279" s="23">
        <v>150.0</v>
      </c>
      <c r="C279" s="21" t="s">
        <v>960</v>
      </c>
      <c r="D279" s="69" t="s">
        <v>190</v>
      </c>
      <c r="E279" s="18" t="s">
        <v>190</v>
      </c>
      <c r="F279" s="18" t="s">
        <v>192</v>
      </c>
      <c r="G279" s="63" t="s">
        <v>961</v>
      </c>
      <c r="H279" s="22" t="s">
        <v>198</v>
      </c>
      <c r="I279" s="28">
        <v>6.0</v>
      </c>
      <c r="J279" s="26" t="str">
        <f t="shared" si="489"/>
        <v>R</v>
      </c>
      <c r="K279" s="28">
        <v>20.0</v>
      </c>
      <c r="L279" s="26" t="str">
        <f t="shared" si="490"/>
        <v>S</v>
      </c>
      <c r="M279" s="28">
        <v>6.0</v>
      </c>
      <c r="N279" s="26" t="str">
        <f t="shared" si="491"/>
        <v>R</v>
      </c>
      <c r="O279" s="28">
        <v>26.0</v>
      </c>
      <c r="P279" s="26" t="str">
        <f t="shared" si="492"/>
        <v>S</v>
      </c>
      <c r="Q279" s="28">
        <v>6.0</v>
      </c>
      <c r="R279" s="26" t="str">
        <f t="shared" si="493"/>
        <v>R</v>
      </c>
      <c r="S279" s="28">
        <v>20.0</v>
      </c>
      <c r="T279" s="26" t="str">
        <f t="shared" si="494"/>
        <v>S</v>
      </c>
      <c r="U279" s="28">
        <v>25.0</v>
      </c>
      <c r="V279" s="26" t="str">
        <f t="shared" si="495"/>
        <v>S</v>
      </c>
      <c r="W279" s="32" t="s">
        <v>299</v>
      </c>
      <c r="X279" s="65">
        <v>24.0</v>
      </c>
      <c r="Y279" s="33" t="str">
        <f t="shared" si="496"/>
        <v>S</v>
      </c>
      <c r="Z279" s="65">
        <v>20.0</v>
      </c>
      <c r="AA279" s="33" t="str">
        <f t="shared" si="497"/>
        <v>S</v>
      </c>
      <c r="AB279" s="65">
        <v>22.0</v>
      </c>
      <c r="AC279" s="33" t="str">
        <f t="shared" si="498"/>
        <v>S</v>
      </c>
      <c r="AD279" s="65">
        <v>13.0</v>
      </c>
      <c r="AE279" s="33" t="str">
        <f t="shared" si="499"/>
        <v>S</v>
      </c>
      <c r="AF279" s="65">
        <v>25.0</v>
      </c>
      <c r="AG279" s="33" t="str">
        <f t="shared" si="500"/>
        <v>I</v>
      </c>
      <c r="AH279" s="65" t="s">
        <v>299</v>
      </c>
      <c r="AI279" s="66">
        <v>19.0</v>
      </c>
      <c r="AJ279" s="36" t="str">
        <f t="shared" si="501"/>
        <v>R</v>
      </c>
      <c r="AK279" s="66">
        <v>19.0</v>
      </c>
      <c r="AL279" s="36" t="str">
        <f t="shared" si="502"/>
        <v>I</v>
      </c>
      <c r="AM279" s="66">
        <v>6.0</v>
      </c>
      <c r="AN279" s="36" t="str">
        <f t="shared" si="503"/>
        <v>R</v>
      </c>
      <c r="AO279" s="66" t="s">
        <v>299</v>
      </c>
      <c r="AP279" s="67">
        <v>21.0</v>
      </c>
      <c r="AQ279" s="37" t="str">
        <f t="shared" si="504"/>
        <v>S</v>
      </c>
      <c r="AR279" s="65">
        <v>16.0</v>
      </c>
      <c r="AS279" s="33" t="str">
        <f t="shared" si="505"/>
        <v>R</v>
      </c>
      <c r="AT279" s="65">
        <v>20.0</v>
      </c>
      <c r="AU279" s="33" t="str">
        <f t="shared" si="506"/>
        <v>S</v>
      </c>
      <c r="AV279" s="65" t="s">
        <v>299</v>
      </c>
      <c r="AW279" s="28">
        <v>20.0</v>
      </c>
      <c r="AX279" s="26" t="str">
        <f t="shared" si="507"/>
        <v>S</v>
      </c>
      <c r="AY279" s="67">
        <v>20.0</v>
      </c>
      <c r="AZ279" s="37" t="str">
        <f t="shared" si="508"/>
        <v>R</v>
      </c>
      <c r="BA279" s="66">
        <v>26.0</v>
      </c>
      <c r="BB279" s="36" t="str">
        <f t="shared" si="509"/>
        <v>S</v>
      </c>
      <c r="BC279" s="39" t="s">
        <v>357</v>
      </c>
      <c r="BD279" s="39" t="s">
        <v>357</v>
      </c>
      <c r="BE279" s="66">
        <v>26.0</v>
      </c>
      <c r="BF279" s="36" t="str">
        <f t="shared" si="510"/>
        <v>S</v>
      </c>
      <c r="BG279" s="68">
        <v>14.0</v>
      </c>
      <c r="BH279" s="41" t="str">
        <f t="shared" si="511"/>
        <v>R</v>
      </c>
      <c r="BI279" s="41"/>
    </row>
    <row r="280">
      <c r="A280" s="21" t="s">
        <v>567</v>
      </c>
      <c r="B280" s="21" t="s">
        <v>444</v>
      </c>
      <c r="C280" s="21" t="s">
        <v>1557</v>
      </c>
      <c r="D280" s="69" t="s">
        <v>190</v>
      </c>
      <c r="E280" s="18" t="s">
        <v>190</v>
      </c>
      <c r="F280" s="18" t="s">
        <v>192</v>
      </c>
      <c r="G280" s="63" t="s">
        <v>1558</v>
      </c>
      <c r="H280" s="22" t="s">
        <v>198</v>
      </c>
      <c r="I280" s="28">
        <v>6.0</v>
      </c>
      <c r="J280" s="26" t="str">
        <f t="shared" si="489"/>
        <v>R</v>
      </c>
      <c r="K280" s="28">
        <v>21.0</v>
      </c>
      <c r="L280" s="26" t="str">
        <f t="shared" si="490"/>
        <v>S</v>
      </c>
      <c r="M280" s="28">
        <v>6.0</v>
      </c>
      <c r="N280" s="26" t="str">
        <f t="shared" si="491"/>
        <v>R</v>
      </c>
      <c r="O280" s="28">
        <v>26.0</v>
      </c>
      <c r="P280" s="26" t="str">
        <f t="shared" si="492"/>
        <v>S</v>
      </c>
      <c r="Q280" s="28">
        <v>6.0</v>
      </c>
      <c r="R280" s="26" t="str">
        <f t="shared" si="493"/>
        <v>R</v>
      </c>
      <c r="S280" s="28">
        <v>20.0</v>
      </c>
      <c r="T280" s="26" t="str">
        <f t="shared" si="494"/>
        <v>S</v>
      </c>
      <c r="U280" s="28">
        <v>25.0</v>
      </c>
      <c r="V280" s="26" t="str">
        <f t="shared" si="495"/>
        <v>S</v>
      </c>
      <c r="W280" s="32" t="s">
        <v>299</v>
      </c>
      <c r="X280" s="65">
        <v>26.0</v>
      </c>
      <c r="Y280" s="33" t="str">
        <f t="shared" si="496"/>
        <v>S</v>
      </c>
      <c r="Z280" s="65">
        <v>18.0</v>
      </c>
      <c r="AA280" s="33" t="str">
        <f t="shared" si="497"/>
        <v>S</v>
      </c>
      <c r="AB280" s="65">
        <v>24.0</v>
      </c>
      <c r="AC280" s="33" t="str">
        <f t="shared" si="498"/>
        <v>S</v>
      </c>
      <c r="AD280" s="65">
        <v>13.0</v>
      </c>
      <c r="AE280" s="33" t="str">
        <f t="shared" si="499"/>
        <v>S</v>
      </c>
      <c r="AF280" s="65">
        <v>25.0</v>
      </c>
      <c r="AG280" s="33" t="str">
        <f t="shared" si="500"/>
        <v>I</v>
      </c>
      <c r="AH280" s="65" t="s">
        <v>299</v>
      </c>
      <c r="AI280" s="66">
        <v>19.0</v>
      </c>
      <c r="AJ280" s="36" t="str">
        <f t="shared" si="501"/>
        <v>R</v>
      </c>
      <c r="AK280" s="66">
        <v>19.0</v>
      </c>
      <c r="AL280" s="36" t="str">
        <f t="shared" si="502"/>
        <v>I</v>
      </c>
      <c r="AM280" s="66">
        <v>8.0</v>
      </c>
      <c r="AN280" s="36" t="str">
        <f t="shared" si="503"/>
        <v>R</v>
      </c>
      <c r="AO280" s="66" t="s">
        <v>299</v>
      </c>
      <c r="AP280" s="67">
        <v>21.0</v>
      </c>
      <c r="AQ280" s="37" t="str">
        <f t="shared" si="504"/>
        <v>S</v>
      </c>
      <c r="AR280" s="65">
        <v>16.0</v>
      </c>
      <c r="AS280" s="33" t="str">
        <f t="shared" si="505"/>
        <v>R</v>
      </c>
      <c r="AT280" s="65">
        <v>20.0</v>
      </c>
      <c r="AU280" s="33" t="str">
        <f t="shared" si="506"/>
        <v>S</v>
      </c>
      <c r="AV280" s="65" t="s">
        <v>299</v>
      </c>
      <c r="AW280" s="28">
        <v>20.0</v>
      </c>
      <c r="AX280" s="26" t="str">
        <f t="shared" si="507"/>
        <v>S</v>
      </c>
      <c r="AY280" s="67">
        <v>20.0</v>
      </c>
      <c r="AZ280" s="37" t="str">
        <f t="shared" si="508"/>
        <v>R</v>
      </c>
      <c r="BA280" s="66">
        <v>28.0</v>
      </c>
      <c r="BB280" s="36" t="str">
        <f t="shared" si="509"/>
        <v>S</v>
      </c>
      <c r="BC280" s="39" t="s">
        <v>357</v>
      </c>
      <c r="BD280" s="39" t="s">
        <v>357</v>
      </c>
      <c r="BE280" s="66">
        <v>26.0</v>
      </c>
      <c r="BF280" s="36" t="str">
        <f t="shared" si="510"/>
        <v>S</v>
      </c>
      <c r="BG280" s="68">
        <v>14.0</v>
      </c>
      <c r="BH280" s="41" t="str">
        <f t="shared" si="511"/>
        <v>R</v>
      </c>
      <c r="BI280" s="41"/>
    </row>
    <row r="281">
      <c r="A281" s="21" t="s">
        <v>567</v>
      </c>
      <c r="B281" s="21" t="s">
        <v>444</v>
      </c>
      <c r="C281" s="21" t="s">
        <v>1559</v>
      </c>
      <c r="D281" s="69" t="s">
        <v>190</v>
      </c>
      <c r="E281" s="18" t="s">
        <v>190</v>
      </c>
      <c r="F281" s="18" t="s">
        <v>192</v>
      </c>
      <c r="G281" s="63" t="s">
        <v>1560</v>
      </c>
      <c r="H281" s="22" t="s">
        <v>198</v>
      </c>
      <c r="I281" s="28">
        <v>6.0</v>
      </c>
      <c r="J281" s="26" t="str">
        <f t="shared" si="489"/>
        <v>R</v>
      </c>
      <c r="K281" s="28">
        <v>22.0</v>
      </c>
      <c r="L281" s="26" t="str">
        <f t="shared" si="490"/>
        <v>S</v>
      </c>
      <c r="M281" s="28">
        <v>6.0</v>
      </c>
      <c r="N281" s="26" t="str">
        <f t="shared" si="491"/>
        <v>R</v>
      </c>
      <c r="O281" s="28">
        <v>26.0</v>
      </c>
      <c r="P281" s="26" t="str">
        <f t="shared" si="492"/>
        <v>S</v>
      </c>
      <c r="Q281" s="28">
        <v>6.0</v>
      </c>
      <c r="R281" s="26" t="str">
        <f t="shared" si="493"/>
        <v>R</v>
      </c>
      <c r="S281" s="28">
        <v>20.0</v>
      </c>
      <c r="T281" s="26" t="str">
        <f t="shared" si="494"/>
        <v>S</v>
      </c>
      <c r="U281" s="28">
        <v>25.0</v>
      </c>
      <c r="V281" s="26" t="str">
        <f t="shared" si="495"/>
        <v>S</v>
      </c>
      <c r="W281" s="32" t="s">
        <v>299</v>
      </c>
      <c r="X281" s="65">
        <v>25.0</v>
      </c>
      <c r="Y281" s="33" t="str">
        <f t="shared" si="496"/>
        <v>S</v>
      </c>
      <c r="Z281" s="65">
        <v>19.0</v>
      </c>
      <c r="AA281" s="33" t="str">
        <f t="shared" si="497"/>
        <v>S</v>
      </c>
      <c r="AB281" s="65">
        <v>22.0</v>
      </c>
      <c r="AC281" s="33" t="str">
        <f t="shared" si="498"/>
        <v>S</v>
      </c>
      <c r="AD281" s="65">
        <v>13.0</v>
      </c>
      <c r="AE281" s="33" t="str">
        <f t="shared" si="499"/>
        <v>S</v>
      </c>
      <c r="AF281" s="65">
        <v>26.0</v>
      </c>
      <c r="AG281" s="33" t="str">
        <f t="shared" si="500"/>
        <v>I</v>
      </c>
      <c r="AH281" s="65" t="s">
        <v>299</v>
      </c>
      <c r="AI281" s="66">
        <v>19.0</v>
      </c>
      <c r="AJ281" s="36" t="str">
        <f t="shared" si="501"/>
        <v>R</v>
      </c>
      <c r="AK281" s="66">
        <v>19.0</v>
      </c>
      <c r="AL281" s="36" t="str">
        <f t="shared" si="502"/>
        <v>I</v>
      </c>
      <c r="AM281" s="66">
        <v>6.0</v>
      </c>
      <c r="AN281" s="36" t="str">
        <f t="shared" si="503"/>
        <v>R</v>
      </c>
      <c r="AO281" s="66" t="s">
        <v>299</v>
      </c>
      <c r="AP281" s="67">
        <v>21.0</v>
      </c>
      <c r="AQ281" s="37" t="str">
        <f t="shared" si="504"/>
        <v>S</v>
      </c>
      <c r="AR281" s="65">
        <v>17.0</v>
      </c>
      <c r="AS281" s="33" t="str">
        <f t="shared" si="505"/>
        <v>R</v>
      </c>
      <c r="AT281" s="65">
        <v>20.0</v>
      </c>
      <c r="AU281" s="33" t="str">
        <f t="shared" si="506"/>
        <v>S</v>
      </c>
      <c r="AV281" s="65" t="s">
        <v>299</v>
      </c>
      <c r="AW281" s="28">
        <v>20.0</v>
      </c>
      <c r="AX281" s="26" t="str">
        <f t="shared" si="507"/>
        <v>S</v>
      </c>
      <c r="AY281" s="67">
        <v>20.0</v>
      </c>
      <c r="AZ281" s="37" t="str">
        <f t="shared" si="508"/>
        <v>R</v>
      </c>
      <c r="BA281" s="66">
        <v>26.0</v>
      </c>
      <c r="BB281" s="36" t="str">
        <f t="shared" si="509"/>
        <v>S</v>
      </c>
      <c r="BC281" s="39" t="s">
        <v>357</v>
      </c>
      <c r="BD281" s="39" t="s">
        <v>357</v>
      </c>
      <c r="BE281" s="66">
        <v>26.0</v>
      </c>
      <c r="BF281" s="36" t="str">
        <f t="shared" si="510"/>
        <v>S</v>
      </c>
      <c r="BG281" s="68">
        <v>14.0</v>
      </c>
      <c r="BH281" s="41" t="str">
        <f t="shared" si="511"/>
        <v>R</v>
      </c>
      <c r="BI281" s="41"/>
    </row>
    <row r="282">
      <c r="A282" s="21" t="s">
        <v>567</v>
      </c>
      <c r="B282" s="23">
        <v>151.0</v>
      </c>
      <c r="C282" s="21" t="s">
        <v>964</v>
      </c>
      <c r="D282" s="69" t="s">
        <v>190</v>
      </c>
      <c r="E282" s="18" t="s">
        <v>190</v>
      </c>
      <c r="F282" s="18" t="s">
        <v>192</v>
      </c>
      <c r="G282" s="63" t="s">
        <v>965</v>
      </c>
      <c r="H282" s="22" t="s">
        <v>198</v>
      </c>
      <c r="I282" s="28">
        <v>6.0</v>
      </c>
      <c r="J282" s="26" t="str">
        <f t="shared" si="489"/>
        <v>R</v>
      </c>
      <c r="K282" s="28">
        <v>18.0</v>
      </c>
      <c r="L282" s="26" t="str">
        <f t="shared" si="490"/>
        <v>R</v>
      </c>
      <c r="M282" s="28">
        <v>6.0</v>
      </c>
      <c r="N282" s="26" t="str">
        <f t="shared" si="491"/>
        <v>R</v>
      </c>
      <c r="O282" s="28">
        <v>22.0</v>
      </c>
      <c r="P282" s="26" t="str">
        <f t="shared" si="492"/>
        <v>I</v>
      </c>
      <c r="Q282" s="28">
        <v>6.0</v>
      </c>
      <c r="R282" s="26" t="str">
        <f t="shared" si="493"/>
        <v>R</v>
      </c>
      <c r="S282" s="28">
        <v>17.0</v>
      </c>
      <c r="T282" s="26" t="str">
        <f t="shared" si="494"/>
        <v>R</v>
      </c>
      <c r="U282" s="28">
        <v>28.0</v>
      </c>
      <c r="V282" s="26" t="str">
        <f t="shared" si="495"/>
        <v>S</v>
      </c>
      <c r="W282" s="32" t="s">
        <v>299</v>
      </c>
      <c r="X282" s="65">
        <v>23.0</v>
      </c>
      <c r="Y282" s="33" t="str">
        <f t="shared" si="496"/>
        <v>S</v>
      </c>
      <c r="Z282" s="65">
        <v>17.0</v>
      </c>
      <c r="AA282" s="33" t="str">
        <f t="shared" si="497"/>
        <v>R</v>
      </c>
      <c r="AB282" s="65">
        <v>26.0</v>
      </c>
      <c r="AC282" s="33" t="str">
        <f t="shared" si="498"/>
        <v>S</v>
      </c>
      <c r="AD282" s="65">
        <v>19.0</v>
      </c>
      <c r="AE282" s="33" t="str">
        <f t="shared" si="499"/>
        <v>S</v>
      </c>
      <c r="AF282" s="65">
        <v>24.0</v>
      </c>
      <c r="AG282" s="33" t="str">
        <f t="shared" si="500"/>
        <v>I</v>
      </c>
      <c r="AH282" s="65" t="s">
        <v>299</v>
      </c>
      <c r="AI282" s="66">
        <v>22.0</v>
      </c>
      <c r="AJ282" s="36" t="str">
        <f t="shared" si="501"/>
        <v>I</v>
      </c>
      <c r="AK282" s="66">
        <v>18.0</v>
      </c>
      <c r="AL282" s="36" t="str">
        <f t="shared" si="502"/>
        <v>R</v>
      </c>
      <c r="AM282" s="66">
        <v>16.0</v>
      </c>
      <c r="AN282" s="36" t="str">
        <f t="shared" si="503"/>
        <v>S</v>
      </c>
      <c r="AO282" s="66" t="s">
        <v>299</v>
      </c>
      <c r="AP282" s="67">
        <v>6.0</v>
      </c>
      <c r="AQ282" s="37" t="str">
        <f t="shared" si="504"/>
        <v>R</v>
      </c>
      <c r="AR282" s="65">
        <v>16.0</v>
      </c>
      <c r="AS282" s="33" t="str">
        <f t="shared" si="505"/>
        <v>R</v>
      </c>
      <c r="AT282" s="65">
        <v>21.0</v>
      </c>
      <c r="AU282" s="33" t="str">
        <f t="shared" si="506"/>
        <v>S</v>
      </c>
      <c r="AV282" s="65" t="s">
        <v>299</v>
      </c>
      <c r="AW282" s="28">
        <v>6.0</v>
      </c>
      <c r="AX282" s="26" t="str">
        <f t="shared" si="507"/>
        <v>R</v>
      </c>
      <c r="AY282" s="67">
        <v>21.0</v>
      </c>
      <c r="AZ282" s="37" t="str">
        <f t="shared" si="508"/>
        <v>I</v>
      </c>
      <c r="BA282" s="66">
        <v>22.0</v>
      </c>
      <c r="BB282" s="36" t="str">
        <f t="shared" si="509"/>
        <v>R</v>
      </c>
      <c r="BC282" s="39" t="s">
        <v>357</v>
      </c>
      <c r="BD282" s="39" t="s">
        <v>357</v>
      </c>
      <c r="BE282" s="66">
        <v>27.0</v>
      </c>
      <c r="BF282" s="36" t="str">
        <f t="shared" si="510"/>
        <v>S</v>
      </c>
      <c r="BG282" s="68">
        <v>14.0</v>
      </c>
      <c r="BH282" s="41" t="str">
        <f t="shared" si="511"/>
        <v>R</v>
      </c>
      <c r="BI282" s="41"/>
    </row>
    <row r="283">
      <c r="A283" s="21" t="s">
        <v>567</v>
      </c>
      <c r="B283" s="21" t="s">
        <v>444</v>
      </c>
      <c r="C283" s="21" t="s">
        <v>1561</v>
      </c>
      <c r="D283" s="69" t="s">
        <v>190</v>
      </c>
      <c r="E283" s="18" t="s">
        <v>190</v>
      </c>
      <c r="F283" s="18" t="s">
        <v>192</v>
      </c>
      <c r="G283" s="63" t="s">
        <v>1562</v>
      </c>
      <c r="H283" s="22" t="s">
        <v>198</v>
      </c>
      <c r="I283" s="28">
        <v>6.0</v>
      </c>
      <c r="J283" s="26" t="str">
        <f t="shared" si="489"/>
        <v>R</v>
      </c>
      <c r="K283" s="28">
        <v>18.0</v>
      </c>
      <c r="L283" s="26" t="str">
        <f t="shared" si="490"/>
        <v>R</v>
      </c>
      <c r="M283" s="28">
        <v>6.0</v>
      </c>
      <c r="N283" s="26" t="str">
        <f t="shared" si="491"/>
        <v>R</v>
      </c>
      <c r="O283" s="28">
        <v>22.0</v>
      </c>
      <c r="P283" s="26" t="str">
        <f t="shared" si="492"/>
        <v>I</v>
      </c>
      <c r="Q283" s="28">
        <v>6.0</v>
      </c>
      <c r="R283" s="26" t="str">
        <f t="shared" si="493"/>
        <v>R</v>
      </c>
      <c r="S283" s="28">
        <v>17.0</v>
      </c>
      <c r="T283" s="26" t="str">
        <f t="shared" si="494"/>
        <v>R</v>
      </c>
      <c r="U283" s="28">
        <v>28.0</v>
      </c>
      <c r="V283" s="26" t="str">
        <f t="shared" si="495"/>
        <v>S</v>
      </c>
      <c r="W283" s="32" t="s">
        <v>299</v>
      </c>
      <c r="X283" s="65">
        <v>26.0</v>
      </c>
      <c r="Y283" s="33" t="str">
        <f t="shared" si="496"/>
        <v>S</v>
      </c>
      <c r="Z283" s="65">
        <v>15.0</v>
      </c>
      <c r="AA283" s="33" t="str">
        <f t="shared" si="497"/>
        <v>R</v>
      </c>
      <c r="AB283" s="65">
        <v>23.0</v>
      </c>
      <c r="AC283" s="33" t="str">
        <f t="shared" si="498"/>
        <v>S</v>
      </c>
      <c r="AD283" s="65">
        <v>19.0</v>
      </c>
      <c r="AE283" s="33" t="str">
        <f t="shared" si="499"/>
        <v>S</v>
      </c>
      <c r="AF283" s="65">
        <v>25.0</v>
      </c>
      <c r="AG283" s="33" t="str">
        <f t="shared" si="500"/>
        <v>I</v>
      </c>
      <c r="AH283" s="65" t="s">
        <v>299</v>
      </c>
      <c r="AI283" s="66">
        <v>22.0</v>
      </c>
      <c r="AJ283" s="36" t="str">
        <f t="shared" si="501"/>
        <v>I</v>
      </c>
      <c r="AK283" s="66">
        <v>18.0</v>
      </c>
      <c r="AL283" s="36" t="str">
        <f t="shared" si="502"/>
        <v>R</v>
      </c>
      <c r="AM283" s="66">
        <v>14.0</v>
      </c>
      <c r="AN283" s="36" t="str">
        <f t="shared" si="503"/>
        <v>S</v>
      </c>
      <c r="AO283" s="66" t="s">
        <v>299</v>
      </c>
      <c r="AP283" s="67">
        <v>6.0</v>
      </c>
      <c r="AQ283" s="37" t="str">
        <f t="shared" si="504"/>
        <v>R</v>
      </c>
      <c r="AR283" s="65">
        <v>14.0</v>
      </c>
      <c r="AS283" s="33" t="str">
        <f t="shared" si="505"/>
        <v>R</v>
      </c>
      <c r="AT283" s="65">
        <v>21.0</v>
      </c>
      <c r="AU283" s="33" t="str">
        <f t="shared" si="506"/>
        <v>S</v>
      </c>
      <c r="AV283" s="65" t="s">
        <v>299</v>
      </c>
      <c r="AW283" s="28">
        <v>6.0</v>
      </c>
      <c r="AX283" s="26" t="str">
        <f t="shared" si="507"/>
        <v>R</v>
      </c>
      <c r="AY283" s="67">
        <v>21.0</v>
      </c>
      <c r="AZ283" s="37" t="str">
        <f t="shared" si="508"/>
        <v>I</v>
      </c>
      <c r="BA283" s="66">
        <v>23.0</v>
      </c>
      <c r="BB283" s="36" t="str">
        <f t="shared" si="509"/>
        <v>S</v>
      </c>
      <c r="BC283" s="39" t="s">
        <v>357</v>
      </c>
      <c r="BD283" s="39" t="s">
        <v>357</v>
      </c>
      <c r="BE283" s="66">
        <v>27.0</v>
      </c>
      <c r="BF283" s="36" t="str">
        <f t="shared" si="510"/>
        <v>S</v>
      </c>
      <c r="BG283" s="68">
        <v>14.0</v>
      </c>
      <c r="BH283" s="41" t="str">
        <f t="shared" si="511"/>
        <v>R</v>
      </c>
      <c r="BI283" s="41"/>
    </row>
    <row r="284">
      <c r="A284" s="21" t="s">
        <v>567</v>
      </c>
      <c r="B284" s="21" t="s">
        <v>444</v>
      </c>
      <c r="C284" s="21" t="s">
        <v>1563</v>
      </c>
      <c r="D284" s="69" t="s">
        <v>190</v>
      </c>
      <c r="E284" s="18" t="s">
        <v>190</v>
      </c>
      <c r="F284" s="18" t="s">
        <v>192</v>
      </c>
      <c r="G284" s="63" t="s">
        <v>1564</v>
      </c>
      <c r="H284" s="22" t="s">
        <v>198</v>
      </c>
      <c r="I284" s="28">
        <v>6.0</v>
      </c>
      <c r="J284" s="26" t="str">
        <f t="shared" si="489"/>
        <v>R</v>
      </c>
      <c r="K284" s="28">
        <v>19.0</v>
      </c>
      <c r="L284" s="26" t="str">
        <f t="shared" si="490"/>
        <v>S</v>
      </c>
      <c r="M284" s="28">
        <v>6.0</v>
      </c>
      <c r="N284" s="26" t="str">
        <f t="shared" si="491"/>
        <v>R</v>
      </c>
      <c r="O284" s="28">
        <v>22.0</v>
      </c>
      <c r="P284" s="26" t="str">
        <f t="shared" si="492"/>
        <v>I</v>
      </c>
      <c r="Q284" s="28">
        <v>6.0</v>
      </c>
      <c r="R284" s="26" t="str">
        <f t="shared" si="493"/>
        <v>R</v>
      </c>
      <c r="S284" s="28">
        <v>17.0</v>
      </c>
      <c r="T284" s="26" t="str">
        <f t="shared" si="494"/>
        <v>R</v>
      </c>
      <c r="U284" s="28">
        <v>28.0</v>
      </c>
      <c r="V284" s="26" t="str">
        <f t="shared" si="495"/>
        <v>S</v>
      </c>
      <c r="W284" s="32" t="s">
        <v>299</v>
      </c>
      <c r="X284" s="65">
        <v>27.0</v>
      </c>
      <c r="Y284" s="33" t="str">
        <f t="shared" si="496"/>
        <v>S</v>
      </c>
      <c r="Z284" s="65">
        <v>17.0</v>
      </c>
      <c r="AA284" s="33" t="str">
        <f t="shared" si="497"/>
        <v>R</v>
      </c>
      <c r="AB284" s="65">
        <v>22.0</v>
      </c>
      <c r="AC284" s="33" t="str">
        <f t="shared" si="498"/>
        <v>S</v>
      </c>
      <c r="AD284" s="65">
        <v>19.0</v>
      </c>
      <c r="AE284" s="33" t="str">
        <f t="shared" si="499"/>
        <v>S</v>
      </c>
      <c r="AF284" s="65">
        <v>24.0</v>
      </c>
      <c r="AG284" s="33" t="str">
        <f t="shared" si="500"/>
        <v>I</v>
      </c>
      <c r="AH284" s="65" t="s">
        <v>299</v>
      </c>
      <c r="AI284" s="66">
        <v>22.0</v>
      </c>
      <c r="AJ284" s="36" t="str">
        <f t="shared" si="501"/>
        <v>I</v>
      </c>
      <c r="AK284" s="66">
        <v>18.0</v>
      </c>
      <c r="AL284" s="36" t="str">
        <f t="shared" si="502"/>
        <v>R</v>
      </c>
      <c r="AM284" s="66">
        <v>18.0</v>
      </c>
      <c r="AN284" s="36" t="str">
        <f t="shared" si="503"/>
        <v>S</v>
      </c>
      <c r="AO284" s="66" t="s">
        <v>299</v>
      </c>
      <c r="AP284" s="67">
        <v>6.0</v>
      </c>
      <c r="AQ284" s="37" t="str">
        <f t="shared" si="504"/>
        <v>R</v>
      </c>
      <c r="AR284" s="65">
        <v>16.0</v>
      </c>
      <c r="AS284" s="33" t="str">
        <f t="shared" si="505"/>
        <v>R</v>
      </c>
      <c r="AT284" s="65">
        <v>21.0</v>
      </c>
      <c r="AU284" s="33" t="str">
        <f t="shared" si="506"/>
        <v>S</v>
      </c>
      <c r="AV284" s="65" t="s">
        <v>299</v>
      </c>
      <c r="AW284" s="28">
        <v>6.0</v>
      </c>
      <c r="AX284" s="26" t="str">
        <f t="shared" si="507"/>
        <v>R</v>
      </c>
      <c r="AY284" s="67">
        <v>21.0</v>
      </c>
      <c r="AZ284" s="37" t="str">
        <f t="shared" si="508"/>
        <v>I</v>
      </c>
      <c r="BA284" s="66">
        <v>24.0</v>
      </c>
      <c r="BB284" s="36" t="str">
        <f t="shared" si="509"/>
        <v>S</v>
      </c>
      <c r="BC284" s="39" t="s">
        <v>357</v>
      </c>
      <c r="BD284" s="39" t="s">
        <v>357</v>
      </c>
      <c r="BE284" s="66">
        <v>27.0</v>
      </c>
      <c r="BF284" s="36" t="str">
        <f t="shared" si="510"/>
        <v>S</v>
      </c>
      <c r="BG284" s="68">
        <v>14.0</v>
      </c>
      <c r="BH284" s="41" t="str">
        <f t="shared" si="511"/>
        <v>R</v>
      </c>
      <c r="BI284" s="41"/>
    </row>
    <row r="285">
      <c r="A285" s="21" t="s">
        <v>567</v>
      </c>
      <c r="B285" s="21" t="s">
        <v>444</v>
      </c>
      <c r="C285" s="21" t="s">
        <v>968</v>
      </c>
      <c r="D285" s="69" t="s">
        <v>190</v>
      </c>
      <c r="E285" s="18" t="s">
        <v>190</v>
      </c>
      <c r="F285" s="18" t="s">
        <v>192</v>
      </c>
      <c r="G285" s="63" t="s">
        <v>969</v>
      </c>
      <c r="H285" s="22" t="s">
        <v>198</v>
      </c>
      <c r="I285" s="28">
        <v>6.0</v>
      </c>
      <c r="J285" s="26" t="str">
        <f t="shared" si="489"/>
        <v>R</v>
      </c>
      <c r="K285" s="28">
        <v>6.0</v>
      </c>
      <c r="L285" s="26" t="str">
        <f t="shared" si="490"/>
        <v>R</v>
      </c>
      <c r="M285" s="28">
        <v>6.0</v>
      </c>
      <c r="N285" s="26" t="str">
        <f t="shared" si="491"/>
        <v>R</v>
      </c>
      <c r="O285" s="28">
        <v>19.0</v>
      </c>
      <c r="P285" s="26" t="str">
        <f t="shared" si="492"/>
        <v>R</v>
      </c>
      <c r="Q285" s="28">
        <v>6.0</v>
      </c>
      <c r="R285" s="26" t="str">
        <f t="shared" si="493"/>
        <v>R</v>
      </c>
      <c r="S285" s="28">
        <v>6.0</v>
      </c>
      <c r="T285" s="26" t="str">
        <f t="shared" si="494"/>
        <v>R</v>
      </c>
      <c r="U285" s="28">
        <v>11.0</v>
      </c>
      <c r="V285" s="26" t="str">
        <f t="shared" si="495"/>
        <v>R</v>
      </c>
      <c r="W285" s="32" t="s">
        <v>299</v>
      </c>
      <c r="X285" s="65">
        <v>6.0</v>
      </c>
      <c r="Y285" s="33" t="str">
        <f t="shared" si="496"/>
        <v>R</v>
      </c>
      <c r="Z285" s="65">
        <v>6.0</v>
      </c>
      <c r="AA285" s="33" t="str">
        <f t="shared" si="497"/>
        <v>R</v>
      </c>
      <c r="AB285" s="65">
        <v>6.0</v>
      </c>
      <c r="AC285" s="33" t="str">
        <f t="shared" si="498"/>
        <v>R</v>
      </c>
      <c r="AD285" s="65">
        <v>18.0</v>
      </c>
      <c r="AE285" s="33" t="str">
        <f t="shared" si="499"/>
        <v>S</v>
      </c>
      <c r="AF285" s="65">
        <v>6.0</v>
      </c>
      <c r="AG285" s="33" t="str">
        <f t="shared" si="500"/>
        <v>R</v>
      </c>
      <c r="AH285" s="65" t="s">
        <v>299</v>
      </c>
      <c r="AI285" s="66">
        <v>6.0</v>
      </c>
      <c r="AJ285" s="36" t="str">
        <f t="shared" si="501"/>
        <v>R</v>
      </c>
      <c r="AK285" s="66">
        <v>8.0</v>
      </c>
      <c r="AL285" s="36" t="str">
        <f t="shared" si="502"/>
        <v>R</v>
      </c>
      <c r="AM285" s="66">
        <v>6.0</v>
      </c>
      <c r="AN285" s="36" t="str">
        <f t="shared" si="503"/>
        <v>R</v>
      </c>
      <c r="AO285" s="66" t="s">
        <v>299</v>
      </c>
      <c r="AP285" s="67">
        <v>6.0</v>
      </c>
      <c r="AQ285" s="37" t="str">
        <f t="shared" si="504"/>
        <v>R</v>
      </c>
      <c r="AR285" s="65">
        <v>11.0</v>
      </c>
      <c r="AS285" s="33" t="str">
        <f t="shared" si="505"/>
        <v>R</v>
      </c>
      <c r="AT285" s="65">
        <v>6.0</v>
      </c>
      <c r="AU285" s="33" t="str">
        <f t="shared" si="506"/>
        <v>R</v>
      </c>
      <c r="AV285" s="65" t="s">
        <v>299</v>
      </c>
      <c r="AW285" s="28">
        <v>6.0</v>
      </c>
      <c r="AX285" s="26" t="str">
        <f t="shared" si="507"/>
        <v>R</v>
      </c>
      <c r="AY285" s="67">
        <v>6.0</v>
      </c>
      <c r="AZ285" s="37" t="str">
        <f t="shared" si="508"/>
        <v>R</v>
      </c>
      <c r="BA285" s="66">
        <v>6.0</v>
      </c>
      <c r="BB285" s="36" t="str">
        <f t="shared" si="509"/>
        <v>R</v>
      </c>
      <c r="BC285" s="39" t="s">
        <v>357</v>
      </c>
      <c r="BD285" s="39" t="s">
        <v>357</v>
      </c>
      <c r="BE285" s="66">
        <v>6.0</v>
      </c>
      <c r="BF285" s="36" t="str">
        <f t="shared" si="510"/>
        <v>R</v>
      </c>
      <c r="BG285" s="68">
        <v>16.0</v>
      </c>
      <c r="BH285" s="41" t="str">
        <f t="shared" si="511"/>
        <v>R</v>
      </c>
      <c r="BI285" s="41"/>
    </row>
    <row r="286">
      <c r="A286" s="21" t="s">
        <v>567</v>
      </c>
      <c r="B286" s="21" t="s">
        <v>444</v>
      </c>
      <c r="C286" s="21" t="s">
        <v>1565</v>
      </c>
      <c r="D286" s="69" t="s">
        <v>190</v>
      </c>
      <c r="E286" s="18" t="s">
        <v>190</v>
      </c>
      <c r="F286" s="18" t="s">
        <v>192</v>
      </c>
      <c r="G286" s="63" t="s">
        <v>1566</v>
      </c>
      <c r="H286" s="22" t="s">
        <v>198</v>
      </c>
      <c r="I286" s="28">
        <v>6.0</v>
      </c>
      <c r="J286" s="26" t="str">
        <f t="shared" si="489"/>
        <v>R</v>
      </c>
      <c r="K286" s="28">
        <v>6.0</v>
      </c>
      <c r="L286" s="26" t="str">
        <f t="shared" si="490"/>
        <v>R</v>
      </c>
      <c r="M286" s="28">
        <v>6.0</v>
      </c>
      <c r="N286" s="26" t="str">
        <f t="shared" si="491"/>
        <v>R</v>
      </c>
      <c r="O286" s="28">
        <v>19.0</v>
      </c>
      <c r="P286" s="26" t="str">
        <f t="shared" si="492"/>
        <v>R</v>
      </c>
      <c r="Q286" s="28">
        <v>6.0</v>
      </c>
      <c r="R286" s="26" t="str">
        <f t="shared" si="493"/>
        <v>R</v>
      </c>
      <c r="S286" s="28">
        <v>6.0</v>
      </c>
      <c r="T286" s="26" t="str">
        <f t="shared" si="494"/>
        <v>R</v>
      </c>
      <c r="U286" s="28">
        <v>11.0</v>
      </c>
      <c r="V286" s="26" t="str">
        <f t="shared" si="495"/>
        <v>R</v>
      </c>
      <c r="W286" s="32" t="s">
        <v>299</v>
      </c>
      <c r="X286" s="65">
        <v>6.0</v>
      </c>
      <c r="Y286" s="33" t="str">
        <f t="shared" si="496"/>
        <v>R</v>
      </c>
      <c r="Z286" s="65">
        <v>8.0</v>
      </c>
      <c r="AA286" s="33" t="str">
        <f t="shared" si="497"/>
        <v>R</v>
      </c>
      <c r="AB286" s="65">
        <v>6.0</v>
      </c>
      <c r="AC286" s="33" t="str">
        <f t="shared" si="498"/>
        <v>R</v>
      </c>
      <c r="AD286" s="65">
        <v>18.0</v>
      </c>
      <c r="AE286" s="33" t="str">
        <f t="shared" si="499"/>
        <v>S</v>
      </c>
      <c r="AF286" s="65">
        <v>6.0</v>
      </c>
      <c r="AG286" s="33" t="str">
        <f t="shared" si="500"/>
        <v>R</v>
      </c>
      <c r="AH286" s="65" t="s">
        <v>299</v>
      </c>
      <c r="AI286" s="66">
        <v>6.0</v>
      </c>
      <c r="AJ286" s="36" t="str">
        <f t="shared" si="501"/>
        <v>R</v>
      </c>
      <c r="AK286" s="66">
        <v>8.0</v>
      </c>
      <c r="AL286" s="36" t="str">
        <f t="shared" si="502"/>
        <v>R</v>
      </c>
      <c r="AM286" s="66">
        <v>9.0</v>
      </c>
      <c r="AN286" s="36" t="str">
        <f t="shared" si="503"/>
        <v>R</v>
      </c>
      <c r="AO286" s="66" t="s">
        <v>299</v>
      </c>
      <c r="AP286" s="67">
        <v>6.0</v>
      </c>
      <c r="AQ286" s="37" t="str">
        <f t="shared" si="504"/>
        <v>R</v>
      </c>
      <c r="AR286" s="65">
        <v>10.0</v>
      </c>
      <c r="AS286" s="33" t="str">
        <f t="shared" si="505"/>
        <v>R</v>
      </c>
      <c r="AT286" s="65">
        <v>6.0</v>
      </c>
      <c r="AU286" s="33" t="str">
        <f t="shared" si="506"/>
        <v>R</v>
      </c>
      <c r="AV286" s="65" t="s">
        <v>299</v>
      </c>
      <c r="AW286" s="28">
        <v>6.0</v>
      </c>
      <c r="AX286" s="26" t="str">
        <f t="shared" si="507"/>
        <v>R</v>
      </c>
      <c r="AY286" s="67">
        <v>6.0</v>
      </c>
      <c r="AZ286" s="37" t="str">
        <f t="shared" si="508"/>
        <v>R</v>
      </c>
      <c r="BA286" s="66">
        <v>6.0</v>
      </c>
      <c r="BB286" s="36" t="str">
        <f t="shared" si="509"/>
        <v>R</v>
      </c>
      <c r="BC286" s="39" t="s">
        <v>357</v>
      </c>
      <c r="BD286" s="39" t="s">
        <v>357</v>
      </c>
      <c r="BE286" s="66">
        <v>6.0</v>
      </c>
      <c r="BF286" s="36" t="str">
        <f t="shared" si="510"/>
        <v>R</v>
      </c>
      <c r="BG286" s="68">
        <v>16.0</v>
      </c>
      <c r="BH286" s="41" t="str">
        <f t="shared" si="511"/>
        <v>R</v>
      </c>
      <c r="BI286" s="41"/>
    </row>
    <row r="287">
      <c r="A287" s="21" t="s">
        <v>567</v>
      </c>
      <c r="B287" s="21" t="s">
        <v>444</v>
      </c>
      <c r="C287" s="21" t="s">
        <v>1567</v>
      </c>
      <c r="D287" s="69" t="s">
        <v>190</v>
      </c>
      <c r="E287" s="18" t="s">
        <v>190</v>
      </c>
      <c r="F287" s="18" t="s">
        <v>192</v>
      </c>
      <c r="G287" s="63" t="s">
        <v>1568</v>
      </c>
      <c r="H287" s="22" t="s">
        <v>198</v>
      </c>
      <c r="I287" s="28">
        <v>6.0</v>
      </c>
      <c r="J287" s="26" t="str">
        <f t="shared" si="489"/>
        <v>R</v>
      </c>
      <c r="K287" s="28">
        <v>6.0</v>
      </c>
      <c r="L287" s="26" t="str">
        <f t="shared" si="490"/>
        <v>R</v>
      </c>
      <c r="M287" s="28">
        <v>6.0</v>
      </c>
      <c r="N287" s="26" t="str">
        <f t="shared" si="491"/>
        <v>R</v>
      </c>
      <c r="O287" s="28">
        <v>19.0</v>
      </c>
      <c r="P287" s="26" t="str">
        <f t="shared" si="492"/>
        <v>R</v>
      </c>
      <c r="Q287" s="28">
        <v>6.0</v>
      </c>
      <c r="R287" s="26" t="str">
        <f t="shared" si="493"/>
        <v>R</v>
      </c>
      <c r="S287" s="28">
        <v>6.0</v>
      </c>
      <c r="T287" s="26" t="str">
        <f t="shared" si="494"/>
        <v>R</v>
      </c>
      <c r="U287" s="28">
        <v>11.0</v>
      </c>
      <c r="V287" s="26" t="str">
        <f t="shared" si="495"/>
        <v>R</v>
      </c>
      <c r="W287" s="32" t="s">
        <v>299</v>
      </c>
      <c r="X287" s="65">
        <v>6.0</v>
      </c>
      <c r="Y287" s="33" t="str">
        <f t="shared" si="496"/>
        <v>R</v>
      </c>
      <c r="Z287" s="65">
        <v>6.0</v>
      </c>
      <c r="AA287" s="33" t="str">
        <f t="shared" si="497"/>
        <v>R</v>
      </c>
      <c r="AB287" s="65">
        <v>6.0</v>
      </c>
      <c r="AC287" s="33" t="str">
        <f t="shared" si="498"/>
        <v>R</v>
      </c>
      <c r="AD287" s="65">
        <v>18.0</v>
      </c>
      <c r="AE287" s="33" t="str">
        <f t="shared" si="499"/>
        <v>S</v>
      </c>
      <c r="AF287" s="65">
        <v>6.0</v>
      </c>
      <c r="AG287" s="33" t="str">
        <f t="shared" si="500"/>
        <v>R</v>
      </c>
      <c r="AH287" s="65" t="s">
        <v>299</v>
      </c>
      <c r="AI287" s="66">
        <v>6.0</v>
      </c>
      <c r="AJ287" s="36" t="str">
        <f t="shared" si="501"/>
        <v>R</v>
      </c>
      <c r="AK287" s="66">
        <v>8.0</v>
      </c>
      <c r="AL287" s="36" t="str">
        <f t="shared" si="502"/>
        <v>R</v>
      </c>
      <c r="AM287" s="66">
        <v>6.0</v>
      </c>
      <c r="AN287" s="36" t="str">
        <f t="shared" si="503"/>
        <v>R</v>
      </c>
      <c r="AO287" s="66" t="s">
        <v>299</v>
      </c>
      <c r="AP287" s="67">
        <v>6.0</v>
      </c>
      <c r="AQ287" s="37" t="str">
        <f t="shared" si="504"/>
        <v>R</v>
      </c>
      <c r="AR287" s="65">
        <v>12.0</v>
      </c>
      <c r="AS287" s="33" t="str">
        <f t="shared" si="505"/>
        <v>R</v>
      </c>
      <c r="AT287" s="65">
        <v>6.0</v>
      </c>
      <c r="AU287" s="33" t="str">
        <f t="shared" si="506"/>
        <v>R</v>
      </c>
      <c r="AV287" s="65" t="s">
        <v>299</v>
      </c>
      <c r="AW287" s="28">
        <v>6.0</v>
      </c>
      <c r="AX287" s="26" t="str">
        <f t="shared" si="507"/>
        <v>R</v>
      </c>
      <c r="AY287" s="67">
        <v>6.0</v>
      </c>
      <c r="AZ287" s="37" t="str">
        <f t="shared" si="508"/>
        <v>R</v>
      </c>
      <c r="BA287" s="66">
        <v>6.0</v>
      </c>
      <c r="BB287" s="36" t="str">
        <f t="shared" si="509"/>
        <v>R</v>
      </c>
      <c r="BC287" s="39" t="s">
        <v>357</v>
      </c>
      <c r="BD287" s="39" t="s">
        <v>357</v>
      </c>
      <c r="BE287" s="66">
        <v>6.0</v>
      </c>
      <c r="BF287" s="36" t="str">
        <f t="shared" si="510"/>
        <v>R</v>
      </c>
      <c r="BG287" s="68">
        <v>16.0</v>
      </c>
      <c r="BH287" s="41" t="str">
        <f t="shared" si="511"/>
        <v>R</v>
      </c>
      <c r="BI287" s="41"/>
    </row>
    <row r="288">
      <c r="A288" s="21" t="s">
        <v>567</v>
      </c>
      <c r="B288" s="23">
        <v>152.0</v>
      </c>
      <c r="C288" s="21" t="s">
        <v>973</v>
      </c>
      <c r="D288" s="69" t="s">
        <v>571</v>
      </c>
      <c r="E288" s="18" t="s">
        <v>572</v>
      </c>
      <c r="F288" s="18" t="s">
        <v>192</v>
      </c>
      <c r="G288" s="63" t="s">
        <v>974</v>
      </c>
      <c r="H288" s="42" t="s">
        <v>479</v>
      </c>
      <c r="I288" s="28">
        <v>12.0</v>
      </c>
      <c r="J288" s="26" t="str">
        <f t="shared" si="489"/>
        <v>R</v>
      </c>
      <c r="K288" s="28">
        <v>12.0</v>
      </c>
      <c r="L288" s="26" t="str">
        <f t="shared" si="490"/>
        <v>R</v>
      </c>
      <c r="M288" s="28">
        <v>24.0</v>
      </c>
      <c r="N288" s="26" t="str">
        <f t="shared" si="491"/>
        <v>S</v>
      </c>
      <c r="O288" s="28">
        <v>21.0</v>
      </c>
      <c r="P288" s="26" t="str">
        <f t="shared" si="492"/>
        <v>I</v>
      </c>
      <c r="Q288" s="28">
        <v>22.0</v>
      </c>
      <c r="R288" s="26" t="str">
        <f t="shared" si="493"/>
        <v>S</v>
      </c>
      <c r="S288" s="28">
        <v>22.0</v>
      </c>
      <c r="T288" s="26" t="str">
        <f t="shared" si="494"/>
        <v>S</v>
      </c>
      <c r="U288" s="28">
        <v>15.0</v>
      </c>
      <c r="V288" s="26" t="str">
        <f t="shared" si="495"/>
        <v>R</v>
      </c>
      <c r="W288" s="32" t="s">
        <v>299</v>
      </c>
      <c r="X288" s="65">
        <v>26.0</v>
      </c>
      <c r="Y288" s="33" t="str">
        <f t="shared" si="496"/>
        <v>S</v>
      </c>
      <c r="Z288" s="65">
        <v>7.0</v>
      </c>
      <c r="AA288" s="33" t="str">
        <f t="shared" si="497"/>
        <v>R</v>
      </c>
      <c r="AB288" s="65">
        <v>26.0</v>
      </c>
      <c r="AC288" s="33" t="str">
        <f t="shared" si="498"/>
        <v>S</v>
      </c>
      <c r="AD288" s="65">
        <v>14.0</v>
      </c>
      <c r="AE288" s="33" t="str">
        <f t="shared" si="499"/>
        <v>S</v>
      </c>
      <c r="AF288" s="65">
        <v>28.0</v>
      </c>
      <c r="AG288" s="33" t="str">
        <f t="shared" si="500"/>
        <v>S</v>
      </c>
      <c r="AH288" s="65" t="s">
        <v>299</v>
      </c>
      <c r="AI288" s="66">
        <v>25.0</v>
      </c>
      <c r="AJ288" s="36" t="str">
        <f t="shared" si="501"/>
        <v>S</v>
      </c>
      <c r="AK288" s="66">
        <v>24.0</v>
      </c>
      <c r="AL288" s="36" t="str">
        <f t="shared" si="502"/>
        <v>S</v>
      </c>
      <c r="AM288" s="66">
        <v>20.0</v>
      </c>
      <c r="AN288" s="36" t="str">
        <f t="shared" si="503"/>
        <v>S</v>
      </c>
      <c r="AO288" s="36" t="s">
        <v>300</v>
      </c>
      <c r="AP288" s="67">
        <v>24.0</v>
      </c>
      <c r="AQ288" s="37" t="str">
        <f t="shared" si="504"/>
        <v>S</v>
      </c>
      <c r="AR288" s="65">
        <v>12.0</v>
      </c>
      <c r="AS288" s="33" t="str">
        <f t="shared" si="505"/>
        <v>R</v>
      </c>
      <c r="AT288" s="65">
        <v>25.0</v>
      </c>
      <c r="AU288" s="33" t="str">
        <f t="shared" si="506"/>
        <v>S</v>
      </c>
      <c r="AV288" s="65" t="s">
        <v>299</v>
      </c>
      <c r="AW288" s="28">
        <v>21.0</v>
      </c>
      <c r="AX288" s="26" t="str">
        <f t="shared" si="507"/>
        <v>S</v>
      </c>
      <c r="AY288" s="67">
        <v>24.0</v>
      </c>
      <c r="AZ288" s="37" t="str">
        <f t="shared" si="508"/>
        <v>I</v>
      </c>
      <c r="BA288" s="66">
        <v>22.0</v>
      </c>
      <c r="BB288" s="36" t="str">
        <f t="shared" si="509"/>
        <v>R</v>
      </c>
      <c r="BC288" s="39" t="s">
        <v>357</v>
      </c>
      <c r="BD288" s="39" t="s">
        <v>357</v>
      </c>
      <c r="BE288" s="66">
        <v>22.0</v>
      </c>
      <c r="BF288" s="36" t="str">
        <f t="shared" si="510"/>
        <v>S</v>
      </c>
      <c r="BG288" s="68">
        <v>16.0</v>
      </c>
      <c r="BH288" s="41" t="str">
        <f t="shared" si="511"/>
        <v>R</v>
      </c>
      <c r="BI288" s="41"/>
    </row>
    <row r="289">
      <c r="A289" s="21" t="s">
        <v>567</v>
      </c>
      <c r="B289" s="21" t="s">
        <v>444</v>
      </c>
      <c r="C289" s="21" t="s">
        <v>1569</v>
      </c>
      <c r="D289" s="69" t="s">
        <v>571</v>
      </c>
      <c r="E289" s="18" t="s">
        <v>572</v>
      </c>
      <c r="F289" s="18" t="s">
        <v>192</v>
      </c>
      <c r="G289" s="63" t="s">
        <v>1570</v>
      </c>
      <c r="H289" s="42" t="s">
        <v>479</v>
      </c>
      <c r="I289" s="28">
        <v>14.0</v>
      </c>
      <c r="J289" s="26" t="str">
        <f t="shared" si="489"/>
        <v>R</v>
      </c>
      <c r="K289" s="28">
        <v>11.0</v>
      </c>
      <c r="L289" s="26" t="str">
        <f t="shared" si="490"/>
        <v>R</v>
      </c>
      <c r="M289" s="28">
        <v>24.0</v>
      </c>
      <c r="N289" s="26" t="str">
        <f t="shared" si="491"/>
        <v>S</v>
      </c>
      <c r="O289" s="28">
        <v>21.0</v>
      </c>
      <c r="P289" s="26" t="str">
        <f t="shared" si="492"/>
        <v>I</v>
      </c>
      <c r="Q289" s="28">
        <v>22.0</v>
      </c>
      <c r="R289" s="26" t="str">
        <f t="shared" si="493"/>
        <v>S</v>
      </c>
      <c r="S289" s="28">
        <v>22.0</v>
      </c>
      <c r="T289" s="26" t="str">
        <f t="shared" si="494"/>
        <v>S</v>
      </c>
      <c r="U289" s="28">
        <v>15.0</v>
      </c>
      <c r="V289" s="26" t="str">
        <f t="shared" si="495"/>
        <v>R</v>
      </c>
      <c r="W289" s="32" t="s">
        <v>299</v>
      </c>
      <c r="X289" s="65">
        <v>28.0</v>
      </c>
      <c r="Y289" s="33" t="str">
        <f t="shared" si="496"/>
        <v>S</v>
      </c>
      <c r="Z289" s="65">
        <v>6.0</v>
      </c>
      <c r="AA289" s="33" t="str">
        <f t="shared" si="497"/>
        <v>R</v>
      </c>
      <c r="AB289" s="65">
        <v>25.0</v>
      </c>
      <c r="AC289" s="33" t="str">
        <f t="shared" si="498"/>
        <v>S</v>
      </c>
      <c r="AD289" s="65">
        <v>14.0</v>
      </c>
      <c r="AE289" s="33" t="str">
        <f t="shared" si="499"/>
        <v>S</v>
      </c>
      <c r="AF289" s="65">
        <v>27.0</v>
      </c>
      <c r="AG289" s="33" t="str">
        <f t="shared" si="500"/>
        <v>S</v>
      </c>
      <c r="AH289" s="65" t="s">
        <v>299</v>
      </c>
      <c r="AI289" s="66">
        <v>25.0</v>
      </c>
      <c r="AJ289" s="36" t="str">
        <f t="shared" si="501"/>
        <v>S</v>
      </c>
      <c r="AK289" s="66">
        <v>24.0</v>
      </c>
      <c r="AL289" s="36" t="str">
        <f t="shared" si="502"/>
        <v>S</v>
      </c>
      <c r="AM289" s="66">
        <v>22.0</v>
      </c>
      <c r="AN289" s="36" t="str">
        <f t="shared" si="503"/>
        <v>S</v>
      </c>
      <c r="AO289" s="36" t="s">
        <v>300</v>
      </c>
      <c r="AP289" s="67">
        <v>24.0</v>
      </c>
      <c r="AQ289" s="37" t="str">
        <f t="shared" si="504"/>
        <v>S</v>
      </c>
      <c r="AR289" s="65">
        <v>13.0</v>
      </c>
      <c r="AS289" s="33" t="str">
        <f t="shared" si="505"/>
        <v>R</v>
      </c>
      <c r="AT289" s="65">
        <v>25.0</v>
      </c>
      <c r="AU289" s="33" t="str">
        <f t="shared" si="506"/>
        <v>S</v>
      </c>
      <c r="AV289" s="65" t="s">
        <v>299</v>
      </c>
      <c r="AW289" s="28">
        <v>21.0</v>
      </c>
      <c r="AX289" s="26" t="str">
        <f t="shared" si="507"/>
        <v>S</v>
      </c>
      <c r="AY289" s="67">
        <v>24.0</v>
      </c>
      <c r="AZ289" s="37" t="str">
        <f t="shared" si="508"/>
        <v>I</v>
      </c>
      <c r="BA289" s="66">
        <v>21.0</v>
      </c>
      <c r="BB289" s="36" t="str">
        <f t="shared" si="509"/>
        <v>R</v>
      </c>
      <c r="BC289" s="39" t="s">
        <v>357</v>
      </c>
      <c r="BD289" s="39" t="s">
        <v>357</v>
      </c>
      <c r="BE289" s="66">
        <v>22.0</v>
      </c>
      <c r="BF289" s="36" t="str">
        <f t="shared" si="510"/>
        <v>S</v>
      </c>
      <c r="BG289" s="68">
        <v>16.0</v>
      </c>
      <c r="BH289" s="41" t="str">
        <f t="shared" si="511"/>
        <v>R</v>
      </c>
      <c r="BI289" s="41"/>
    </row>
    <row r="290">
      <c r="A290" s="21" t="s">
        <v>567</v>
      </c>
      <c r="B290" s="21" t="s">
        <v>444</v>
      </c>
      <c r="C290" s="21" t="s">
        <v>1571</v>
      </c>
      <c r="D290" s="69" t="s">
        <v>571</v>
      </c>
      <c r="E290" s="18" t="s">
        <v>572</v>
      </c>
      <c r="F290" s="18" t="s">
        <v>192</v>
      </c>
      <c r="G290" s="63" t="s">
        <v>1572</v>
      </c>
      <c r="H290" s="42" t="s">
        <v>479</v>
      </c>
      <c r="I290" s="28">
        <v>12.0</v>
      </c>
      <c r="J290" s="26" t="str">
        <f t="shared" si="489"/>
        <v>R</v>
      </c>
      <c r="K290" s="28">
        <v>12.0</v>
      </c>
      <c r="L290" s="26" t="str">
        <f t="shared" si="490"/>
        <v>R</v>
      </c>
      <c r="M290" s="28">
        <v>24.0</v>
      </c>
      <c r="N290" s="26" t="str">
        <f t="shared" si="491"/>
        <v>S</v>
      </c>
      <c r="O290" s="28">
        <v>21.0</v>
      </c>
      <c r="P290" s="26" t="str">
        <f t="shared" si="492"/>
        <v>I</v>
      </c>
      <c r="Q290" s="28">
        <v>22.0</v>
      </c>
      <c r="R290" s="26" t="str">
        <f t="shared" si="493"/>
        <v>S</v>
      </c>
      <c r="S290" s="28">
        <v>22.0</v>
      </c>
      <c r="T290" s="26" t="str">
        <f t="shared" si="494"/>
        <v>S</v>
      </c>
      <c r="U290" s="28">
        <v>15.0</v>
      </c>
      <c r="V290" s="26" t="str">
        <f t="shared" si="495"/>
        <v>R</v>
      </c>
      <c r="W290" s="32" t="s">
        <v>299</v>
      </c>
      <c r="X290" s="65">
        <v>26.0</v>
      </c>
      <c r="Y290" s="33" t="str">
        <f t="shared" si="496"/>
        <v>S</v>
      </c>
      <c r="Z290" s="65">
        <v>6.0</v>
      </c>
      <c r="AA290" s="33" t="str">
        <f t="shared" si="497"/>
        <v>R</v>
      </c>
      <c r="AB290" s="65">
        <v>24.0</v>
      </c>
      <c r="AC290" s="33" t="str">
        <f t="shared" si="498"/>
        <v>S</v>
      </c>
      <c r="AD290" s="65">
        <v>14.0</v>
      </c>
      <c r="AE290" s="33" t="str">
        <f t="shared" si="499"/>
        <v>S</v>
      </c>
      <c r="AF290" s="65">
        <v>27.0</v>
      </c>
      <c r="AG290" s="33" t="str">
        <f t="shared" si="500"/>
        <v>S</v>
      </c>
      <c r="AH290" s="65" t="s">
        <v>299</v>
      </c>
      <c r="AI290" s="66">
        <v>25.0</v>
      </c>
      <c r="AJ290" s="36" t="str">
        <f t="shared" si="501"/>
        <v>S</v>
      </c>
      <c r="AK290" s="66">
        <v>24.0</v>
      </c>
      <c r="AL290" s="36" t="str">
        <f t="shared" si="502"/>
        <v>S</v>
      </c>
      <c r="AM290" s="66">
        <v>21.0</v>
      </c>
      <c r="AN290" s="36" t="str">
        <f t="shared" si="503"/>
        <v>S</v>
      </c>
      <c r="AO290" s="36" t="s">
        <v>300</v>
      </c>
      <c r="AP290" s="67">
        <v>24.0</v>
      </c>
      <c r="AQ290" s="37" t="str">
        <f t="shared" si="504"/>
        <v>S</v>
      </c>
      <c r="AR290" s="65">
        <v>12.0</v>
      </c>
      <c r="AS290" s="33" t="str">
        <f t="shared" si="505"/>
        <v>R</v>
      </c>
      <c r="AT290" s="65">
        <v>25.0</v>
      </c>
      <c r="AU290" s="33" t="str">
        <f t="shared" si="506"/>
        <v>S</v>
      </c>
      <c r="AV290" s="65" t="s">
        <v>299</v>
      </c>
      <c r="AW290" s="28">
        <v>21.0</v>
      </c>
      <c r="AX290" s="26" t="str">
        <f t="shared" si="507"/>
        <v>S</v>
      </c>
      <c r="AY290" s="67">
        <v>24.0</v>
      </c>
      <c r="AZ290" s="37" t="str">
        <f t="shared" si="508"/>
        <v>I</v>
      </c>
      <c r="BA290" s="66">
        <v>22.0</v>
      </c>
      <c r="BB290" s="36" t="str">
        <f t="shared" si="509"/>
        <v>R</v>
      </c>
      <c r="BC290" s="39" t="s">
        <v>357</v>
      </c>
      <c r="BD290" s="39" t="s">
        <v>357</v>
      </c>
      <c r="BE290" s="66">
        <v>22.0</v>
      </c>
      <c r="BF290" s="36" t="str">
        <f t="shared" si="510"/>
        <v>S</v>
      </c>
      <c r="BG290" s="68">
        <v>16.0</v>
      </c>
      <c r="BH290" s="41" t="str">
        <f t="shared" si="511"/>
        <v>R</v>
      </c>
      <c r="BI290" s="41"/>
    </row>
    <row r="291">
      <c r="A291" s="21" t="s">
        <v>567</v>
      </c>
      <c r="B291" s="23">
        <v>153.0</v>
      </c>
      <c r="C291" s="21" t="s">
        <v>975</v>
      </c>
      <c r="D291" s="69" t="s">
        <v>705</v>
      </c>
      <c r="E291" s="18" t="s">
        <v>572</v>
      </c>
      <c r="F291" s="18" t="s">
        <v>192</v>
      </c>
      <c r="G291" s="63" t="s">
        <v>976</v>
      </c>
      <c r="H291" s="42" t="s">
        <v>479</v>
      </c>
      <c r="I291" s="28">
        <v>6.0</v>
      </c>
      <c r="J291" s="26" t="str">
        <f t="shared" si="489"/>
        <v>R</v>
      </c>
      <c r="K291" s="28">
        <v>16.0</v>
      </c>
      <c r="L291" s="26" t="str">
        <f t="shared" si="490"/>
        <v>R</v>
      </c>
      <c r="M291" s="28">
        <v>6.0</v>
      </c>
      <c r="N291" s="26" t="str">
        <f t="shared" si="491"/>
        <v>R</v>
      </c>
      <c r="O291" s="28">
        <v>20.0</v>
      </c>
      <c r="P291" s="26" t="str">
        <f t="shared" si="492"/>
        <v>I</v>
      </c>
      <c r="Q291" s="28">
        <v>12.0</v>
      </c>
      <c r="R291" s="26" t="str">
        <f t="shared" si="493"/>
        <v>R</v>
      </c>
      <c r="S291" s="28">
        <v>20.0</v>
      </c>
      <c r="T291" s="26" t="str">
        <f t="shared" si="494"/>
        <v>S</v>
      </c>
      <c r="U291" s="28">
        <v>19.0</v>
      </c>
      <c r="V291" s="26" t="str">
        <f t="shared" si="495"/>
        <v>I</v>
      </c>
      <c r="W291" s="32" t="s">
        <v>299</v>
      </c>
      <c r="X291" s="65">
        <v>23.0</v>
      </c>
      <c r="Y291" s="33" t="str">
        <f t="shared" si="496"/>
        <v>S</v>
      </c>
      <c r="Z291" s="65">
        <v>20.0</v>
      </c>
      <c r="AA291" s="33" t="str">
        <f t="shared" si="497"/>
        <v>S</v>
      </c>
      <c r="AB291" s="65">
        <v>21.0</v>
      </c>
      <c r="AC291" s="33" t="str">
        <f t="shared" si="498"/>
        <v>I</v>
      </c>
      <c r="AD291" s="65">
        <v>20.0</v>
      </c>
      <c r="AE291" s="33" t="str">
        <f t="shared" si="499"/>
        <v>S</v>
      </c>
      <c r="AF291" s="65">
        <v>16.0</v>
      </c>
      <c r="AG291" s="33" t="str">
        <f t="shared" si="500"/>
        <v>R</v>
      </c>
      <c r="AH291" s="65" t="s">
        <v>299</v>
      </c>
      <c r="AI291" s="66">
        <v>16.0</v>
      </c>
      <c r="AJ291" s="36" t="str">
        <f t="shared" si="501"/>
        <v>R</v>
      </c>
      <c r="AK291" s="66">
        <v>11.0</v>
      </c>
      <c r="AL291" s="36" t="str">
        <f t="shared" si="502"/>
        <v>R</v>
      </c>
      <c r="AM291" s="66">
        <v>13.0</v>
      </c>
      <c r="AN291" s="36" t="str">
        <f t="shared" si="503"/>
        <v>R</v>
      </c>
      <c r="AO291" s="66" t="s">
        <v>299</v>
      </c>
      <c r="AP291" s="67">
        <v>6.0</v>
      </c>
      <c r="AQ291" s="37" t="str">
        <f t="shared" si="504"/>
        <v>R</v>
      </c>
      <c r="AR291" s="65">
        <v>15.0</v>
      </c>
      <c r="AS291" s="33" t="str">
        <f t="shared" si="505"/>
        <v>R</v>
      </c>
      <c r="AT291" s="65">
        <v>12.0</v>
      </c>
      <c r="AU291" s="33" t="str">
        <f t="shared" si="506"/>
        <v>R</v>
      </c>
      <c r="AV291" s="65" t="s">
        <v>299</v>
      </c>
      <c r="AW291" s="28">
        <v>6.0</v>
      </c>
      <c r="AX291" s="26" t="str">
        <f t="shared" si="507"/>
        <v>R</v>
      </c>
      <c r="AY291" s="67">
        <v>22.0</v>
      </c>
      <c r="AZ291" s="37" t="str">
        <f t="shared" si="508"/>
        <v>I</v>
      </c>
      <c r="BA291" s="66">
        <v>20.0</v>
      </c>
      <c r="BB291" s="36" t="str">
        <f t="shared" si="509"/>
        <v>R</v>
      </c>
      <c r="BC291" s="39" t="s">
        <v>357</v>
      </c>
      <c r="BD291" s="39" t="s">
        <v>357</v>
      </c>
      <c r="BE291" s="66">
        <v>15.0</v>
      </c>
      <c r="BF291" s="36" t="str">
        <f t="shared" si="510"/>
        <v>R</v>
      </c>
      <c r="BG291" s="68">
        <v>21.0</v>
      </c>
      <c r="BH291" s="41" t="str">
        <f t="shared" si="511"/>
        <v>S</v>
      </c>
      <c r="BI291" s="41"/>
    </row>
    <row r="292">
      <c r="A292" s="21" t="s">
        <v>567</v>
      </c>
      <c r="B292" s="21" t="s">
        <v>444</v>
      </c>
      <c r="C292" s="21" t="s">
        <v>1573</v>
      </c>
      <c r="D292" s="69" t="s">
        <v>705</v>
      </c>
      <c r="E292" s="18" t="s">
        <v>572</v>
      </c>
      <c r="F292" s="18" t="s">
        <v>192</v>
      </c>
      <c r="G292" s="63" t="s">
        <v>1574</v>
      </c>
      <c r="H292" s="42" t="s">
        <v>479</v>
      </c>
      <c r="I292" s="28">
        <v>6.0</v>
      </c>
      <c r="J292" s="26" t="str">
        <f t="shared" si="489"/>
        <v>R</v>
      </c>
      <c r="K292" s="28">
        <v>14.0</v>
      </c>
      <c r="L292" s="26" t="str">
        <f t="shared" si="490"/>
        <v>R</v>
      </c>
      <c r="M292" s="28">
        <v>6.0</v>
      </c>
      <c r="N292" s="26" t="str">
        <f t="shared" si="491"/>
        <v>R</v>
      </c>
      <c r="O292" s="28">
        <v>20.0</v>
      </c>
      <c r="P292" s="26" t="str">
        <f t="shared" si="492"/>
        <v>I</v>
      </c>
      <c r="Q292" s="28">
        <v>12.0</v>
      </c>
      <c r="R292" s="26" t="str">
        <f t="shared" si="493"/>
        <v>R</v>
      </c>
      <c r="S292" s="28">
        <v>18.0</v>
      </c>
      <c r="T292" s="26" t="str">
        <f t="shared" si="494"/>
        <v>R</v>
      </c>
      <c r="U292" s="28">
        <v>19.0</v>
      </c>
      <c r="V292" s="26" t="str">
        <f t="shared" si="495"/>
        <v>I</v>
      </c>
      <c r="W292" s="32" t="s">
        <v>299</v>
      </c>
      <c r="X292" s="65">
        <v>23.0</v>
      </c>
      <c r="Y292" s="33" t="str">
        <f t="shared" si="496"/>
        <v>S</v>
      </c>
      <c r="Z292" s="65">
        <v>20.0</v>
      </c>
      <c r="AA292" s="33" t="str">
        <f t="shared" si="497"/>
        <v>S</v>
      </c>
      <c r="AB292" s="65">
        <v>21.0</v>
      </c>
      <c r="AC292" s="33" t="str">
        <f t="shared" si="498"/>
        <v>I</v>
      </c>
      <c r="AD292" s="65">
        <v>20.0</v>
      </c>
      <c r="AE292" s="33" t="str">
        <f t="shared" si="499"/>
        <v>S</v>
      </c>
      <c r="AF292" s="65">
        <v>16.0</v>
      </c>
      <c r="AG292" s="33" t="str">
        <f t="shared" si="500"/>
        <v>R</v>
      </c>
      <c r="AH292" s="65" t="s">
        <v>299</v>
      </c>
      <c r="AI292" s="66">
        <v>14.0</v>
      </c>
      <c r="AJ292" s="36" t="str">
        <f t="shared" si="501"/>
        <v>R</v>
      </c>
      <c r="AK292" s="66">
        <v>11.0</v>
      </c>
      <c r="AL292" s="36" t="str">
        <f t="shared" si="502"/>
        <v>R</v>
      </c>
      <c r="AM292" s="66">
        <v>13.0</v>
      </c>
      <c r="AN292" s="36" t="str">
        <f t="shared" si="503"/>
        <v>R</v>
      </c>
      <c r="AO292" s="66" t="s">
        <v>299</v>
      </c>
      <c r="AP292" s="67">
        <v>6.0</v>
      </c>
      <c r="AQ292" s="37" t="str">
        <f t="shared" si="504"/>
        <v>R</v>
      </c>
      <c r="AR292" s="65">
        <v>14.0</v>
      </c>
      <c r="AS292" s="33" t="str">
        <f t="shared" si="505"/>
        <v>R</v>
      </c>
      <c r="AT292" s="65">
        <v>12.0</v>
      </c>
      <c r="AU292" s="33" t="str">
        <f t="shared" si="506"/>
        <v>R</v>
      </c>
      <c r="AV292" s="65" t="s">
        <v>299</v>
      </c>
      <c r="AW292" s="28">
        <v>6.0</v>
      </c>
      <c r="AX292" s="26" t="str">
        <f t="shared" si="507"/>
        <v>R</v>
      </c>
      <c r="AY292" s="67">
        <v>22.0</v>
      </c>
      <c r="AZ292" s="37" t="str">
        <f t="shared" si="508"/>
        <v>I</v>
      </c>
      <c r="BA292" s="66">
        <v>18.0</v>
      </c>
      <c r="BB292" s="36" t="str">
        <f t="shared" si="509"/>
        <v>R</v>
      </c>
      <c r="BC292" s="39" t="s">
        <v>357</v>
      </c>
      <c r="BD292" s="39" t="s">
        <v>357</v>
      </c>
      <c r="BE292" s="66">
        <v>21.0</v>
      </c>
      <c r="BF292" s="36" t="str">
        <f t="shared" si="510"/>
        <v>I</v>
      </c>
      <c r="BG292" s="68">
        <v>18.0</v>
      </c>
      <c r="BH292" s="41" t="str">
        <f t="shared" si="511"/>
        <v>S</v>
      </c>
      <c r="BI292" s="41"/>
    </row>
    <row r="293">
      <c r="A293" s="21" t="s">
        <v>567</v>
      </c>
      <c r="B293" s="21" t="s">
        <v>444</v>
      </c>
      <c r="C293" s="21" t="s">
        <v>1575</v>
      </c>
      <c r="D293" s="69" t="s">
        <v>705</v>
      </c>
      <c r="E293" s="18" t="s">
        <v>572</v>
      </c>
      <c r="F293" s="18" t="s">
        <v>192</v>
      </c>
      <c r="G293" s="63" t="s">
        <v>1576</v>
      </c>
      <c r="H293" s="42" t="s">
        <v>479</v>
      </c>
      <c r="I293" s="28">
        <v>6.0</v>
      </c>
      <c r="J293" s="26" t="str">
        <f t="shared" si="489"/>
        <v>R</v>
      </c>
      <c r="K293" s="28">
        <v>16.0</v>
      </c>
      <c r="L293" s="26" t="str">
        <f t="shared" si="490"/>
        <v>R</v>
      </c>
      <c r="M293" s="28">
        <v>6.0</v>
      </c>
      <c r="N293" s="26" t="str">
        <f t="shared" si="491"/>
        <v>R</v>
      </c>
      <c r="O293" s="28">
        <v>20.0</v>
      </c>
      <c r="P293" s="26" t="str">
        <f t="shared" si="492"/>
        <v>I</v>
      </c>
      <c r="Q293" s="28">
        <v>12.0</v>
      </c>
      <c r="R293" s="26" t="str">
        <f t="shared" si="493"/>
        <v>R</v>
      </c>
      <c r="S293" s="28">
        <v>18.0</v>
      </c>
      <c r="T293" s="26" t="str">
        <f t="shared" si="494"/>
        <v>R</v>
      </c>
      <c r="U293" s="28">
        <v>19.0</v>
      </c>
      <c r="V293" s="26" t="str">
        <f t="shared" si="495"/>
        <v>I</v>
      </c>
      <c r="W293" s="32" t="s">
        <v>299</v>
      </c>
      <c r="X293" s="65">
        <v>23.0</v>
      </c>
      <c r="Y293" s="33" t="str">
        <f t="shared" si="496"/>
        <v>S</v>
      </c>
      <c r="Z293" s="65">
        <v>20.0</v>
      </c>
      <c r="AA293" s="33" t="str">
        <f t="shared" si="497"/>
        <v>S</v>
      </c>
      <c r="AB293" s="65">
        <v>21.0</v>
      </c>
      <c r="AC293" s="33" t="str">
        <f t="shared" si="498"/>
        <v>I</v>
      </c>
      <c r="AD293" s="65">
        <v>20.0</v>
      </c>
      <c r="AE293" s="33" t="str">
        <f t="shared" si="499"/>
        <v>S</v>
      </c>
      <c r="AF293" s="65">
        <v>16.0</v>
      </c>
      <c r="AG293" s="33" t="str">
        <f t="shared" si="500"/>
        <v>R</v>
      </c>
      <c r="AH293" s="65" t="s">
        <v>299</v>
      </c>
      <c r="AI293" s="66">
        <v>14.0</v>
      </c>
      <c r="AJ293" s="36" t="str">
        <f t="shared" si="501"/>
        <v>R</v>
      </c>
      <c r="AK293" s="66">
        <v>11.0</v>
      </c>
      <c r="AL293" s="36" t="str">
        <f t="shared" si="502"/>
        <v>R</v>
      </c>
      <c r="AM293" s="66">
        <v>13.0</v>
      </c>
      <c r="AN293" s="36" t="str">
        <f t="shared" si="503"/>
        <v>R</v>
      </c>
      <c r="AO293" s="66" t="s">
        <v>299</v>
      </c>
      <c r="AP293" s="67">
        <v>6.0</v>
      </c>
      <c r="AQ293" s="37" t="str">
        <f t="shared" si="504"/>
        <v>R</v>
      </c>
      <c r="AR293" s="65">
        <v>14.0</v>
      </c>
      <c r="AS293" s="33" t="str">
        <f t="shared" si="505"/>
        <v>R</v>
      </c>
      <c r="AT293" s="65">
        <v>12.0</v>
      </c>
      <c r="AU293" s="33" t="str">
        <f t="shared" si="506"/>
        <v>R</v>
      </c>
      <c r="AV293" s="65" t="s">
        <v>299</v>
      </c>
      <c r="AW293" s="28">
        <v>6.0</v>
      </c>
      <c r="AX293" s="26" t="str">
        <f t="shared" si="507"/>
        <v>R</v>
      </c>
      <c r="AY293" s="67">
        <v>22.0</v>
      </c>
      <c r="AZ293" s="37" t="str">
        <f t="shared" si="508"/>
        <v>I</v>
      </c>
      <c r="BA293" s="66">
        <v>18.0</v>
      </c>
      <c r="BB293" s="36" t="str">
        <f t="shared" si="509"/>
        <v>R</v>
      </c>
      <c r="BC293" s="39" t="s">
        <v>357</v>
      </c>
      <c r="BD293" s="39" t="s">
        <v>357</v>
      </c>
      <c r="BE293" s="66">
        <v>15.0</v>
      </c>
      <c r="BF293" s="36" t="str">
        <f t="shared" si="510"/>
        <v>R</v>
      </c>
      <c r="BG293" s="68">
        <v>18.0</v>
      </c>
      <c r="BH293" s="41" t="str">
        <f t="shared" si="511"/>
        <v>S</v>
      </c>
      <c r="BI293" s="41"/>
    </row>
    <row r="294">
      <c r="A294" s="51" t="s">
        <v>879</v>
      </c>
      <c r="B294" s="53">
        <v>154.0</v>
      </c>
      <c r="C294" s="51" t="s">
        <v>1577</v>
      </c>
      <c r="D294" s="69" t="s">
        <v>190</v>
      </c>
      <c r="E294" s="18" t="s">
        <v>190</v>
      </c>
      <c r="F294" s="18" t="s">
        <v>192</v>
      </c>
      <c r="G294" s="63" t="s">
        <v>1578</v>
      </c>
      <c r="H294" s="22" t="s">
        <v>198</v>
      </c>
      <c r="I294" s="28">
        <v>6.0</v>
      </c>
      <c r="J294" s="26" t="str">
        <f t="shared" si="489"/>
        <v>R</v>
      </c>
      <c r="K294" s="28">
        <v>19.0</v>
      </c>
      <c r="L294" s="26" t="str">
        <f t="shared" si="490"/>
        <v>S</v>
      </c>
      <c r="M294" s="28">
        <v>6.0</v>
      </c>
      <c r="N294" s="26" t="str">
        <f t="shared" si="491"/>
        <v>R</v>
      </c>
      <c r="O294" s="28">
        <v>23.0</v>
      </c>
      <c r="P294" s="26" t="str">
        <f t="shared" si="492"/>
        <v>S</v>
      </c>
      <c r="Q294" s="28">
        <v>11.0</v>
      </c>
      <c r="R294" s="26" t="str">
        <f t="shared" si="493"/>
        <v>R</v>
      </c>
      <c r="S294" s="28">
        <v>23.0</v>
      </c>
      <c r="T294" s="26" t="str">
        <f t="shared" si="494"/>
        <v>S</v>
      </c>
      <c r="U294" s="28">
        <v>24.0</v>
      </c>
      <c r="V294" s="26" t="str">
        <f t="shared" si="495"/>
        <v>S</v>
      </c>
      <c r="W294" s="32" t="s">
        <v>299</v>
      </c>
      <c r="X294" s="65">
        <v>17.0</v>
      </c>
      <c r="Y294" s="33" t="str">
        <f t="shared" si="496"/>
        <v>I</v>
      </c>
      <c r="Z294" s="65">
        <v>24.0</v>
      </c>
      <c r="AA294" s="33" t="str">
        <f t="shared" si="497"/>
        <v>S</v>
      </c>
      <c r="AB294" s="65">
        <v>21.0</v>
      </c>
      <c r="AC294" s="33" t="str">
        <f t="shared" si="498"/>
        <v>I</v>
      </c>
      <c r="AD294" s="65">
        <v>24.0</v>
      </c>
      <c r="AE294" s="33" t="str">
        <f t="shared" si="499"/>
        <v>S</v>
      </c>
      <c r="AF294" s="65">
        <v>22.0</v>
      </c>
      <c r="AG294" s="33" t="str">
        <f t="shared" si="500"/>
        <v>R</v>
      </c>
      <c r="AH294" s="65" t="s">
        <v>299</v>
      </c>
      <c r="AI294" s="66">
        <v>23.0</v>
      </c>
      <c r="AJ294" s="36" t="str">
        <f t="shared" si="501"/>
        <v>I</v>
      </c>
      <c r="AK294" s="66">
        <v>15.0</v>
      </c>
      <c r="AL294" s="36" t="str">
        <f t="shared" si="502"/>
        <v>R</v>
      </c>
      <c r="AM294" s="66">
        <v>14.0</v>
      </c>
      <c r="AN294" s="36" t="str">
        <f t="shared" si="503"/>
        <v>S</v>
      </c>
      <c r="AO294" s="66" t="s">
        <v>299</v>
      </c>
      <c r="AP294" s="67">
        <v>15.0</v>
      </c>
      <c r="AQ294" s="37" t="str">
        <f t="shared" si="504"/>
        <v>S</v>
      </c>
      <c r="AR294" s="65">
        <v>24.0</v>
      </c>
      <c r="AS294" s="33" t="str">
        <f t="shared" si="505"/>
        <v>S</v>
      </c>
      <c r="AT294" s="65">
        <v>24.0</v>
      </c>
      <c r="AU294" s="33" t="str">
        <f t="shared" si="506"/>
        <v>S</v>
      </c>
      <c r="AV294" s="33" t="s">
        <v>300</v>
      </c>
      <c r="AW294" s="28">
        <v>6.0</v>
      </c>
      <c r="AX294" s="26" t="str">
        <f t="shared" si="507"/>
        <v>R</v>
      </c>
      <c r="AY294" s="67">
        <v>26.0</v>
      </c>
      <c r="AZ294" s="37" t="str">
        <f t="shared" si="508"/>
        <v>S</v>
      </c>
      <c r="BA294" s="66">
        <v>32.0</v>
      </c>
      <c r="BB294" s="36" t="str">
        <f t="shared" si="509"/>
        <v>S</v>
      </c>
      <c r="BC294" s="39" t="s">
        <v>357</v>
      </c>
      <c r="BD294" s="39" t="s">
        <v>357</v>
      </c>
      <c r="BE294" s="66">
        <v>26.0</v>
      </c>
      <c r="BF294" s="36" t="str">
        <f t="shared" si="510"/>
        <v>S</v>
      </c>
      <c r="BG294" s="68">
        <v>14.0</v>
      </c>
      <c r="BH294" s="41" t="str">
        <f t="shared" si="511"/>
        <v>R</v>
      </c>
      <c r="BI294" s="41"/>
    </row>
    <row r="295">
      <c r="A295" s="51" t="s">
        <v>879</v>
      </c>
      <c r="B295" s="51" t="s">
        <v>444</v>
      </c>
      <c r="C295" s="51" t="s">
        <v>1579</v>
      </c>
      <c r="D295" s="69" t="s">
        <v>190</v>
      </c>
      <c r="E295" s="18" t="s">
        <v>190</v>
      </c>
      <c r="F295" s="18" t="s">
        <v>192</v>
      </c>
      <c r="G295" s="63" t="s">
        <v>1580</v>
      </c>
      <c r="H295" s="22" t="s">
        <v>198</v>
      </c>
      <c r="I295" s="28">
        <v>6.0</v>
      </c>
      <c r="J295" s="26" t="str">
        <f t="shared" si="489"/>
        <v>R</v>
      </c>
      <c r="K295" s="28">
        <v>19.0</v>
      </c>
      <c r="L295" s="26" t="str">
        <f t="shared" si="490"/>
        <v>S</v>
      </c>
      <c r="M295" s="28">
        <v>6.0</v>
      </c>
      <c r="N295" s="26" t="str">
        <f t="shared" si="491"/>
        <v>R</v>
      </c>
      <c r="O295" s="28">
        <v>23.0</v>
      </c>
      <c r="P295" s="26" t="str">
        <f t="shared" si="492"/>
        <v>S</v>
      </c>
      <c r="Q295" s="28">
        <v>11.0</v>
      </c>
      <c r="R295" s="26" t="str">
        <f t="shared" si="493"/>
        <v>R</v>
      </c>
      <c r="S295" s="28">
        <v>23.0</v>
      </c>
      <c r="T295" s="26" t="str">
        <f t="shared" si="494"/>
        <v>S</v>
      </c>
      <c r="U295" s="28">
        <v>24.0</v>
      </c>
      <c r="V295" s="26" t="str">
        <f t="shared" si="495"/>
        <v>S</v>
      </c>
      <c r="W295" s="32" t="s">
        <v>299</v>
      </c>
      <c r="X295" s="65">
        <v>17.0</v>
      </c>
      <c r="Y295" s="33" t="str">
        <f t="shared" si="496"/>
        <v>I</v>
      </c>
      <c r="Z295" s="65">
        <v>24.0</v>
      </c>
      <c r="AA295" s="33" t="str">
        <f t="shared" si="497"/>
        <v>S</v>
      </c>
      <c r="AB295" s="65">
        <v>21.0</v>
      </c>
      <c r="AC295" s="33" t="str">
        <f t="shared" si="498"/>
        <v>I</v>
      </c>
      <c r="AD295" s="65">
        <v>24.0</v>
      </c>
      <c r="AE295" s="33" t="str">
        <f t="shared" si="499"/>
        <v>S</v>
      </c>
      <c r="AF295" s="65">
        <v>22.0</v>
      </c>
      <c r="AG295" s="33" t="str">
        <f t="shared" si="500"/>
        <v>R</v>
      </c>
      <c r="AH295" s="65" t="s">
        <v>299</v>
      </c>
      <c r="AI295" s="66">
        <v>23.0</v>
      </c>
      <c r="AJ295" s="36" t="str">
        <f t="shared" si="501"/>
        <v>I</v>
      </c>
      <c r="AK295" s="66">
        <v>15.0</v>
      </c>
      <c r="AL295" s="36" t="str">
        <f t="shared" si="502"/>
        <v>R</v>
      </c>
      <c r="AM295" s="66">
        <v>14.0</v>
      </c>
      <c r="AN295" s="36" t="str">
        <f t="shared" si="503"/>
        <v>S</v>
      </c>
      <c r="AO295" s="66" t="s">
        <v>299</v>
      </c>
      <c r="AP295" s="67">
        <v>15.0</v>
      </c>
      <c r="AQ295" s="37" t="str">
        <f t="shared" si="504"/>
        <v>S</v>
      </c>
      <c r="AR295" s="65">
        <v>24.0</v>
      </c>
      <c r="AS295" s="33" t="str">
        <f t="shared" si="505"/>
        <v>S</v>
      </c>
      <c r="AT295" s="65">
        <v>24.0</v>
      </c>
      <c r="AU295" s="33" t="str">
        <f t="shared" si="506"/>
        <v>S</v>
      </c>
      <c r="AV295" s="33" t="s">
        <v>300</v>
      </c>
      <c r="AW295" s="28">
        <v>6.0</v>
      </c>
      <c r="AX295" s="26" t="str">
        <f t="shared" si="507"/>
        <v>R</v>
      </c>
      <c r="AY295" s="67">
        <v>26.0</v>
      </c>
      <c r="AZ295" s="37" t="str">
        <f t="shared" si="508"/>
        <v>S</v>
      </c>
      <c r="BA295" s="66">
        <v>32.0</v>
      </c>
      <c r="BB295" s="36" t="str">
        <f t="shared" si="509"/>
        <v>S</v>
      </c>
      <c r="BC295" s="39" t="s">
        <v>357</v>
      </c>
      <c r="BD295" s="39" t="s">
        <v>357</v>
      </c>
      <c r="BE295" s="66">
        <v>26.0</v>
      </c>
      <c r="BF295" s="36" t="str">
        <f t="shared" si="510"/>
        <v>S</v>
      </c>
      <c r="BG295" s="68">
        <v>14.0</v>
      </c>
      <c r="BH295" s="41" t="str">
        <f t="shared" si="511"/>
        <v>R</v>
      </c>
      <c r="BI295" s="41"/>
    </row>
    <row r="296">
      <c r="A296" s="51" t="s">
        <v>879</v>
      </c>
      <c r="B296" s="51" t="s">
        <v>444</v>
      </c>
      <c r="C296" s="51" t="s">
        <v>1581</v>
      </c>
      <c r="D296" s="69" t="s">
        <v>190</v>
      </c>
      <c r="E296" s="18" t="s">
        <v>190</v>
      </c>
      <c r="F296" s="18" t="s">
        <v>192</v>
      </c>
      <c r="G296" s="63" t="s">
        <v>1582</v>
      </c>
      <c r="H296" s="22" t="s">
        <v>198</v>
      </c>
      <c r="I296" s="28">
        <v>6.0</v>
      </c>
      <c r="J296" s="26" t="str">
        <f t="shared" si="489"/>
        <v>R</v>
      </c>
      <c r="K296" s="28">
        <v>19.0</v>
      </c>
      <c r="L296" s="26" t="str">
        <f t="shared" si="490"/>
        <v>S</v>
      </c>
      <c r="M296" s="28">
        <v>6.0</v>
      </c>
      <c r="N296" s="26" t="str">
        <f t="shared" si="491"/>
        <v>R</v>
      </c>
      <c r="O296" s="28">
        <v>23.0</v>
      </c>
      <c r="P296" s="26" t="str">
        <f t="shared" si="492"/>
        <v>S</v>
      </c>
      <c r="Q296" s="28">
        <v>11.0</v>
      </c>
      <c r="R296" s="26" t="str">
        <f t="shared" si="493"/>
        <v>R</v>
      </c>
      <c r="S296" s="28">
        <v>23.0</v>
      </c>
      <c r="T296" s="26" t="str">
        <f t="shared" si="494"/>
        <v>S</v>
      </c>
      <c r="U296" s="28">
        <v>24.0</v>
      </c>
      <c r="V296" s="26" t="str">
        <f t="shared" si="495"/>
        <v>S</v>
      </c>
      <c r="W296" s="32" t="s">
        <v>299</v>
      </c>
      <c r="X296" s="65">
        <v>17.0</v>
      </c>
      <c r="Y296" s="33" t="str">
        <f t="shared" si="496"/>
        <v>I</v>
      </c>
      <c r="Z296" s="65">
        <v>24.0</v>
      </c>
      <c r="AA296" s="33" t="str">
        <f t="shared" si="497"/>
        <v>S</v>
      </c>
      <c r="AB296" s="65">
        <v>21.0</v>
      </c>
      <c r="AC296" s="33" t="str">
        <f t="shared" si="498"/>
        <v>I</v>
      </c>
      <c r="AD296" s="65">
        <v>24.0</v>
      </c>
      <c r="AE296" s="33" t="str">
        <f t="shared" si="499"/>
        <v>S</v>
      </c>
      <c r="AF296" s="65">
        <v>22.0</v>
      </c>
      <c r="AG296" s="33" t="str">
        <f t="shared" si="500"/>
        <v>R</v>
      </c>
      <c r="AH296" s="65" t="s">
        <v>299</v>
      </c>
      <c r="AI296" s="66">
        <v>23.0</v>
      </c>
      <c r="AJ296" s="36" t="str">
        <f t="shared" si="501"/>
        <v>I</v>
      </c>
      <c r="AK296" s="66">
        <v>15.0</v>
      </c>
      <c r="AL296" s="36" t="str">
        <f t="shared" si="502"/>
        <v>R</v>
      </c>
      <c r="AM296" s="66">
        <v>14.0</v>
      </c>
      <c r="AN296" s="36" t="str">
        <f t="shared" si="503"/>
        <v>S</v>
      </c>
      <c r="AO296" s="66" t="s">
        <v>299</v>
      </c>
      <c r="AP296" s="67">
        <v>15.0</v>
      </c>
      <c r="AQ296" s="37" t="str">
        <f t="shared" si="504"/>
        <v>S</v>
      </c>
      <c r="AR296" s="65">
        <v>24.0</v>
      </c>
      <c r="AS296" s="33" t="str">
        <f t="shared" si="505"/>
        <v>S</v>
      </c>
      <c r="AT296" s="65">
        <v>24.0</v>
      </c>
      <c r="AU296" s="33" t="str">
        <f t="shared" si="506"/>
        <v>S</v>
      </c>
      <c r="AV296" s="33" t="s">
        <v>300</v>
      </c>
      <c r="AW296" s="28">
        <v>6.0</v>
      </c>
      <c r="AX296" s="26" t="str">
        <f t="shared" si="507"/>
        <v>R</v>
      </c>
      <c r="AY296" s="67">
        <v>26.0</v>
      </c>
      <c r="AZ296" s="37" t="str">
        <f t="shared" si="508"/>
        <v>S</v>
      </c>
      <c r="BA296" s="66">
        <v>32.0</v>
      </c>
      <c r="BB296" s="36" t="str">
        <f t="shared" si="509"/>
        <v>S</v>
      </c>
      <c r="BC296" s="39" t="s">
        <v>357</v>
      </c>
      <c r="BD296" s="39" t="s">
        <v>357</v>
      </c>
      <c r="BE296" s="66">
        <v>26.0</v>
      </c>
      <c r="BF296" s="36" t="str">
        <f t="shared" si="510"/>
        <v>S</v>
      </c>
      <c r="BG296" s="68">
        <v>14.0</v>
      </c>
      <c r="BH296" s="41" t="str">
        <f t="shared" si="511"/>
        <v>R</v>
      </c>
      <c r="BI296" s="41"/>
    </row>
    <row r="297">
      <c r="A297" s="51" t="s">
        <v>879</v>
      </c>
      <c r="B297" s="53">
        <v>155.0</v>
      </c>
      <c r="C297" s="51" t="s">
        <v>1583</v>
      </c>
      <c r="D297" s="69" t="s">
        <v>571</v>
      </c>
      <c r="E297" s="18" t="s">
        <v>572</v>
      </c>
      <c r="F297" s="18" t="s">
        <v>192</v>
      </c>
      <c r="G297" s="63" t="s">
        <v>1584</v>
      </c>
      <c r="H297" s="52" t="s">
        <v>581</v>
      </c>
      <c r="I297" s="28">
        <v>6.0</v>
      </c>
      <c r="J297" s="26" t="str">
        <f t="shared" si="489"/>
        <v>R</v>
      </c>
      <c r="K297" s="28">
        <v>17.0</v>
      </c>
      <c r="L297" s="26" t="str">
        <f t="shared" si="490"/>
        <v>R</v>
      </c>
      <c r="M297" s="28">
        <v>6.0</v>
      </c>
      <c r="N297" s="26" t="str">
        <f t="shared" si="491"/>
        <v>R</v>
      </c>
      <c r="O297" s="28">
        <v>21.0</v>
      </c>
      <c r="P297" s="26" t="str">
        <f t="shared" si="492"/>
        <v>I</v>
      </c>
      <c r="Q297" s="28">
        <v>6.0</v>
      </c>
      <c r="R297" s="26" t="str">
        <f t="shared" si="493"/>
        <v>R</v>
      </c>
      <c r="S297" s="28">
        <v>16.0</v>
      </c>
      <c r="T297" s="26" t="str">
        <f t="shared" si="494"/>
        <v>R</v>
      </c>
      <c r="U297" s="28">
        <v>18.0</v>
      </c>
      <c r="V297" s="26" t="str">
        <f t="shared" si="495"/>
        <v>I</v>
      </c>
      <c r="W297" s="32" t="s">
        <v>299</v>
      </c>
      <c r="X297" s="65">
        <v>6.0</v>
      </c>
      <c r="Y297" s="33" t="str">
        <f t="shared" si="496"/>
        <v>R</v>
      </c>
      <c r="Z297" s="65">
        <v>21.0</v>
      </c>
      <c r="AA297" s="33" t="str">
        <f t="shared" si="497"/>
        <v>S</v>
      </c>
      <c r="AB297" s="65">
        <v>6.0</v>
      </c>
      <c r="AC297" s="33" t="str">
        <f t="shared" si="498"/>
        <v>R</v>
      </c>
      <c r="AD297" s="65">
        <v>6.0</v>
      </c>
      <c r="AE297" s="33" t="str">
        <f t="shared" si="499"/>
        <v>R</v>
      </c>
      <c r="AF297" s="65">
        <v>11.0</v>
      </c>
      <c r="AG297" s="33" t="str">
        <f t="shared" si="500"/>
        <v>R</v>
      </c>
      <c r="AH297" s="65" t="s">
        <v>299</v>
      </c>
      <c r="AI297" s="66">
        <v>6.0</v>
      </c>
      <c r="AJ297" s="36" t="str">
        <f t="shared" si="501"/>
        <v>R</v>
      </c>
      <c r="AK297" s="66">
        <v>6.0</v>
      </c>
      <c r="AL297" s="36" t="str">
        <f t="shared" si="502"/>
        <v>R</v>
      </c>
      <c r="AM297" s="66">
        <v>6.0</v>
      </c>
      <c r="AN297" s="36" t="str">
        <f t="shared" si="503"/>
        <v>R</v>
      </c>
      <c r="AO297" s="66" t="s">
        <v>299</v>
      </c>
      <c r="AP297" s="67">
        <v>6.0</v>
      </c>
      <c r="AQ297" s="37" t="str">
        <f t="shared" si="504"/>
        <v>R</v>
      </c>
      <c r="AR297" s="65">
        <v>16.0</v>
      </c>
      <c r="AS297" s="33" t="str">
        <f t="shared" si="505"/>
        <v>R</v>
      </c>
      <c r="AT297" s="65">
        <v>13.0</v>
      </c>
      <c r="AU297" s="33" t="str">
        <f t="shared" si="506"/>
        <v>R</v>
      </c>
      <c r="AV297" s="65" t="s">
        <v>299</v>
      </c>
      <c r="AW297" s="28">
        <v>6.0</v>
      </c>
      <c r="AX297" s="26" t="str">
        <f t="shared" si="507"/>
        <v>R</v>
      </c>
      <c r="AY297" s="67">
        <v>13.0</v>
      </c>
      <c r="AZ297" s="37" t="str">
        <f t="shared" si="508"/>
        <v>R</v>
      </c>
      <c r="BA297" s="66">
        <v>22.0</v>
      </c>
      <c r="BB297" s="36" t="str">
        <f t="shared" si="509"/>
        <v>R</v>
      </c>
      <c r="BC297" s="39" t="s">
        <v>357</v>
      </c>
      <c r="BD297" s="39" t="s">
        <v>357</v>
      </c>
      <c r="BE297" s="66">
        <v>23.0</v>
      </c>
      <c r="BF297" s="36" t="str">
        <f t="shared" si="510"/>
        <v>S</v>
      </c>
      <c r="BG297" s="68">
        <v>17.0</v>
      </c>
      <c r="BH297" s="41" t="str">
        <f t="shared" si="511"/>
        <v>S</v>
      </c>
      <c r="BI297" s="41"/>
    </row>
    <row r="298">
      <c r="A298" s="51" t="s">
        <v>879</v>
      </c>
      <c r="B298" s="51" t="s">
        <v>444</v>
      </c>
      <c r="C298" s="51" t="s">
        <v>1585</v>
      </c>
      <c r="D298" s="69" t="s">
        <v>571</v>
      </c>
      <c r="E298" s="18" t="s">
        <v>572</v>
      </c>
      <c r="F298" s="18" t="s">
        <v>192</v>
      </c>
      <c r="G298" s="63" t="s">
        <v>1586</v>
      </c>
      <c r="H298" s="52" t="s">
        <v>581</v>
      </c>
      <c r="I298" s="28">
        <v>6.0</v>
      </c>
      <c r="J298" s="26" t="str">
        <f t="shared" si="489"/>
        <v>R</v>
      </c>
      <c r="K298" s="28">
        <v>17.0</v>
      </c>
      <c r="L298" s="26" t="str">
        <f t="shared" si="490"/>
        <v>R</v>
      </c>
      <c r="M298" s="28">
        <v>6.0</v>
      </c>
      <c r="N298" s="26" t="str">
        <f t="shared" si="491"/>
        <v>R</v>
      </c>
      <c r="O298" s="28">
        <v>21.0</v>
      </c>
      <c r="P298" s="26" t="str">
        <f t="shared" si="492"/>
        <v>I</v>
      </c>
      <c r="Q298" s="28">
        <v>6.0</v>
      </c>
      <c r="R298" s="26" t="str">
        <f t="shared" si="493"/>
        <v>R</v>
      </c>
      <c r="S298" s="28">
        <v>16.0</v>
      </c>
      <c r="T298" s="26" t="str">
        <f t="shared" si="494"/>
        <v>R</v>
      </c>
      <c r="U298" s="28">
        <v>18.0</v>
      </c>
      <c r="V298" s="26" t="str">
        <f t="shared" si="495"/>
        <v>I</v>
      </c>
      <c r="W298" s="32" t="s">
        <v>299</v>
      </c>
      <c r="X298" s="65">
        <v>6.0</v>
      </c>
      <c r="Y298" s="33" t="str">
        <f t="shared" si="496"/>
        <v>R</v>
      </c>
      <c r="Z298" s="65">
        <v>20.0</v>
      </c>
      <c r="AA298" s="33" t="str">
        <f t="shared" si="497"/>
        <v>S</v>
      </c>
      <c r="AB298" s="65">
        <v>6.0</v>
      </c>
      <c r="AC298" s="33" t="str">
        <f t="shared" si="498"/>
        <v>R</v>
      </c>
      <c r="AD298" s="65">
        <v>6.0</v>
      </c>
      <c r="AE298" s="33" t="str">
        <f t="shared" si="499"/>
        <v>R</v>
      </c>
      <c r="AF298" s="65">
        <v>11.0</v>
      </c>
      <c r="AG298" s="33" t="str">
        <f t="shared" si="500"/>
        <v>R</v>
      </c>
      <c r="AH298" s="65" t="s">
        <v>299</v>
      </c>
      <c r="AI298" s="66">
        <v>6.0</v>
      </c>
      <c r="AJ298" s="36" t="str">
        <f t="shared" si="501"/>
        <v>R</v>
      </c>
      <c r="AK298" s="66">
        <v>6.0</v>
      </c>
      <c r="AL298" s="36" t="str">
        <f t="shared" si="502"/>
        <v>R</v>
      </c>
      <c r="AM298" s="66">
        <v>6.0</v>
      </c>
      <c r="AN298" s="36" t="str">
        <f t="shared" si="503"/>
        <v>R</v>
      </c>
      <c r="AO298" s="66" t="s">
        <v>299</v>
      </c>
      <c r="AP298" s="67">
        <v>6.0</v>
      </c>
      <c r="AQ298" s="37" t="str">
        <f t="shared" si="504"/>
        <v>R</v>
      </c>
      <c r="AR298" s="65">
        <v>15.0</v>
      </c>
      <c r="AS298" s="33" t="str">
        <f t="shared" si="505"/>
        <v>R</v>
      </c>
      <c r="AT298" s="65">
        <v>13.0</v>
      </c>
      <c r="AU298" s="33" t="str">
        <f t="shared" si="506"/>
        <v>R</v>
      </c>
      <c r="AV298" s="65" t="s">
        <v>299</v>
      </c>
      <c r="AW298" s="28">
        <v>6.0</v>
      </c>
      <c r="AX298" s="26" t="str">
        <f t="shared" si="507"/>
        <v>R</v>
      </c>
      <c r="AY298" s="67">
        <v>13.0</v>
      </c>
      <c r="AZ298" s="37" t="str">
        <f t="shared" si="508"/>
        <v>R</v>
      </c>
      <c r="BA298" s="66">
        <v>22.0</v>
      </c>
      <c r="BB298" s="36" t="str">
        <f t="shared" si="509"/>
        <v>R</v>
      </c>
      <c r="BC298" s="39" t="s">
        <v>357</v>
      </c>
      <c r="BD298" s="39" t="s">
        <v>357</v>
      </c>
      <c r="BE298" s="66">
        <v>23.0</v>
      </c>
      <c r="BF298" s="36" t="str">
        <f t="shared" si="510"/>
        <v>S</v>
      </c>
      <c r="BG298" s="68">
        <v>17.0</v>
      </c>
      <c r="BH298" s="41" t="str">
        <f t="shared" si="511"/>
        <v>S</v>
      </c>
      <c r="BI298" s="41"/>
    </row>
    <row r="299">
      <c r="A299" s="51" t="s">
        <v>879</v>
      </c>
      <c r="B299" s="51" t="s">
        <v>444</v>
      </c>
      <c r="C299" s="51" t="s">
        <v>1587</v>
      </c>
      <c r="D299" s="69" t="s">
        <v>571</v>
      </c>
      <c r="E299" s="18" t="s">
        <v>572</v>
      </c>
      <c r="F299" s="18" t="s">
        <v>192</v>
      </c>
      <c r="G299" s="63" t="s">
        <v>1588</v>
      </c>
      <c r="H299" s="52" t="s">
        <v>581</v>
      </c>
      <c r="I299" s="28">
        <v>6.0</v>
      </c>
      <c r="J299" s="26" t="str">
        <f t="shared" si="489"/>
        <v>R</v>
      </c>
      <c r="K299" s="28">
        <v>18.0</v>
      </c>
      <c r="L299" s="26" t="str">
        <f t="shared" si="490"/>
        <v>R</v>
      </c>
      <c r="M299" s="28">
        <v>6.0</v>
      </c>
      <c r="N299" s="26" t="str">
        <f t="shared" si="491"/>
        <v>R</v>
      </c>
      <c r="O299" s="28">
        <v>21.0</v>
      </c>
      <c r="P299" s="26" t="str">
        <f t="shared" si="492"/>
        <v>I</v>
      </c>
      <c r="Q299" s="28">
        <v>6.0</v>
      </c>
      <c r="R299" s="26" t="str">
        <f t="shared" si="493"/>
        <v>R</v>
      </c>
      <c r="S299" s="28">
        <v>16.0</v>
      </c>
      <c r="T299" s="26" t="str">
        <f t="shared" si="494"/>
        <v>R</v>
      </c>
      <c r="U299" s="28">
        <v>18.0</v>
      </c>
      <c r="V299" s="26" t="str">
        <f t="shared" si="495"/>
        <v>I</v>
      </c>
      <c r="W299" s="32" t="s">
        <v>299</v>
      </c>
      <c r="X299" s="65">
        <v>6.0</v>
      </c>
      <c r="Y299" s="33" t="str">
        <f t="shared" si="496"/>
        <v>R</v>
      </c>
      <c r="Z299" s="65">
        <v>20.0</v>
      </c>
      <c r="AA299" s="33" t="str">
        <f t="shared" si="497"/>
        <v>S</v>
      </c>
      <c r="AB299" s="65">
        <v>6.0</v>
      </c>
      <c r="AC299" s="33" t="str">
        <f t="shared" si="498"/>
        <v>R</v>
      </c>
      <c r="AD299" s="65">
        <v>6.0</v>
      </c>
      <c r="AE299" s="33" t="str">
        <f t="shared" si="499"/>
        <v>R</v>
      </c>
      <c r="AF299" s="65">
        <v>11.0</v>
      </c>
      <c r="AG299" s="33" t="str">
        <f t="shared" si="500"/>
        <v>R</v>
      </c>
      <c r="AH299" s="65" t="s">
        <v>299</v>
      </c>
      <c r="AI299" s="66">
        <v>6.0</v>
      </c>
      <c r="AJ299" s="36" t="str">
        <f t="shared" si="501"/>
        <v>R</v>
      </c>
      <c r="AK299" s="66">
        <v>6.0</v>
      </c>
      <c r="AL299" s="36" t="str">
        <f t="shared" si="502"/>
        <v>R</v>
      </c>
      <c r="AM299" s="66">
        <v>6.0</v>
      </c>
      <c r="AN299" s="36" t="str">
        <f t="shared" si="503"/>
        <v>R</v>
      </c>
      <c r="AO299" s="66" t="s">
        <v>299</v>
      </c>
      <c r="AP299" s="67">
        <v>6.0</v>
      </c>
      <c r="AQ299" s="37" t="str">
        <f t="shared" si="504"/>
        <v>R</v>
      </c>
      <c r="AR299" s="65">
        <v>15.0</v>
      </c>
      <c r="AS299" s="33" t="str">
        <f t="shared" si="505"/>
        <v>R</v>
      </c>
      <c r="AT299" s="65">
        <v>13.0</v>
      </c>
      <c r="AU299" s="33" t="str">
        <f t="shared" si="506"/>
        <v>R</v>
      </c>
      <c r="AV299" s="65" t="s">
        <v>299</v>
      </c>
      <c r="AW299" s="28">
        <v>6.0</v>
      </c>
      <c r="AX299" s="26" t="str">
        <f t="shared" si="507"/>
        <v>R</v>
      </c>
      <c r="AY299" s="67">
        <v>13.0</v>
      </c>
      <c r="AZ299" s="37" t="str">
        <f t="shared" si="508"/>
        <v>R</v>
      </c>
      <c r="BA299" s="66">
        <v>22.0</v>
      </c>
      <c r="BB299" s="36" t="str">
        <f t="shared" si="509"/>
        <v>R</v>
      </c>
      <c r="BC299" s="39" t="s">
        <v>357</v>
      </c>
      <c r="BD299" s="39" t="s">
        <v>357</v>
      </c>
      <c r="BE299" s="66">
        <v>23.0</v>
      </c>
      <c r="BF299" s="36" t="str">
        <f t="shared" si="510"/>
        <v>S</v>
      </c>
      <c r="BG299" s="68">
        <v>17.0</v>
      </c>
      <c r="BH299" s="41" t="str">
        <f t="shared" si="511"/>
        <v>S</v>
      </c>
      <c r="BI299" s="41"/>
    </row>
    <row r="300">
      <c r="A300" s="51" t="s">
        <v>879</v>
      </c>
      <c r="B300" s="53">
        <v>156.0</v>
      </c>
      <c r="C300" s="51" t="s">
        <v>1589</v>
      </c>
      <c r="D300" s="69" t="s">
        <v>1206</v>
      </c>
      <c r="E300" s="18" t="s">
        <v>103</v>
      </c>
      <c r="F300" s="18" t="s">
        <v>192</v>
      </c>
      <c r="G300" s="63" t="s">
        <v>1590</v>
      </c>
      <c r="H300" s="72" t="s">
        <v>1163</v>
      </c>
      <c r="I300" s="28">
        <v>15.0</v>
      </c>
      <c r="J300" s="26" t="str">
        <f t="shared" si="489"/>
        <v>R</v>
      </c>
      <c r="K300" s="28">
        <v>22.0</v>
      </c>
      <c r="L300" s="26" t="str">
        <f t="shared" si="490"/>
        <v>S</v>
      </c>
      <c r="M300" s="28">
        <v>21.0</v>
      </c>
      <c r="N300" s="26" t="str">
        <f t="shared" si="491"/>
        <v>R</v>
      </c>
      <c r="O300" s="28">
        <v>25.0</v>
      </c>
      <c r="P300" s="26" t="str">
        <f t="shared" si="492"/>
        <v>S</v>
      </c>
      <c r="Q300" s="28">
        <v>20.0</v>
      </c>
      <c r="R300" s="26" t="str">
        <f t="shared" si="493"/>
        <v>S</v>
      </c>
      <c r="S300" s="28">
        <v>18.0</v>
      </c>
      <c r="T300" s="26" t="str">
        <f t="shared" si="494"/>
        <v>R</v>
      </c>
      <c r="U300" s="28">
        <v>18.0</v>
      </c>
      <c r="V300" s="26" t="str">
        <f t="shared" si="495"/>
        <v>I</v>
      </c>
      <c r="W300" s="32" t="s">
        <v>299</v>
      </c>
      <c r="X300" s="65">
        <v>16.0</v>
      </c>
      <c r="Y300" s="33" t="str">
        <f t="shared" si="496"/>
        <v>R</v>
      </c>
      <c r="Z300" s="65">
        <v>21.0</v>
      </c>
      <c r="AA300" s="33" t="str">
        <f t="shared" si="497"/>
        <v>S</v>
      </c>
      <c r="AB300" s="65">
        <v>12.0</v>
      </c>
      <c r="AC300" s="33" t="str">
        <f t="shared" si="498"/>
        <v>R</v>
      </c>
      <c r="AD300" s="65">
        <v>13.0</v>
      </c>
      <c r="AE300" s="33" t="str">
        <f t="shared" si="499"/>
        <v>S</v>
      </c>
      <c r="AF300" s="65">
        <v>19.0</v>
      </c>
      <c r="AG300" s="33" t="str">
        <f t="shared" si="500"/>
        <v>R</v>
      </c>
      <c r="AH300" s="65" t="s">
        <v>299</v>
      </c>
      <c r="AI300" s="66">
        <v>21.0</v>
      </c>
      <c r="AJ300" s="36" t="str">
        <f t="shared" si="501"/>
        <v>R</v>
      </c>
      <c r="AK300" s="66">
        <v>21.0</v>
      </c>
      <c r="AL300" s="36" t="str">
        <f t="shared" si="502"/>
        <v>I</v>
      </c>
      <c r="AM300" s="66">
        <v>12.0</v>
      </c>
      <c r="AN300" s="36" t="str">
        <f t="shared" si="503"/>
        <v>R</v>
      </c>
      <c r="AO300" s="66" t="s">
        <v>299</v>
      </c>
      <c r="AP300" s="67">
        <v>19.0</v>
      </c>
      <c r="AQ300" s="37" t="str">
        <f t="shared" si="504"/>
        <v>S</v>
      </c>
      <c r="AR300" s="65">
        <v>22.0</v>
      </c>
      <c r="AS300" s="33" t="str">
        <f t="shared" si="505"/>
        <v>S</v>
      </c>
      <c r="AT300" s="65">
        <v>22.0</v>
      </c>
      <c r="AU300" s="33" t="str">
        <f t="shared" si="506"/>
        <v>S</v>
      </c>
      <c r="AV300" s="33" t="s">
        <v>300</v>
      </c>
      <c r="AW300" s="28">
        <v>15.0</v>
      </c>
      <c r="AX300" s="26" t="str">
        <f t="shared" si="507"/>
        <v>R</v>
      </c>
      <c r="AY300" s="67">
        <v>6.0</v>
      </c>
      <c r="AZ300" s="37" t="str">
        <f t="shared" si="508"/>
        <v>R</v>
      </c>
      <c r="BA300" s="66">
        <v>20.0</v>
      </c>
      <c r="BB300" s="36" t="str">
        <f t="shared" si="509"/>
        <v>R</v>
      </c>
      <c r="BC300" s="39" t="s">
        <v>357</v>
      </c>
      <c r="BD300" s="39" t="s">
        <v>357</v>
      </c>
      <c r="BE300" s="66">
        <v>23.0</v>
      </c>
      <c r="BF300" s="36" t="str">
        <f t="shared" si="510"/>
        <v>S</v>
      </c>
      <c r="BG300" s="68">
        <v>22.0</v>
      </c>
      <c r="BH300" s="41" t="str">
        <f t="shared" si="511"/>
        <v>S</v>
      </c>
      <c r="BI300" s="41"/>
    </row>
    <row r="301">
      <c r="A301" s="51" t="s">
        <v>879</v>
      </c>
      <c r="B301" s="51" t="s">
        <v>444</v>
      </c>
      <c r="C301" s="51" t="s">
        <v>1591</v>
      </c>
      <c r="D301" s="69" t="s">
        <v>1206</v>
      </c>
      <c r="E301" s="18" t="s">
        <v>103</v>
      </c>
      <c r="F301" s="18" t="s">
        <v>192</v>
      </c>
      <c r="G301" s="63" t="s">
        <v>1592</v>
      </c>
      <c r="H301" s="72" t="s">
        <v>1163</v>
      </c>
      <c r="I301" s="28">
        <v>14.0</v>
      </c>
      <c r="J301" s="26" t="str">
        <f t="shared" si="489"/>
        <v>R</v>
      </c>
      <c r="K301" s="28">
        <v>22.0</v>
      </c>
      <c r="L301" s="26" t="str">
        <f t="shared" si="490"/>
        <v>S</v>
      </c>
      <c r="M301" s="28">
        <v>21.0</v>
      </c>
      <c r="N301" s="26" t="str">
        <f t="shared" si="491"/>
        <v>R</v>
      </c>
      <c r="O301" s="28">
        <v>25.0</v>
      </c>
      <c r="P301" s="26" t="str">
        <f t="shared" si="492"/>
        <v>S</v>
      </c>
      <c r="Q301" s="28">
        <v>20.0</v>
      </c>
      <c r="R301" s="26" t="str">
        <f t="shared" si="493"/>
        <v>S</v>
      </c>
      <c r="S301" s="28">
        <v>18.0</v>
      </c>
      <c r="T301" s="26" t="str">
        <f t="shared" si="494"/>
        <v>R</v>
      </c>
      <c r="U301" s="28">
        <v>18.0</v>
      </c>
      <c r="V301" s="26" t="str">
        <f t="shared" si="495"/>
        <v>I</v>
      </c>
      <c r="W301" s="32" t="s">
        <v>299</v>
      </c>
      <c r="X301" s="65">
        <v>16.0</v>
      </c>
      <c r="Y301" s="33" t="str">
        <f t="shared" si="496"/>
        <v>R</v>
      </c>
      <c r="Z301" s="65">
        <v>20.0</v>
      </c>
      <c r="AA301" s="33" t="str">
        <f t="shared" si="497"/>
        <v>S</v>
      </c>
      <c r="AB301" s="65">
        <v>12.0</v>
      </c>
      <c r="AC301" s="33" t="str">
        <f t="shared" si="498"/>
        <v>R</v>
      </c>
      <c r="AD301" s="65">
        <v>13.0</v>
      </c>
      <c r="AE301" s="33" t="str">
        <f t="shared" si="499"/>
        <v>S</v>
      </c>
      <c r="AF301" s="65">
        <v>19.0</v>
      </c>
      <c r="AG301" s="33" t="str">
        <f t="shared" si="500"/>
        <v>R</v>
      </c>
      <c r="AH301" s="65" t="s">
        <v>299</v>
      </c>
      <c r="AI301" s="66">
        <v>21.0</v>
      </c>
      <c r="AJ301" s="36" t="str">
        <f t="shared" si="501"/>
        <v>R</v>
      </c>
      <c r="AK301" s="66">
        <v>21.0</v>
      </c>
      <c r="AL301" s="36" t="str">
        <f t="shared" si="502"/>
        <v>I</v>
      </c>
      <c r="AM301" s="66">
        <v>12.0</v>
      </c>
      <c r="AN301" s="36" t="str">
        <f t="shared" si="503"/>
        <v>R</v>
      </c>
      <c r="AO301" s="66" t="s">
        <v>299</v>
      </c>
      <c r="AP301" s="67">
        <v>19.0</v>
      </c>
      <c r="AQ301" s="37" t="str">
        <f t="shared" si="504"/>
        <v>S</v>
      </c>
      <c r="AR301" s="65">
        <v>20.0</v>
      </c>
      <c r="AS301" s="33" t="str">
        <f t="shared" si="505"/>
        <v>S</v>
      </c>
      <c r="AT301" s="65">
        <v>22.0</v>
      </c>
      <c r="AU301" s="33" t="str">
        <f t="shared" si="506"/>
        <v>S</v>
      </c>
      <c r="AV301" s="33" t="s">
        <v>300</v>
      </c>
      <c r="AW301" s="28">
        <v>15.0</v>
      </c>
      <c r="AX301" s="26" t="str">
        <f t="shared" si="507"/>
        <v>R</v>
      </c>
      <c r="AY301" s="67">
        <v>6.0</v>
      </c>
      <c r="AZ301" s="37" t="str">
        <f t="shared" si="508"/>
        <v>R</v>
      </c>
      <c r="BA301" s="66">
        <v>20.0</v>
      </c>
      <c r="BB301" s="36" t="str">
        <f t="shared" si="509"/>
        <v>R</v>
      </c>
      <c r="BC301" s="39" t="s">
        <v>357</v>
      </c>
      <c r="BD301" s="39" t="s">
        <v>357</v>
      </c>
      <c r="BE301" s="66">
        <v>23.0</v>
      </c>
      <c r="BF301" s="36" t="str">
        <f t="shared" si="510"/>
        <v>S</v>
      </c>
      <c r="BG301" s="68">
        <v>22.0</v>
      </c>
      <c r="BH301" s="41" t="str">
        <f t="shared" si="511"/>
        <v>S</v>
      </c>
      <c r="BI301" s="41"/>
    </row>
    <row r="302">
      <c r="A302" s="51" t="s">
        <v>879</v>
      </c>
      <c r="B302" s="51" t="s">
        <v>444</v>
      </c>
      <c r="C302" s="51" t="s">
        <v>1593</v>
      </c>
      <c r="D302" s="69" t="s">
        <v>1206</v>
      </c>
      <c r="E302" s="18" t="s">
        <v>103</v>
      </c>
      <c r="F302" s="18" t="s">
        <v>192</v>
      </c>
      <c r="G302" s="63" t="s">
        <v>1594</v>
      </c>
      <c r="H302" s="72" t="s">
        <v>1163</v>
      </c>
      <c r="I302" s="28">
        <v>15.0</v>
      </c>
      <c r="J302" s="26" t="str">
        <f t="shared" si="489"/>
        <v>R</v>
      </c>
      <c r="K302" s="28">
        <v>22.0</v>
      </c>
      <c r="L302" s="26" t="str">
        <f t="shared" si="490"/>
        <v>S</v>
      </c>
      <c r="M302" s="28">
        <v>21.0</v>
      </c>
      <c r="N302" s="26" t="str">
        <f t="shared" si="491"/>
        <v>R</v>
      </c>
      <c r="O302" s="28">
        <v>25.0</v>
      </c>
      <c r="P302" s="26" t="str">
        <f t="shared" si="492"/>
        <v>S</v>
      </c>
      <c r="Q302" s="28">
        <v>20.0</v>
      </c>
      <c r="R302" s="26" t="str">
        <f t="shared" si="493"/>
        <v>S</v>
      </c>
      <c r="S302" s="28">
        <v>18.0</v>
      </c>
      <c r="T302" s="26" t="str">
        <f t="shared" si="494"/>
        <v>R</v>
      </c>
      <c r="U302" s="28">
        <v>18.0</v>
      </c>
      <c r="V302" s="26" t="str">
        <f t="shared" si="495"/>
        <v>I</v>
      </c>
      <c r="W302" s="32" t="s">
        <v>299</v>
      </c>
      <c r="X302" s="65">
        <v>16.0</v>
      </c>
      <c r="Y302" s="33" t="str">
        <f t="shared" si="496"/>
        <v>R</v>
      </c>
      <c r="Z302" s="65">
        <v>21.0</v>
      </c>
      <c r="AA302" s="33" t="str">
        <f t="shared" si="497"/>
        <v>S</v>
      </c>
      <c r="AB302" s="65">
        <v>12.0</v>
      </c>
      <c r="AC302" s="33" t="str">
        <f t="shared" si="498"/>
        <v>R</v>
      </c>
      <c r="AD302" s="65">
        <v>13.0</v>
      </c>
      <c r="AE302" s="33" t="str">
        <f t="shared" si="499"/>
        <v>S</v>
      </c>
      <c r="AF302" s="65">
        <v>19.0</v>
      </c>
      <c r="AG302" s="33" t="str">
        <f t="shared" si="500"/>
        <v>R</v>
      </c>
      <c r="AH302" s="65" t="s">
        <v>299</v>
      </c>
      <c r="AI302" s="66">
        <v>21.0</v>
      </c>
      <c r="AJ302" s="36" t="str">
        <f t="shared" si="501"/>
        <v>R</v>
      </c>
      <c r="AK302" s="66">
        <v>21.0</v>
      </c>
      <c r="AL302" s="36" t="str">
        <f t="shared" si="502"/>
        <v>I</v>
      </c>
      <c r="AM302" s="66">
        <v>12.0</v>
      </c>
      <c r="AN302" s="36" t="str">
        <f t="shared" si="503"/>
        <v>R</v>
      </c>
      <c r="AO302" s="66" t="s">
        <v>299</v>
      </c>
      <c r="AP302" s="67">
        <v>19.0</v>
      </c>
      <c r="AQ302" s="37" t="str">
        <f t="shared" si="504"/>
        <v>S</v>
      </c>
      <c r="AR302" s="65">
        <v>22.0</v>
      </c>
      <c r="AS302" s="33" t="str">
        <f t="shared" si="505"/>
        <v>S</v>
      </c>
      <c r="AT302" s="65">
        <v>22.0</v>
      </c>
      <c r="AU302" s="33" t="str">
        <f t="shared" si="506"/>
        <v>S</v>
      </c>
      <c r="AV302" s="33" t="s">
        <v>300</v>
      </c>
      <c r="AW302" s="28">
        <v>15.0</v>
      </c>
      <c r="AX302" s="26" t="str">
        <f t="shared" si="507"/>
        <v>R</v>
      </c>
      <c r="AY302" s="67">
        <v>6.0</v>
      </c>
      <c r="AZ302" s="37" t="str">
        <f t="shared" si="508"/>
        <v>R</v>
      </c>
      <c r="BA302" s="66">
        <v>20.0</v>
      </c>
      <c r="BB302" s="36" t="str">
        <f t="shared" si="509"/>
        <v>R</v>
      </c>
      <c r="BC302" s="39" t="s">
        <v>357</v>
      </c>
      <c r="BD302" s="39" t="s">
        <v>357</v>
      </c>
      <c r="BE302" s="66">
        <v>23.0</v>
      </c>
      <c r="BF302" s="36" t="str">
        <f t="shared" si="510"/>
        <v>S</v>
      </c>
      <c r="BG302" s="68">
        <v>22.0</v>
      </c>
      <c r="BH302" s="41" t="str">
        <f t="shared" si="511"/>
        <v>S</v>
      </c>
      <c r="BI302" s="41"/>
    </row>
    <row r="303">
      <c r="A303" s="51" t="s">
        <v>879</v>
      </c>
      <c r="B303" s="53">
        <v>157.0</v>
      </c>
      <c r="C303" s="51" t="s">
        <v>1595</v>
      </c>
      <c r="D303" s="69" t="s">
        <v>555</v>
      </c>
      <c r="E303" s="18" t="s">
        <v>103</v>
      </c>
      <c r="F303" s="18" t="s">
        <v>192</v>
      </c>
      <c r="G303" s="63" t="s">
        <v>1596</v>
      </c>
      <c r="H303" s="42" t="s">
        <v>479</v>
      </c>
      <c r="I303" s="28">
        <v>10.0</v>
      </c>
      <c r="J303" s="26" t="str">
        <f t="shared" si="489"/>
        <v>R</v>
      </c>
      <c r="K303" s="28">
        <v>14.0</v>
      </c>
      <c r="L303" s="26" t="str">
        <f t="shared" si="490"/>
        <v>R</v>
      </c>
      <c r="M303" s="28">
        <v>20.0</v>
      </c>
      <c r="N303" s="26" t="str">
        <f t="shared" si="491"/>
        <v>R</v>
      </c>
      <c r="O303" s="28">
        <v>23.0</v>
      </c>
      <c r="P303" s="26" t="str">
        <f t="shared" si="492"/>
        <v>S</v>
      </c>
      <c r="Q303" s="28">
        <v>6.0</v>
      </c>
      <c r="R303" s="26" t="str">
        <f t="shared" si="493"/>
        <v>R</v>
      </c>
      <c r="S303" s="28">
        <v>19.0</v>
      </c>
      <c r="T303" s="26" t="str">
        <f t="shared" si="494"/>
        <v>R</v>
      </c>
      <c r="U303" s="28">
        <v>6.0</v>
      </c>
      <c r="V303" s="26" t="str">
        <f t="shared" si="495"/>
        <v>R</v>
      </c>
      <c r="W303" s="32" t="s">
        <v>299</v>
      </c>
      <c r="X303" s="65">
        <v>12.0</v>
      </c>
      <c r="Y303" s="33" t="str">
        <f t="shared" si="496"/>
        <v>R</v>
      </c>
      <c r="Z303" s="65">
        <v>12.0</v>
      </c>
      <c r="AA303" s="33" t="str">
        <f t="shared" si="497"/>
        <v>R</v>
      </c>
      <c r="AB303" s="65">
        <v>9.0</v>
      </c>
      <c r="AC303" s="33" t="str">
        <f t="shared" si="498"/>
        <v>R</v>
      </c>
      <c r="AD303" s="65">
        <v>16.0</v>
      </c>
      <c r="AE303" s="33" t="str">
        <f t="shared" si="499"/>
        <v>S</v>
      </c>
      <c r="AF303" s="65">
        <v>12.0</v>
      </c>
      <c r="AG303" s="33" t="str">
        <f t="shared" si="500"/>
        <v>R</v>
      </c>
      <c r="AH303" s="65" t="s">
        <v>299</v>
      </c>
      <c r="AI303" s="66">
        <v>19.0</v>
      </c>
      <c r="AJ303" s="36" t="str">
        <f t="shared" si="501"/>
        <v>R</v>
      </c>
      <c r="AK303" s="66">
        <v>17.0</v>
      </c>
      <c r="AL303" s="36" t="str">
        <f t="shared" si="502"/>
        <v>R</v>
      </c>
      <c r="AM303" s="66">
        <v>16.0</v>
      </c>
      <c r="AN303" s="36" t="str">
        <f t="shared" si="503"/>
        <v>S</v>
      </c>
      <c r="AO303" s="66" t="s">
        <v>299</v>
      </c>
      <c r="AP303" s="67">
        <v>21.0</v>
      </c>
      <c r="AQ303" s="37" t="str">
        <f t="shared" si="504"/>
        <v>S</v>
      </c>
      <c r="AR303" s="65">
        <v>17.0</v>
      </c>
      <c r="AS303" s="33" t="str">
        <f t="shared" si="505"/>
        <v>R</v>
      </c>
      <c r="AT303" s="65">
        <v>16.0</v>
      </c>
      <c r="AU303" s="33" t="str">
        <f t="shared" si="506"/>
        <v>S</v>
      </c>
      <c r="AV303" s="65" t="s">
        <v>299</v>
      </c>
      <c r="AW303" s="28">
        <v>19.0</v>
      </c>
      <c r="AX303" s="26" t="str">
        <f t="shared" si="507"/>
        <v>R</v>
      </c>
      <c r="AY303" s="67">
        <v>10.0</v>
      </c>
      <c r="AZ303" s="37" t="str">
        <f t="shared" si="508"/>
        <v>R</v>
      </c>
      <c r="BA303" s="66">
        <v>19.0</v>
      </c>
      <c r="BB303" s="36" t="str">
        <f t="shared" si="509"/>
        <v>R</v>
      </c>
      <c r="BC303" s="39" t="s">
        <v>357</v>
      </c>
      <c r="BD303" s="39" t="s">
        <v>357</v>
      </c>
      <c r="BE303" s="66">
        <v>22.0</v>
      </c>
      <c r="BF303" s="36" t="str">
        <f t="shared" si="510"/>
        <v>S</v>
      </c>
      <c r="BG303" s="68">
        <v>19.0</v>
      </c>
      <c r="BH303" s="41" t="str">
        <f t="shared" si="511"/>
        <v>S</v>
      </c>
      <c r="BI303" s="41"/>
    </row>
    <row r="304">
      <c r="A304" s="51" t="s">
        <v>879</v>
      </c>
      <c r="B304" s="51" t="s">
        <v>444</v>
      </c>
      <c r="C304" s="51" t="s">
        <v>1597</v>
      </c>
      <c r="D304" s="69" t="s">
        <v>555</v>
      </c>
      <c r="E304" s="18" t="s">
        <v>103</v>
      </c>
      <c r="F304" s="18" t="s">
        <v>192</v>
      </c>
      <c r="G304" s="63" t="s">
        <v>1598</v>
      </c>
      <c r="H304" s="42" t="s">
        <v>479</v>
      </c>
      <c r="I304" s="28">
        <v>10.0</v>
      </c>
      <c r="J304" s="26" t="str">
        <f t="shared" si="489"/>
        <v>R</v>
      </c>
      <c r="K304" s="28">
        <v>14.0</v>
      </c>
      <c r="L304" s="26" t="str">
        <f t="shared" si="490"/>
        <v>R</v>
      </c>
      <c r="M304" s="28">
        <v>20.0</v>
      </c>
      <c r="N304" s="26" t="str">
        <f t="shared" si="491"/>
        <v>R</v>
      </c>
      <c r="O304" s="28">
        <v>23.0</v>
      </c>
      <c r="P304" s="26" t="str">
        <f t="shared" si="492"/>
        <v>S</v>
      </c>
      <c r="Q304" s="28">
        <v>6.0</v>
      </c>
      <c r="R304" s="26" t="str">
        <f t="shared" si="493"/>
        <v>R</v>
      </c>
      <c r="S304" s="28">
        <v>17.0</v>
      </c>
      <c r="T304" s="26" t="str">
        <f t="shared" si="494"/>
        <v>R</v>
      </c>
      <c r="U304" s="28">
        <v>6.0</v>
      </c>
      <c r="V304" s="26" t="str">
        <f t="shared" si="495"/>
        <v>R</v>
      </c>
      <c r="W304" s="32" t="s">
        <v>299</v>
      </c>
      <c r="X304" s="65">
        <v>11.0</v>
      </c>
      <c r="Y304" s="33" t="str">
        <f t="shared" si="496"/>
        <v>R</v>
      </c>
      <c r="Z304" s="65">
        <v>13.0</v>
      </c>
      <c r="AA304" s="33" t="str">
        <f t="shared" si="497"/>
        <v>R</v>
      </c>
      <c r="AB304" s="65">
        <v>6.0</v>
      </c>
      <c r="AC304" s="33" t="str">
        <f t="shared" si="498"/>
        <v>R</v>
      </c>
      <c r="AD304" s="65">
        <v>16.0</v>
      </c>
      <c r="AE304" s="33" t="str">
        <f t="shared" si="499"/>
        <v>S</v>
      </c>
      <c r="AF304" s="65">
        <v>12.0</v>
      </c>
      <c r="AG304" s="33" t="str">
        <f t="shared" si="500"/>
        <v>R</v>
      </c>
      <c r="AH304" s="65" t="s">
        <v>299</v>
      </c>
      <c r="AI304" s="66">
        <v>18.0</v>
      </c>
      <c r="AJ304" s="36" t="str">
        <f t="shared" si="501"/>
        <v>R</v>
      </c>
      <c r="AK304" s="66">
        <v>17.0</v>
      </c>
      <c r="AL304" s="36" t="str">
        <f t="shared" si="502"/>
        <v>R</v>
      </c>
      <c r="AM304" s="66">
        <v>18.0</v>
      </c>
      <c r="AN304" s="36" t="str">
        <f t="shared" si="503"/>
        <v>S</v>
      </c>
      <c r="AO304" s="66" t="s">
        <v>299</v>
      </c>
      <c r="AP304" s="67">
        <v>21.0</v>
      </c>
      <c r="AQ304" s="37" t="str">
        <f t="shared" si="504"/>
        <v>S</v>
      </c>
      <c r="AR304" s="65">
        <v>16.0</v>
      </c>
      <c r="AS304" s="33" t="str">
        <f t="shared" si="505"/>
        <v>R</v>
      </c>
      <c r="AT304" s="65">
        <v>16.0</v>
      </c>
      <c r="AU304" s="33" t="str">
        <f t="shared" si="506"/>
        <v>S</v>
      </c>
      <c r="AV304" s="65" t="s">
        <v>299</v>
      </c>
      <c r="AW304" s="28">
        <v>19.0</v>
      </c>
      <c r="AX304" s="26" t="str">
        <f t="shared" si="507"/>
        <v>R</v>
      </c>
      <c r="AY304" s="67">
        <v>11.0</v>
      </c>
      <c r="AZ304" s="37" t="str">
        <f t="shared" si="508"/>
        <v>R</v>
      </c>
      <c r="BA304" s="66">
        <v>19.0</v>
      </c>
      <c r="BB304" s="36" t="str">
        <f t="shared" si="509"/>
        <v>R</v>
      </c>
      <c r="BC304" s="39" t="s">
        <v>357</v>
      </c>
      <c r="BD304" s="39" t="s">
        <v>357</v>
      </c>
      <c r="BE304" s="66">
        <v>22.0</v>
      </c>
      <c r="BF304" s="36" t="str">
        <f t="shared" si="510"/>
        <v>S</v>
      </c>
      <c r="BG304" s="68">
        <v>20.0</v>
      </c>
      <c r="BH304" s="41" t="str">
        <f t="shared" si="511"/>
        <v>S</v>
      </c>
      <c r="BI304" s="41"/>
    </row>
    <row r="305">
      <c r="A305" s="51" t="s">
        <v>879</v>
      </c>
      <c r="B305" s="51" t="s">
        <v>444</v>
      </c>
      <c r="C305" s="51" t="s">
        <v>1599</v>
      </c>
      <c r="D305" s="69" t="s">
        <v>555</v>
      </c>
      <c r="E305" s="18" t="s">
        <v>103</v>
      </c>
      <c r="F305" s="18" t="s">
        <v>192</v>
      </c>
      <c r="G305" s="63" t="s">
        <v>1600</v>
      </c>
      <c r="H305" s="42" t="s">
        <v>479</v>
      </c>
      <c r="I305" s="28">
        <v>14.0</v>
      </c>
      <c r="J305" s="26" t="str">
        <f t="shared" si="489"/>
        <v>R</v>
      </c>
      <c r="K305" s="28">
        <v>14.0</v>
      </c>
      <c r="L305" s="26" t="str">
        <f t="shared" si="490"/>
        <v>R</v>
      </c>
      <c r="M305" s="28">
        <v>20.0</v>
      </c>
      <c r="N305" s="26" t="str">
        <f t="shared" si="491"/>
        <v>R</v>
      </c>
      <c r="O305" s="28">
        <v>23.0</v>
      </c>
      <c r="P305" s="26" t="str">
        <f t="shared" si="492"/>
        <v>S</v>
      </c>
      <c r="Q305" s="28">
        <v>6.0</v>
      </c>
      <c r="R305" s="26" t="str">
        <f t="shared" si="493"/>
        <v>R</v>
      </c>
      <c r="S305" s="28">
        <v>17.0</v>
      </c>
      <c r="T305" s="26" t="str">
        <f t="shared" si="494"/>
        <v>R</v>
      </c>
      <c r="U305" s="28">
        <v>6.0</v>
      </c>
      <c r="V305" s="26" t="str">
        <f t="shared" si="495"/>
        <v>R</v>
      </c>
      <c r="W305" s="32" t="s">
        <v>299</v>
      </c>
      <c r="X305" s="65">
        <v>11.0</v>
      </c>
      <c r="Y305" s="33" t="str">
        <f t="shared" si="496"/>
        <v>R</v>
      </c>
      <c r="Z305" s="65">
        <v>12.0</v>
      </c>
      <c r="AA305" s="33" t="str">
        <f t="shared" si="497"/>
        <v>R</v>
      </c>
      <c r="AB305" s="65">
        <v>6.0</v>
      </c>
      <c r="AC305" s="33" t="str">
        <f t="shared" si="498"/>
        <v>R</v>
      </c>
      <c r="AD305" s="65">
        <v>16.0</v>
      </c>
      <c r="AE305" s="33" t="str">
        <f t="shared" si="499"/>
        <v>S</v>
      </c>
      <c r="AF305" s="65">
        <v>14.0</v>
      </c>
      <c r="AG305" s="33" t="str">
        <f t="shared" si="500"/>
        <v>R</v>
      </c>
      <c r="AH305" s="65" t="s">
        <v>299</v>
      </c>
      <c r="AI305" s="66">
        <v>18.0</v>
      </c>
      <c r="AJ305" s="36" t="str">
        <f t="shared" si="501"/>
        <v>R</v>
      </c>
      <c r="AK305" s="66">
        <v>19.0</v>
      </c>
      <c r="AL305" s="36" t="str">
        <f t="shared" si="502"/>
        <v>I</v>
      </c>
      <c r="AM305" s="66">
        <v>16.0</v>
      </c>
      <c r="AN305" s="36" t="str">
        <f t="shared" si="503"/>
        <v>S</v>
      </c>
      <c r="AO305" s="66" t="s">
        <v>299</v>
      </c>
      <c r="AP305" s="67">
        <v>21.0</v>
      </c>
      <c r="AQ305" s="37" t="str">
        <f t="shared" si="504"/>
        <v>S</v>
      </c>
      <c r="AR305" s="65">
        <v>16.0</v>
      </c>
      <c r="AS305" s="33" t="str">
        <f t="shared" si="505"/>
        <v>R</v>
      </c>
      <c r="AT305" s="65">
        <v>16.0</v>
      </c>
      <c r="AU305" s="33" t="str">
        <f t="shared" si="506"/>
        <v>S</v>
      </c>
      <c r="AV305" s="65" t="s">
        <v>299</v>
      </c>
      <c r="AW305" s="28">
        <v>19.0</v>
      </c>
      <c r="AX305" s="26" t="str">
        <f t="shared" si="507"/>
        <v>R</v>
      </c>
      <c r="AY305" s="67">
        <v>11.0</v>
      </c>
      <c r="AZ305" s="37" t="str">
        <f t="shared" si="508"/>
        <v>R</v>
      </c>
      <c r="BA305" s="66">
        <v>19.0</v>
      </c>
      <c r="BB305" s="36" t="str">
        <f t="shared" si="509"/>
        <v>R</v>
      </c>
      <c r="BC305" s="39" t="s">
        <v>357</v>
      </c>
      <c r="BD305" s="39" t="s">
        <v>357</v>
      </c>
      <c r="BE305" s="66">
        <v>22.0</v>
      </c>
      <c r="BF305" s="36" t="str">
        <f t="shared" si="510"/>
        <v>S</v>
      </c>
      <c r="BG305" s="68">
        <v>20.0</v>
      </c>
      <c r="BH305" s="41" t="str">
        <f t="shared" si="511"/>
        <v>S</v>
      </c>
      <c r="BI305" s="41"/>
    </row>
    <row r="306">
      <c r="A306" s="21" t="s">
        <v>883</v>
      </c>
      <c r="B306" s="23">
        <v>158.0</v>
      </c>
      <c r="C306" s="21" t="s">
        <v>1601</v>
      </c>
      <c r="D306" s="69" t="s">
        <v>190</v>
      </c>
      <c r="E306" s="18" t="s">
        <v>190</v>
      </c>
      <c r="F306" s="18" t="s">
        <v>192</v>
      </c>
      <c r="G306" s="63" t="s">
        <v>1602</v>
      </c>
      <c r="H306" s="22" t="s">
        <v>198</v>
      </c>
      <c r="I306" s="28">
        <v>6.0</v>
      </c>
      <c r="J306" s="26" t="str">
        <f t="shared" si="489"/>
        <v>R</v>
      </c>
      <c r="K306" s="28">
        <v>20.0</v>
      </c>
      <c r="L306" s="26" t="str">
        <f t="shared" si="490"/>
        <v>S</v>
      </c>
      <c r="M306" s="28">
        <v>6.0</v>
      </c>
      <c r="N306" s="26" t="str">
        <f t="shared" si="491"/>
        <v>R</v>
      </c>
      <c r="O306" s="28">
        <v>19.0</v>
      </c>
      <c r="P306" s="26" t="str">
        <f t="shared" si="492"/>
        <v>R</v>
      </c>
      <c r="Q306" s="28">
        <v>6.0</v>
      </c>
      <c r="R306" s="26" t="str">
        <f t="shared" si="493"/>
        <v>R</v>
      </c>
      <c r="S306" s="28">
        <v>19.0</v>
      </c>
      <c r="T306" s="26" t="str">
        <f t="shared" si="494"/>
        <v>R</v>
      </c>
      <c r="U306" s="28">
        <v>13.0</v>
      </c>
      <c r="V306" s="26" t="str">
        <f t="shared" si="495"/>
        <v>R</v>
      </c>
      <c r="W306" s="32" t="s">
        <v>299</v>
      </c>
      <c r="X306" s="65">
        <v>14.0</v>
      </c>
      <c r="Y306" s="33" t="str">
        <f t="shared" si="496"/>
        <v>R</v>
      </c>
      <c r="Z306" s="65">
        <v>25.0</v>
      </c>
      <c r="AA306" s="33" t="str">
        <f t="shared" si="497"/>
        <v>S</v>
      </c>
      <c r="AB306" s="65">
        <v>16.0</v>
      </c>
      <c r="AC306" s="33" t="str">
        <f t="shared" si="498"/>
        <v>R</v>
      </c>
      <c r="AD306" s="65">
        <v>21.0</v>
      </c>
      <c r="AE306" s="33" t="str">
        <f t="shared" si="499"/>
        <v>S</v>
      </c>
      <c r="AF306" s="65">
        <v>13.0</v>
      </c>
      <c r="AG306" s="33" t="str">
        <f t="shared" si="500"/>
        <v>R</v>
      </c>
      <c r="AH306" s="65" t="s">
        <v>299</v>
      </c>
      <c r="AI306" s="66">
        <v>20.0</v>
      </c>
      <c r="AJ306" s="36" t="str">
        <f t="shared" si="501"/>
        <v>R</v>
      </c>
      <c r="AK306" s="66">
        <v>15.0</v>
      </c>
      <c r="AL306" s="36" t="str">
        <f t="shared" si="502"/>
        <v>R</v>
      </c>
      <c r="AM306" s="66">
        <v>14.0</v>
      </c>
      <c r="AN306" s="36" t="str">
        <f t="shared" si="503"/>
        <v>S</v>
      </c>
      <c r="AO306" s="66" t="s">
        <v>299</v>
      </c>
      <c r="AP306" s="67">
        <v>10.0</v>
      </c>
      <c r="AQ306" s="37" t="str">
        <f t="shared" si="504"/>
        <v>R</v>
      </c>
      <c r="AR306" s="65">
        <v>25.0</v>
      </c>
      <c r="AS306" s="33" t="str">
        <f t="shared" si="505"/>
        <v>S</v>
      </c>
      <c r="AT306" s="65">
        <v>22.0</v>
      </c>
      <c r="AU306" s="33" t="str">
        <f t="shared" si="506"/>
        <v>S</v>
      </c>
      <c r="AV306" s="33" t="s">
        <v>300</v>
      </c>
      <c r="AW306" s="28">
        <v>15.0</v>
      </c>
      <c r="AX306" s="26" t="str">
        <f t="shared" si="507"/>
        <v>R</v>
      </c>
      <c r="AY306" s="67">
        <v>6.0</v>
      </c>
      <c r="AZ306" s="37" t="str">
        <f t="shared" si="508"/>
        <v>R</v>
      </c>
      <c r="BA306" s="66">
        <v>23.0</v>
      </c>
      <c r="BB306" s="36" t="str">
        <f t="shared" si="509"/>
        <v>S</v>
      </c>
      <c r="BC306" s="39" t="s">
        <v>357</v>
      </c>
      <c r="BD306" s="39" t="s">
        <v>357</v>
      </c>
      <c r="BE306" s="66">
        <v>22.0</v>
      </c>
      <c r="BF306" s="36" t="str">
        <f t="shared" si="510"/>
        <v>S</v>
      </c>
      <c r="BG306" s="68">
        <v>11.0</v>
      </c>
      <c r="BH306" s="41" t="str">
        <f t="shared" si="511"/>
        <v>R</v>
      </c>
      <c r="BI306" s="41"/>
    </row>
    <row r="307">
      <c r="A307" s="21" t="s">
        <v>883</v>
      </c>
      <c r="B307" s="21" t="s">
        <v>444</v>
      </c>
      <c r="C307" s="21" t="s">
        <v>1603</v>
      </c>
      <c r="D307" s="69" t="s">
        <v>190</v>
      </c>
      <c r="E307" s="18" t="s">
        <v>190</v>
      </c>
      <c r="F307" s="18" t="s">
        <v>192</v>
      </c>
      <c r="G307" s="63" t="s">
        <v>1604</v>
      </c>
      <c r="H307" s="22" t="s">
        <v>198</v>
      </c>
      <c r="I307" s="28">
        <v>6.0</v>
      </c>
      <c r="J307" s="26" t="str">
        <f t="shared" si="489"/>
        <v>R</v>
      </c>
      <c r="K307" s="28">
        <v>20.0</v>
      </c>
      <c r="L307" s="26" t="str">
        <f t="shared" si="490"/>
        <v>S</v>
      </c>
      <c r="M307" s="28">
        <v>6.0</v>
      </c>
      <c r="N307" s="26" t="str">
        <f t="shared" si="491"/>
        <v>R</v>
      </c>
      <c r="O307" s="28">
        <v>19.0</v>
      </c>
      <c r="P307" s="26" t="str">
        <f t="shared" si="492"/>
        <v>R</v>
      </c>
      <c r="Q307" s="28">
        <v>6.0</v>
      </c>
      <c r="R307" s="26" t="str">
        <f t="shared" si="493"/>
        <v>R</v>
      </c>
      <c r="S307" s="28">
        <v>19.0</v>
      </c>
      <c r="T307" s="26" t="str">
        <f t="shared" si="494"/>
        <v>R</v>
      </c>
      <c r="U307" s="28">
        <v>13.0</v>
      </c>
      <c r="V307" s="26" t="str">
        <f t="shared" si="495"/>
        <v>R</v>
      </c>
      <c r="W307" s="32" t="s">
        <v>299</v>
      </c>
      <c r="X307" s="65">
        <v>14.0</v>
      </c>
      <c r="Y307" s="33" t="str">
        <f t="shared" si="496"/>
        <v>R</v>
      </c>
      <c r="Z307" s="65">
        <v>25.0</v>
      </c>
      <c r="AA307" s="33" t="str">
        <f t="shared" si="497"/>
        <v>S</v>
      </c>
      <c r="AB307" s="65">
        <v>16.0</v>
      </c>
      <c r="AC307" s="33" t="str">
        <f t="shared" si="498"/>
        <v>R</v>
      </c>
      <c r="AD307" s="65">
        <v>21.0</v>
      </c>
      <c r="AE307" s="33" t="str">
        <f t="shared" si="499"/>
        <v>S</v>
      </c>
      <c r="AF307" s="65">
        <v>13.0</v>
      </c>
      <c r="AG307" s="33" t="str">
        <f t="shared" si="500"/>
        <v>R</v>
      </c>
      <c r="AH307" s="65" t="s">
        <v>299</v>
      </c>
      <c r="AI307" s="66">
        <v>20.0</v>
      </c>
      <c r="AJ307" s="36" t="str">
        <f t="shared" si="501"/>
        <v>R</v>
      </c>
      <c r="AK307" s="66">
        <v>15.0</v>
      </c>
      <c r="AL307" s="36" t="str">
        <f t="shared" si="502"/>
        <v>R</v>
      </c>
      <c r="AM307" s="66">
        <v>14.0</v>
      </c>
      <c r="AN307" s="36" t="str">
        <f t="shared" si="503"/>
        <v>S</v>
      </c>
      <c r="AO307" s="66" t="s">
        <v>299</v>
      </c>
      <c r="AP307" s="67">
        <v>10.0</v>
      </c>
      <c r="AQ307" s="37" t="str">
        <f t="shared" si="504"/>
        <v>R</v>
      </c>
      <c r="AR307" s="65">
        <v>25.0</v>
      </c>
      <c r="AS307" s="33" t="str">
        <f t="shared" si="505"/>
        <v>S</v>
      </c>
      <c r="AT307" s="65">
        <v>22.0</v>
      </c>
      <c r="AU307" s="33" t="str">
        <f t="shared" si="506"/>
        <v>S</v>
      </c>
      <c r="AV307" s="33" t="s">
        <v>300</v>
      </c>
      <c r="AW307" s="28">
        <v>15.0</v>
      </c>
      <c r="AX307" s="26" t="str">
        <f t="shared" si="507"/>
        <v>R</v>
      </c>
      <c r="AY307" s="67">
        <v>6.0</v>
      </c>
      <c r="AZ307" s="37" t="str">
        <f t="shared" si="508"/>
        <v>R</v>
      </c>
      <c r="BA307" s="66">
        <v>23.0</v>
      </c>
      <c r="BB307" s="36" t="str">
        <f t="shared" si="509"/>
        <v>S</v>
      </c>
      <c r="BC307" s="39" t="s">
        <v>357</v>
      </c>
      <c r="BD307" s="39" t="s">
        <v>357</v>
      </c>
      <c r="BE307" s="66">
        <v>22.0</v>
      </c>
      <c r="BF307" s="36" t="str">
        <f t="shared" si="510"/>
        <v>S</v>
      </c>
      <c r="BG307" s="68">
        <v>11.0</v>
      </c>
      <c r="BH307" s="41" t="str">
        <f t="shared" si="511"/>
        <v>R</v>
      </c>
      <c r="BI307" s="41"/>
    </row>
    <row r="308">
      <c r="A308" s="21" t="s">
        <v>883</v>
      </c>
      <c r="B308" s="21" t="s">
        <v>444</v>
      </c>
      <c r="C308" s="21" t="s">
        <v>1605</v>
      </c>
      <c r="D308" s="69" t="s">
        <v>190</v>
      </c>
      <c r="E308" s="18" t="s">
        <v>190</v>
      </c>
      <c r="F308" s="18" t="s">
        <v>192</v>
      </c>
      <c r="G308" s="63" t="s">
        <v>1606</v>
      </c>
      <c r="H308" s="22" t="s">
        <v>198</v>
      </c>
      <c r="I308" s="28">
        <v>6.0</v>
      </c>
      <c r="J308" s="26" t="str">
        <f t="shared" si="489"/>
        <v>R</v>
      </c>
      <c r="K308" s="28">
        <v>20.0</v>
      </c>
      <c r="L308" s="26" t="str">
        <f t="shared" si="490"/>
        <v>S</v>
      </c>
      <c r="M308" s="28">
        <v>6.0</v>
      </c>
      <c r="N308" s="26" t="str">
        <f t="shared" si="491"/>
        <v>R</v>
      </c>
      <c r="O308" s="28">
        <v>19.0</v>
      </c>
      <c r="P308" s="26" t="str">
        <f t="shared" si="492"/>
        <v>R</v>
      </c>
      <c r="Q308" s="28">
        <v>6.0</v>
      </c>
      <c r="R308" s="26" t="str">
        <f t="shared" si="493"/>
        <v>R</v>
      </c>
      <c r="S308" s="28">
        <v>19.0</v>
      </c>
      <c r="T308" s="26" t="str">
        <f t="shared" si="494"/>
        <v>R</v>
      </c>
      <c r="U308" s="28">
        <v>13.0</v>
      </c>
      <c r="V308" s="26" t="str">
        <f t="shared" si="495"/>
        <v>R</v>
      </c>
      <c r="W308" s="32" t="s">
        <v>299</v>
      </c>
      <c r="X308" s="65">
        <v>14.0</v>
      </c>
      <c r="Y308" s="33" t="str">
        <f t="shared" si="496"/>
        <v>R</v>
      </c>
      <c r="Z308" s="65">
        <v>25.0</v>
      </c>
      <c r="AA308" s="33" t="str">
        <f t="shared" si="497"/>
        <v>S</v>
      </c>
      <c r="AB308" s="65">
        <v>16.0</v>
      </c>
      <c r="AC308" s="33" t="str">
        <f t="shared" si="498"/>
        <v>R</v>
      </c>
      <c r="AD308" s="65">
        <v>21.0</v>
      </c>
      <c r="AE308" s="33" t="str">
        <f t="shared" si="499"/>
        <v>S</v>
      </c>
      <c r="AF308" s="65">
        <v>13.0</v>
      </c>
      <c r="AG308" s="33" t="str">
        <f t="shared" si="500"/>
        <v>R</v>
      </c>
      <c r="AH308" s="65" t="s">
        <v>299</v>
      </c>
      <c r="AI308" s="66">
        <v>20.0</v>
      </c>
      <c r="AJ308" s="36" t="str">
        <f t="shared" si="501"/>
        <v>R</v>
      </c>
      <c r="AK308" s="66">
        <v>15.0</v>
      </c>
      <c r="AL308" s="36" t="str">
        <f t="shared" si="502"/>
        <v>R</v>
      </c>
      <c r="AM308" s="66">
        <v>14.0</v>
      </c>
      <c r="AN308" s="36" t="str">
        <f t="shared" si="503"/>
        <v>S</v>
      </c>
      <c r="AO308" s="66" t="s">
        <v>299</v>
      </c>
      <c r="AP308" s="67">
        <v>10.0</v>
      </c>
      <c r="AQ308" s="37" t="str">
        <f t="shared" si="504"/>
        <v>R</v>
      </c>
      <c r="AR308" s="65">
        <v>25.0</v>
      </c>
      <c r="AS308" s="33" t="str">
        <f t="shared" si="505"/>
        <v>S</v>
      </c>
      <c r="AT308" s="65">
        <v>22.0</v>
      </c>
      <c r="AU308" s="33" t="str">
        <f t="shared" si="506"/>
        <v>S</v>
      </c>
      <c r="AV308" s="33" t="s">
        <v>300</v>
      </c>
      <c r="AW308" s="28">
        <v>15.0</v>
      </c>
      <c r="AX308" s="26" t="str">
        <f t="shared" si="507"/>
        <v>R</v>
      </c>
      <c r="AY308" s="67">
        <v>6.0</v>
      </c>
      <c r="AZ308" s="37" t="str">
        <f t="shared" si="508"/>
        <v>R</v>
      </c>
      <c r="BA308" s="66">
        <v>23.0</v>
      </c>
      <c r="BB308" s="36" t="str">
        <f t="shared" si="509"/>
        <v>S</v>
      </c>
      <c r="BC308" s="39" t="s">
        <v>357</v>
      </c>
      <c r="BD308" s="39" t="s">
        <v>357</v>
      </c>
      <c r="BE308" s="66">
        <v>22.0</v>
      </c>
      <c r="BF308" s="36" t="str">
        <f t="shared" si="510"/>
        <v>S</v>
      </c>
      <c r="BG308" s="68">
        <v>11.0</v>
      </c>
      <c r="BH308" s="41" t="str">
        <f t="shared" si="511"/>
        <v>R</v>
      </c>
      <c r="BI308" s="41"/>
    </row>
    <row r="309">
      <c r="A309" s="21" t="s">
        <v>883</v>
      </c>
      <c r="B309" s="23">
        <v>159.0</v>
      </c>
      <c r="C309" s="21" t="s">
        <v>1607</v>
      </c>
      <c r="D309" s="69" t="s">
        <v>190</v>
      </c>
      <c r="E309" s="18" t="s">
        <v>190</v>
      </c>
      <c r="F309" s="18" t="s">
        <v>192</v>
      </c>
      <c r="G309" s="63" t="s">
        <v>1608</v>
      </c>
      <c r="H309" s="22" t="s">
        <v>198</v>
      </c>
      <c r="I309" s="28">
        <v>18.0</v>
      </c>
      <c r="J309" s="26" t="str">
        <f t="shared" si="489"/>
        <v>R</v>
      </c>
      <c r="K309" s="28">
        <v>28.0</v>
      </c>
      <c r="L309" s="26" t="str">
        <f t="shared" si="490"/>
        <v>S</v>
      </c>
      <c r="M309" s="28">
        <v>22.0</v>
      </c>
      <c r="N309" s="26" t="str">
        <f t="shared" si="491"/>
        <v>R</v>
      </c>
      <c r="O309" s="28">
        <v>22.0</v>
      </c>
      <c r="P309" s="26" t="str">
        <f t="shared" si="492"/>
        <v>I</v>
      </c>
      <c r="Q309" s="28">
        <v>13.0</v>
      </c>
      <c r="R309" s="26" t="str">
        <f t="shared" si="493"/>
        <v>R</v>
      </c>
      <c r="S309" s="28">
        <v>25.0</v>
      </c>
      <c r="T309" s="26" t="str">
        <f t="shared" si="494"/>
        <v>S</v>
      </c>
      <c r="U309" s="28">
        <v>6.0</v>
      </c>
      <c r="V309" s="26" t="str">
        <f t="shared" si="495"/>
        <v>R</v>
      </c>
      <c r="W309" s="32" t="s">
        <v>299</v>
      </c>
      <c r="X309" s="65">
        <v>14.0</v>
      </c>
      <c r="Y309" s="33" t="str">
        <f t="shared" si="496"/>
        <v>R</v>
      </c>
      <c r="Z309" s="65">
        <v>21.0</v>
      </c>
      <c r="AA309" s="33" t="str">
        <f t="shared" si="497"/>
        <v>S</v>
      </c>
      <c r="AB309" s="65">
        <v>6.0</v>
      </c>
      <c r="AC309" s="33" t="str">
        <f t="shared" si="498"/>
        <v>R</v>
      </c>
      <c r="AD309" s="65">
        <v>6.0</v>
      </c>
      <c r="AE309" s="33" t="str">
        <f t="shared" si="499"/>
        <v>R</v>
      </c>
      <c r="AF309" s="65">
        <v>6.0</v>
      </c>
      <c r="AG309" s="33" t="str">
        <f t="shared" si="500"/>
        <v>R</v>
      </c>
      <c r="AH309" s="65" t="s">
        <v>299</v>
      </c>
      <c r="AI309" s="66">
        <v>28.0</v>
      </c>
      <c r="AJ309" s="36" t="str">
        <f t="shared" si="501"/>
        <v>S</v>
      </c>
      <c r="AK309" s="66">
        <v>11.0</v>
      </c>
      <c r="AL309" s="36" t="str">
        <f t="shared" si="502"/>
        <v>R</v>
      </c>
      <c r="AM309" s="66">
        <v>20.0</v>
      </c>
      <c r="AN309" s="36" t="str">
        <f t="shared" si="503"/>
        <v>S</v>
      </c>
      <c r="AO309" s="66" t="s">
        <v>299</v>
      </c>
      <c r="AP309" s="67">
        <v>6.0</v>
      </c>
      <c r="AQ309" s="37" t="str">
        <f t="shared" si="504"/>
        <v>R</v>
      </c>
      <c r="AR309" s="65">
        <v>16.0</v>
      </c>
      <c r="AS309" s="33" t="str">
        <f t="shared" si="505"/>
        <v>R</v>
      </c>
      <c r="AT309" s="65">
        <v>6.0</v>
      </c>
      <c r="AU309" s="33" t="str">
        <f t="shared" si="506"/>
        <v>R</v>
      </c>
      <c r="AV309" s="65" t="s">
        <v>299</v>
      </c>
      <c r="AW309" s="28">
        <v>14.0</v>
      </c>
      <c r="AX309" s="26" t="str">
        <f t="shared" si="507"/>
        <v>R</v>
      </c>
      <c r="AY309" s="67">
        <v>6.0</v>
      </c>
      <c r="AZ309" s="37" t="str">
        <f t="shared" si="508"/>
        <v>R</v>
      </c>
      <c r="BA309" s="66">
        <v>26.0</v>
      </c>
      <c r="BB309" s="36" t="str">
        <f t="shared" si="509"/>
        <v>S</v>
      </c>
      <c r="BC309" s="39" t="s">
        <v>357</v>
      </c>
      <c r="BD309" s="39" t="s">
        <v>357</v>
      </c>
      <c r="BE309" s="66">
        <v>32.0</v>
      </c>
      <c r="BF309" s="36" t="str">
        <f t="shared" si="510"/>
        <v>S</v>
      </c>
      <c r="BG309" s="68">
        <v>20.0</v>
      </c>
      <c r="BH309" s="41" t="str">
        <f t="shared" si="511"/>
        <v>S</v>
      </c>
      <c r="BI309" s="41"/>
    </row>
    <row r="310">
      <c r="A310" s="21" t="s">
        <v>883</v>
      </c>
      <c r="B310" s="21" t="s">
        <v>444</v>
      </c>
      <c r="C310" s="21" t="s">
        <v>1609</v>
      </c>
      <c r="D310" s="69" t="s">
        <v>190</v>
      </c>
      <c r="E310" s="18" t="s">
        <v>190</v>
      </c>
      <c r="F310" s="18" t="s">
        <v>192</v>
      </c>
      <c r="G310" s="63" t="s">
        <v>1610</v>
      </c>
      <c r="H310" s="22" t="s">
        <v>198</v>
      </c>
      <c r="I310" s="28">
        <v>15.0</v>
      </c>
      <c r="J310" s="26" t="str">
        <f t="shared" si="489"/>
        <v>R</v>
      </c>
      <c r="K310" s="28">
        <v>30.0</v>
      </c>
      <c r="L310" s="26" t="str">
        <f t="shared" si="490"/>
        <v>S</v>
      </c>
      <c r="M310" s="28">
        <v>22.0</v>
      </c>
      <c r="N310" s="26" t="str">
        <f t="shared" si="491"/>
        <v>R</v>
      </c>
      <c r="O310" s="28">
        <v>22.0</v>
      </c>
      <c r="P310" s="26" t="str">
        <f t="shared" si="492"/>
        <v>I</v>
      </c>
      <c r="Q310" s="28">
        <v>13.0</v>
      </c>
      <c r="R310" s="26" t="str">
        <f t="shared" si="493"/>
        <v>R</v>
      </c>
      <c r="S310" s="28">
        <v>25.0</v>
      </c>
      <c r="T310" s="26" t="str">
        <f t="shared" si="494"/>
        <v>S</v>
      </c>
      <c r="U310" s="28">
        <v>6.0</v>
      </c>
      <c r="V310" s="26" t="str">
        <f t="shared" si="495"/>
        <v>R</v>
      </c>
      <c r="W310" s="32" t="s">
        <v>299</v>
      </c>
      <c r="X310" s="65">
        <v>14.0</v>
      </c>
      <c r="Y310" s="33" t="str">
        <f t="shared" si="496"/>
        <v>R</v>
      </c>
      <c r="Z310" s="65">
        <v>21.0</v>
      </c>
      <c r="AA310" s="33" t="str">
        <f t="shared" si="497"/>
        <v>S</v>
      </c>
      <c r="AB310" s="65">
        <v>6.0</v>
      </c>
      <c r="AC310" s="33" t="str">
        <f t="shared" si="498"/>
        <v>R</v>
      </c>
      <c r="AD310" s="65">
        <v>6.0</v>
      </c>
      <c r="AE310" s="33" t="str">
        <f t="shared" si="499"/>
        <v>R</v>
      </c>
      <c r="AF310" s="65">
        <v>6.0</v>
      </c>
      <c r="AG310" s="33" t="str">
        <f t="shared" si="500"/>
        <v>R</v>
      </c>
      <c r="AH310" s="65" t="s">
        <v>299</v>
      </c>
      <c r="AI310" s="66">
        <v>25.0</v>
      </c>
      <c r="AJ310" s="36" t="str">
        <f t="shared" si="501"/>
        <v>S</v>
      </c>
      <c r="AK310" s="66">
        <v>12.0</v>
      </c>
      <c r="AL310" s="36" t="str">
        <f t="shared" si="502"/>
        <v>R</v>
      </c>
      <c r="AM310" s="66">
        <v>21.0</v>
      </c>
      <c r="AN310" s="36" t="str">
        <f t="shared" si="503"/>
        <v>S</v>
      </c>
      <c r="AO310" s="66" t="s">
        <v>299</v>
      </c>
      <c r="AP310" s="67">
        <v>6.0</v>
      </c>
      <c r="AQ310" s="37" t="str">
        <f t="shared" si="504"/>
        <v>R</v>
      </c>
      <c r="AR310" s="65">
        <v>16.0</v>
      </c>
      <c r="AS310" s="33" t="str">
        <f t="shared" si="505"/>
        <v>R</v>
      </c>
      <c r="AT310" s="65">
        <v>6.0</v>
      </c>
      <c r="AU310" s="33" t="str">
        <f t="shared" si="506"/>
        <v>R</v>
      </c>
      <c r="AV310" s="65" t="s">
        <v>299</v>
      </c>
      <c r="AW310" s="28">
        <v>14.0</v>
      </c>
      <c r="AX310" s="26" t="str">
        <f t="shared" si="507"/>
        <v>R</v>
      </c>
      <c r="AY310" s="67">
        <v>6.0</v>
      </c>
      <c r="AZ310" s="37" t="str">
        <f t="shared" si="508"/>
        <v>R</v>
      </c>
      <c r="BA310" s="66">
        <v>26.0</v>
      </c>
      <c r="BB310" s="36" t="str">
        <f t="shared" si="509"/>
        <v>S</v>
      </c>
      <c r="BC310" s="39" t="s">
        <v>357</v>
      </c>
      <c r="BD310" s="39" t="s">
        <v>357</v>
      </c>
      <c r="BE310" s="66">
        <v>30.0</v>
      </c>
      <c r="BF310" s="36" t="str">
        <f t="shared" si="510"/>
        <v>S</v>
      </c>
      <c r="BG310" s="68">
        <v>19.0</v>
      </c>
      <c r="BH310" s="41" t="str">
        <f t="shared" si="511"/>
        <v>S</v>
      </c>
      <c r="BI310" s="41"/>
    </row>
    <row r="311">
      <c r="A311" s="21" t="s">
        <v>883</v>
      </c>
      <c r="B311" s="21" t="s">
        <v>444</v>
      </c>
      <c r="C311" s="21" t="s">
        <v>1611</v>
      </c>
      <c r="D311" s="69" t="s">
        <v>190</v>
      </c>
      <c r="E311" s="18" t="s">
        <v>190</v>
      </c>
      <c r="F311" s="18" t="s">
        <v>192</v>
      </c>
      <c r="G311" s="63" t="s">
        <v>1612</v>
      </c>
      <c r="H311" s="22" t="s">
        <v>198</v>
      </c>
      <c r="I311" s="28">
        <v>17.0</v>
      </c>
      <c r="J311" s="26" t="str">
        <f t="shared" si="489"/>
        <v>R</v>
      </c>
      <c r="K311" s="28">
        <v>30.0</v>
      </c>
      <c r="L311" s="26" t="str">
        <f t="shared" si="490"/>
        <v>S</v>
      </c>
      <c r="M311" s="28">
        <v>22.0</v>
      </c>
      <c r="N311" s="26" t="str">
        <f t="shared" si="491"/>
        <v>R</v>
      </c>
      <c r="O311" s="28">
        <v>22.0</v>
      </c>
      <c r="P311" s="26" t="str">
        <f t="shared" si="492"/>
        <v>I</v>
      </c>
      <c r="Q311" s="28">
        <v>13.0</v>
      </c>
      <c r="R311" s="26" t="str">
        <f t="shared" si="493"/>
        <v>R</v>
      </c>
      <c r="S311" s="28">
        <v>25.0</v>
      </c>
      <c r="T311" s="26" t="str">
        <f t="shared" si="494"/>
        <v>S</v>
      </c>
      <c r="U311" s="28">
        <v>6.0</v>
      </c>
      <c r="V311" s="26" t="str">
        <f t="shared" si="495"/>
        <v>R</v>
      </c>
      <c r="W311" s="32" t="s">
        <v>299</v>
      </c>
      <c r="X311" s="65">
        <v>16.0</v>
      </c>
      <c r="Y311" s="33" t="str">
        <f t="shared" si="496"/>
        <v>R</v>
      </c>
      <c r="Z311" s="65">
        <v>20.0</v>
      </c>
      <c r="AA311" s="33" t="str">
        <f t="shared" si="497"/>
        <v>S</v>
      </c>
      <c r="AB311" s="65">
        <v>6.0</v>
      </c>
      <c r="AC311" s="33" t="str">
        <f t="shared" si="498"/>
        <v>R</v>
      </c>
      <c r="AD311" s="65">
        <v>6.0</v>
      </c>
      <c r="AE311" s="33" t="str">
        <f t="shared" si="499"/>
        <v>R</v>
      </c>
      <c r="AF311" s="65">
        <v>6.0</v>
      </c>
      <c r="AG311" s="33" t="str">
        <f t="shared" si="500"/>
        <v>R</v>
      </c>
      <c r="AH311" s="65" t="s">
        <v>299</v>
      </c>
      <c r="AI311" s="66">
        <v>27.0</v>
      </c>
      <c r="AJ311" s="36" t="str">
        <f t="shared" si="501"/>
        <v>S</v>
      </c>
      <c r="AK311" s="66">
        <v>14.0</v>
      </c>
      <c r="AL311" s="36" t="str">
        <f t="shared" si="502"/>
        <v>R</v>
      </c>
      <c r="AM311" s="66">
        <v>22.0</v>
      </c>
      <c r="AN311" s="36" t="str">
        <f t="shared" si="503"/>
        <v>S</v>
      </c>
      <c r="AO311" s="66" t="s">
        <v>299</v>
      </c>
      <c r="AP311" s="67">
        <v>6.0</v>
      </c>
      <c r="AQ311" s="37" t="str">
        <f t="shared" si="504"/>
        <v>R</v>
      </c>
      <c r="AR311" s="65">
        <v>17.0</v>
      </c>
      <c r="AS311" s="33" t="str">
        <f t="shared" si="505"/>
        <v>R</v>
      </c>
      <c r="AT311" s="65">
        <v>6.0</v>
      </c>
      <c r="AU311" s="33" t="str">
        <f t="shared" si="506"/>
        <v>R</v>
      </c>
      <c r="AV311" s="65" t="s">
        <v>299</v>
      </c>
      <c r="AW311" s="28">
        <v>14.0</v>
      </c>
      <c r="AX311" s="26" t="str">
        <f t="shared" si="507"/>
        <v>R</v>
      </c>
      <c r="AY311" s="67">
        <v>6.0</v>
      </c>
      <c r="AZ311" s="37" t="str">
        <f t="shared" si="508"/>
        <v>R</v>
      </c>
      <c r="BA311" s="66">
        <v>28.0</v>
      </c>
      <c r="BB311" s="36" t="str">
        <f t="shared" si="509"/>
        <v>S</v>
      </c>
      <c r="BC311" s="39" t="s">
        <v>357</v>
      </c>
      <c r="BD311" s="39" t="s">
        <v>357</v>
      </c>
      <c r="BE311" s="66">
        <v>30.0</v>
      </c>
      <c r="BF311" s="36" t="str">
        <f t="shared" si="510"/>
        <v>S</v>
      </c>
      <c r="BG311" s="68">
        <v>20.0</v>
      </c>
      <c r="BH311" s="41" t="str">
        <f t="shared" si="511"/>
        <v>S</v>
      </c>
      <c r="BI311" s="41"/>
    </row>
    <row r="312">
      <c r="A312" s="21" t="s">
        <v>883</v>
      </c>
      <c r="B312" s="23">
        <v>160.0</v>
      </c>
      <c r="C312" s="21" t="s">
        <v>1613</v>
      </c>
      <c r="D312" s="62" t="s">
        <v>571</v>
      </c>
      <c r="E312" s="18" t="s">
        <v>572</v>
      </c>
      <c r="F312" s="18" t="s">
        <v>192</v>
      </c>
      <c r="G312" s="63" t="s">
        <v>1614</v>
      </c>
      <c r="H312" s="52" t="s">
        <v>581</v>
      </c>
      <c r="I312" s="28">
        <v>14.0</v>
      </c>
      <c r="J312" s="26" t="str">
        <f t="shared" si="489"/>
        <v>R</v>
      </c>
      <c r="K312" s="28">
        <v>18.0</v>
      </c>
      <c r="L312" s="26" t="str">
        <f t="shared" si="490"/>
        <v>R</v>
      </c>
      <c r="M312" s="28">
        <v>24.0</v>
      </c>
      <c r="N312" s="26" t="str">
        <f t="shared" si="491"/>
        <v>S</v>
      </c>
      <c r="O312" s="28">
        <v>23.0</v>
      </c>
      <c r="P312" s="26" t="str">
        <f t="shared" si="492"/>
        <v>S</v>
      </c>
      <c r="Q312" s="28">
        <v>24.0</v>
      </c>
      <c r="R312" s="26" t="str">
        <f t="shared" si="493"/>
        <v>S</v>
      </c>
      <c r="S312" s="28">
        <v>16.0</v>
      </c>
      <c r="T312" s="26" t="str">
        <f t="shared" si="494"/>
        <v>R</v>
      </c>
      <c r="U312" s="28">
        <v>22.0</v>
      </c>
      <c r="V312" s="26" t="str">
        <f t="shared" si="495"/>
        <v>S</v>
      </c>
      <c r="W312" s="32" t="s">
        <v>299</v>
      </c>
      <c r="X312" s="65">
        <v>16.0</v>
      </c>
      <c r="Y312" s="33" t="str">
        <f t="shared" si="496"/>
        <v>R</v>
      </c>
      <c r="Z312" s="65">
        <v>22.0</v>
      </c>
      <c r="AA312" s="33" t="str">
        <f t="shared" si="497"/>
        <v>S</v>
      </c>
      <c r="AB312" s="65">
        <v>18.0</v>
      </c>
      <c r="AC312" s="33" t="str">
        <f t="shared" si="498"/>
        <v>R</v>
      </c>
      <c r="AD312" s="65">
        <v>17.0</v>
      </c>
      <c r="AE312" s="33" t="str">
        <f t="shared" si="499"/>
        <v>S</v>
      </c>
      <c r="AF312" s="65">
        <v>20.0</v>
      </c>
      <c r="AG312" s="33" t="str">
        <f t="shared" si="500"/>
        <v>R</v>
      </c>
      <c r="AH312" s="65" t="s">
        <v>299</v>
      </c>
      <c r="AI312" s="66">
        <v>14.0</v>
      </c>
      <c r="AJ312" s="36" t="str">
        <f t="shared" si="501"/>
        <v>R</v>
      </c>
      <c r="AK312" s="66">
        <v>12.0</v>
      </c>
      <c r="AL312" s="36" t="str">
        <f t="shared" si="502"/>
        <v>R</v>
      </c>
      <c r="AM312" s="66">
        <v>12.0</v>
      </c>
      <c r="AN312" s="36" t="str">
        <f t="shared" si="503"/>
        <v>R</v>
      </c>
      <c r="AO312" s="66" t="s">
        <v>299</v>
      </c>
      <c r="AP312" s="67">
        <v>18.0</v>
      </c>
      <c r="AQ312" s="37" t="str">
        <f t="shared" si="504"/>
        <v>S</v>
      </c>
      <c r="AR312" s="65">
        <v>21.0</v>
      </c>
      <c r="AS312" s="33" t="str">
        <f t="shared" si="505"/>
        <v>S</v>
      </c>
      <c r="AT312" s="65">
        <v>18.0</v>
      </c>
      <c r="AU312" s="33" t="str">
        <f t="shared" si="506"/>
        <v>S</v>
      </c>
      <c r="AV312" s="33" t="s">
        <v>300</v>
      </c>
      <c r="AW312" s="28">
        <v>15.0</v>
      </c>
      <c r="AX312" s="26" t="str">
        <f t="shared" si="507"/>
        <v>R</v>
      </c>
      <c r="AY312" s="67">
        <v>16.0</v>
      </c>
      <c r="AZ312" s="37" t="str">
        <f t="shared" si="508"/>
        <v>R</v>
      </c>
      <c r="BA312" s="66">
        <v>25.0</v>
      </c>
      <c r="BB312" s="36" t="str">
        <f t="shared" si="509"/>
        <v>S</v>
      </c>
      <c r="BC312" s="39" t="s">
        <v>357</v>
      </c>
      <c r="BD312" s="39" t="s">
        <v>357</v>
      </c>
      <c r="BE312" s="66">
        <v>29.0</v>
      </c>
      <c r="BF312" s="36" t="str">
        <f t="shared" si="510"/>
        <v>S</v>
      </c>
      <c r="BG312" s="68">
        <v>17.0</v>
      </c>
      <c r="BH312" s="41" t="str">
        <f t="shared" si="511"/>
        <v>S</v>
      </c>
      <c r="BI312" s="41"/>
    </row>
    <row r="313">
      <c r="A313" s="21" t="s">
        <v>883</v>
      </c>
      <c r="B313" s="21" t="s">
        <v>444</v>
      </c>
      <c r="C313" s="21" t="s">
        <v>1615</v>
      </c>
      <c r="D313" s="62" t="s">
        <v>571</v>
      </c>
      <c r="E313" s="18" t="s">
        <v>572</v>
      </c>
      <c r="F313" s="18" t="s">
        <v>192</v>
      </c>
      <c r="G313" s="63" t="s">
        <v>1616</v>
      </c>
      <c r="H313" s="52" t="s">
        <v>581</v>
      </c>
      <c r="I313" s="28">
        <v>13.0</v>
      </c>
      <c r="J313" s="26" t="str">
        <f t="shared" si="489"/>
        <v>R</v>
      </c>
      <c r="K313" s="28">
        <v>18.0</v>
      </c>
      <c r="L313" s="26" t="str">
        <f t="shared" si="490"/>
        <v>R</v>
      </c>
      <c r="M313" s="28">
        <v>24.0</v>
      </c>
      <c r="N313" s="26" t="str">
        <f t="shared" si="491"/>
        <v>S</v>
      </c>
      <c r="O313" s="28">
        <v>21.0</v>
      </c>
      <c r="P313" s="26" t="str">
        <f t="shared" si="492"/>
        <v>I</v>
      </c>
      <c r="Q313" s="28">
        <v>22.0</v>
      </c>
      <c r="R313" s="26" t="str">
        <f t="shared" si="493"/>
        <v>S</v>
      </c>
      <c r="S313" s="28">
        <v>16.0</v>
      </c>
      <c r="T313" s="26" t="str">
        <f t="shared" si="494"/>
        <v>R</v>
      </c>
      <c r="U313" s="28">
        <v>22.0</v>
      </c>
      <c r="V313" s="26" t="str">
        <f t="shared" si="495"/>
        <v>S</v>
      </c>
      <c r="W313" s="32" t="s">
        <v>299</v>
      </c>
      <c r="X313" s="65">
        <v>16.0</v>
      </c>
      <c r="Y313" s="33" t="str">
        <f t="shared" si="496"/>
        <v>R</v>
      </c>
      <c r="Z313" s="65">
        <v>22.0</v>
      </c>
      <c r="AA313" s="33" t="str">
        <f t="shared" si="497"/>
        <v>S</v>
      </c>
      <c r="AB313" s="65">
        <v>18.0</v>
      </c>
      <c r="AC313" s="33" t="str">
        <f t="shared" si="498"/>
        <v>R</v>
      </c>
      <c r="AD313" s="65">
        <v>17.0</v>
      </c>
      <c r="AE313" s="33" t="str">
        <f t="shared" si="499"/>
        <v>S</v>
      </c>
      <c r="AF313" s="65">
        <v>20.0</v>
      </c>
      <c r="AG313" s="33" t="str">
        <f t="shared" si="500"/>
        <v>R</v>
      </c>
      <c r="AH313" s="65" t="s">
        <v>299</v>
      </c>
      <c r="AI313" s="66">
        <v>12.0</v>
      </c>
      <c r="AJ313" s="36" t="str">
        <f t="shared" si="501"/>
        <v>R</v>
      </c>
      <c r="AK313" s="66">
        <v>12.0</v>
      </c>
      <c r="AL313" s="36" t="str">
        <f t="shared" si="502"/>
        <v>R</v>
      </c>
      <c r="AM313" s="66">
        <v>12.0</v>
      </c>
      <c r="AN313" s="36" t="str">
        <f t="shared" si="503"/>
        <v>R</v>
      </c>
      <c r="AO313" s="66" t="s">
        <v>299</v>
      </c>
      <c r="AP313" s="67">
        <v>18.0</v>
      </c>
      <c r="AQ313" s="37" t="str">
        <f t="shared" si="504"/>
        <v>S</v>
      </c>
      <c r="AR313" s="65">
        <v>20.0</v>
      </c>
      <c r="AS313" s="33" t="str">
        <f t="shared" si="505"/>
        <v>S</v>
      </c>
      <c r="AT313" s="65">
        <v>18.0</v>
      </c>
      <c r="AU313" s="33" t="str">
        <f t="shared" si="506"/>
        <v>S</v>
      </c>
      <c r="AV313" s="33" t="s">
        <v>300</v>
      </c>
      <c r="AW313" s="28">
        <v>15.0</v>
      </c>
      <c r="AX313" s="26" t="str">
        <f t="shared" si="507"/>
        <v>R</v>
      </c>
      <c r="AY313" s="67">
        <v>16.0</v>
      </c>
      <c r="AZ313" s="37" t="str">
        <f t="shared" si="508"/>
        <v>R</v>
      </c>
      <c r="BA313" s="66">
        <v>25.0</v>
      </c>
      <c r="BB313" s="36" t="str">
        <f t="shared" si="509"/>
        <v>S</v>
      </c>
      <c r="BC313" s="39" t="s">
        <v>357</v>
      </c>
      <c r="BD313" s="39" t="s">
        <v>357</v>
      </c>
      <c r="BE313" s="66">
        <v>28.0</v>
      </c>
      <c r="BF313" s="36" t="str">
        <f t="shared" si="510"/>
        <v>S</v>
      </c>
      <c r="BG313" s="68">
        <v>17.0</v>
      </c>
      <c r="BH313" s="41" t="str">
        <f t="shared" si="511"/>
        <v>S</v>
      </c>
      <c r="BI313" s="41"/>
    </row>
    <row r="314">
      <c r="A314" s="21" t="s">
        <v>883</v>
      </c>
      <c r="B314" s="21" t="s">
        <v>444</v>
      </c>
      <c r="C314" s="21" t="s">
        <v>1617</v>
      </c>
      <c r="D314" s="62" t="s">
        <v>571</v>
      </c>
      <c r="E314" s="18" t="s">
        <v>572</v>
      </c>
      <c r="F314" s="18" t="s">
        <v>192</v>
      </c>
      <c r="G314" s="63" t="s">
        <v>1618</v>
      </c>
      <c r="H314" s="52" t="s">
        <v>581</v>
      </c>
      <c r="I314" s="28">
        <v>14.0</v>
      </c>
      <c r="J314" s="26" t="str">
        <f t="shared" si="489"/>
        <v>R</v>
      </c>
      <c r="K314" s="28">
        <v>18.0</v>
      </c>
      <c r="L314" s="26" t="str">
        <f t="shared" si="490"/>
        <v>R</v>
      </c>
      <c r="M314" s="28">
        <v>24.0</v>
      </c>
      <c r="N314" s="26" t="str">
        <f t="shared" si="491"/>
        <v>S</v>
      </c>
      <c r="O314" s="28">
        <v>21.0</v>
      </c>
      <c r="P314" s="26" t="str">
        <f t="shared" si="492"/>
        <v>I</v>
      </c>
      <c r="Q314" s="28">
        <v>22.0</v>
      </c>
      <c r="R314" s="26" t="str">
        <f t="shared" si="493"/>
        <v>S</v>
      </c>
      <c r="S314" s="28">
        <v>16.0</v>
      </c>
      <c r="T314" s="26" t="str">
        <f t="shared" si="494"/>
        <v>R</v>
      </c>
      <c r="U314" s="28">
        <v>22.0</v>
      </c>
      <c r="V314" s="26" t="str">
        <f t="shared" si="495"/>
        <v>S</v>
      </c>
      <c r="W314" s="32" t="s">
        <v>299</v>
      </c>
      <c r="X314" s="65">
        <v>14.0</v>
      </c>
      <c r="Y314" s="33" t="str">
        <f t="shared" si="496"/>
        <v>R</v>
      </c>
      <c r="Z314" s="65">
        <v>22.0</v>
      </c>
      <c r="AA314" s="33" t="str">
        <f t="shared" si="497"/>
        <v>S</v>
      </c>
      <c r="AB314" s="65">
        <v>18.0</v>
      </c>
      <c r="AC314" s="33" t="str">
        <f t="shared" si="498"/>
        <v>R</v>
      </c>
      <c r="AD314" s="65">
        <v>17.0</v>
      </c>
      <c r="AE314" s="33" t="str">
        <f t="shared" si="499"/>
        <v>S</v>
      </c>
      <c r="AF314" s="65">
        <v>20.0</v>
      </c>
      <c r="AG314" s="33" t="str">
        <f t="shared" si="500"/>
        <v>R</v>
      </c>
      <c r="AH314" s="65" t="s">
        <v>299</v>
      </c>
      <c r="AI314" s="66">
        <v>14.0</v>
      </c>
      <c r="AJ314" s="36" t="str">
        <f t="shared" si="501"/>
        <v>R</v>
      </c>
      <c r="AK314" s="66">
        <v>12.0</v>
      </c>
      <c r="AL314" s="36" t="str">
        <f t="shared" si="502"/>
        <v>R</v>
      </c>
      <c r="AM314" s="66">
        <v>12.0</v>
      </c>
      <c r="AN314" s="36" t="str">
        <f t="shared" si="503"/>
        <v>R</v>
      </c>
      <c r="AO314" s="66" t="s">
        <v>299</v>
      </c>
      <c r="AP314" s="67">
        <v>18.0</v>
      </c>
      <c r="AQ314" s="37" t="str">
        <f t="shared" si="504"/>
        <v>S</v>
      </c>
      <c r="AR314" s="65">
        <v>21.0</v>
      </c>
      <c r="AS314" s="33" t="str">
        <f t="shared" si="505"/>
        <v>S</v>
      </c>
      <c r="AT314" s="65">
        <v>18.0</v>
      </c>
      <c r="AU314" s="33" t="str">
        <f t="shared" si="506"/>
        <v>S</v>
      </c>
      <c r="AV314" s="33" t="s">
        <v>300</v>
      </c>
      <c r="AW314" s="28">
        <v>15.0</v>
      </c>
      <c r="AX314" s="26" t="str">
        <f t="shared" si="507"/>
        <v>R</v>
      </c>
      <c r="AY314" s="67">
        <v>16.0</v>
      </c>
      <c r="AZ314" s="37" t="str">
        <f t="shared" si="508"/>
        <v>R</v>
      </c>
      <c r="BA314" s="66">
        <v>25.0</v>
      </c>
      <c r="BB314" s="36" t="str">
        <f t="shared" si="509"/>
        <v>S</v>
      </c>
      <c r="BC314" s="39" t="s">
        <v>357</v>
      </c>
      <c r="BD314" s="39" t="s">
        <v>357</v>
      </c>
      <c r="BE314" s="66">
        <v>28.0</v>
      </c>
      <c r="BF314" s="36" t="str">
        <f t="shared" si="510"/>
        <v>S</v>
      </c>
      <c r="BG314" s="68">
        <v>19.0</v>
      </c>
      <c r="BH314" s="41" t="str">
        <f t="shared" si="511"/>
        <v>S</v>
      </c>
      <c r="BI314" s="41"/>
    </row>
    <row r="315">
      <c r="A315" s="51" t="s">
        <v>884</v>
      </c>
      <c r="B315" s="53">
        <v>161.0</v>
      </c>
      <c r="C315" s="51" t="s">
        <v>1016</v>
      </c>
      <c r="D315" s="62" t="s">
        <v>190</v>
      </c>
      <c r="E315" s="18" t="s">
        <v>190</v>
      </c>
      <c r="F315" s="18" t="s">
        <v>192</v>
      </c>
      <c r="G315" s="63" t="s">
        <v>1017</v>
      </c>
      <c r="H315" s="22" t="s">
        <v>198</v>
      </c>
      <c r="I315" s="28">
        <v>6.0</v>
      </c>
      <c r="J315" s="26" t="str">
        <f t="shared" si="489"/>
        <v>R</v>
      </c>
      <c r="K315" s="28">
        <v>24.0</v>
      </c>
      <c r="L315" s="26" t="str">
        <f t="shared" si="490"/>
        <v>S</v>
      </c>
      <c r="M315" s="28">
        <v>6.0</v>
      </c>
      <c r="N315" s="26" t="str">
        <f t="shared" si="491"/>
        <v>R</v>
      </c>
      <c r="O315" s="28">
        <v>21.0</v>
      </c>
      <c r="P315" s="26" t="str">
        <f t="shared" si="492"/>
        <v>I</v>
      </c>
      <c r="Q315" s="28">
        <v>6.0</v>
      </c>
      <c r="R315" s="26" t="str">
        <f t="shared" si="493"/>
        <v>R</v>
      </c>
      <c r="S315" s="28">
        <v>22.0</v>
      </c>
      <c r="T315" s="26" t="str">
        <f t="shared" si="494"/>
        <v>S</v>
      </c>
      <c r="U315" s="28">
        <v>20.0</v>
      </c>
      <c r="V315" s="26" t="str">
        <f t="shared" si="495"/>
        <v>S</v>
      </c>
      <c r="W315" s="32" t="s">
        <v>299</v>
      </c>
      <c r="X315" s="65">
        <v>12.0</v>
      </c>
      <c r="Y315" s="33" t="str">
        <f t="shared" si="496"/>
        <v>R</v>
      </c>
      <c r="Z315" s="65">
        <v>23.0</v>
      </c>
      <c r="AA315" s="33" t="str">
        <f t="shared" si="497"/>
        <v>S</v>
      </c>
      <c r="AB315" s="65">
        <v>20.0</v>
      </c>
      <c r="AC315" s="33" t="str">
        <f t="shared" si="498"/>
        <v>I</v>
      </c>
      <c r="AD315" s="65">
        <v>12.0</v>
      </c>
      <c r="AE315" s="33" t="str">
        <f t="shared" si="499"/>
        <v>R</v>
      </c>
      <c r="AF315" s="65">
        <v>16.0</v>
      </c>
      <c r="AG315" s="33" t="str">
        <f t="shared" si="500"/>
        <v>R</v>
      </c>
      <c r="AH315" s="65" t="s">
        <v>299</v>
      </c>
      <c r="AI315" s="66">
        <v>7.0</v>
      </c>
      <c r="AJ315" s="36" t="str">
        <f t="shared" si="501"/>
        <v>R</v>
      </c>
      <c r="AK315" s="66">
        <v>11.0</v>
      </c>
      <c r="AL315" s="36" t="str">
        <f t="shared" si="502"/>
        <v>R</v>
      </c>
      <c r="AM315" s="66">
        <v>6.0</v>
      </c>
      <c r="AN315" s="36" t="str">
        <f t="shared" si="503"/>
        <v>R</v>
      </c>
      <c r="AO315" s="66" t="s">
        <v>299</v>
      </c>
      <c r="AP315" s="67">
        <v>6.0</v>
      </c>
      <c r="AQ315" s="37" t="str">
        <f t="shared" si="504"/>
        <v>R</v>
      </c>
      <c r="AR315" s="65">
        <v>16.0</v>
      </c>
      <c r="AS315" s="33" t="str">
        <f t="shared" si="505"/>
        <v>R</v>
      </c>
      <c r="AT315" s="65">
        <v>32.0</v>
      </c>
      <c r="AU315" s="33" t="str">
        <f t="shared" si="506"/>
        <v>S</v>
      </c>
      <c r="AV315" s="65" t="s">
        <v>299</v>
      </c>
      <c r="AW315" s="28">
        <v>6.0</v>
      </c>
      <c r="AX315" s="26" t="str">
        <f t="shared" si="507"/>
        <v>R</v>
      </c>
      <c r="AY315" s="67">
        <v>10.0</v>
      </c>
      <c r="AZ315" s="37" t="str">
        <f t="shared" si="508"/>
        <v>R</v>
      </c>
      <c r="BA315" s="66">
        <v>23.0</v>
      </c>
      <c r="BB315" s="36" t="str">
        <f t="shared" si="509"/>
        <v>S</v>
      </c>
      <c r="BC315" s="39" t="s">
        <v>357</v>
      </c>
      <c r="BD315" s="39" t="s">
        <v>357</v>
      </c>
      <c r="BE315" s="66">
        <v>26.0</v>
      </c>
      <c r="BF315" s="36" t="str">
        <f t="shared" si="510"/>
        <v>S</v>
      </c>
      <c r="BG315" s="68">
        <v>17.0</v>
      </c>
      <c r="BH315" s="41" t="str">
        <f t="shared" si="511"/>
        <v>S</v>
      </c>
      <c r="BI315" s="41"/>
    </row>
    <row r="316">
      <c r="A316" s="51" t="s">
        <v>884</v>
      </c>
      <c r="B316" s="51" t="s">
        <v>444</v>
      </c>
      <c r="C316" s="51" t="s">
        <v>1619</v>
      </c>
      <c r="D316" s="62" t="s">
        <v>190</v>
      </c>
      <c r="E316" s="18" t="s">
        <v>190</v>
      </c>
      <c r="F316" s="18" t="s">
        <v>192</v>
      </c>
      <c r="G316" s="63" t="s">
        <v>1620</v>
      </c>
      <c r="H316" s="22" t="s">
        <v>198</v>
      </c>
      <c r="I316" s="28">
        <v>6.0</v>
      </c>
      <c r="J316" s="26" t="str">
        <f t="shared" si="489"/>
        <v>R</v>
      </c>
      <c r="K316" s="28">
        <v>21.0</v>
      </c>
      <c r="L316" s="26" t="str">
        <f t="shared" si="490"/>
        <v>S</v>
      </c>
      <c r="M316" s="28">
        <v>6.0</v>
      </c>
      <c r="N316" s="26" t="str">
        <f t="shared" si="491"/>
        <v>R</v>
      </c>
      <c r="O316" s="28">
        <v>18.0</v>
      </c>
      <c r="P316" s="26" t="str">
        <f t="shared" si="492"/>
        <v>R</v>
      </c>
      <c r="Q316" s="28">
        <v>6.0</v>
      </c>
      <c r="R316" s="26" t="str">
        <f t="shared" si="493"/>
        <v>R</v>
      </c>
      <c r="S316" s="28">
        <v>22.0</v>
      </c>
      <c r="T316" s="26" t="str">
        <f t="shared" si="494"/>
        <v>S</v>
      </c>
      <c r="U316" s="28">
        <v>20.0</v>
      </c>
      <c r="V316" s="26" t="str">
        <f t="shared" si="495"/>
        <v>S</v>
      </c>
      <c r="W316" s="32" t="s">
        <v>299</v>
      </c>
      <c r="X316" s="65">
        <v>10.0</v>
      </c>
      <c r="Y316" s="33" t="str">
        <f t="shared" si="496"/>
        <v>R</v>
      </c>
      <c r="Z316" s="65">
        <v>25.0</v>
      </c>
      <c r="AA316" s="33" t="str">
        <f t="shared" si="497"/>
        <v>S</v>
      </c>
      <c r="AB316" s="65">
        <v>19.0</v>
      </c>
      <c r="AC316" s="33" t="str">
        <f t="shared" si="498"/>
        <v>I</v>
      </c>
      <c r="AD316" s="65">
        <v>12.0</v>
      </c>
      <c r="AE316" s="33" t="str">
        <f t="shared" si="499"/>
        <v>R</v>
      </c>
      <c r="AF316" s="65">
        <v>15.0</v>
      </c>
      <c r="AG316" s="33" t="str">
        <f t="shared" si="500"/>
        <v>R</v>
      </c>
      <c r="AH316" s="65" t="s">
        <v>299</v>
      </c>
      <c r="AI316" s="66">
        <v>7.0</v>
      </c>
      <c r="AJ316" s="36" t="str">
        <f t="shared" si="501"/>
        <v>R</v>
      </c>
      <c r="AK316" s="66">
        <v>11.0</v>
      </c>
      <c r="AL316" s="36" t="str">
        <f t="shared" si="502"/>
        <v>R</v>
      </c>
      <c r="AM316" s="66">
        <v>10.0</v>
      </c>
      <c r="AN316" s="36" t="str">
        <f t="shared" si="503"/>
        <v>R</v>
      </c>
      <c r="AO316" s="66" t="s">
        <v>299</v>
      </c>
      <c r="AP316" s="67">
        <v>6.0</v>
      </c>
      <c r="AQ316" s="37" t="str">
        <f t="shared" si="504"/>
        <v>R</v>
      </c>
      <c r="AR316" s="65">
        <v>17.0</v>
      </c>
      <c r="AS316" s="33" t="str">
        <f t="shared" si="505"/>
        <v>R</v>
      </c>
      <c r="AT316" s="65">
        <v>32.0</v>
      </c>
      <c r="AU316" s="33" t="str">
        <f t="shared" si="506"/>
        <v>S</v>
      </c>
      <c r="AV316" s="65" t="s">
        <v>299</v>
      </c>
      <c r="AW316" s="28">
        <v>6.0</v>
      </c>
      <c r="AX316" s="26" t="str">
        <f t="shared" si="507"/>
        <v>R</v>
      </c>
      <c r="AY316" s="67">
        <v>10.0</v>
      </c>
      <c r="AZ316" s="37" t="str">
        <f t="shared" si="508"/>
        <v>R</v>
      </c>
      <c r="BA316" s="66">
        <v>24.0</v>
      </c>
      <c r="BB316" s="36" t="str">
        <f t="shared" si="509"/>
        <v>S</v>
      </c>
      <c r="BC316" s="39" t="s">
        <v>357</v>
      </c>
      <c r="BD316" s="39" t="s">
        <v>357</v>
      </c>
      <c r="BE316" s="66">
        <v>26.0</v>
      </c>
      <c r="BF316" s="36" t="str">
        <f t="shared" si="510"/>
        <v>S</v>
      </c>
      <c r="BG316" s="68">
        <v>17.0</v>
      </c>
      <c r="BH316" s="41" t="str">
        <f t="shared" si="511"/>
        <v>S</v>
      </c>
      <c r="BI316" s="41"/>
    </row>
    <row r="317">
      <c r="A317" s="51" t="s">
        <v>884</v>
      </c>
      <c r="B317" s="51" t="s">
        <v>444</v>
      </c>
      <c r="C317" s="51" t="s">
        <v>1621</v>
      </c>
      <c r="D317" s="62" t="s">
        <v>190</v>
      </c>
      <c r="E317" s="18" t="s">
        <v>190</v>
      </c>
      <c r="F317" s="18" t="s">
        <v>192</v>
      </c>
      <c r="G317" s="63" t="s">
        <v>1622</v>
      </c>
      <c r="H317" s="22" t="s">
        <v>198</v>
      </c>
      <c r="I317" s="28">
        <v>6.0</v>
      </c>
      <c r="J317" s="26" t="str">
        <f t="shared" si="489"/>
        <v>R</v>
      </c>
      <c r="K317" s="28">
        <v>26.0</v>
      </c>
      <c r="L317" s="26" t="str">
        <f t="shared" si="490"/>
        <v>S</v>
      </c>
      <c r="M317" s="28">
        <v>6.0</v>
      </c>
      <c r="N317" s="26" t="str">
        <f t="shared" si="491"/>
        <v>R</v>
      </c>
      <c r="O317" s="28">
        <v>18.0</v>
      </c>
      <c r="P317" s="26" t="str">
        <f t="shared" si="492"/>
        <v>R</v>
      </c>
      <c r="Q317" s="28">
        <v>6.0</v>
      </c>
      <c r="R317" s="26" t="str">
        <f t="shared" si="493"/>
        <v>R</v>
      </c>
      <c r="S317" s="28">
        <v>22.0</v>
      </c>
      <c r="T317" s="26" t="str">
        <f t="shared" si="494"/>
        <v>S</v>
      </c>
      <c r="U317" s="28">
        <v>20.0</v>
      </c>
      <c r="V317" s="26" t="str">
        <f t="shared" si="495"/>
        <v>S</v>
      </c>
      <c r="W317" s="32" t="s">
        <v>299</v>
      </c>
      <c r="X317" s="65">
        <v>9.0</v>
      </c>
      <c r="Y317" s="33" t="str">
        <f t="shared" si="496"/>
        <v>R</v>
      </c>
      <c r="Z317" s="65">
        <v>23.0</v>
      </c>
      <c r="AA317" s="33" t="str">
        <f t="shared" si="497"/>
        <v>S</v>
      </c>
      <c r="AB317" s="65">
        <v>21.0</v>
      </c>
      <c r="AC317" s="33" t="str">
        <f t="shared" si="498"/>
        <v>I</v>
      </c>
      <c r="AD317" s="65">
        <v>12.0</v>
      </c>
      <c r="AE317" s="33" t="str">
        <f t="shared" si="499"/>
        <v>R</v>
      </c>
      <c r="AF317" s="65">
        <v>16.0</v>
      </c>
      <c r="AG317" s="33" t="str">
        <f t="shared" si="500"/>
        <v>R</v>
      </c>
      <c r="AH317" s="65" t="s">
        <v>299</v>
      </c>
      <c r="AI317" s="66">
        <v>7.0</v>
      </c>
      <c r="AJ317" s="36" t="str">
        <f t="shared" si="501"/>
        <v>R</v>
      </c>
      <c r="AK317" s="66">
        <v>11.0</v>
      </c>
      <c r="AL317" s="36" t="str">
        <f t="shared" si="502"/>
        <v>R</v>
      </c>
      <c r="AM317" s="66">
        <v>6.0</v>
      </c>
      <c r="AN317" s="36" t="str">
        <f t="shared" si="503"/>
        <v>R</v>
      </c>
      <c r="AO317" s="66" t="s">
        <v>299</v>
      </c>
      <c r="AP317" s="67">
        <v>6.0</v>
      </c>
      <c r="AQ317" s="37" t="str">
        <f t="shared" si="504"/>
        <v>R</v>
      </c>
      <c r="AR317" s="65">
        <v>16.0</v>
      </c>
      <c r="AS317" s="33" t="str">
        <f t="shared" si="505"/>
        <v>R</v>
      </c>
      <c r="AT317" s="65">
        <v>32.0</v>
      </c>
      <c r="AU317" s="33" t="str">
        <f t="shared" si="506"/>
        <v>S</v>
      </c>
      <c r="AV317" s="65" t="s">
        <v>299</v>
      </c>
      <c r="AW317" s="28">
        <v>6.0</v>
      </c>
      <c r="AX317" s="26" t="str">
        <f t="shared" si="507"/>
        <v>R</v>
      </c>
      <c r="AY317" s="67">
        <v>10.0</v>
      </c>
      <c r="AZ317" s="37" t="str">
        <f t="shared" si="508"/>
        <v>R</v>
      </c>
      <c r="BA317" s="66">
        <v>22.0</v>
      </c>
      <c r="BB317" s="36" t="str">
        <f t="shared" si="509"/>
        <v>R</v>
      </c>
      <c r="BC317" s="39" t="s">
        <v>357</v>
      </c>
      <c r="BD317" s="39" t="s">
        <v>357</v>
      </c>
      <c r="BE317" s="66">
        <v>20.0</v>
      </c>
      <c r="BF317" s="36" t="str">
        <f t="shared" si="510"/>
        <v>I</v>
      </c>
      <c r="BG317" s="68">
        <v>17.0</v>
      </c>
      <c r="BH317" s="41" t="str">
        <f t="shared" si="511"/>
        <v>S</v>
      </c>
      <c r="BI317" s="41"/>
    </row>
    <row r="318">
      <c r="A318" s="21" t="s">
        <v>890</v>
      </c>
      <c r="B318" s="23">
        <v>162.0</v>
      </c>
      <c r="C318" s="21" t="s">
        <v>1038</v>
      </c>
      <c r="D318" s="62" t="s">
        <v>190</v>
      </c>
      <c r="E318" s="18" t="s">
        <v>190</v>
      </c>
      <c r="F318" s="18" t="s">
        <v>192</v>
      </c>
      <c r="G318" s="63" t="s">
        <v>1039</v>
      </c>
      <c r="H318" s="22" t="s">
        <v>198</v>
      </c>
      <c r="I318" s="28">
        <v>6.0</v>
      </c>
      <c r="J318" s="26" t="str">
        <f t="shared" si="489"/>
        <v>R</v>
      </c>
      <c r="K318" s="28">
        <v>20.0</v>
      </c>
      <c r="L318" s="26" t="str">
        <f t="shared" si="490"/>
        <v>S</v>
      </c>
      <c r="M318" s="28">
        <v>6.0</v>
      </c>
      <c r="N318" s="26" t="str">
        <f t="shared" si="491"/>
        <v>R</v>
      </c>
      <c r="O318" s="28">
        <v>22.0</v>
      </c>
      <c r="P318" s="26" t="str">
        <f t="shared" si="492"/>
        <v>I</v>
      </c>
      <c r="Q318" s="28">
        <v>6.0</v>
      </c>
      <c r="R318" s="26" t="str">
        <f t="shared" si="493"/>
        <v>R</v>
      </c>
      <c r="S318" s="28">
        <v>18.0</v>
      </c>
      <c r="T318" s="26" t="str">
        <f t="shared" si="494"/>
        <v>R</v>
      </c>
      <c r="U318" s="28">
        <v>21.0</v>
      </c>
      <c r="V318" s="26" t="str">
        <f t="shared" si="495"/>
        <v>S</v>
      </c>
      <c r="W318" s="32" t="s">
        <v>299</v>
      </c>
      <c r="X318" s="65">
        <v>6.0</v>
      </c>
      <c r="Y318" s="33" t="str">
        <f t="shared" si="496"/>
        <v>R</v>
      </c>
      <c r="Z318" s="65">
        <v>17.0</v>
      </c>
      <c r="AA318" s="33" t="str">
        <f t="shared" si="497"/>
        <v>R</v>
      </c>
      <c r="AB318" s="65">
        <v>6.0</v>
      </c>
      <c r="AC318" s="33" t="str">
        <f t="shared" si="498"/>
        <v>R</v>
      </c>
      <c r="AD318" s="65">
        <v>20.0</v>
      </c>
      <c r="AE318" s="33" t="str">
        <f t="shared" si="499"/>
        <v>S</v>
      </c>
      <c r="AF318" s="65">
        <v>15.0</v>
      </c>
      <c r="AG318" s="33" t="str">
        <f t="shared" si="500"/>
        <v>R</v>
      </c>
      <c r="AH318" s="65" t="s">
        <v>299</v>
      </c>
      <c r="AI318" s="66">
        <v>6.0</v>
      </c>
      <c r="AJ318" s="36" t="str">
        <f t="shared" si="501"/>
        <v>R</v>
      </c>
      <c r="AK318" s="66">
        <v>6.0</v>
      </c>
      <c r="AL318" s="36" t="str">
        <f t="shared" si="502"/>
        <v>R</v>
      </c>
      <c r="AM318" s="66">
        <v>6.0</v>
      </c>
      <c r="AN318" s="36" t="str">
        <f t="shared" si="503"/>
        <v>R</v>
      </c>
      <c r="AO318" s="66" t="s">
        <v>299</v>
      </c>
      <c r="AP318" s="67">
        <v>6.0</v>
      </c>
      <c r="AQ318" s="37" t="str">
        <f t="shared" si="504"/>
        <v>R</v>
      </c>
      <c r="AR318" s="65">
        <v>18.0</v>
      </c>
      <c r="AS318" s="33" t="str">
        <f t="shared" si="505"/>
        <v>S</v>
      </c>
      <c r="AT318" s="65">
        <v>17.0</v>
      </c>
      <c r="AU318" s="33" t="str">
        <f t="shared" si="506"/>
        <v>S</v>
      </c>
      <c r="AV318" s="33" t="s">
        <v>300</v>
      </c>
      <c r="AW318" s="28">
        <v>6.0</v>
      </c>
      <c r="AX318" s="26" t="str">
        <f t="shared" si="507"/>
        <v>R</v>
      </c>
      <c r="AY318" s="67">
        <v>15.0</v>
      </c>
      <c r="AZ318" s="37" t="str">
        <f t="shared" si="508"/>
        <v>R</v>
      </c>
      <c r="BA318" s="66">
        <v>25.0</v>
      </c>
      <c r="BB318" s="36" t="str">
        <f t="shared" si="509"/>
        <v>S</v>
      </c>
      <c r="BC318" s="39" t="s">
        <v>357</v>
      </c>
      <c r="BD318" s="39" t="s">
        <v>357</v>
      </c>
      <c r="BE318" s="66">
        <v>25.0</v>
      </c>
      <c r="BF318" s="36" t="str">
        <f t="shared" si="510"/>
        <v>S</v>
      </c>
      <c r="BG318" s="68">
        <v>18.0</v>
      </c>
      <c r="BH318" s="41" t="str">
        <f t="shared" si="511"/>
        <v>S</v>
      </c>
      <c r="BI318" s="41"/>
    </row>
    <row r="319">
      <c r="A319" s="21" t="s">
        <v>890</v>
      </c>
      <c r="B319" s="21" t="s">
        <v>444</v>
      </c>
      <c r="C319" s="21" t="s">
        <v>1628</v>
      </c>
      <c r="D319" s="62" t="s">
        <v>190</v>
      </c>
      <c r="E319" s="18" t="s">
        <v>190</v>
      </c>
      <c r="F319" s="18" t="s">
        <v>192</v>
      </c>
      <c r="G319" s="63" t="s">
        <v>1629</v>
      </c>
      <c r="H319" s="22" t="s">
        <v>198</v>
      </c>
      <c r="I319" s="28">
        <v>6.0</v>
      </c>
      <c r="J319" s="26" t="str">
        <f t="shared" si="489"/>
        <v>R</v>
      </c>
      <c r="K319" s="28">
        <v>20.0</v>
      </c>
      <c r="L319" s="26" t="str">
        <f t="shared" si="490"/>
        <v>S</v>
      </c>
      <c r="M319" s="28">
        <v>6.0</v>
      </c>
      <c r="N319" s="26" t="str">
        <f t="shared" si="491"/>
        <v>R</v>
      </c>
      <c r="O319" s="28">
        <v>22.0</v>
      </c>
      <c r="P319" s="26" t="str">
        <f t="shared" si="492"/>
        <v>I</v>
      </c>
      <c r="Q319" s="28">
        <v>6.0</v>
      </c>
      <c r="R319" s="26" t="str">
        <f t="shared" si="493"/>
        <v>R</v>
      </c>
      <c r="S319" s="28">
        <v>18.0</v>
      </c>
      <c r="T319" s="26" t="str">
        <f t="shared" si="494"/>
        <v>R</v>
      </c>
      <c r="U319" s="28">
        <v>21.0</v>
      </c>
      <c r="V319" s="26" t="str">
        <f t="shared" si="495"/>
        <v>S</v>
      </c>
      <c r="W319" s="32" t="s">
        <v>299</v>
      </c>
      <c r="X319" s="65">
        <v>6.0</v>
      </c>
      <c r="Y319" s="33" t="str">
        <f t="shared" si="496"/>
        <v>R</v>
      </c>
      <c r="Z319" s="65">
        <v>17.0</v>
      </c>
      <c r="AA319" s="33" t="str">
        <f t="shared" si="497"/>
        <v>R</v>
      </c>
      <c r="AB319" s="65">
        <v>6.0</v>
      </c>
      <c r="AC319" s="33" t="str">
        <f t="shared" si="498"/>
        <v>R</v>
      </c>
      <c r="AD319" s="65">
        <v>20.0</v>
      </c>
      <c r="AE319" s="33" t="str">
        <f t="shared" si="499"/>
        <v>S</v>
      </c>
      <c r="AF319" s="65">
        <v>15.0</v>
      </c>
      <c r="AG319" s="33" t="str">
        <f t="shared" si="500"/>
        <v>R</v>
      </c>
      <c r="AH319" s="65" t="s">
        <v>299</v>
      </c>
      <c r="AI319" s="66">
        <v>6.0</v>
      </c>
      <c r="AJ319" s="36" t="str">
        <f t="shared" si="501"/>
        <v>R</v>
      </c>
      <c r="AK319" s="66">
        <v>6.0</v>
      </c>
      <c r="AL319" s="36" t="str">
        <f t="shared" si="502"/>
        <v>R</v>
      </c>
      <c r="AM319" s="66">
        <v>6.0</v>
      </c>
      <c r="AN319" s="36" t="str">
        <f t="shared" si="503"/>
        <v>R</v>
      </c>
      <c r="AO319" s="66" t="s">
        <v>299</v>
      </c>
      <c r="AP319" s="67">
        <v>6.0</v>
      </c>
      <c r="AQ319" s="37" t="str">
        <f t="shared" si="504"/>
        <v>R</v>
      </c>
      <c r="AR319" s="65">
        <v>18.0</v>
      </c>
      <c r="AS319" s="33" t="str">
        <f t="shared" si="505"/>
        <v>S</v>
      </c>
      <c r="AT319" s="65">
        <v>17.0</v>
      </c>
      <c r="AU319" s="33" t="str">
        <f t="shared" si="506"/>
        <v>S</v>
      </c>
      <c r="AV319" s="33" t="s">
        <v>300</v>
      </c>
      <c r="AW319" s="28">
        <v>6.0</v>
      </c>
      <c r="AX319" s="26" t="str">
        <f t="shared" si="507"/>
        <v>R</v>
      </c>
      <c r="AY319" s="67">
        <v>15.0</v>
      </c>
      <c r="AZ319" s="37" t="str">
        <f t="shared" si="508"/>
        <v>R</v>
      </c>
      <c r="BA319" s="66">
        <v>25.0</v>
      </c>
      <c r="BB319" s="36" t="str">
        <f t="shared" si="509"/>
        <v>S</v>
      </c>
      <c r="BC319" s="39" t="s">
        <v>357</v>
      </c>
      <c r="BD319" s="39" t="s">
        <v>357</v>
      </c>
      <c r="BE319" s="66">
        <v>25.0</v>
      </c>
      <c r="BF319" s="36" t="str">
        <f t="shared" si="510"/>
        <v>S</v>
      </c>
      <c r="BG319" s="68">
        <v>18.0</v>
      </c>
      <c r="BH319" s="41" t="str">
        <f t="shared" si="511"/>
        <v>S</v>
      </c>
      <c r="BI319" s="41"/>
    </row>
    <row r="320">
      <c r="A320" s="21" t="s">
        <v>890</v>
      </c>
      <c r="B320" s="21" t="s">
        <v>444</v>
      </c>
      <c r="C320" s="21" t="s">
        <v>1632</v>
      </c>
      <c r="D320" s="62" t="s">
        <v>190</v>
      </c>
      <c r="E320" s="18" t="s">
        <v>190</v>
      </c>
      <c r="F320" s="18" t="s">
        <v>192</v>
      </c>
      <c r="G320" s="63" t="s">
        <v>1633</v>
      </c>
      <c r="H320" s="22" t="s">
        <v>198</v>
      </c>
      <c r="I320" s="28">
        <v>6.0</v>
      </c>
      <c r="J320" s="26" t="str">
        <f t="shared" si="489"/>
        <v>R</v>
      </c>
      <c r="K320" s="28">
        <v>20.0</v>
      </c>
      <c r="L320" s="26" t="str">
        <f t="shared" si="490"/>
        <v>S</v>
      </c>
      <c r="M320" s="28">
        <v>6.0</v>
      </c>
      <c r="N320" s="26" t="str">
        <f t="shared" si="491"/>
        <v>R</v>
      </c>
      <c r="O320" s="28">
        <v>22.0</v>
      </c>
      <c r="P320" s="26" t="str">
        <f t="shared" si="492"/>
        <v>I</v>
      </c>
      <c r="Q320" s="28">
        <v>6.0</v>
      </c>
      <c r="R320" s="26" t="str">
        <f t="shared" si="493"/>
        <v>R</v>
      </c>
      <c r="S320" s="28">
        <v>18.0</v>
      </c>
      <c r="T320" s="26" t="str">
        <f t="shared" si="494"/>
        <v>R</v>
      </c>
      <c r="U320" s="28">
        <v>21.0</v>
      </c>
      <c r="V320" s="26" t="str">
        <f t="shared" si="495"/>
        <v>S</v>
      </c>
      <c r="W320" s="32" t="s">
        <v>299</v>
      </c>
      <c r="X320" s="65">
        <v>6.0</v>
      </c>
      <c r="Y320" s="33" t="str">
        <f t="shared" si="496"/>
        <v>R</v>
      </c>
      <c r="Z320" s="65">
        <v>17.0</v>
      </c>
      <c r="AA320" s="33" t="str">
        <f t="shared" si="497"/>
        <v>R</v>
      </c>
      <c r="AB320" s="65">
        <v>6.0</v>
      </c>
      <c r="AC320" s="33" t="str">
        <f t="shared" si="498"/>
        <v>R</v>
      </c>
      <c r="AD320" s="65">
        <v>20.0</v>
      </c>
      <c r="AE320" s="33" t="str">
        <f t="shared" si="499"/>
        <v>S</v>
      </c>
      <c r="AF320" s="65">
        <v>15.0</v>
      </c>
      <c r="AG320" s="33" t="str">
        <f t="shared" si="500"/>
        <v>R</v>
      </c>
      <c r="AH320" s="65" t="s">
        <v>299</v>
      </c>
      <c r="AI320" s="66">
        <v>6.0</v>
      </c>
      <c r="AJ320" s="36" t="str">
        <f t="shared" si="501"/>
        <v>R</v>
      </c>
      <c r="AK320" s="66">
        <v>6.0</v>
      </c>
      <c r="AL320" s="36" t="str">
        <f t="shared" si="502"/>
        <v>R</v>
      </c>
      <c r="AM320" s="66">
        <v>6.0</v>
      </c>
      <c r="AN320" s="36" t="str">
        <f t="shared" si="503"/>
        <v>R</v>
      </c>
      <c r="AO320" s="66" t="s">
        <v>299</v>
      </c>
      <c r="AP320" s="67">
        <v>6.0</v>
      </c>
      <c r="AQ320" s="37" t="str">
        <f t="shared" si="504"/>
        <v>R</v>
      </c>
      <c r="AR320" s="65">
        <v>18.0</v>
      </c>
      <c r="AS320" s="33" t="str">
        <f t="shared" si="505"/>
        <v>S</v>
      </c>
      <c r="AT320" s="65">
        <v>17.0</v>
      </c>
      <c r="AU320" s="33" t="str">
        <f t="shared" si="506"/>
        <v>S</v>
      </c>
      <c r="AV320" s="33" t="s">
        <v>300</v>
      </c>
      <c r="AW320" s="28">
        <v>6.0</v>
      </c>
      <c r="AX320" s="26" t="str">
        <f t="shared" si="507"/>
        <v>R</v>
      </c>
      <c r="AY320" s="67">
        <v>15.0</v>
      </c>
      <c r="AZ320" s="37" t="str">
        <f t="shared" si="508"/>
        <v>R</v>
      </c>
      <c r="BA320" s="66">
        <v>25.0</v>
      </c>
      <c r="BB320" s="36" t="str">
        <f t="shared" si="509"/>
        <v>S</v>
      </c>
      <c r="BC320" s="39" t="s">
        <v>357</v>
      </c>
      <c r="BD320" s="39" t="s">
        <v>357</v>
      </c>
      <c r="BE320" s="66">
        <v>25.0</v>
      </c>
      <c r="BF320" s="36" t="str">
        <f t="shared" si="510"/>
        <v>S</v>
      </c>
      <c r="BG320" s="68">
        <v>18.0</v>
      </c>
      <c r="BH320" s="41" t="str">
        <f t="shared" si="511"/>
        <v>S</v>
      </c>
      <c r="BI320" s="41"/>
    </row>
    <row r="321">
      <c r="A321" s="21" t="s">
        <v>890</v>
      </c>
      <c r="B321" s="23">
        <v>163.0</v>
      </c>
      <c r="C321" s="21" t="s">
        <v>1047</v>
      </c>
      <c r="D321" s="62" t="s">
        <v>190</v>
      </c>
      <c r="E321" s="18" t="s">
        <v>190</v>
      </c>
      <c r="F321" s="18" t="s">
        <v>192</v>
      </c>
      <c r="G321" s="63" t="s">
        <v>1049</v>
      </c>
      <c r="H321" s="22" t="s">
        <v>198</v>
      </c>
      <c r="I321" s="28">
        <v>6.0</v>
      </c>
      <c r="J321" s="26" t="str">
        <f t="shared" si="489"/>
        <v>R</v>
      </c>
      <c r="K321" s="28">
        <v>6.0</v>
      </c>
      <c r="L321" s="26" t="str">
        <f t="shared" si="490"/>
        <v>R</v>
      </c>
      <c r="M321" s="28">
        <v>6.0</v>
      </c>
      <c r="N321" s="26" t="str">
        <f t="shared" si="491"/>
        <v>R</v>
      </c>
      <c r="O321" s="28">
        <v>6.0</v>
      </c>
      <c r="P321" s="26" t="str">
        <f t="shared" si="492"/>
        <v>R</v>
      </c>
      <c r="Q321" s="28">
        <v>6.0</v>
      </c>
      <c r="R321" s="26" t="str">
        <f t="shared" si="493"/>
        <v>R</v>
      </c>
      <c r="S321" s="28">
        <v>6.0</v>
      </c>
      <c r="T321" s="26" t="str">
        <f t="shared" si="494"/>
        <v>R</v>
      </c>
      <c r="U321" s="28">
        <v>6.0</v>
      </c>
      <c r="V321" s="26" t="str">
        <f t="shared" si="495"/>
        <v>R</v>
      </c>
      <c r="W321" s="32" t="s">
        <v>299</v>
      </c>
      <c r="X321" s="65">
        <v>6.0</v>
      </c>
      <c r="Y321" s="33" t="str">
        <f t="shared" si="496"/>
        <v>R</v>
      </c>
      <c r="Z321" s="65">
        <v>6.0</v>
      </c>
      <c r="AA321" s="33" t="str">
        <f t="shared" si="497"/>
        <v>R</v>
      </c>
      <c r="AB321" s="65">
        <v>6.0</v>
      </c>
      <c r="AC321" s="33" t="str">
        <f t="shared" si="498"/>
        <v>R</v>
      </c>
      <c r="AD321" s="65">
        <v>6.0</v>
      </c>
      <c r="AE321" s="33" t="str">
        <f t="shared" si="499"/>
        <v>R</v>
      </c>
      <c r="AF321" s="65">
        <v>6.0</v>
      </c>
      <c r="AG321" s="33" t="str">
        <f t="shared" si="500"/>
        <v>R</v>
      </c>
      <c r="AH321" s="65" t="s">
        <v>299</v>
      </c>
      <c r="AI321" s="66">
        <v>6.0</v>
      </c>
      <c r="AJ321" s="36" t="str">
        <f t="shared" si="501"/>
        <v>R</v>
      </c>
      <c r="AK321" s="66">
        <v>6.0</v>
      </c>
      <c r="AL321" s="36" t="str">
        <f t="shared" si="502"/>
        <v>R</v>
      </c>
      <c r="AM321" s="66">
        <v>6.0</v>
      </c>
      <c r="AN321" s="36" t="str">
        <f t="shared" si="503"/>
        <v>R</v>
      </c>
      <c r="AO321" s="66" t="s">
        <v>299</v>
      </c>
      <c r="AP321" s="67">
        <v>6.0</v>
      </c>
      <c r="AQ321" s="37" t="str">
        <f t="shared" si="504"/>
        <v>R</v>
      </c>
      <c r="AR321" s="65">
        <v>19.0</v>
      </c>
      <c r="AS321" s="33" t="str">
        <f t="shared" si="505"/>
        <v>S</v>
      </c>
      <c r="AT321" s="65">
        <v>11.0</v>
      </c>
      <c r="AU321" s="33" t="str">
        <f t="shared" si="506"/>
        <v>R</v>
      </c>
      <c r="AV321" s="65" t="s">
        <v>299</v>
      </c>
      <c r="AW321" s="28">
        <v>20.0</v>
      </c>
      <c r="AX321" s="26" t="str">
        <f t="shared" si="507"/>
        <v>S</v>
      </c>
      <c r="AY321" s="67">
        <v>6.0</v>
      </c>
      <c r="AZ321" s="37" t="str">
        <f t="shared" si="508"/>
        <v>R</v>
      </c>
      <c r="BA321" s="66">
        <v>14.0</v>
      </c>
      <c r="BB321" s="36" t="str">
        <f t="shared" si="509"/>
        <v>R</v>
      </c>
      <c r="BC321" s="39" t="s">
        <v>357</v>
      </c>
      <c r="BD321" s="39" t="s">
        <v>357</v>
      </c>
      <c r="BE321" s="66">
        <v>20.0</v>
      </c>
      <c r="BF321" s="36" t="str">
        <f t="shared" si="510"/>
        <v>I</v>
      </c>
      <c r="BG321" s="68">
        <v>6.0</v>
      </c>
      <c r="BH321" s="41" t="str">
        <f t="shared" si="511"/>
        <v>R</v>
      </c>
      <c r="BI321" s="41"/>
    </row>
    <row r="322">
      <c r="A322" s="21" t="s">
        <v>890</v>
      </c>
      <c r="B322" s="21" t="s">
        <v>444</v>
      </c>
      <c r="C322" s="21" t="s">
        <v>1640</v>
      </c>
      <c r="D322" s="62" t="s">
        <v>190</v>
      </c>
      <c r="E322" s="18" t="s">
        <v>190</v>
      </c>
      <c r="F322" s="18" t="s">
        <v>192</v>
      </c>
      <c r="G322" s="63" t="s">
        <v>1643</v>
      </c>
      <c r="H322" s="22" t="s">
        <v>198</v>
      </c>
      <c r="I322" s="28">
        <v>6.0</v>
      </c>
      <c r="J322" s="26" t="str">
        <f t="shared" si="489"/>
        <v>R</v>
      </c>
      <c r="K322" s="28">
        <v>6.0</v>
      </c>
      <c r="L322" s="26" t="str">
        <f t="shared" si="490"/>
        <v>R</v>
      </c>
      <c r="M322" s="28">
        <v>6.0</v>
      </c>
      <c r="N322" s="26" t="str">
        <f t="shared" si="491"/>
        <v>R</v>
      </c>
      <c r="O322" s="28">
        <v>6.0</v>
      </c>
      <c r="P322" s="26" t="str">
        <f t="shared" si="492"/>
        <v>R</v>
      </c>
      <c r="Q322" s="28">
        <v>6.0</v>
      </c>
      <c r="R322" s="26" t="str">
        <f t="shared" si="493"/>
        <v>R</v>
      </c>
      <c r="S322" s="28">
        <v>6.0</v>
      </c>
      <c r="T322" s="26" t="str">
        <f t="shared" si="494"/>
        <v>R</v>
      </c>
      <c r="U322" s="28">
        <v>6.0</v>
      </c>
      <c r="V322" s="26" t="str">
        <f t="shared" si="495"/>
        <v>R</v>
      </c>
      <c r="W322" s="32" t="s">
        <v>299</v>
      </c>
      <c r="X322" s="65">
        <v>6.0</v>
      </c>
      <c r="Y322" s="33" t="str">
        <f t="shared" si="496"/>
        <v>R</v>
      </c>
      <c r="Z322" s="65">
        <v>6.0</v>
      </c>
      <c r="AA322" s="33" t="str">
        <f t="shared" si="497"/>
        <v>R</v>
      </c>
      <c r="AB322" s="65">
        <v>6.0</v>
      </c>
      <c r="AC322" s="33" t="str">
        <f t="shared" si="498"/>
        <v>R</v>
      </c>
      <c r="AD322" s="65">
        <v>6.0</v>
      </c>
      <c r="AE322" s="33" t="str">
        <f t="shared" si="499"/>
        <v>R</v>
      </c>
      <c r="AF322" s="65">
        <v>6.0</v>
      </c>
      <c r="AG322" s="33" t="str">
        <f t="shared" si="500"/>
        <v>R</v>
      </c>
      <c r="AH322" s="65" t="s">
        <v>299</v>
      </c>
      <c r="AI322" s="66">
        <v>6.0</v>
      </c>
      <c r="AJ322" s="36" t="str">
        <f t="shared" si="501"/>
        <v>R</v>
      </c>
      <c r="AK322" s="66">
        <v>6.0</v>
      </c>
      <c r="AL322" s="36" t="str">
        <f t="shared" si="502"/>
        <v>R</v>
      </c>
      <c r="AM322" s="66">
        <v>6.0</v>
      </c>
      <c r="AN322" s="36" t="str">
        <f t="shared" si="503"/>
        <v>R</v>
      </c>
      <c r="AO322" s="66" t="s">
        <v>299</v>
      </c>
      <c r="AP322" s="67">
        <v>6.0</v>
      </c>
      <c r="AQ322" s="37" t="str">
        <f t="shared" si="504"/>
        <v>R</v>
      </c>
      <c r="AR322" s="65">
        <v>19.0</v>
      </c>
      <c r="AS322" s="33" t="str">
        <f t="shared" si="505"/>
        <v>S</v>
      </c>
      <c r="AT322" s="65">
        <v>11.0</v>
      </c>
      <c r="AU322" s="33" t="str">
        <f t="shared" si="506"/>
        <v>R</v>
      </c>
      <c r="AV322" s="65" t="s">
        <v>299</v>
      </c>
      <c r="AW322" s="28">
        <v>20.0</v>
      </c>
      <c r="AX322" s="26" t="str">
        <f t="shared" si="507"/>
        <v>S</v>
      </c>
      <c r="AY322" s="67">
        <v>6.0</v>
      </c>
      <c r="AZ322" s="37" t="str">
        <f t="shared" si="508"/>
        <v>R</v>
      </c>
      <c r="BA322" s="66">
        <v>14.0</v>
      </c>
      <c r="BB322" s="36" t="str">
        <f t="shared" si="509"/>
        <v>R</v>
      </c>
      <c r="BC322" s="39" t="s">
        <v>357</v>
      </c>
      <c r="BD322" s="39" t="s">
        <v>357</v>
      </c>
      <c r="BE322" s="66">
        <v>20.0</v>
      </c>
      <c r="BF322" s="36" t="str">
        <f t="shared" si="510"/>
        <v>I</v>
      </c>
      <c r="BG322" s="68">
        <v>6.0</v>
      </c>
      <c r="BH322" s="41" t="str">
        <f t="shared" si="511"/>
        <v>R</v>
      </c>
      <c r="BI322" s="41"/>
    </row>
    <row r="323">
      <c r="A323" s="21" t="s">
        <v>890</v>
      </c>
      <c r="B323" s="21" t="s">
        <v>444</v>
      </c>
      <c r="C323" s="21" t="s">
        <v>1646</v>
      </c>
      <c r="D323" s="62" t="s">
        <v>190</v>
      </c>
      <c r="E323" s="18" t="s">
        <v>190</v>
      </c>
      <c r="F323" s="18" t="s">
        <v>192</v>
      </c>
      <c r="G323" s="63" t="s">
        <v>1647</v>
      </c>
      <c r="H323" s="22" t="s">
        <v>198</v>
      </c>
      <c r="I323" s="28">
        <v>6.0</v>
      </c>
      <c r="J323" s="26" t="str">
        <f t="shared" si="489"/>
        <v>R</v>
      </c>
      <c r="K323" s="28">
        <v>6.0</v>
      </c>
      <c r="L323" s="26" t="str">
        <f t="shared" si="490"/>
        <v>R</v>
      </c>
      <c r="M323" s="28">
        <v>6.0</v>
      </c>
      <c r="N323" s="26" t="str">
        <f t="shared" si="491"/>
        <v>R</v>
      </c>
      <c r="O323" s="28">
        <v>6.0</v>
      </c>
      <c r="P323" s="26" t="str">
        <f t="shared" si="492"/>
        <v>R</v>
      </c>
      <c r="Q323" s="28">
        <v>6.0</v>
      </c>
      <c r="R323" s="26" t="str">
        <f t="shared" si="493"/>
        <v>R</v>
      </c>
      <c r="S323" s="28">
        <v>6.0</v>
      </c>
      <c r="T323" s="26" t="str">
        <f t="shared" si="494"/>
        <v>R</v>
      </c>
      <c r="U323" s="28">
        <v>6.0</v>
      </c>
      <c r="V323" s="26" t="str">
        <f t="shared" si="495"/>
        <v>R</v>
      </c>
      <c r="W323" s="32" t="s">
        <v>299</v>
      </c>
      <c r="X323" s="65">
        <v>6.0</v>
      </c>
      <c r="Y323" s="33" t="str">
        <f t="shared" si="496"/>
        <v>R</v>
      </c>
      <c r="Z323" s="65">
        <v>6.0</v>
      </c>
      <c r="AA323" s="33" t="str">
        <f t="shared" si="497"/>
        <v>R</v>
      </c>
      <c r="AB323" s="65">
        <v>6.0</v>
      </c>
      <c r="AC323" s="33" t="str">
        <f t="shared" si="498"/>
        <v>R</v>
      </c>
      <c r="AD323" s="65">
        <v>6.0</v>
      </c>
      <c r="AE323" s="33" t="str">
        <f t="shared" si="499"/>
        <v>R</v>
      </c>
      <c r="AF323" s="65">
        <v>6.0</v>
      </c>
      <c r="AG323" s="33" t="str">
        <f t="shared" si="500"/>
        <v>R</v>
      </c>
      <c r="AH323" s="65" t="s">
        <v>299</v>
      </c>
      <c r="AI323" s="66">
        <v>6.0</v>
      </c>
      <c r="AJ323" s="36" t="str">
        <f t="shared" si="501"/>
        <v>R</v>
      </c>
      <c r="AK323" s="66">
        <v>6.0</v>
      </c>
      <c r="AL323" s="36" t="str">
        <f t="shared" si="502"/>
        <v>R</v>
      </c>
      <c r="AM323" s="66">
        <v>6.0</v>
      </c>
      <c r="AN323" s="36" t="str">
        <f t="shared" si="503"/>
        <v>R</v>
      </c>
      <c r="AO323" s="66" t="s">
        <v>299</v>
      </c>
      <c r="AP323" s="67">
        <v>6.0</v>
      </c>
      <c r="AQ323" s="37" t="str">
        <f t="shared" si="504"/>
        <v>R</v>
      </c>
      <c r="AR323" s="65">
        <v>19.0</v>
      </c>
      <c r="AS323" s="33" t="str">
        <f t="shared" si="505"/>
        <v>S</v>
      </c>
      <c r="AT323" s="65">
        <v>11.0</v>
      </c>
      <c r="AU323" s="33" t="str">
        <f t="shared" si="506"/>
        <v>R</v>
      </c>
      <c r="AV323" s="65" t="s">
        <v>299</v>
      </c>
      <c r="AW323" s="28">
        <v>20.0</v>
      </c>
      <c r="AX323" s="26" t="str">
        <f t="shared" si="507"/>
        <v>S</v>
      </c>
      <c r="AY323" s="67">
        <v>6.0</v>
      </c>
      <c r="AZ323" s="37" t="str">
        <f t="shared" si="508"/>
        <v>R</v>
      </c>
      <c r="BA323" s="66">
        <v>14.0</v>
      </c>
      <c r="BB323" s="36" t="str">
        <f t="shared" si="509"/>
        <v>R</v>
      </c>
      <c r="BC323" s="39" t="s">
        <v>357</v>
      </c>
      <c r="BD323" s="39" t="s">
        <v>357</v>
      </c>
      <c r="BE323" s="66">
        <v>20.0</v>
      </c>
      <c r="BF323" s="36" t="str">
        <f t="shared" si="510"/>
        <v>I</v>
      </c>
      <c r="BG323" s="68">
        <v>6.0</v>
      </c>
      <c r="BH323" s="41" t="str">
        <f t="shared" si="511"/>
        <v>R</v>
      </c>
      <c r="BI323" s="41"/>
    </row>
    <row r="324">
      <c r="A324" s="21" t="s">
        <v>890</v>
      </c>
      <c r="B324" s="23">
        <v>164.0</v>
      </c>
      <c r="C324" s="21" t="s">
        <v>1054</v>
      </c>
      <c r="D324" s="69" t="s">
        <v>571</v>
      </c>
      <c r="E324" s="18" t="s">
        <v>572</v>
      </c>
      <c r="F324" s="18" t="s">
        <v>192</v>
      </c>
      <c r="G324" s="63" t="s">
        <v>1055</v>
      </c>
      <c r="H324" s="22" t="s">
        <v>198</v>
      </c>
      <c r="I324" s="28">
        <v>6.0</v>
      </c>
      <c r="J324" s="26" t="str">
        <f t="shared" si="489"/>
        <v>R</v>
      </c>
      <c r="K324" s="28">
        <v>18.0</v>
      </c>
      <c r="L324" s="26" t="str">
        <f t="shared" si="490"/>
        <v>R</v>
      </c>
      <c r="M324" s="28">
        <v>6.0</v>
      </c>
      <c r="N324" s="26" t="str">
        <f t="shared" si="491"/>
        <v>R</v>
      </c>
      <c r="O324" s="28">
        <v>21.0</v>
      </c>
      <c r="P324" s="26" t="str">
        <f t="shared" si="492"/>
        <v>I</v>
      </c>
      <c r="Q324" s="28">
        <v>6.0</v>
      </c>
      <c r="R324" s="26" t="str">
        <f t="shared" si="493"/>
        <v>R</v>
      </c>
      <c r="S324" s="28">
        <v>15.0</v>
      </c>
      <c r="T324" s="26" t="str">
        <f t="shared" si="494"/>
        <v>R</v>
      </c>
      <c r="U324" s="28">
        <v>17.0</v>
      </c>
      <c r="V324" s="26" t="str">
        <f t="shared" si="495"/>
        <v>I</v>
      </c>
      <c r="W324" s="32" t="s">
        <v>299</v>
      </c>
      <c r="X324" s="65">
        <v>6.0</v>
      </c>
      <c r="Y324" s="33" t="str">
        <f t="shared" si="496"/>
        <v>R</v>
      </c>
      <c r="Z324" s="65">
        <v>20.0</v>
      </c>
      <c r="AA324" s="33" t="str">
        <f t="shared" si="497"/>
        <v>S</v>
      </c>
      <c r="AB324" s="65">
        <v>6.0</v>
      </c>
      <c r="AC324" s="33" t="str">
        <f t="shared" si="498"/>
        <v>R</v>
      </c>
      <c r="AD324" s="65">
        <v>17.0</v>
      </c>
      <c r="AE324" s="33" t="str">
        <f t="shared" si="499"/>
        <v>S</v>
      </c>
      <c r="AF324" s="65">
        <v>11.0</v>
      </c>
      <c r="AG324" s="33" t="str">
        <f t="shared" si="500"/>
        <v>R</v>
      </c>
      <c r="AH324" s="65" t="s">
        <v>299</v>
      </c>
      <c r="AI324" s="66">
        <v>6.0</v>
      </c>
      <c r="AJ324" s="36" t="str">
        <f t="shared" si="501"/>
        <v>R</v>
      </c>
      <c r="AK324" s="66">
        <v>6.0</v>
      </c>
      <c r="AL324" s="36" t="str">
        <f t="shared" si="502"/>
        <v>R</v>
      </c>
      <c r="AM324" s="66">
        <v>6.0</v>
      </c>
      <c r="AN324" s="36" t="str">
        <f t="shared" si="503"/>
        <v>R</v>
      </c>
      <c r="AO324" s="66" t="s">
        <v>299</v>
      </c>
      <c r="AP324" s="67">
        <v>6.0</v>
      </c>
      <c r="AQ324" s="37" t="str">
        <f t="shared" si="504"/>
        <v>R</v>
      </c>
      <c r="AR324" s="65">
        <v>13.0</v>
      </c>
      <c r="AS324" s="33" t="str">
        <f t="shared" si="505"/>
        <v>R</v>
      </c>
      <c r="AT324" s="65">
        <v>12.0</v>
      </c>
      <c r="AU324" s="33" t="str">
        <f t="shared" si="506"/>
        <v>R</v>
      </c>
      <c r="AV324" s="65" t="s">
        <v>299</v>
      </c>
      <c r="AW324" s="28">
        <v>6.0</v>
      </c>
      <c r="AX324" s="26" t="str">
        <f t="shared" si="507"/>
        <v>R</v>
      </c>
      <c r="AY324" s="67">
        <v>13.0</v>
      </c>
      <c r="AZ324" s="37" t="str">
        <f t="shared" si="508"/>
        <v>R</v>
      </c>
      <c r="BA324" s="66">
        <v>20.0</v>
      </c>
      <c r="BB324" s="36" t="str">
        <f t="shared" si="509"/>
        <v>R</v>
      </c>
      <c r="BC324" s="39" t="s">
        <v>357</v>
      </c>
      <c r="BD324" s="39" t="s">
        <v>357</v>
      </c>
      <c r="BE324" s="66">
        <v>20.0</v>
      </c>
      <c r="BF324" s="36" t="str">
        <f t="shared" si="510"/>
        <v>I</v>
      </c>
      <c r="BG324" s="68">
        <v>16.0</v>
      </c>
      <c r="BH324" s="41" t="str">
        <f t="shared" si="511"/>
        <v>R</v>
      </c>
      <c r="BI324" s="41"/>
    </row>
    <row r="325">
      <c r="A325" s="21" t="s">
        <v>890</v>
      </c>
      <c r="B325" s="21" t="s">
        <v>444</v>
      </c>
      <c r="C325" s="21" t="s">
        <v>1656</v>
      </c>
      <c r="D325" s="69" t="s">
        <v>571</v>
      </c>
      <c r="E325" s="18" t="s">
        <v>572</v>
      </c>
      <c r="F325" s="18" t="s">
        <v>192</v>
      </c>
      <c r="G325" s="63" t="s">
        <v>1657</v>
      </c>
      <c r="H325" s="22" t="s">
        <v>198</v>
      </c>
      <c r="I325" s="28">
        <v>6.0</v>
      </c>
      <c r="J325" s="26" t="str">
        <f t="shared" si="489"/>
        <v>R</v>
      </c>
      <c r="K325" s="28">
        <v>18.0</v>
      </c>
      <c r="L325" s="26" t="str">
        <f t="shared" si="490"/>
        <v>R</v>
      </c>
      <c r="M325" s="28">
        <v>6.0</v>
      </c>
      <c r="N325" s="26" t="str">
        <f t="shared" si="491"/>
        <v>R</v>
      </c>
      <c r="O325" s="28">
        <v>21.0</v>
      </c>
      <c r="P325" s="26" t="str">
        <f t="shared" si="492"/>
        <v>I</v>
      </c>
      <c r="Q325" s="28">
        <v>6.0</v>
      </c>
      <c r="R325" s="26" t="str">
        <f t="shared" si="493"/>
        <v>R</v>
      </c>
      <c r="S325" s="28">
        <v>15.0</v>
      </c>
      <c r="T325" s="26" t="str">
        <f t="shared" si="494"/>
        <v>R</v>
      </c>
      <c r="U325" s="28">
        <v>17.0</v>
      </c>
      <c r="V325" s="26" t="str">
        <f t="shared" si="495"/>
        <v>I</v>
      </c>
      <c r="W325" s="32" t="s">
        <v>299</v>
      </c>
      <c r="X325" s="65">
        <v>6.0</v>
      </c>
      <c r="Y325" s="33" t="str">
        <f t="shared" si="496"/>
        <v>R</v>
      </c>
      <c r="Z325" s="65">
        <v>21.0</v>
      </c>
      <c r="AA325" s="33" t="str">
        <f t="shared" si="497"/>
        <v>S</v>
      </c>
      <c r="AB325" s="65">
        <v>6.0</v>
      </c>
      <c r="AC325" s="33" t="str">
        <f t="shared" si="498"/>
        <v>R</v>
      </c>
      <c r="AD325" s="65">
        <v>17.0</v>
      </c>
      <c r="AE325" s="33" t="str">
        <f t="shared" si="499"/>
        <v>S</v>
      </c>
      <c r="AF325" s="65">
        <v>11.0</v>
      </c>
      <c r="AG325" s="33" t="str">
        <f t="shared" si="500"/>
        <v>R</v>
      </c>
      <c r="AH325" s="65" t="s">
        <v>299</v>
      </c>
      <c r="AI325" s="66">
        <v>6.0</v>
      </c>
      <c r="AJ325" s="36" t="str">
        <f t="shared" si="501"/>
        <v>R</v>
      </c>
      <c r="AK325" s="66">
        <v>6.0</v>
      </c>
      <c r="AL325" s="36" t="str">
        <f t="shared" si="502"/>
        <v>R</v>
      </c>
      <c r="AM325" s="66">
        <v>6.0</v>
      </c>
      <c r="AN325" s="36" t="str">
        <f t="shared" si="503"/>
        <v>R</v>
      </c>
      <c r="AO325" s="66" t="s">
        <v>299</v>
      </c>
      <c r="AP325" s="67">
        <v>6.0</v>
      </c>
      <c r="AQ325" s="37" t="str">
        <f t="shared" si="504"/>
        <v>R</v>
      </c>
      <c r="AR325" s="65">
        <v>14.0</v>
      </c>
      <c r="AS325" s="33" t="str">
        <f t="shared" si="505"/>
        <v>R</v>
      </c>
      <c r="AT325" s="65">
        <v>12.0</v>
      </c>
      <c r="AU325" s="33" t="str">
        <f t="shared" si="506"/>
        <v>R</v>
      </c>
      <c r="AV325" s="65" t="s">
        <v>299</v>
      </c>
      <c r="AW325" s="28">
        <v>6.0</v>
      </c>
      <c r="AX325" s="26" t="str">
        <f t="shared" si="507"/>
        <v>R</v>
      </c>
      <c r="AY325" s="67">
        <v>13.0</v>
      </c>
      <c r="AZ325" s="37" t="str">
        <f t="shared" si="508"/>
        <v>R</v>
      </c>
      <c r="BA325" s="66">
        <v>20.0</v>
      </c>
      <c r="BB325" s="36" t="str">
        <f t="shared" si="509"/>
        <v>R</v>
      </c>
      <c r="BC325" s="39" t="s">
        <v>357</v>
      </c>
      <c r="BD325" s="39" t="s">
        <v>357</v>
      </c>
      <c r="BE325" s="66">
        <v>20.0</v>
      </c>
      <c r="BF325" s="36" t="str">
        <f t="shared" si="510"/>
        <v>I</v>
      </c>
      <c r="BG325" s="68">
        <v>16.0</v>
      </c>
      <c r="BH325" s="41" t="str">
        <f t="shared" si="511"/>
        <v>R</v>
      </c>
      <c r="BI325" s="41"/>
    </row>
    <row r="326">
      <c r="A326" s="21" t="s">
        <v>890</v>
      </c>
      <c r="B326" s="21" t="s">
        <v>444</v>
      </c>
      <c r="C326" s="21" t="s">
        <v>1660</v>
      </c>
      <c r="D326" s="69" t="s">
        <v>571</v>
      </c>
      <c r="E326" s="18" t="s">
        <v>572</v>
      </c>
      <c r="F326" s="18" t="s">
        <v>192</v>
      </c>
      <c r="G326" s="63" t="s">
        <v>1663</v>
      </c>
      <c r="H326" s="22" t="s">
        <v>198</v>
      </c>
      <c r="I326" s="28">
        <v>6.0</v>
      </c>
      <c r="J326" s="26" t="str">
        <f t="shared" si="489"/>
        <v>R</v>
      </c>
      <c r="K326" s="28">
        <v>18.0</v>
      </c>
      <c r="L326" s="26" t="str">
        <f t="shared" si="490"/>
        <v>R</v>
      </c>
      <c r="M326" s="28">
        <v>6.0</v>
      </c>
      <c r="N326" s="26" t="str">
        <f t="shared" si="491"/>
        <v>R</v>
      </c>
      <c r="O326" s="28">
        <v>21.0</v>
      </c>
      <c r="P326" s="26" t="str">
        <f t="shared" si="492"/>
        <v>I</v>
      </c>
      <c r="Q326" s="28">
        <v>6.0</v>
      </c>
      <c r="R326" s="26" t="str">
        <f t="shared" si="493"/>
        <v>R</v>
      </c>
      <c r="S326" s="28">
        <v>15.0</v>
      </c>
      <c r="T326" s="26" t="str">
        <f t="shared" si="494"/>
        <v>R</v>
      </c>
      <c r="U326" s="28">
        <v>17.0</v>
      </c>
      <c r="V326" s="26" t="str">
        <f t="shared" si="495"/>
        <v>I</v>
      </c>
      <c r="W326" s="32" t="s">
        <v>299</v>
      </c>
      <c r="X326" s="65">
        <v>6.0</v>
      </c>
      <c r="Y326" s="33" t="str">
        <f t="shared" si="496"/>
        <v>R</v>
      </c>
      <c r="Z326" s="65">
        <v>20.0</v>
      </c>
      <c r="AA326" s="33" t="str">
        <f t="shared" si="497"/>
        <v>S</v>
      </c>
      <c r="AB326" s="65">
        <v>6.0</v>
      </c>
      <c r="AC326" s="33" t="str">
        <f t="shared" si="498"/>
        <v>R</v>
      </c>
      <c r="AD326" s="65">
        <v>17.0</v>
      </c>
      <c r="AE326" s="33" t="str">
        <f t="shared" si="499"/>
        <v>S</v>
      </c>
      <c r="AF326" s="65">
        <v>11.0</v>
      </c>
      <c r="AG326" s="33" t="str">
        <f t="shared" si="500"/>
        <v>R</v>
      </c>
      <c r="AH326" s="65" t="s">
        <v>299</v>
      </c>
      <c r="AI326" s="66">
        <v>6.0</v>
      </c>
      <c r="AJ326" s="36" t="str">
        <f t="shared" si="501"/>
        <v>R</v>
      </c>
      <c r="AK326" s="66">
        <v>6.0</v>
      </c>
      <c r="AL326" s="36" t="str">
        <f t="shared" si="502"/>
        <v>R</v>
      </c>
      <c r="AM326" s="66">
        <v>6.0</v>
      </c>
      <c r="AN326" s="36" t="str">
        <f t="shared" si="503"/>
        <v>R</v>
      </c>
      <c r="AO326" s="66" t="s">
        <v>299</v>
      </c>
      <c r="AP326" s="67">
        <v>6.0</v>
      </c>
      <c r="AQ326" s="37" t="str">
        <f t="shared" si="504"/>
        <v>R</v>
      </c>
      <c r="AR326" s="65">
        <v>13.0</v>
      </c>
      <c r="AS326" s="33" t="str">
        <f t="shared" si="505"/>
        <v>R</v>
      </c>
      <c r="AT326" s="65">
        <v>12.0</v>
      </c>
      <c r="AU326" s="33" t="str">
        <f t="shared" si="506"/>
        <v>R</v>
      </c>
      <c r="AV326" s="65" t="s">
        <v>299</v>
      </c>
      <c r="AW326" s="28">
        <v>6.0</v>
      </c>
      <c r="AX326" s="26" t="str">
        <f t="shared" si="507"/>
        <v>R</v>
      </c>
      <c r="AY326" s="67">
        <v>13.0</v>
      </c>
      <c r="AZ326" s="37" t="str">
        <f t="shared" si="508"/>
        <v>R</v>
      </c>
      <c r="BA326" s="66">
        <v>20.0</v>
      </c>
      <c r="BB326" s="36" t="str">
        <f t="shared" si="509"/>
        <v>R</v>
      </c>
      <c r="BC326" s="39" t="s">
        <v>357</v>
      </c>
      <c r="BD326" s="39" t="s">
        <v>357</v>
      </c>
      <c r="BE326" s="66">
        <v>20.0</v>
      </c>
      <c r="BF326" s="36" t="str">
        <f t="shared" si="510"/>
        <v>I</v>
      </c>
      <c r="BG326" s="68">
        <v>16.0</v>
      </c>
      <c r="BH326" s="41" t="str">
        <f t="shared" si="511"/>
        <v>R</v>
      </c>
      <c r="BI326" s="41"/>
    </row>
    <row r="327">
      <c r="A327" s="21" t="s">
        <v>890</v>
      </c>
      <c r="B327" s="23">
        <v>165.0</v>
      </c>
      <c r="C327" s="21" t="s">
        <v>1063</v>
      </c>
      <c r="D327" s="69" t="s">
        <v>705</v>
      </c>
      <c r="E327" s="18" t="s">
        <v>572</v>
      </c>
      <c r="F327" s="18" t="s">
        <v>192</v>
      </c>
      <c r="G327" s="63" t="s">
        <v>1064</v>
      </c>
      <c r="H327" s="42" t="s">
        <v>479</v>
      </c>
      <c r="I327" s="28">
        <v>6.0</v>
      </c>
      <c r="J327" s="26" t="str">
        <f t="shared" si="489"/>
        <v>R</v>
      </c>
      <c r="K327" s="28">
        <v>25.0</v>
      </c>
      <c r="L327" s="26" t="str">
        <f t="shared" si="490"/>
        <v>S</v>
      </c>
      <c r="M327" s="28">
        <v>21.0</v>
      </c>
      <c r="N327" s="26" t="str">
        <f t="shared" si="491"/>
        <v>R</v>
      </c>
      <c r="O327" s="28">
        <v>19.0</v>
      </c>
      <c r="P327" s="26" t="str">
        <f t="shared" si="492"/>
        <v>R</v>
      </c>
      <c r="Q327" s="28">
        <v>18.0</v>
      </c>
      <c r="R327" s="26" t="str">
        <f t="shared" si="493"/>
        <v>R</v>
      </c>
      <c r="S327" s="28">
        <v>15.0</v>
      </c>
      <c r="T327" s="26" t="str">
        <f t="shared" si="494"/>
        <v>R</v>
      </c>
      <c r="U327" s="28">
        <v>6.0</v>
      </c>
      <c r="V327" s="26" t="str">
        <f t="shared" si="495"/>
        <v>R</v>
      </c>
      <c r="W327" s="32" t="s">
        <v>299</v>
      </c>
      <c r="X327" s="65">
        <v>20.0</v>
      </c>
      <c r="Y327" s="33" t="str">
        <f t="shared" si="496"/>
        <v>S</v>
      </c>
      <c r="Z327" s="65">
        <v>16.0</v>
      </c>
      <c r="AA327" s="33" t="str">
        <f t="shared" si="497"/>
        <v>R</v>
      </c>
      <c r="AB327" s="65">
        <v>11.0</v>
      </c>
      <c r="AC327" s="33" t="str">
        <f t="shared" si="498"/>
        <v>R</v>
      </c>
      <c r="AD327" s="65">
        <v>10.0</v>
      </c>
      <c r="AE327" s="33" t="str">
        <f t="shared" si="499"/>
        <v>R</v>
      </c>
      <c r="AF327" s="65">
        <v>18.0</v>
      </c>
      <c r="AG327" s="33" t="str">
        <f t="shared" si="500"/>
        <v>R</v>
      </c>
      <c r="AH327" s="65" t="s">
        <v>299</v>
      </c>
      <c r="AI327" s="66">
        <v>15.0</v>
      </c>
      <c r="AJ327" s="36" t="str">
        <f t="shared" si="501"/>
        <v>R</v>
      </c>
      <c r="AK327" s="66">
        <v>10.0</v>
      </c>
      <c r="AL327" s="36" t="str">
        <f t="shared" si="502"/>
        <v>R</v>
      </c>
      <c r="AM327" s="66">
        <v>6.0</v>
      </c>
      <c r="AN327" s="36" t="str">
        <f t="shared" si="503"/>
        <v>R</v>
      </c>
      <c r="AO327" s="66" t="s">
        <v>299</v>
      </c>
      <c r="AP327" s="67">
        <v>6.0</v>
      </c>
      <c r="AQ327" s="37" t="str">
        <f t="shared" si="504"/>
        <v>R</v>
      </c>
      <c r="AR327" s="65">
        <v>17.0</v>
      </c>
      <c r="AS327" s="33" t="str">
        <f t="shared" si="505"/>
        <v>R</v>
      </c>
      <c r="AT327" s="65">
        <v>6.0</v>
      </c>
      <c r="AU327" s="33" t="str">
        <f t="shared" si="506"/>
        <v>R</v>
      </c>
      <c r="AV327" s="65" t="s">
        <v>299</v>
      </c>
      <c r="AW327" s="28">
        <v>18.0</v>
      </c>
      <c r="AX327" s="26" t="str">
        <f t="shared" si="507"/>
        <v>R</v>
      </c>
      <c r="AY327" s="67">
        <v>11.0</v>
      </c>
      <c r="AZ327" s="37" t="str">
        <f t="shared" si="508"/>
        <v>R</v>
      </c>
      <c r="BA327" s="66">
        <v>15.0</v>
      </c>
      <c r="BB327" s="36" t="str">
        <f t="shared" si="509"/>
        <v>R</v>
      </c>
      <c r="BC327" s="39" t="s">
        <v>357</v>
      </c>
      <c r="BD327" s="39" t="s">
        <v>357</v>
      </c>
      <c r="BE327" s="66">
        <v>30.0</v>
      </c>
      <c r="BF327" s="36" t="str">
        <f t="shared" si="510"/>
        <v>S</v>
      </c>
      <c r="BG327" s="68">
        <v>12.0</v>
      </c>
      <c r="BH327" s="41" t="str">
        <f t="shared" si="511"/>
        <v>R</v>
      </c>
      <c r="BI327" s="41"/>
    </row>
    <row r="328">
      <c r="A328" s="21" t="s">
        <v>890</v>
      </c>
      <c r="B328" s="21" t="s">
        <v>444</v>
      </c>
      <c r="C328" s="21" t="s">
        <v>1670</v>
      </c>
      <c r="D328" s="69" t="s">
        <v>705</v>
      </c>
      <c r="E328" s="18" t="s">
        <v>572</v>
      </c>
      <c r="F328" s="18" t="s">
        <v>192</v>
      </c>
      <c r="G328" s="63" t="s">
        <v>1671</v>
      </c>
      <c r="H328" s="42" t="s">
        <v>479</v>
      </c>
      <c r="I328" s="28">
        <v>6.0</v>
      </c>
      <c r="J328" s="26" t="str">
        <f t="shared" si="489"/>
        <v>R</v>
      </c>
      <c r="K328" s="28">
        <v>23.0</v>
      </c>
      <c r="L328" s="26" t="str">
        <f t="shared" si="490"/>
        <v>S</v>
      </c>
      <c r="M328" s="28">
        <v>21.0</v>
      </c>
      <c r="N328" s="26" t="str">
        <f t="shared" si="491"/>
        <v>R</v>
      </c>
      <c r="O328" s="28">
        <v>19.0</v>
      </c>
      <c r="P328" s="26" t="str">
        <f t="shared" si="492"/>
        <v>R</v>
      </c>
      <c r="Q328" s="28">
        <v>18.0</v>
      </c>
      <c r="R328" s="26" t="str">
        <f t="shared" si="493"/>
        <v>R</v>
      </c>
      <c r="S328" s="28">
        <v>15.0</v>
      </c>
      <c r="T328" s="26" t="str">
        <f t="shared" si="494"/>
        <v>R</v>
      </c>
      <c r="U328" s="28">
        <v>6.0</v>
      </c>
      <c r="V328" s="26" t="str">
        <f t="shared" si="495"/>
        <v>R</v>
      </c>
      <c r="W328" s="32" t="s">
        <v>299</v>
      </c>
      <c r="X328" s="65">
        <v>20.0</v>
      </c>
      <c r="Y328" s="33" t="str">
        <f t="shared" si="496"/>
        <v>S</v>
      </c>
      <c r="Z328" s="65">
        <v>16.0</v>
      </c>
      <c r="AA328" s="33" t="str">
        <f t="shared" si="497"/>
        <v>R</v>
      </c>
      <c r="AB328" s="65">
        <v>11.0</v>
      </c>
      <c r="AC328" s="33" t="str">
        <f t="shared" si="498"/>
        <v>R</v>
      </c>
      <c r="AD328" s="65">
        <v>10.0</v>
      </c>
      <c r="AE328" s="33" t="str">
        <f t="shared" si="499"/>
        <v>R</v>
      </c>
      <c r="AF328" s="65">
        <v>18.0</v>
      </c>
      <c r="AG328" s="33" t="str">
        <f t="shared" si="500"/>
        <v>R</v>
      </c>
      <c r="AH328" s="65" t="s">
        <v>299</v>
      </c>
      <c r="AI328" s="66">
        <v>12.0</v>
      </c>
      <c r="AJ328" s="36" t="str">
        <f t="shared" si="501"/>
        <v>R</v>
      </c>
      <c r="AK328" s="66">
        <v>10.0</v>
      </c>
      <c r="AL328" s="36" t="str">
        <f t="shared" si="502"/>
        <v>R</v>
      </c>
      <c r="AM328" s="66">
        <v>6.0</v>
      </c>
      <c r="AN328" s="36" t="str">
        <f t="shared" si="503"/>
        <v>R</v>
      </c>
      <c r="AO328" s="66" t="s">
        <v>299</v>
      </c>
      <c r="AP328" s="67">
        <v>6.0</v>
      </c>
      <c r="AQ328" s="37" t="str">
        <f t="shared" si="504"/>
        <v>R</v>
      </c>
      <c r="AR328" s="65">
        <v>17.0</v>
      </c>
      <c r="AS328" s="33" t="str">
        <f t="shared" si="505"/>
        <v>R</v>
      </c>
      <c r="AT328" s="65">
        <v>6.0</v>
      </c>
      <c r="AU328" s="33" t="str">
        <f t="shared" si="506"/>
        <v>R</v>
      </c>
      <c r="AV328" s="65" t="s">
        <v>299</v>
      </c>
      <c r="AW328" s="28">
        <v>18.0</v>
      </c>
      <c r="AX328" s="26" t="str">
        <f t="shared" si="507"/>
        <v>R</v>
      </c>
      <c r="AY328" s="67">
        <v>11.0</v>
      </c>
      <c r="AZ328" s="37" t="str">
        <f t="shared" si="508"/>
        <v>R</v>
      </c>
      <c r="BA328" s="66">
        <v>15.0</v>
      </c>
      <c r="BB328" s="36" t="str">
        <f t="shared" si="509"/>
        <v>R</v>
      </c>
      <c r="BC328" s="39" t="s">
        <v>357</v>
      </c>
      <c r="BD328" s="39" t="s">
        <v>357</v>
      </c>
      <c r="BE328" s="66">
        <v>30.0</v>
      </c>
      <c r="BF328" s="36" t="str">
        <f t="shared" si="510"/>
        <v>S</v>
      </c>
      <c r="BG328" s="68">
        <v>10.0</v>
      </c>
      <c r="BH328" s="41" t="str">
        <f t="shared" si="511"/>
        <v>R</v>
      </c>
      <c r="BI328" s="41"/>
    </row>
    <row r="329">
      <c r="A329" s="21" t="s">
        <v>890</v>
      </c>
      <c r="B329" s="21" t="s">
        <v>444</v>
      </c>
      <c r="C329" s="21" t="s">
        <v>1676</v>
      </c>
      <c r="D329" s="69" t="s">
        <v>705</v>
      </c>
      <c r="E329" s="18" t="s">
        <v>572</v>
      </c>
      <c r="F329" s="18" t="s">
        <v>192</v>
      </c>
      <c r="G329" s="63" t="s">
        <v>1677</v>
      </c>
      <c r="H329" s="42" t="s">
        <v>479</v>
      </c>
      <c r="I329" s="28">
        <v>6.0</v>
      </c>
      <c r="J329" s="26" t="str">
        <f t="shared" si="489"/>
        <v>R</v>
      </c>
      <c r="K329" s="28">
        <v>23.0</v>
      </c>
      <c r="L329" s="26" t="str">
        <f t="shared" si="490"/>
        <v>S</v>
      </c>
      <c r="M329" s="28">
        <v>21.0</v>
      </c>
      <c r="N329" s="26" t="str">
        <f t="shared" si="491"/>
        <v>R</v>
      </c>
      <c r="O329" s="28">
        <v>19.0</v>
      </c>
      <c r="P329" s="26" t="str">
        <f t="shared" si="492"/>
        <v>R</v>
      </c>
      <c r="Q329" s="28">
        <v>18.0</v>
      </c>
      <c r="R329" s="26" t="str">
        <f t="shared" si="493"/>
        <v>R</v>
      </c>
      <c r="S329" s="28">
        <v>15.0</v>
      </c>
      <c r="T329" s="26" t="str">
        <f t="shared" si="494"/>
        <v>R</v>
      </c>
      <c r="U329" s="28">
        <v>6.0</v>
      </c>
      <c r="V329" s="26" t="str">
        <f t="shared" si="495"/>
        <v>R</v>
      </c>
      <c r="W329" s="32" t="s">
        <v>299</v>
      </c>
      <c r="X329" s="65">
        <v>20.0</v>
      </c>
      <c r="Y329" s="33" t="str">
        <f t="shared" si="496"/>
        <v>S</v>
      </c>
      <c r="Z329" s="65">
        <v>16.0</v>
      </c>
      <c r="AA329" s="33" t="str">
        <f t="shared" si="497"/>
        <v>R</v>
      </c>
      <c r="AB329" s="65">
        <v>11.0</v>
      </c>
      <c r="AC329" s="33" t="str">
        <f t="shared" si="498"/>
        <v>R</v>
      </c>
      <c r="AD329" s="65">
        <v>10.0</v>
      </c>
      <c r="AE329" s="33" t="str">
        <f t="shared" si="499"/>
        <v>R</v>
      </c>
      <c r="AF329" s="65">
        <v>18.0</v>
      </c>
      <c r="AG329" s="33" t="str">
        <f t="shared" si="500"/>
        <v>R</v>
      </c>
      <c r="AH329" s="65" t="s">
        <v>299</v>
      </c>
      <c r="AI329" s="66">
        <v>15.0</v>
      </c>
      <c r="AJ329" s="36" t="str">
        <f t="shared" si="501"/>
        <v>R</v>
      </c>
      <c r="AK329" s="66">
        <v>10.0</v>
      </c>
      <c r="AL329" s="36" t="str">
        <f t="shared" si="502"/>
        <v>R</v>
      </c>
      <c r="AM329" s="66">
        <v>6.0</v>
      </c>
      <c r="AN329" s="36" t="str">
        <f t="shared" si="503"/>
        <v>R</v>
      </c>
      <c r="AO329" s="66" t="s">
        <v>299</v>
      </c>
      <c r="AP329" s="67">
        <v>6.0</v>
      </c>
      <c r="AQ329" s="37" t="str">
        <f t="shared" si="504"/>
        <v>R</v>
      </c>
      <c r="AR329" s="65">
        <v>17.0</v>
      </c>
      <c r="AS329" s="33" t="str">
        <f t="shared" si="505"/>
        <v>R</v>
      </c>
      <c r="AT329" s="65">
        <v>6.0</v>
      </c>
      <c r="AU329" s="33" t="str">
        <f t="shared" si="506"/>
        <v>R</v>
      </c>
      <c r="AV329" s="65" t="s">
        <v>299</v>
      </c>
      <c r="AW329" s="28">
        <v>18.0</v>
      </c>
      <c r="AX329" s="26" t="str">
        <f t="shared" si="507"/>
        <v>R</v>
      </c>
      <c r="AY329" s="67">
        <v>11.0</v>
      </c>
      <c r="AZ329" s="37" t="str">
        <f t="shared" si="508"/>
        <v>R</v>
      </c>
      <c r="BA329" s="66">
        <v>15.0</v>
      </c>
      <c r="BB329" s="36" t="str">
        <f t="shared" si="509"/>
        <v>R</v>
      </c>
      <c r="BC329" s="39" t="s">
        <v>357</v>
      </c>
      <c r="BD329" s="39" t="s">
        <v>357</v>
      </c>
      <c r="BE329" s="66">
        <v>28.0</v>
      </c>
      <c r="BF329" s="36" t="str">
        <f t="shared" si="510"/>
        <v>S</v>
      </c>
      <c r="BG329" s="68">
        <v>10.0</v>
      </c>
      <c r="BH329" s="41" t="str">
        <f t="shared" si="511"/>
        <v>R</v>
      </c>
      <c r="BI329" s="41"/>
    </row>
    <row r="330">
      <c r="A330" s="21" t="s">
        <v>890</v>
      </c>
      <c r="B330" s="23">
        <v>166.0</v>
      </c>
      <c r="C330" s="21" t="s">
        <v>1069</v>
      </c>
      <c r="D330" s="69" t="s">
        <v>956</v>
      </c>
      <c r="E330" s="18" t="s">
        <v>103</v>
      </c>
      <c r="F330" s="18" t="s">
        <v>192</v>
      </c>
      <c r="G330" s="63" t="s">
        <v>1070</v>
      </c>
      <c r="H330" s="42" t="s">
        <v>479</v>
      </c>
      <c r="I330" s="28">
        <v>15.0</v>
      </c>
      <c r="J330" s="26" t="str">
        <f t="shared" si="489"/>
        <v>R</v>
      </c>
      <c r="K330" s="28">
        <v>22.0</v>
      </c>
      <c r="L330" s="26" t="str">
        <f t="shared" si="490"/>
        <v>S</v>
      </c>
      <c r="M330" s="28">
        <v>18.0</v>
      </c>
      <c r="N330" s="26" t="str">
        <f t="shared" si="491"/>
        <v>R</v>
      </c>
      <c r="O330" s="28">
        <v>21.0</v>
      </c>
      <c r="P330" s="26" t="str">
        <f t="shared" si="492"/>
        <v>I</v>
      </c>
      <c r="Q330" s="28">
        <v>12.0</v>
      </c>
      <c r="R330" s="26" t="str">
        <f t="shared" si="493"/>
        <v>R</v>
      </c>
      <c r="S330" s="28">
        <v>21.0</v>
      </c>
      <c r="T330" s="26" t="str">
        <f t="shared" si="494"/>
        <v>S</v>
      </c>
      <c r="U330" s="28">
        <v>18.0</v>
      </c>
      <c r="V330" s="26" t="str">
        <f t="shared" si="495"/>
        <v>I</v>
      </c>
      <c r="W330" s="32" t="s">
        <v>299</v>
      </c>
      <c r="X330" s="65">
        <v>16.0</v>
      </c>
      <c r="Y330" s="33" t="str">
        <f t="shared" si="496"/>
        <v>R</v>
      </c>
      <c r="Z330" s="65">
        <v>21.0</v>
      </c>
      <c r="AA330" s="33" t="str">
        <f t="shared" si="497"/>
        <v>S</v>
      </c>
      <c r="AB330" s="65">
        <v>12.0</v>
      </c>
      <c r="AC330" s="33" t="str">
        <f t="shared" si="498"/>
        <v>R</v>
      </c>
      <c r="AD330" s="65">
        <v>13.0</v>
      </c>
      <c r="AE330" s="33" t="str">
        <f t="shared" si="499"/>
        <v>S</v>
      </c>
      <c r="AF330" s="65">
        <v>19.0</v>
      </c>
      <c r="AG330" s="33" t="str">
        <f t="shared" si="500"/>
        <v>R</v>
      </c>
      <c r="AH330" s="65" t="s">
        <v>299</v>
      </c>
      <c r="AI330" s="66">
        <v>21.0</v>
      </c>
      <c r="AJ330" s="36" t="str">
        <f t="shared" si="501"/>
        <v>R</v>
      </c>
      <c r="AK330" s="66">
        <v>12.0</v>
      </c>
      <c r="AL330" s="36" t="str">
        <f t="shared" si="502"/>
        <v>R</v>
      </c>
      <c r="AM330" s="66">
        <v>10.0</v>
      </c>
      <c r="AN330" s="36" t="str">
        <f t="shared" si="503"/>
        <v>R</v>
      </c>
      <c r="AO330" s="66" t="s">
        <v>299</v>
      </c>
      <c r="AP330" s="67">
        <v>19.0</v>
      </c>
      <c r="AQ330" s="37" t="str">
        <f t="shared" si="504"/>
        <v>S</v>
      </c>
      <c r="AR330" s="65">
        <v>22.0</v>
      </c>
      <c r="AS330" s="33" t="str">
        <f t="shared" si="505"/>
        <v>S</v>
      </c>
      <c r="AT330" s="65">
        <v>22.0</v>
      </c>
      <c r="AU330" s="33" t="str">
        <f t="shared" si="506"/>
        <v>S</v>
      </c>
      <c r="AV330" s="33" t="s">
        <v>300</v>
      </c>
      <c r="AW330" s="28">
        <v>16.0</v>
      </c>
      <c r="AX330" s="26" t="str">
        <f t="shared" si="507"/>
        <v>R</v>
      </c>
      <c r="AY330" s="67">
        <v>6.0</v>
      </c>
      <c r="AZ330" s="37" t="str">
        <f t="shared" si="508"/>
        <v>R</v>
      </c>
      <c r="BA330" s="66">
        <v>10.0</v>
      </c>
      <c r="BB330" s="36" t="str">
        <f t="shared" si="509"/>
        <v>R</v>
      </c>
      <c r="BC330" s="39" t="s">
        <v>357</v>
      </c>
      <c r="BD330" s="39" t="s">
        <v>357</v>
      </c>
      <c r="BE330" s="66">
        <v>16.0</v>
      </c>
      <c r="BF330" s="36" t="str">
        <f t="shared" si="510"/>
        <v>R</v>
      </c>
      <c r="BG330" s="68">
        <v>12.0</v>
      </c>
      <c r="BH330" s="41" t="str">
        <f t="shared" si="511"/>
        <v>R</v>
      </c>
      <c r="BI330" s="41"/>
    </row>
    <row r="331">
      <c r="A331" s="21" t="s">
        <v>890</v>
      </c>
      <c r="B331" s="21" t="s">
        <v>444</v>
      </c>
      <c r="C331" s="21" t="s">
        <v>1687</v>
      </c>
      <c r="D331" s="69" t="s">
        <v>956</v>
      </c>
      <c r="E331" s="18" t="s">
        <v>103</v>
      </c>
      <c r="F331" s="18" t="s">
        <v>192</v>
      </c>
      <c r="G331" s="63" t="s">
        <v>1688</v>
      </c>
      <c r="H331" s="42" t="s">
        <v>479</v>
      </c>
      <c r="I331" s="28">
        <v>16.0</v>
      </c>
      <c r="J331" s="26" t="str">
        <f t="shared" si="489"/>
        <v>R</v>
      </c>
      <c r="K331" s="28">
        <v>22.0</v>
      </c>
      <c r="L331" s="26" t="str">
        <f t="shared" si="490"/>
        <v>S</v>
      </c>
      <c r="M331" s="28">
        <v>16.0</v>
      </c>
      <c r="N331" s="26" t="str">
        <f t="shared" si="491"/>
        <v>R</v>
      </c>
      <c r="O331" s="28">
        <v>21.0</v>
      </c>
      <c r="P331" s="26" t="str">
        <f t="shared" si="492"/>
        <v>I</v>
      </c>
      <c r="Q331" s="28">
        <v>12.0</v>
      </c>
      <c r="R331" s="26" t="str">
        <f t="shared" si="493"/>
        <v>R</v>
      </c>
      <c r="S331" s="28">
        <v>21.0</v>
      </c>
      <c r="T331" s="26" t="str">
        <f t="shared" si="494"/>
        <v>S</v>
      </c>
      <c r="U331" s="28">
        <v>18.0</v>
      </c>
      <c r="V331" s="26" t="str">
        <f t="shared" si="495"/>
        <v>I</v>
      </c>
      <c r="W331" s="32" t="s">
        <v>299</v>
      </c>
      <c r="X331" s="65">
        <v>14.0</v>
      </c>
      <c r="Y331" s="33" t="str">
        <f t="shared" si="496"/>
        <v>R</v>
      </c>
      <c r="Z331" s="65">
        <v>21.0</v>
      </c>
      <c r="AA331" s="33" t="str">
        <f t="shared" si="497"/>
        <v>S</v>
      </c>
      <c r="AB331" s="65">
        <v>12.0</v>
      </c>
      <c r="AC331" s="33" t="str">
        <f t="shared" si="498"/>
        <v>R</v>
      </c>
      <c r="AD331" s="65">
        <v>13.0</v>
      </c>
      <c r="AE331" s="33" t="str">
        <f t="shared" si="499"/>
        <v>S</v>
      </c>
      <c r="AF331" s="65">
        <v>16.0</v>
      </c>
      <c r="AG331" s="33" t="str">
        <f t="shared" si="500"/>
        <v>R</v>
      </c>
      <c r="AH331" s="65" t="s">
        <v>299</v>
      </c>
      <c r="AI331" s="66">
        <v>20.0</v>
      </c>
      <c r="AJ331" s="36" t="str">
        <f t="shared" si="501"/>
        <v>R</v>
      </c>
      <c r="AK331" s="66">
        <v>11.0</v>
      </c>
      <c r="AL331" s="36" t="str">
        <f t="shared" si="502"/>
        <v>R</v>
      </c>
      <c r="AM331" s="66">
        <v>10.0</v>
      </c>
      <c r="AN331" s="36" t="str">
        <f t="shared" si="503"/>
        <v>R</v>
      </c>
      <c r="AO331" s="66" t="s">
        <v>299</v>
      </c>
      <c r="AP331" s="67">
        <v>19.0</v>
      </c>
      <c r="AQ331" s="37" t="str">
        <f t="shared" si="504"/>
        <v>S</v>
      </c>
      <c r="AR331" s="65">
        <v>22.0</v>
      </c>
      <c r="AS331" s="33" t="str">
        <f t="shared" si="505"/>
        <v>S</v>
      </c>
      <c r="AT331" s="65">
        <v>22.0</v>
      </c>
      <c r="AU331" s="33" t="str">
        <f t="shared" si="506"/>
        <v>S</v>
      </c>
      <c r="AV331" s="33" t="s">
        <v>300</v>
      </c>
      <c r="AW331" s="28">
        <v>16.0</v>
      </c>
      <c r="AX331" s="26" t="str">
        <f t="shared" si="507"/>
        <v>R</v>
      </c>
      <c r="AY331" s="67">
        <v>6.0</v>
      </c>
      <c r="AZ331" s="37" t="str">
        <f t="shared" si="508"/>
        <v>R</v>
      </c>
      <c r="BA331" s="66">
        <v>18.0</v>
      </c>
      <c r="BB331" s="36" t="str">
        <f t="shared" si="509"/>
        <v>R</v>
      </c>
      <c r="BC331" s="39" t="s">
        <v>357</v>
      </c>
      <c r="BD331" s="39" t="s">
        <v>357</v>
      </c>
      <c r="BE331" s="66">
        <v>19.0</v>
      </c>
      <c r="BF331" s="36" t="str">
        <f t="shared" si="510"/>
        <v>I</v>
      </c>
      <c r="BG331" s="68">
        <v>12.0</v>
      </c>
      <c r="BH331" s="41" t="str">
        <f t="shared" si="511"/>
        <v>R</v>
      </c>
      <c r="BI331" s="41"/>
    </row>
    <row r="332">
      <c r="A332" s="21" t="s">
        <v>890</v>
      </c>
      <c r="B332" s="21" t="s">
        <v>444</v>
      </c>
      <c r="C332" s="21" t="s">
        <v>1691</v>
      </c>
      <c r="D332" s="69" t="s">
        <v>956</v>
      </c>
      <c r="E332" s="18" t="s">
        <v>103</v>
      </c>
      <c r="F332" s="18" t="s">
        <v>192</v>
      </c>
      <c r="G332" s="63" t="s">
        <v>1692</v>
      </c>
      <c r="H332" s="42" t="s">
        <v>479</v>
      </c>
      <c r="I332" s="28">
        <v>11.0</v>
      </c>
      <c r="J332" s="26" t="str">
        <f t="shared" si="489"/>
        <v>R</v>
      </c>
      <c r="K332" s="28">
        <v>22.0</v>
      </c>
      <c r="L332" s="26" t="str">
        <f t="shared" si="490"/>
        <v>S</v>
      </c>
      <c r="M332" s="28">
        <v>16.0</v>
      </c>
      <c r="N332" s="26" t="str">
        <f t="shared" si="491"/>
        <v>R</v>
      </c>
      <c r="O332" s="28">
        <v>21.0</v>
      </c>
      <c r="P332" s="26" t="str">
        <f t="shared" si="492"/>
        <v>I</v>
      </c>
      <c r="Q332" s="28">
        <v>12.0</v>
      </c>
      <c r="R332" s="26" t="str">
        <f t="shared" si="493"/>
        <v>R</v>
      </c>
      <c r="S332" s="28">
        <v>21.0</v>
      </c>
      <c r="T332" s="26" t="str">
        <f t="shared" si="494"/>
        <v>S</v>
      </c>
      <c r="U332" s="28">
        <v>18.0</v>
      </c>
      <c r="V332" s="26" t="str">
        <f t="shared" si="495"/>
        <v>I</v>
      </c>
      <c r="W332" s="32" t="s">
        <v>299</v>
      </c>
      <c r="X332" s="65">
        <v>16.0</v>
      </c>
      <c r="Y332" s="33" t="str">
        <f t="shared" si="496"/>
        <v>R</v>
      </c>
      <c r="Z332" s="65">
        <v>21.0</v>
      </c>
      <c r="AA332" s="33" t="str">
        <f t="shared" si="497"/>
        <v>S</v>
      </c>
      <c r="AB332" s="65">
        <v>12.0</v>
      </c>
      <c r="AC332" s="33" t="str">
        <f t="shared" si="498"/>
        <v>R</v>
      </c>
      <c r="AD332" s="65">
        <v>13.0</v>
      </c>
      <c r="AE332" s="33" t="str">
        <f t="shared" si="499"/>
        <v>S</v>
      </c>
      <c r="AF332" s="65">
        <v>19.0</v>
      </c>
      <c r="AG332" s="33" t="str">
        <f t="shared" si="500"/>
        <v>R</v>
      </c>
      <c r="AH332" s="65" t="s">
        <v>299</v>
      </c>
      <c r="AI332" s="66">
        <v>20.0</v>
      </c>
      <c r="AJ332" s="36" t="str">
        <f t="shared" si="501"/>
        <v>R</v>
      </c>
      <c r="AK332" s="66">
        <v>11.0</v>
      </c>
      <c r="AL332" s="36" t="str">
        <f t="shared" si="502"/>
        <v>R</v>
      </c>
      <c r="AM332" s="66">
        <v>10.0</v>
      </c>
      <c r="AN332" s="36" t="str">
        <f t="shared" si="503"/>
        <v>R</v>
      </c>
      <c r="AO332" s="66" t="s">
        <v>299</v>
      </c>
      <c r="AP332" s="67">
        <v>19.0</v>
      </c>
      <c r="AQ332" s="37" t="str">
        <f t="shared" si="504"/>
        <v>S</v>
      </c>
      <c r="AR332" s="65">
        <v>22.0</v>
      </c>
      <c r="AS332" s="33" t="str">
        <f t="shared" si="505"/>
        <v>S</v>
      </c>
      <c r="AT332" s="65">
        <v>22.0</v>
      </c>
      <c r="AU332" s="33" t="str">
        <f t="shared" si="506"/>
        <v>S</v>
      </c>
      <c r="AV332" s="33" t="s">
        <v>300</v>
      </c>
      <c r="AW332" s="28">
        <v>16.0</v>
      </c>
      <c r="AX332" s="26" t="str">
        <f t="shared" si="507"/>
        <v>R</v>
      </c>
      <c r="AY332" s="67">
        <v>6.0</v>
      </c>
      <c r="AZ332" s="37" t="str">
        <f t="shared" si="508"/>
        <v>R</v>
      </c>
      <c r="BA332" s="66">
        <v>12.0</v>
      </c>
      <c r="BB332" s="36" t="str">
        <f t="shared" si="509"/>
        <v>R</v>
      </c>
      <c r="BC332" s="39" t="s">
        <v>357</v>
      </c>
      <c r="BD332" s="39" t="s">
        <v>357</v>
      </c>
      <c r="BE332" s="66">
        <v>21.0</v>
      </c>
      <c r="BF332" s="36" t="str">
        <f t="shared" si="510"/>
        <v>I</v>
      </c>
      <c r="BG332" s="68">
        <v>12.0</v>
      </c>
      <c r="BH332" s="41" t="str">
        <f t="shared" si="511"/>
        <v>R</v>
      </c>
      <c r="BI332" s="41"/>
    </row>
    <row r="333">
      <c r="A333" s="51" t="s">
        <v>894</v>
      </c>
      <c r="B333" s="53">
        <v>167.0</v>
      </c>
      <c r="C333" s="51" t="s">
        <v>1697</v>
      </c>
      <c r="D333" s="69" t="s">
        <v>190</v>
      </c>
      <c r="E333" s="18" t="s">
        <v>190</v>
      </c>
      <c r="F333" s="18" t="s">
        <v>192</v>
      </c>
      <c r="G333" s="63" t="s">
        <v>1698</v>
      </c>
      <c r="H333" s="22" t="s">
        <v>198</v>
      </c>
      <c r="I333" s="28">
        <v>6.0</v>
      </c>
      <c r="J333" s="26" t="str">
        <f t="shared" si="489"/>
        <v>R</v>
      </c>
      <c r="K333" s="28">
        <v>14.0</v>
      </c>
      <c r="L333" s="26" t="str">
        <f t="shared" si="490"/>
        <v>R</v>
      </c>
      <c r="M333" s="28">
        <v>6.0</v>
      </c>
      <c r="N333" s="26" t="str">
        <f t="shared" si="491"/>
        <v>R</v>
      </c>
      <c r="O333" s="28">
        <v>19.0</v>
      </c>
      <c r="P333" s="26" t="str">
        <f t="shared" si="492"/>
        <v>R</v>
      </c>
      <c r="Q333" s="28">
        <v>6.0</v>
      </c>
      <c r="R333" s="26" t="str">
        <f t="shared" si="493"/>
        <v>R</v>
      </c>
      <c r="S333" s="28">
        <v>16.0</v>
      </c>
      <c r="T333" s="26" t="str">
        <f t="shared" si="494"/>
        <v>R</v>
      </c>
      <c r="U333" s="28">
        <v>6.0</v>
      </c>
      <c r="V333" s="26" t="str">
        <f t="shared" si="495"/>
        <v>R</v>
      </c>
      <c r="W333" s="32" t="s">
        <v>299</v>
      </c>
      <c r="X333" s="65">
        <v>6.0</v>
      </c>
      <c r="Y333" s="33" t="str">
        <f t="shared" si="496"/>
        <v>R</v>
      </c>
      <c r="Z333" s="65">
        <v>22.0</v>
      </c>
      <c r="AA333" s="33" t="str">
        <f t="shared" si="497"/>
        <v>S</v>
      </c>
      <c r="AB333" s="65">
        <v>6.0</v>
      </c>
      <c r="AC333" s="33" t="str">
        <f t="shared" si="498"/>
        <v>R</v>
      </c>
      <c r="AD333" s="65">
        <v>22.0</v>
      </c>
      <c r="AE333" s="33" t="str">
        <f t="shared" si="499"/>
        <v>S</v>
      </c>
      <c r="AF333" s="65">
        <v>6.0</v>
      </c>
      <c r="AG333" s="33" t="str">
        <f t="shared" si="500"/>
        <v>R</v>
      </c>
      <c r="AH333" s="65" t="s">
        <v>299</v>
      </c>
      <c r="AI333" s="66">
        <v>6.0</v>
      </c>
      <c r="AJ333" s="36" t="str">
        <f t="shared" si="501"/>
        <v>R</v>
      </c>
      <c r="AK333" s="66">
        <v>9.0</v>
      </c>
      <c r="AL333" s="36" t="str">
        <f t="shared" si="502"/>
        <v>R</v>
      </c>
      <c r="AM333" s="66">
        <v>6.0</v>
      </c>
      <c r="AN333" s="36" t="str">
        <f t="shared" si="503"/>
        <v>R</v>
      </c>
      <c r="AO333" s="66" t="s">
        <v>299</v>
      </c>
      <c r="AP333" s="67">
        <v>19.0</v>
      </c>
      <c r="AQ333" s="37" t="str">
        <f t="shared" si="504"/>
        <v>S</v>
      </c>
      <c r="AR333" s="65">
        <v>17.0</v>
      </c>
      <c r="AS333" s="33" t="str">
        <f t="shared" si="505"/>
        <v>R</v>
      </c>
      <c r="AT333" s="65">
        <v>10.0</v>
      </c>
      <c r="AU333" s="33" t="str">
        <f t="shared" si="506"/>
        <v>R</v>
      </c>
      <c r="AV333" s="65" t="s">
        <v>299</v>
      </c>
      <c r="AW333" s="28">
        <v>21.0</v>
      </c>
      <c r="AX333" s="26" t="str">
        <f t="shared" si="507"/>
        <v>S</v>
      </c>
      <c r="AY333" s="67">
        <v>6.0</v>
      </c>
      <c r="AZ333" s="37" t="str">
        <f t="shared" si="508"/>
        <v>R</v>
      </c>
      <c r="BA333" s="66">
        <v>28.0</v>
      </c>
      <c r="BB333" s="36" t="str">
        <f t="shared" si="509"/>
        <v>S</v>
      </c>
      <c r="BC333" s="39" t="s">
        <v>357</v>
      </c>
      <c r="BD333" s="39" t="s">
        <v>357</v>
      </c>
      <c r="BE333" s="66">
        <v>27.0</v>
      </c>
      <c r="BF333" s="36" t="str">
        <f t="shared" si="510"/>
        <v>S</v>
      </c>
      <c r="BG333" s="68">
        <v>6.0</v>
      </c>
      <c r="BH333" s="41" t="str">
        <f t="shared" si="511"/>
        <v>R</v>
      </c>
      <c r="BI333" s="41"/>
    </row>
    <row r="334">
      <c r="A334" s="51" t="s">
        <v>894</v>
      </c>
      <c r="B334" s="51" t="s">
        <v>444</v>
      </c>
      <c r="C334" s="51" t="s">
        <v>1701</v>
      </c>
      <c r="D334" s="69" t="s">
        <v>190</v>
      </c>
      <c r="E334" s="18" t="s">
        <v>190</v>
      </c>
      <c r="F334" s="18" t="s">
        <v>192</v>
      </c>
      <c r="G334" s="63" t="s">
        <v>1702</v>
      </c>
      <c r="H334" s="22" t="s">
        <v>198</v>
      </c>
      <c r="I334" s="28">
        <v>6.0</v>
      </c>
      <c r="J334" s="26" t="str">
        <f t="shared" si="489"/>
        <v>R</v>
      </c>
      <c r="K334" s="28">
        <v>14.0</v>
      </c>
      <c r="L334" s="26" t="str">
        <f t="shared" si="490"/>
        <v>R</v>
      </c>
      <c r="M334" s="28">
        <v>6.0</v>
      </c>
      <c r="N334" s="26" t="str">
        <f t="shared" si="491"/>
        <v>R</v>
      </c>
      <c r="O334" s="28">
        <v>19.0</v>
      </c>
      <c r="P334" s="26" t="str">
        <f t="shared" si="492"/>
        <v>R</v>
      </c>
      <c r="Q334" s="28">
        <v>6.0</v>
      </c>
      <c r="R334" s="26" t="str">
        <f t="shared" si="493"/>
        <v>R</v>
      </c>
      <c r="S334" s="28">
        <v>16.0</v>
      </c>
      <c r="T334" s="26" t="str">
        <f t="shared" si="494"/>
        <v>R</v>
      </c>
      <c r="U334" s="28">
        <v>6.0</v>
      </c>
      <c r="V334" s="26" t="str">
        <f t="shared" si="495"/>
        <v>R</v>
      </c>
      <c r="W334" s="32" t="s">
        <v>299</v>
      </c>
      <c r="X334" s="65">
        <v>6.0</v>
      </c>
      <c r="Y334" s="33" t="str">
        <f t="shared" si="496"/>
        <v>R</v>
      </c>
      <c r="Z334" s="65">
        <v>22.0</v>
      </c>
      <c r="AA334" s="33" t="str">
        <f t="shared" si="497"/>
        <v>S</v>
      </c>
      <c r="AB334" s="65">
        <v>6.0</v>
      </c>
      <c r="AC334" s="33" t="str">
        <f t="shared" si="498"/>
        <v>R</v>
      </c>
      <c r="AD334" s="65">
        <v>22.0</v>
      </c>
      <c r="AE334" s="33" t="str">
        <f t="shared" si="499"/>
        <v>S</v>
      </c>
      <c r="AF334" s="65">
        <v>6.0</v>
      </c>
      <c r="AG334" s="33" t="str">
        <f t="shared" si="500"/>
        <v>R</v>
      </c>
      <c r="AH334" s="65" t="s">
        <v>299</v>
      </c>
      <c r="AI334" s="66">
        <v>6.0</v>
      </c>
      <c r="AJ334" s="36" t="str">
        <f t="shared" si="501"/>
        <v>R</v>
      </c>
      <c r="AK334" s="66">
        <v>9.0</v>
      </c>
      <c r="AL334" s="36" t="str">
        <f t="shared" si="502"/>
        <v>R</v>
      </c>
      <c r="AM334" s="66">
        <v>6.0</v>
      </c>
      <c r="AN334" s="36" t="str">
        <f t="shared" si="503"/>
        <v>R</v>
      </c>
      <c r="AO334" s="66" t="s">
        <v>299</v>
      </c>
      <c r="AP334" s="67">
        <v>19.0</v>
      </c>
      <c r="AQ334" s="37" t="str">
        <f t="shared" si="504"/>
        <v>S</v>
      </c>
      <c r="AR334" s="65">
        <v>17.0</v>
      </c>
      <c r="AS334" s="33" t="str">
        <f t="shared" si="505"/>
        <v>R</v>
      </c>
      <c r="AT334" s="65">
        <v>10.0</v>
      </c>
      <c r="AU334" s="33" t="str">
        <f t="shared" si="506"/>
        <v>R</v>
      </c>
      <c r="AV334" s="65" t="s">
        <v>299</v>
      </c>
      <c r="AW334" s="28">
        <v>21.0</v>
      </c>
      <c r="AX334" s="26" t="str">
        <f t="shared" si="507"/>
        <v>S</v>
      </c>
      <c r="AY334" s="67">
        <v>6.0</v>
      </c>
      <c r="AZ334" s="37" t="str">
        <f t="shared" si="508"/>
        <v>R</v>
      </c>
      <c r="BA334" s="66">
        <v>28.0</v>
      </c>
      <c r="BB334" s="36" t="str">
        <f t="shared" si="509"/>
        <v>S</v>
      </c>
      <c r="BC334" s="39" t="s">
        <v>357</v>
      </c>
      <c r="BD334" s="39" t="s">
        <v>357</v>
      </c>
      <c r="BE334" s="66">
        <v>27.0</v>
      </c>
      <c r="BF334" s="36" t="str">
        <f t="shared" si="510"/>
        <v>S</v>
      </c>
      <c r="BG334" s="68">
        <v>6.0</v>
      </c>
      <c r="BH334" s="41" t="str">
        <f t="shared" si="511"/>
        <v>R</v>
      </c>
      <c r="BI334" s="41"/>
    </row>
    <row r="335">
      <c r="A335" s="51" t="s">
        <v>894</v>
      </c>
      <c r="B335" s="51" t="s">
        <v>444</v>
      </c>
      <c r="C335" s="51" t="s">
        <v>1705</v>
      </c>
      <c r="D335" s="69" t="s">
        <v>190</v>
      </c>
      <c r="E335" s="18" t="s">
        <v>190</v>
      </c>
      <c r="F335" s="18" t="s">
        <v>192</v>
      </c>
      <c r="G335" s="63" t="s">
        <v>1706</v>
      </c>
      <c r="H335" s="22" t="s">
        <v>198</v>
      </c>
      <c r="I335" s="28">
        <v>6.0</v>
      </c>
      <c r="J335" s="26" t="str">
        <f t="shared" si="489"/>
        <v>R</v>
      </c>
      <c r="K335" s="28">
        <v>14.0</v>
      </c>
      <c r="L335" s="26" t="str">
        <f t="shared" si="490"/>
        <v>R</v>
      </c>
      <c r="M335" s="28">
        <v>6.0</v>
      </c>
      <c r="N335" s="26" t="str">
        <f t="shared" si="491"/>
        <v>R</v>
      </c>
      <c r="O335" s="28">
        <v>19.0</v>
      </c>
      <c r="P335" s="26" t="str">
        <f t="shared" si="492"/>
        <v>R</v>
      </c>
      <c r="Q335" s="28">
        <v>6.0</v>
      </c>
      <c r="R335" s="26" t="str">
        <f t="shared" si="493"/>
        <v>R</v>
      </c>
      <c r="S335" s="28">
        <v>16.0</v>
      </c>
      <c r="T335" s="26" t="str">
        <f t="shared" si="494"/>
        <v>R</v>
      </c>
      <c r="U335" s="28">
        <v>6.0</v>
      </c>
      <c r="V335" s="26" t="str">
        <f t="shared" si="495"/>
        <v>R</v>
      </c>
      <c r="W335" s="32" t="s">
        <v>299</v>
      </c>
      <c r="X335" s="65">
        <v>6.0</v>
      </c>
      <c r="Y335" s="33" t="str">
        <f t="shared" si="496"/>
        <v>R</v>
      </c>
      <c r="Z335" s="65">
        <v>22.0</v>
      </c>
      <c r="AA335" s="33" t="str">
        <f t="shared" si="497"/>
        <v>S</v>
      </c>
      <c r="AB335" s="65">
        <v>6.0</v>
      </c>
      <c r="AC335" s="33" t="str">
        <f t="shared" si="498"/>
        <v>R</v>
      </c>
      <c r="AD335" s="65">
        <v>22.0</v>
      </c>
      <c r="AE335" s="33" t="str">
        <f t="shared" si="499"/>
        <v>S</v>
      </c>
      <c r="AF335" s="65">
        <v>6.0</v>
      </c>
      <c r="AG335" s="33" t="str">
        <f t="shared" si="500"/>
        <v>R</v>
      </c>
      <c r="AH335" s="65" t="s">
        <v>299</v>
      </c>
      <c r="AI335" s="66">
        <v>6.0</v>
      </c>
      <c r="AJ335" s="36" t="str">
        <f t="shared" si="501"/>
        <v>R</v>
      </c>
      <c r="AK335" s="66">
        <v>9.0</v>
      </c>
      <c r="AL335" s="36" t="str">
        <f t="shared" si="502"/>
        <v>R</v>
      </c>
      <c r="AM335" s="66">
        <v>6.0</v>
      </c>
      <c r="AN335" s="36" t="str">
        <f t="shared" si="503"/>
        <v>R</v>
      </c>
      <c r="AO335" s="66" t="s">
        <v>299</v>
      </c>
      <c r="AP335" s="67">
        <v>19.0</v>
      </c>
      <c r="AQ335" s="37" t="str">
        <f t="shared" si="504"/>
        <v>S</v>
      </c>
      <c r="AR335" s="65">
        <v>17.0</v>
      </c>
      <c r="AS335" s="33" t="str">
        <f t="shared" si="505"/>
        <v>R</v>
      </c>
      <c r="AT335" s="65">
        <v>10.0</v>
      </c>
      <c r="AU335" s="33" t="str">
        <f t="shared" si="506"/>
        <v>R</v>
      </c>
      <c r="AV335" s="65" t="s">
        <v>299</v>
      </c>
      <c r="AW335" s="28">
        <v>21.0</v>
      </c>
      <c r="AX335" s="26" t="str">
        <f t="shared" si="507"/>
        <v>S</v>
      </c>
      <c r="AY335" s="67">
        <v>6.0</v>
      </c>
      <c r="AZ335" s="37" t="str">
        <f t="shared" si="508"/>
        <v>R</v>
      </c>
      <c r="BA335" s="66">
        <v>28.0</v>
      </c>
      <c r="BB335" s="36" t="str">
        <f t="shared" si="509"/>
        <v>S</v>
      </c>
      <c r="BC335" s="39" t="s">
        <v>357</v>
      </c>
      <c r="BD335" s="39" t="s">
        <v>357</v>
      </c>
      <c r="BE335" s="66">
        <v>27.0</v>
      </c>
      <c r="BF335" s="36" t="str">
        <f t="shared" si="510"/>
        <v>S</v>
      </c>
      <c r="BG335" s="68">
        <v>6.0</v>
      </c>
      <c r="BH335" s="41" t="str">
        <f t="shared" si="511"/>
        <v>R</v>
      </c>
      <c r="BI335" s="41"/>
    </row>
    <row r="336">
      <c r="A336" s="51" t="s">
        <v>894</v>
      </c>
      <c r="B336" s="53">
        <v>168.0</v>
      </c>
      <c r="C336" s="51" t="s">
        <v>1709</v>
      </c>
      <c r="D336" s="69" t="s">
        <v>571</v>
      </c>
      <c r="E336" s="18" t="s">
        <v>572</v>
      </c>
      <c r="F336" s="18" t="s">
        <v>192</v>
      </c>
      <c r="G336" s="63" t="s">
        <v>1710</v>
      </c>
      <c r="H336" s="22" t="s">
        <v>198</v>
      </c>
      <c r="I336" s="28">
        <v>6.0</v>
      </c>
      <c r="J336" s="26" t="str">
        <f t="shared" si="489"/>
        <v>R</v>
      </c>
      <c r="K336" s="28">
        <v>18.0</v>
      </c>
      <c r="L336" s="26" t="str">
        <f t="shared" si="490"/>
        <v>R</v>
      </c>
      <c r="M336" s="28">
        <v>6.0</v>
      </c>
      <c r="N336" s="26" t="str">
        <f t="shared" si="491"/>
        <v>R</v>
      </c>
      <c r="O336" s="28">
        <v>21.0</v>
      </c>
      <c r="P336" s="26" t="str">
        <f t="shared" si="492"/>
        <v>I</v>
      </c>
      <c r="Q336" s="28">
        <v>9.0</v>
      </c>
      <c r="R336" s="26" t="str">
        <f t="shared" si="493"/>
        <v>R</v>
      </c>
      <c r="S336" s="28">
        <v>19.0</v>
      </c>
      <c r="T336" s="26" t="str">
        <f t="shared" si="494"/>
        <v>R</v>
      </c>
      <c r="U336" s="28">
        <v>19.0</v>
      </c>
      <c r="V336" s="26" t="str">
        <f t="shared" si="495"/>
        <v>I</v>
      </c>
      <c r="W336" s="32" t="s">
        <v>299</v>
      </c>
      <c r="X336" s="65">
        <v>6.0</v>
      </c>
      <c r="Y336" s="33" t="str">
        <f t="shared" si="496"/>
        <v>R</v>
      </c>
      <c r="Z336" s="65">
        <v>19.0</v>
      </c>
      <c r="AA336" s="33" t="str">
        <f t="shared" si="497"/>
        <v>S</v>
      </c>
      <c r="AB336" s="65">
        <v>6.0</v>
      </c>
      <c r="AC336" s="33" t="str">
        <f t="shared" si="498"/>
        <v>R</v>
      </c>
      <c r="AD336" s="65">
        <v>18.0</v>
      </c>
      <c r="AE336" s="33" t="str">
        <f t="shared" si="499"/>
        <v>S</v>
      </c>
      <c r="AF336" s="65">
        <v>6.0</v>
      </c>
      <c r="AG336" s="33" t="str">
        <f t="shared" si="500"/>
        <v>R</v>
      </c>
      <c r="AH336" s="65" t="s">
        <v>299</v>
      </c>
      <c r="AI336" s="66">
        <v>6.0</v>
      </c>
      <c r="AJ336" s="36" t="str">
        <f t="shared" si="501"/>
        <v>R</v>
      </c>
      <c r="AK336" s="66">
        <v>6.0</v>
      </c>
      <c r="AL336" s="36" t="str">
        <f t="shared" si="502"/>
        <v>R</v>
      </c>
      <c r="AM336" s="66">
        <v>6.0</v>
      </c>
      <c r="AN336" s="36" t="str">
        <f t="shared" si="503"/>
        <v>R</v>
      </c>
      <c r="AO336" s="66" t="s">
        <v>299</v>
      </c>
      <c r="AP336" s="67">
        <v>6.0</v>
      </c>
      <c r="AQ336" s="37" t="str">
        <f t="shared" si="504"/>
        <v>R</v>
      </c>
      <c r="AR336" s="65">
        <v>20.0</v>
      </c>
      <c r="AS336" s="33" t="str">
        <f t="shared" si="505"/>
        <v>S</v>
      </c>
      <c r="AT336" s="65">
        <v>19.0</v>
      </c>
      <c r="AU336" s="33" t="str">
        <f t="shared" si="506"/>
        <v>S</v>
      </c>
      <c r="AV336" s="33" t="s">
        <v>300</v>
      </c>
      <c r="AW336" s="28">
        <v>6.0</v>
      </c>
      <c r="AX336" s="26" t="str">
        <f t="shared" si="507"/>
        <v>R</v>
      </c>
      <c r="AY336" s="67">
        <v>15.0</v>
      </c>
      <c r="AZ336" s="37" t="str">
        <f t="shared" si="508"/>
        <v>R</v>
      </c>
      <c r="BA336" s="66">
        <v>27.0</v>
      </c>
      <c r="BB336" s="36" t="str">
        <f t="shared" si="509"/>
        <v>S</v>
      </c>
      <c r="BC336" s="39" t="s">
        <v>357</v>
      </c>
      <c r="BD336" s="39" t="s">
        <v>357</v>
      </c>
      <c r="BE336" s="66">
        <v>21.0</v>
      </c>
      <c r="BF336" s="36" t="str">
        <f t="shared" si="510"/>
        <v>I</v>
      </c>
      <c r="BG336" s="68">
        <v>18.0</v>
      </c>
      <c r="BH336" s="41" t="str">
        <f t="shared" si="511"/>
        <v>S</v>
      </c>
      <c r="BI336" s="41"/>
    </row>
    <row r="337">
      <c r="A337" s="51" t="s">
        <v>894</v>
      </c>
      <c r="B337" s="51" t="s">
        <v>444</v>
      </c>
      <c r="C337" s="51" t="s">
        <v>1715</v>
      </c>
      <c r="D337" s="69" t="s">
        <v>571</v>
      </c>
      <c r="E337" s="18" t="s">
        <v>572</v>
      </c>
      <c r="F337" s="18" t="s">
        <v>192</v>
      </c>
      <c r="G337" s="63" t="s">
        <v>1716</v>
      </c>
      <c r="H337" s="22" t="s">
        <v>198</v>
      </c>
      <c r="I337" s="28">
        <v>6.0</v>
      </c>
      <c r="J337" s="26" t="str">
        <f t="shared" si="489"/>
        <v>R</v>
      </c>
      <c r="K337" s="28">
        <v>18.0</v>
      </c>
      <c r="L337" s="26" t="str">
        <f t="shared" si="490"/>
        <v>R</v>
      </c>
      <c r="M337" s="28">
        <v>6.0</v>
      </c>
      <c r="N337" s="26" t="str">
        <f t="shared" si="491"/>
        <v>R</v>
      </c>
      <c r="O337" s="28">
        <v>21.0</v>
      </c>
      <c r="P337" s="26" t="str">
        <f t="shared" si="492"/>
        <v>I</v>
      </c>
      <c r="Q337" s="28">
        <v>9.0</v>
      </c>
      <c r="R337" s="26" t="str">
        <f t="shared" si="493"/>
        <v>R</v>
      </c>
      <c r="S337" s="28">
        <v>19.0</v>
      </c>
      <c r="T337" s="26" t="str">
        <f t="shared" si="494"/>
        <v>R</v>
      </c>
      <c r="U337" s="28">
        <v>19.0</v>
      </c>
      <c r="V337" s="26" t="str">
        <f t="shared" si="495"/>
        <v>I</v>
      </c>
      <c r="W337" s="32" t="s">
        <v>299</v>
      </c>
      <c r="X337" s="65">
        <v>6.0</v>
      </c>
      <c r="Y337" s="33" t="str">
        <f t="shared" si="496"/>
        <v>R</v>
      </c>
      <c r="Z337" s="65">
        <v>19.0</v>
      </c>
      <c r="AA337" s="33" t="str">
        <f t="shared" si="497"/>
        <v>S</v>
      </c>
      <c r="AB337" s="65">
        <v>6.0</v>
      </c>
      <c r="AC337" s="33" t="str">
        <f t="shared" si="498"/>
        <v>R</v>
      </c>
      <c r="AD337" s="65">
        <v>18.0</v>
      </c>
      <c r="AE337" s="33" t="str">
        <f t="shared" si="499"/>
        <v>S</v>
      </c>
      <c r="AF337" s="65">
        <v>6.0</v>
      </c>
      <c r="AG337" s="33" t="str">
        <f t="shared" si="500"/>
        <v>R</v>
      </c>
      <c r="AH337" s="65" t="s">
        <v>299</v>
      </c>
      <c r="AI337" s="66">
        <v>6.0</v>
      </c>
      <c r="AJ337" s="36" t="str">
        <f t="shared" si="501"/>
        <v>R</v>
      </c>
      <c r="AK337" s="66">
        <v>6.0</v>
      </c>
      <c r="AL337" s="36" t="str">
        <f t="shared" si="502"/>
        <v>R</v>
      </c>
      <c r="AM337" s="66">
        <v>6.0</v>
      </c>
      <c r="AN337" s="36" t="str">
        <f t="shared" si="503"/>
        <v>R</v>
      </c>
      <c r="AO337" s="66" t="s">
        <v>299</v>
      </c>
      <c r="AP337" s="67">
        <v>6.0</v>
      </c>
      <c r="AQ337" s="37" t="str">
        <f t="shared" si="504"/>
        <v>R</v>
      </c>
      <c r="AR337" s="65">
        <v>20.0</v>
      </c>
      <c r="AS337" s="33" t="str">
        <f t="shared" si="505"/>
        <v>S</v>
      </c>
      <c r="AT337" s="65">
        <v>19.0</v>
      </c>
      <c r="AU337" s="33" t="str">
        <f t="shared" si="506"/>
        <v>S</v>
      </c>
      <c r="AV337" s="33" t="s">
        <v>300</v>
      </c>
      <c r="AW337" s="28">
        <v>6.0</v>
      </c>
      <c r="AX337" s="26" t="str">
        <f t="shared" si="507"/>
        <v>R</v>
      </c>
      <c r="AY337" s="67">
        <v>15.0</v>
      </c>
      <c r="AZ337" s="37" t="str">
        <f t="shared" si="508"/>
        <v>R</v>
      </c>
      <c r="BA337" s="66">
        <v>27.0</v>
      </c>
      <c r="BB337" s="36" t="str">
        <f t="shared" si="509"/>
        <v>S</v>
      </c>
      <c r="BC337" s="39" t="s">
        <v>357</v>
      </c>
      <c r="BD337" s="39" t="s">
        <v>357</v>
      </c>
      <c r="BE337" s="66">
        <v>21.0</v>
      </c>
      <c r="BF337" s="36" t="str">
        <f t="shared" si="510"/>
        <v>I</v>
      </c>
      <c r="BG337" s="68">
        <v>18.0</v>
      </c>
      <c r="BH337" s="41" t="str">
        <f t="shared" si="511"/>
        <v>S</v>
      </c>
      <c r="BI337" s="41"/>
    </row>
    <row r="338">
      <c r="A338" s="51" t="s">
        <v>894</v>
      </c>
      <c r="B338" s="51" t="s">
        <v>444</v>
      </c>
      <c r="C338" s="51" t="s">
        <v>1719</v>
      </c>
      <c r="D338" s="69" t="s">
        <v>571</v>
      </c>
      <c r="E338" s="18" t="s">
        <v>572</v>
      </c>
      <c r="F338" s="18" t="s">
        <v>192</v>
      </c>
      <c r="G338" s="63" t="s">
        <v>1720</v>
      </c>
      <c r="H338" s="22" t="s">
        <v>198</v>
      </c>
      <c r="I338" s="28">
        <v>6.0</v>
      </c>
      <c r="J338" s="26" t="str">
        <f t="shared" si="489"/>
        <v>R</v>
      </c>
      <c r="K338" s="28">
        <v>18.0</v>
      </c>
      <c r="L338" s="26" t="str">
        <f t="shared" si="490"/>
        <v>R</v>
      </c>
      <c r="M338" s="28">
        <v>6.0</v>
      </c>
      <c r="N338" s="26" t="str">
        <f t="shared" si="491"/>
        <v>R</v>
      </c>
      <c r="O338" s="28">
        <v>21.0</v>
      </c>
      <c r="P338" s="26" t="str">
        <f t="shared" si="492"/>
        <v>I</v>
      </c>
      <c r="Q338" s="28">
        <v>9.0</v>
      </c>
      <c r="R338" s="26" t="str">
        <f t="shared" si="493"/>
        <v>R</v>
      </c>
      <c r="S338" s="28">
        <v>19.0</v>
      </c>
      <c r="T338" s="26" t="str">
        <f t="shared" si="494"/>
        <v>R</v>
      </c>
      <c r="U338" s="28">
        <v>19.0</v>
      </c>
      <c r="V338" s="26" t="str">
        <f t="shared" si="495"/>
        <v>I</v>
      </c>
      <c r="W338" s="32" t="s">
        <v>299</v>
      </c>
      <c r="X338" s="65">
        <v>6.0</v>
      </c>
      <c r="Y338" s="33" t="str">
        <f t="shared" si="496"/>
        <v>R</v>
      </c>
      <c r="Z338" s="65">
        <v>19.0</v>
      </c>
      <c r="AA338" s="33" t="str">
        <f t="shared" si="497"/>
        <v>S</v>
      </c>
      <c r="AB338" s="65">
        <v>6.0</v>
      </c>
      <c r="AC338" s="33" t="str">
        <f t="shared" si="498"/>
        <v>R</v>
      </c>
      <c r="AD338" s="65">
        <v>18.0</v>
      </c>
      <c r="AE338" s="33" t="str">
        <f t="shared" si="499"/>
        <v>S</v>
      </c>
      <c r="AF338" s="65">
        <v>6.0</v>
      </c>
      <c r="AG338" s="33" t="str">
        <f t="shared" si="500"/>
        <v>R</v>
      </c>
      <c r="AH338" s="65" t="s">
        <v>299</v>
      </c>
      <c r="AI338" s="66">
        <v>6.0</v>
      </c>
      <c r="AJ338" s="36" t="str">
        <f t="shared" si="501"/>
        <v>R</v>
      </c>
      <c r="AK338" s="66">
        <v>6.0</v>
      </c>
      <c r="AL338" s="36" t="str">
        <f t="shared" si="502"/>
        <v>R</v>
      </c>
      <c r="AM338" s="66">
        <v>6.0</v>
      </c>
      <c r="AN338" s="36" t="str">
        <f t="shared" si="503"/>
        <v>R</v>
      </c>
      <c r="AO338" s="66" t="s">
        <v>299</v>
      </c>
      <c r="AP338" s="67">
        <v>6.0</v>
      </c>
      <c r="AQ338" s="37" t="str">
        <f t="shared" si="504"/>
        <v>R</v>
      </c>
      <c r="AR338" s="65">
        <v>20.0</v>
      </c>
      <c r="AS338" s="33" t="str">
        <f t="shared" si="505"/>
        <v>S</v>
      </c>
      <c r="AT338" s="65">
        <v>19.0</v>
      </c>
      <c r="AU338" s="33" t="str">
        <f t="shared" si="506"/>
        <v>S</v>
      </c>
      <c r="AV338" s="33" t="s">
        <v>300</v>
      </c>
      <c r="AW338" s="28">
        <v>6.0</v>
      </c>
      <c r="AX338" s="26" t="str">
        <f t="shared" si="507"/>
        <v>R</v>
      </c>
      <c r="AY338" s="67">
        <v>15.0</v>
      </c>
      <c r="AZ338" s="37" t="str">
        <f t="shared" si="508"/>
        <v>R</v>
      </c>
      <c r="BA338" s="66">
        <v>27.0</v>
      </c>
      <c r="BB338" s="36" t="str">
        <f t="shared" si="509"/>
        <v>S</v>
      </c>
      <c r="BC338" s="39" t="s">
        <v>357</v>
      </c>
      <c r="BD338" s="39" t="s">
        <v>357</v>
      </c>
      <c r="BE338" s="66">
        <v>21.0</v>
      </c>
      <c r="BF338" s="36" t="str">
        <f t="shared" si="510"/>
        <v>I</v>
      </c>
      <c r="BG338" s="68">
        <v>18.0</v>
      </c>
      <c r="BH338" s="41" t="str">
        <f t="shared" si="511"/>
        <v>S</v>
      </c>
      <c r="BI338" s="41"/>
    </row>
    <row r="339">
      <c r="A339" s="21" t="s">
        <v>906</v>
      </c>
      <c r="B339" s="23">
        <v>169.0</v>
      </c>
      <c r="C339" s="21" t="s">
        <v>1075</v>
      </c>
      <c r="D339" s="69" t="s">
        <v>190</v>
      </c>
      <c r="E339" s="18" t="s">
        <v>190</v>
      </c>
      <c r="F339" s="18" t="s">
        <v>192</v>
      </c>
      <c r="G339" s="63" t="s">
        <v>1076</v>
      </c>
      <c r="H339" s="42" t="s">
        <v>479</v>
      </c>
      <c r="I339" s="28">
        <v>6.0</v>
      </c>
      <c r="J339" s="26" t="str">
        <f t="shared" si="489"/>
        <v>R</v>
      </c>
      <c r="K339" s="28">
        <v>18.0</v>
      </c>
      <c r="L339" s="26" t="str">
        <f t="shared" si="490"/>
        <v>R</v>
      </c>
      <c r="M339" s="28">
        <v>15.0</v>
      </c>
      <c r="N339" s="26" t="str">
        <f t="shared" si="491"/>
        <v>R</v>
      </c>
      <c r="O339" s="28">
        <v>20.0</v>
      </c>
      <c r="P339" s="26" t="str">
        <f t="shared" si="492"/>
        <v>I</v>
      </c>
      <c r="Q339" s="28">
        <v>25.0</v>
      </c>
      <c r="R339" s="26" t="str">
        <f t="shared" si="493"/>
        <v>S</v>
      </c>
      <c r="S339" s="28">
        <v>24.0</v>
      </c>
      <c r="T339" s="26" t="str">
        <f t="shared" si="494"/>
        <v>S</v>
      </c>
      <c r="U339" s="28">
        <v>15.0</v>
      </c>
      <c r="V339" s="26" t="str">
        <f t="shared" si="495"/>
        <v>R</v>
      </c>
      <c r="W339" s="32" t="s">
        <v>299</v>
      </c>
      <c r="X339" s="65">
        <v>6.0</v>
      </c>
      <c r="Y339" s="33" t="str">
        <f t="shared" si="496"/>
        <v>R</v>
      </c>
      <c r="Z339" s="65">
        <v>24.0</v>
      </c>
      <c r="AA339" s="33" t="str">
        <f t="shared" si="497"/>
        <v>S</v>
      </c>
      <c r="AB339" s="65">
        <v>6.0</v>
      </c>
      <c r="AC339" s="33" t="str">
        <f t="shared" si="498"/>
        <v>R</v>
      </c>
      <c r="AD339" s="65">
        <v>17.0</v>
      </c>
      <c r="AE339" s="33" t="str">
        <f t="shared" si="499"/>
        <v>S</v>
      </c>
      <c r="AF339" s="65">
        <v>12.0</v>
      </c>
      <c r="AG339" s="33" t="str">
        <f t="shared" si="500"/>
        <v>R</v>
      </c>
      <c r="AH339" s="65" t="s">
        <v>299</v>
      </c>
      <c r="AI339" s="66">
        <v>25.0</v>
      </c>
      <c r="AJ339" s="36" t="str">
        <f t="shared" si="501"/>
        <v>S</v>
      </c>
      <c r="AK339" s="66">
        <v>24.0</v>
      </c>
      <c r="AL339" s="36" t="str">
        <f t="shared" si="502"/>
        <v>S</v>
      </c>
      <c r="AM339" s="66">
        <v>18.0</v>
      </c>
      <c r="AN339" s="36" t="str">
        <f t="shared" si="503"/>
        <v>S</v>
      </c>
      <c r="AO339" s="36" t="s">
        <v>300</v>
      </c>
      <c r="AP339" s="67">
        <v>6.0</v>
      </c>
      <c r="AQ339" s="37" t="str">
        <f t="shared" si="504"/>
        <v>R</v>
      </c>
      <c r="AR339" s="65">
        <v>15.0</v>
      </c>
      <c r="AS339" s="33" t="str">
        <f t="shared" si="505"/>
        <v>R</v>
      </c>
      <c r="AT339" s="65">
        <v>23.0</v>
      </c>
      <c r="AU339" s="33" t="str">
        <f t="shared" si="506"/>
        <v>S</v>
      </c>
      <c r="AV339" s="65" t="s">
        <v>299</v>
      </c>
      <c r="AW339" s="28">
        <v>22.0</v>
      </c>
      <c r="AX339" s="26" t="str">
        <f t="shared" si="507"/>
        <v>S</v>
      </c>
      <c r="AY339" s="67">
        <v>6.0</v>
      </c>
      <c r="AZ339" s="37" t="str">
        <f t="shared" si="508"/>
        <v>R</v>
      </c>
      <c r="BA339" s="66">
        <v>24.0</v>
      </c>
      <c r="BB339" s="36" t="str">
        <f t="shared" si="509"/>
        <v>S</v>
      </c>
      <c r="BC339" s="39" t="s">
        <v>357</v>
      </c>
      <c r="BD339" s="39" t="s">
        <v>357</v>
      </c>
      <c r="BE339" s="66">
        <v>27.0</v>
      </c>
      <c r="BF339" s="36" t="str">
        <f t="shared" si="510"/>
        <v>S</v>
      </c>
      <c r="BG339" s="68">
        <v>17.0</v>
      </c>
      <c r="BH339" s="41" t="str">
        <f t="shared" si="511"/>
        <v>S</v>
      </c>
      <c r="BI339" s="41"/>
    </row>
    <row r="340">
      <c r="A340" s="21" t="s">
        <v>906</v>
      </c>
      <c r="B340" s="21" t="s">
        <v>444</v>
      </c>
      <c r="C340" s="21" t="s">
        <v>1723</v>
      </c>
      <c r="D340" s="69" t="s">
        <v>190</v>
      </c>
      <c r="E340" s="18" t="s">
        <v>190</v>
      </c>
      <c r="F340" s="18" t="s">
        <v>192</v>
      </c>
      <c r="G340" s="63" t="s">
        <v>1725</v>
      </c>
      <c r="H340" s="42" t="s">
        <v>479</v>
      </c>
      <c r="I340" s="28">
        <v>6.0</v>
      </c>
      <c r="J340" s="26" t="str">
        <f t="shared" si="489"/>
        <v>R</v>
      </c>
      <c r="K340" s="28">
        <v>16.0</v>
      </c>
      <c r="L340" s="26" t="str">
        <f t="shared" si="490"/>
        <v>R</v>
      </c>
      <c r="M340" s="28">
        <v>15.0</v>
      </c>
      <c r="N340" s="26" t="str">
        <f t="shared" si="491"/>
        <v>R</v>
      </c>
      <c r="O340" s="28">
        <v>20.0</v>
      </c>
      <c r="P340" s="26" t="str">
        <f t="shared" si="492"/>
        <v>I</v>
      </c>
      <c r="Q340" s="28">
        <v>25.0</v>
      </c>
      <c r="R340" s="26" t="str">
        <f t="shared" si="493"/>
        <v>S</v>
      </c>
      <c r="S340" s="28">
        <v>24.0</v>
      </c>
      <c r="T340" s="26" t="str">
        <f t="shared" si="494"/>
        <v>S</v>
      </c>
      <c r="U340" s="28">
        <v>15.0</v>
      </c>
      <c r="V340" s="26" t="str">
        <f t="shared" si="495"/>
        <v>R</v>
      </c>
      <c r="W340" s="32" t="s">
        <v>299</v>
      </c>
      <c r="X340" s="65">
        <v>6.0</v>
      </c>
      <c r="Y340" s="33" t="str">
        <f t="shared" si="496"/>
        <v>R</v>
      </c>
      <c r="Z340" s="65">
        <v>22.0</v>
      </c>
      <c r="AA340" s="33" t="str">
        <f t="shared" si="497"/>
        <v>S</v>
      </c>
      <c r="AB340" s="65">
        <v>6.0</v>
      </c>
      <c r="AC340" s="33" t="str">
        <f t="shared" si="498"/>
        <v>R</v>
      </c>
      <c r="AD340" s="65">
        <v>17.0</v>
      </c>
      <c r="AE340" s="33" t="str">
        <f t="shared" si="499"/>
        <v>S</v>
      </c>
      <c r="AF340" s="65">
        <v>13.0</v>
      </c>
      <c r="AG340" s="33" t="str">
        <f t="shared" si="500"/>
        <v>R</v>
      </c>
      <c r="AH340" s="65" t="s">
        <v>299</v>
      </c>
      <c r="AI340" s="66">
        <v>25.0</v>
      </c>
      <c r="AJ340" s="36" t="str">
        <f t="shared" si="501"/>
        <v>S</v>
      </c>
      <c r="AK340" s="66">
        <v>24.0</v>
      </c>
      <c r="AL340" s="36" t="str">
        <f t="shared" si="502"/>
        <v>S</v>
      </c>
      <c r="AM340" s="66">
        <v>19.0</v>
      </c>
      <c r="AN340" s="36" t="str">
        <f t="shared" si="503"/>
        <v>S</v>
      </c>
      <c r="AO340" s="36" t="s">
        <v>300</v>
      </c>
      <c r="AP340" s="67">
        <v>6.0</v>
      </c>
      <c r="AQ340" s="37" t="str">
        <f t="shared" si="504"/>
        <v>R</v>
      </c>
      <c r="AR340" s="65">
        <v>14.0</v>
      </c>
      <c r="AS340" s="33" t="str">
        <f t="shared" si="505"/>
        <v>R</v>
      </c>
      <c r="AT340" s="65">
        <v>23.0</v>
      </c>
      <c r="AU340" s="33" t="str">
        <f t="shared" si="506"/>
        <v>S</v>
      </c>
      <c r="AV340" s="65" t="s">
        <v>299</v>
      </c>
      <c r="AW340" s="28">
        <v>22.0</v>
      </c>
      <c r="AX340" s="26" t="str">
        <f t="shared" si="507"/>
        <v>S</v>
      </c>
      <c r="AY340" s="67">
        <v>6.0</v>
      </c>
      <c r="AZ340" s="37" t="str">
        <f t="shared" si="508"/>
        <v>R</v>
      </c>
      <c r="BA340" s="66">
        <v>23.0</v>
      </c>
      <c r="BB340" s="36" t="str">
        <f t="shared" si="509"/>
        <v>S</v>
      </c>
      <c r="BC340" s="39" t="s">
        <v>357</v>
      </c>
      <c r="BD340" s="39" t="s">
        <v>357</v>
      </c>
      <c r="BE340" s="66">
        <v>27.0</v>
      </c>
      <c r="BF340" s="36" t="str">
        <f t="shared" si="510"/>
        <v>S</v>
      </c>
      <c r="BG340" s="68">
        <v>17.0</v>
      </c>
      <c r="BH340" s="41" t="str">
        <f t="shared" si="511"/>
        <v>S</v>
      </c>
      <c r="BI340" s="41"/>
    </row>
    <row r="341">
      <c r="A341" s="21" t="s">
        <v>906</v>
      </c>
      <c r="B341" s="21" t="s">
        <v>444</v>
      </c>
      <c r="C341" s="21" t="s">
        <v>1727</v>
      </c>
      <c r="D341" s="69" t="s">
        <v>190</v>
      </c>
      <c r="E341" s="18" t="s">
        <v>190</v>
      </c>
      <c r="F341" s="18" t="s">
        <v>192</v>
      </c>
      <c r="G341" s="63" t="s">
        <v>1728</v>
      </c>
      <c r="H341" s="42" t="s">
        <v>479</v>
      </c>
      <c r="I341" s="28">
        <v>6.0</v>
      </c>
      <c r="J341" s="26" t="str">
        <f t="shared" si="489"/>
        <v>R</v>
      </c>
      <c r="K341" s="28">
        <v>18.0</v>
      </c>
      <c r="L341" s="26" t="str">
        <f t="shared" si="490"/>
        <v>R</v>
      </c>
      <c r="M341" s="28">
        <v>15.0</v>
      </c>
      <c r="N341" s="26" t="str">
        <f t="shared" si="491"/>
        <v>R</v>
      </c>
      <c r="O341" s="28">
        <v>20.0</v>
      </c>
      <c r="P341" s="26" t="str">
        <f t="shared" si="492"/>
        <v>I</v>
      </c>
      <c r="Q341" s="28">
        <v>25.0</v>
      </c>
      <c r="R341" s="26" t="str">
        <f t="shared" si="493"/>
        <v>S</v>
      </c>
      <c r="S341" s="28">
        <v>24.0</v>
      </c>
      <c r="T341" s="26" t="str">
        <f t="shared" si="494"/>
        <v>S</v>
      </c>
      <c r="U341" s="28">
        <v>15.0</v>
      </c>
      <c r="V341" s="26" t="str">
        <f t="shared" si="495"/>
        <v>R</v>
      </c>
      <c r="W341" s="32" t="s">
        <v>299</v>
      </c>
      <c r="X341" s="65">
        <v>6.0</v>
      </c>
      <c r="Y341" s="33" t="str">
        <f t="shared" si="496"/>
        <v>R</v>
      </c>
      <c r="Z341" s="65">
        <v>23.0</v>
      </c>
      <c r="AA341" s="33" t="str">
        <f t="shared" si="497"/>
        <v>S</v>
      </c>
      <c r="AB341" s="65">
        <v>6.0</v>
      </c>
      <c r="AC341" s="33" t="str">
        <f t="shared" si="498"/>
        <v>R</v>
      </c>
      <c r="AD341" s="65">
        <v>17.0</v>
      </c>
      <c r="AE341" s="33" t="str">
        <f t="shared" si="499"/>
        <v>S</v>
      </c>
      <c r="AF341" s="65">
        <v>12.0</v>
      </c>
      <c r="AG341" s="33" t="str">
        <f t="shared" si="500"/>
        <v>R</v>
      </c>
      <c r="AH341" s="65" t="s">
        <v>299</v>
      </c>
      <c r="AI341" s="66">
        <v>25.0</v>
      </c>
      <c r="AJ341" s="36" t="str">
        <f t="shared" si="501"/>
        <v>S</v>
      </c>
      <c r="AK341" s="66">
        <v>24.0</v>
      </c>
      <c r="AL341" s="36" t="str">
        <f t="shared" si="502"/>
        <v>S</v>
      </c>
      <c r="AM341" s="66">
        <v>19.0</v>
      </c>
      <c r="AN341" s="36" t="str">
        <f t="shared" si="503"/>
        <v>S</v>
      </c>
      <c r="AO341" s="36" t="s">
        <v>300</v>
      </c>
      <c r="AP341" s="67">
        <v>6.0</v>
      </c>
      <c r="AQ341" s="37" t="str">
        <f t="shared" si="504"/>
        <v>R</v>
      </c>
      <c r="AR341" s="65">
        <v>15.0</v>
      </c>
      <c r="AS341" s="33" t="str">
        <f t="shared" si="505"/>
        <v>R</v>
      </c>
      <c r="AT341" s="65">
        <v>23.0</v>
      </c>
      <c r="AU341" s="33" t="str">
        <f t="shared" si="506"/>
        <v>S</v>
      </c>
      <c r="AV341" s="65" t="s">
        <v>299</v>
      </c>
      <c r="AW341" s="28">
        <v>22.0</v>
      </c>
      <c r="AX341" s="26" t="str">
        <f t="shared" si="507"/>
        <v>S</v>
      </c>
      <c r="AY341" s="67">
        <v>6.0</v>
      </c>
      <c r="AZ341" s="37" t="str">
        <f t="shared" si="508"/>
        <v>R</v>
      </c>
      <c r="BA341" s="66">
        <v>22.0</v>
      </c>
      <c r="BB341" s="36" t="str">
        <f t="shared" si="509"/>
        <v>R</v>
      </c>
      <c r="BC341" s="39" t="s">
        <v>357</v>
      </c>
      <c r="BD341" s="39" t="s">
        <v>357</v>
      </c>
      <c r="BE341" s="66">
        <v>27.0</v>
      </c>
      <c r="BF341" s="36" t="str">
        <f t="shared" si="510"/>
        <v>S</v>
      </c>
      <c r="BG341" s="68">
        <v>17.0</v>
      </c>
      <c r="BH341" s="41" t="str">
        <f t="shared" si="511"/>
        <v>S</v>
      </c>
      <c r="BI341" s="41"/>
    </row>
    <row r="342">
      <c r="A342" s="21" t="s">
        <v>906</v>
      </c>
      <c r="B342" s="23">
        <v>170.0</v>
      </c>
      <c r="C342" s="21" t="s">
        <v>1079</v>
      </c>
      <c r="D342" s="69" t="s">
        <v>190</v>
      </c>
      <c r="E342" s="18" t="s">
        <v>190</v>
      </c>
      <c r="F342" s="18" t="s">
        <v>192</v>
      </c>
      <c r="G342" s="63" t="s">
        <v>1081</v>
      </c>
      <c r="H342" s="22" t="s">
        <v>198</v>
      </c>
      <c r="I342" s="28">
        <v>6.0</v>
      </c>
      <c r="J342" s="26" t="str">
        <f t="shared" si="489"/>
        <v>R</v>
      </c>
      <c r="K342" s="28">
        <v>25.0</v>
      </c>
      <c r="L342" s="26" t="str">
        <f t="shared" si="490"/>
        <v>S</v>
      </c>
      <c r="M342" s="28">
        <v>23.0</v>
      </c>
      <c r="N342" s="26" t="str">
        <f t="shared" si="491"/>
        <v>S</v>
      </c>
      <c r="O342" s="28">
        <v>25.0</v>
      </c>
      <c r="P342" s="26" t="str">
        <f t="shared" si="492"/>
        <v>S</v>
      </c>
      <c r="Q342" s="28">
        <v>21.0</v>
      </c>
      <c r="R342" s="26" t="str">
        <f t="shared" si="493"/>
        <v>S</v>
      </c>
      <c r="S342" s="28">
        <v>20.0</v>
      </c>
      <c r="T342" s="26" t="str">
        <f t="shared" si="494"/>
        <v>S</v>
      </c>
      <c r="U342" s="28">
        <v>18.0</v>
      </c>
      <c r="V342" s="26" t="str">
        <f t="shared" si="495"/>
        <v>I</v>
      </c>
      <c r="W342" s="32" t="s">
        <v>299</v>
      </c>
      <c r="X342" s="65">
        <v>6.0</v>
      </c>
      <c r="Y342" s="33" t="str">
        <f t="shared" si="496"/>
        <v>R</v>
      </c>
      <c r="Z342" s="65">
        <v>24.0</v>
      </c>
      <c r="AA342" s="33" t="str">
        <f t="shared" si="497"/>
        <v>S</v>
      </c>
      <c r="AB342" s="65">
        <v>6.0</v>
      </c>
      <c r="AC342" s="33" t="str">
        <f t="shared" si="498"/>
        <v>R</v>
      </c>
      <c r="AD342" s="65">
        <v>14.0</v>
      </c>
      <c r="AE342" s="33" t="str">
        <f t="shared" si="499"/>
        <v>S</v>
      </c>
      <c r="AF342" s="65">
        <v>6.0</v>
      </c>
      <c r="AG342" s="33" t="str">
        <f t="shared" si="500"/>
        <v>R</v>
      </c>
      <c r="AH342" s="65" t="s">
        <v>299</v>
      </c>
      <c r="AI342" s="66">
        <v>25.0</v>
      </c>
      <c r="AJ342" s="36" t="str">
        <f t="shared" si="501"/>
        <v>S</v>
      </c>
      <c r="AK342" s="66">
        <v>20.0</v>
      </c>
      <c r="AL342" s="36" t="str">
        <f t="shared" si="502"/>
        <v>I</v>
      </c>
      <c r="AM342" s="66">
        <v>6.0</v>
      </c>
      <c r="AN342" s="36" t="str">
        <f t="shared" si="503"/>
        <v>R</v>
      </c>
      <c r="AO342" s="66" t="s">
        <v>299</v>
      </c>
      <c r="AP342" s="67">
        <v>20.0</v>
      </c>
      <c r="AQ342" s="37" t="str">
        <f t="shared" si="504"/>
        <v>S</v>
      </c>
      <c r="AR342" s="65">
        <v>17.0</v>
      </c>
      <c r="AS342" s="33" t="str">
        <f t="shared" si="505"/>
        <v>R</v>
      </c>
      <c r="AT342" s="65">
        <v>6.0</v>
      </c>
      <c r="AU342" s="33" t="str">
        <f t="shared" si="506"/>
        <v>R</v>
      </c>
      <c r="AV342" s="65" t="s">
        <v>299</v>
      </c>
      <c r="AW342" s="28">
        <v>6.0</v>
      </c>
      <c r="AX342" s="26" t="str">
        <f t="shared" si="507"/>
        <v>R</v>
      </c>
      <c r="AY342" s="67">
        <v>6.0</v>
      </c>
      <c r="AZ342" s="37" t="str">
        <f t="shared" si="508"/>
        <v>R</v>
      </c>
      <c r="BA342" s="66">
        <v>25.0</v>
      </c>
      <c r="BB342" s="36" t="str">
        <f t="shared" si="509"/>
        <v>S</v>
      </c>
      <c r="BC342" s="39" t="s">
        <v>357</v>
      </c>
      <c r="BD342" s="39" t="s">
        <v>357</v>
      </c>
      <c r="BE342" s="66">
        <v>23.0</v>
      </c>
      <c r="BF342" s="36" t="str">
        <f t="shared" si="510"/>
        <v>S</v>
      </c>
      <c r="BG342" s="68">
        <v>15.0</v>
      </c>
      <c r="BH342" s="41" t="str">
        <f t="shared" si="511"/>
        <v>R</v>
      </c>
      <c r="BI342" s="41"/>
    </row>
    <row r="343">
      <c r="A343" s="21" t="s">
        <v>906</v>
      </c>
      <c r="B343" s="21" t="s">
        <v>444</v>
      </c>
      <c r="C343" s="21" t="s">
        <v>1733</v>
      </c>
      <c r="D343" s="69" t="s">
        <v>190</v>
      </c>
      <c r="E343" s="18" t="s">
        <v>190</v>
      </c>
      <c r="F343" s="18" t="s">
        <v>192</v>
      </c>
      <c r="G343" s="63" t="s">
        <v>1734</v>
      </c>
      <c r="H343" s="22" t="s">
        <v>198</v>
      </c>
      <c r="I343" s="28">
        <v>6.0</v>
      </c>
      <c r="J343" s="26" t="str">
        <f t="shared" si="489"/>
        <v>R</v>
      </c>
      <c r="K343" s="28">
        <v>27.0</v>
      </c>
      <c r="L343" s="26" t="str">
        <f t="shared" si="490"/>
        <v>S</v>
      </c>
      <c r="M343" s="28">
        <v>23.0</v>
      </c>
      <c r="N343" s="26" t="str">
        <f t="shared" si="491"/>
        <v>S</v>
      </c>
      <c r="O343" s="28">
        <v>25.0</v>
      </c>
      <c r="P343" s="26" t="str">
        <f t="shared" si="492"/>
        <v>S</v>
      </c>
      <c r="Q343" s="28">
        <v>21.0</v>
      </c>
      <c r="R343" s="26" t="str">
        <f t="shared" si="493"/>
        <v>S</v>
      </c>
      <c r="S343" s="28">
        <v>20.0</v>
      </c>
      <c r="T343" s="26" t="str">
        <f t="shared" si="494"/>
        <v>S</v>
      </c>
      <c r="U343" s="28">
        <v>18.0</v>
      </c>
      <c r="V343" s="26" t="str">
        <f t="shared" si="495"/>
        <v>I</v>
      </c>
      <c r="W343" s="32" t="s">
        <v>299</v>
      </c>
      <c r="X343" s="65">
        <v>6.0</v>
      </c>
      <c r="Y343" s="33" t="str">
        <f t="shared" si="496"/>
        <v>R</v>
      </c>
      <c r="Z343" s="65">
        <v>25.0</v>
      </c>
      <c r="AA343" s="33" t="str">
        <f t="shared" si="497"/>
        <v>S</v>
      </c>
      <c r="AB343" s="65">
        <v>6.0</v>
      </c>
      <c r="AC343" s="33" t="str">
        <f t="shared" si="498"/>
        <v>R</v>
      </c>
      <c r="AD343" s="65">
        <v>14.0</v>
      </c>
      <c r="AE343" s="33" t="str">
        <f t="shared" si="499"/>
        <v>S</v>
      </c>
      <c r="AF343" s="65">
        <v>6.0</v>
      </c>
      <c r="AG343" s="33" t="str">
        <f t="shared" si="500"/>
        <v>R</v>
      </c>
      <c r="AH343" s="65" t="s">
        <v>299</v>
      </c>
      <c r="AI343" s="66">
        <v>25.0</v>
      </c>
      <c r="AJ343" s="36" t="str">
        <f t="shared" si="501"/>
        <v>S</v>
      </c>
      <c r="AK343" s="66">
        <v>20.0</v>
      </c>
      <c r="AL343" s="36" t="str">
        <f t="shared" si="502"/>
        <v>I</v>
      </c>
      <c r="AM343" s="66">
        <v>8.0</v>
      </c>
      <c r="AN343" s="36" t="str">
        <f t="shared" si="503"/>
        <v>R</v>
      </c>
      <c r="AO343" s="66" t="s">
        <v>299</v>
      </c>
      <c r="AP343" s="67">
        <v>20.0</v>
      </c>
      <c r="AQ343" s="37" t="str">
        <f t="shared" si="504"/>
        <v>S</v>
      </c>
      <c r="AR343" s="65">
        <v>15.0</v>
      </c>
      <c r="AS343" s="33" t="str">
        <f t="shared" si="505"/>
        <v>R</v>
      </c>
      <c r="AT343" s="65">
        <v>6.0</v>
      </c>
      <c r="AU343" s="33" t="str">
        <f t="shared" si="506"/>
        <v>R</v>
      </c>
      <c r="AV343" s="65" t="s">
        <v>299</v>
      </c>
      <c r="AW343" s="28">
        <v>6.0</v>
      </c>
      <c r="AX343" s="26" t="str">
        <f t="shared" si="507"/>
        <v>R</v>
      </c>
      <c r="AY343" s="67">
        <v>6.0</v>
      </c>
      <c r="AZ343" s="37" t="str">
        <f t="shared" si="508"/>
        <v>R</v>
      </c>
      <c r="BA343" s="66">
        <v>23.0</v>
      </c>
      <c r="BB343" s="36" t="str">
        <f t="shared" si="509"/>
        <v>S</v>
      </c>
      <c r="BC343" s="39" t="s">
        <v>357</v>
      </c>
      <c r="BD343" s="39" t="s">
        <v>357</v>
      </c>
      <c r="BE343" s="66">
        <v>23.0</v>
      </c>
      <c r="BF343" s="36" t="str">
        <f t="shared" si="510"/>
        <v>S</v>
      </c>
      <c r="BG343" s="68">
        <v>15.0</v>
      </c>
      <c r="BH343" s="41" t="str">
        <f t="shared" si="511"/>
        <v>R</v>
      </c>
      <c r="BI343" s="41"/>
    </row>
    <row r="344">
      <c r="A344" s="21" t="s">
        <v>906</v>
      </c>
      <c r="B344" s="21" t="s">
        <v>444</v>
      </c>
      <c r="C344" s="21" t="s">
        <v>1737</v>
      </c>
      <c r="D344" s="69" t="s">
        <v>190</v>
      </c>
      <c r="E344" s="18" t="s">
        <v>190</v>
      </c>
      <c r="F344" s="18" t="s">
        <v>192</v>
      </c>
      <c r="G344" s="63" t="s">
        <v>1738</v>
      </c>
      <c r="H344" s="22" t="s">
        <v>198</v>
      </c>
      <c r="I344" s="28">
        <v>6.0</v>
      </c>
      <c r="J344" s="26" t="str">
        <f t="shared" si="489"/>
        <v>R</v>
      </c>
      <c r="K344" s="28">
        <v>23.0</v>
      </c>
      <c r="L344" s="26" t="str">
        <f t="shared" si="490"/>
        <v>S</v>
      </c>
      <c r="M344" s="28">
        <v>23.0</v>
      </c>
      <c r="N344" s="26" t="str">
        <f t="shared" si="491"/>
        <v>S</v>
      </c>
      <c r="O344" s="28">
        <v>25.0</v>
      </c>
      <c r="P344" s="26" t="str">
        <f t="shared" si="492"/>
        <v>S</v>
      </c>
      <c r="Q344" s="28">
        <v>21.0</v>
      </c>
      <c r="R344" s="26" t="str">
        <f t="shared" si="493"/>
        <v>S</v>
      </c>
      <c r="S344" s="28">
        <v>20.0</v>
      </c>
      <c r="T344" s="26" t="str">
        <f t="shared" si="494"/>
        <v>S</v>
      </c>
      <c r="U344" s="28">
        <v>18.0</v>
      </c>
      <c r="V344" s="26" t="str">
        <f t="shared" si="495"/>
        <v>I</v>
      </c>
      <c r="W344" s="32" t="s">
        <v>299</v>
      </c>
      <c r="X344" s="65">
        <v>6.0</v>
      </c>
      <c r="Y344" s="33" t="str">
        <f t="shared" si="496"/>
        <v>R</v>
      </c>
      <c r="Z344" s="65">
        <v>24.0</v>
      </c>
      <c r="AA344" s="33" t="str">
        <f t="shared" si="497"/>
        <v>S</v>
      </c>
      <c r="AB344" s="65">
        <v>6.0</v>
      </c>
      <c r="AC344" s="33" t="str">
        <f t="shared" si="498"/>
        <v>R</v>
      </c>
      <c r="AD344" s="65">
        <v>14.0</v>
      </c>
      <c r="AE344" s="33" t="str">
        <f t="shared" si="499"/>
        <v>S</v>
      </c>
      <c r="AF344" s="65">
        <v>6.0</v>
      </c>
      <c r="AG344" s="33" t="str">
        <f t="shared" si="500"/>
        <v>R</v>
      </c>
      <c r="AH344" s="65" t="s">
        <v>299</v>
      </c>
      <c r="AI344" s="66">
        <v>25.0</v>
      </c>
      <c r="AJ344" s="36" t="str">
        <f t="shared" si="501"/>
        <v>S</v>
      </c>
      <c r="AK344" s="66">
        <v>20.0</v>
      </c>
      <c r="AL344" s="36" t="str">
        <f t="shared" si="502"/>
        <v>I</v>
      </c>
      <c r="AM344" s="66">
        <v>7.0</v>
      </c>
      <c r="AN344" s="36" t="str">
        <f t="shared" si="503"/>
        <v>R</v>
      </c>
      <c r="AO344" s="66" t="s">
        <v>299</v>
      </c>
      <c r="AP344" s="67">
        <v>20.0</v>
      </c>
      <c r="AQ344" s="37" t="str">
        <f t="shared" si="504"/>
        <v>S</v>
      </c>
      <c r="AR344" s="65">
        <v>17.0</v>
      </c>
      <c r="AS344" s="33" t="str">
        <f t="shared" si="505"/>
        <v>R</v>
      </c>
      <c r="AT344" s="65">
        <v>6.0</v>
      </c>
      <c r="AU344" s="33" t="str">
        <f t="shared" si="506"/>
        <v>R</v>
      </c>
      <c r="AV344" s="65" t="s">
        <v>299</v>
      </c>
      <c r="AW344" s="28">
        <v>6.0</v>
      </c>
      <c r="AX344" s="26" t="str">
        <f t="shared" si="507"/>
        <v>R</v>
      </c>
      <c r="AY344" s="67">
        <v>6.0</v>
      </c>
      <c r="AZ344" s="37" t="str">
        <f t="shared" si="508"/>
        <v>R</v>
      </c>
      <c r="BA344" s="66">
        <v>25.0</v>
      </c>
      <c r="BB344" s="36" t="str">
        <f t="shared" si="509"/>
        <v>S</v>
      </c>
      <c r="BC344" s="39" t="s">
        <v>357</v>
      </c>
      <c r="BD344" s="39" t="s">
        <v>357</v>
      </c>
      <c r="BE344" s="66">
        <v>23.0</v>
      </c>
      <c r="BF344" s="36" t="str">
        <f t="shared" si="510"/>
        <v>S</v>
      </c>
      <c r="BG344" s="68">
        <v>15.0</v>
      </c>
      <c r="BH344" s="41" t="str">
        <f t="shared" si="511"/>
        <v>R</v>
      </c>
      <c r="BI344" s="41"/>
    </row>
    <row r="345">
      <c r="A345" s="21" t="s">
        <v>906</v>
      </c>
      <c r="B345" s="23">
        <v>171.0</v>
      </c>
      <c r="C345" s="21" t="s">
        <v>1083</v>
      </c>
      <c r="D345" s="69" t="s">
        <v>190</v>
      </c>
      <c r="E345" s="18" t="s">
        <v>190</v>
      </c>
      <c r="F345" s="18" t="s">
        <v>192</v>
      </c>
      <c r="G345" s="63" t="s">
        <v>1085</v>
      </c>
      <c r="H345" s="42" t="s">
        <v>479</v>
      </c>
      <c r="I345" s="28">
        <v>6.0</v>
      </c>
      <c r="J345" s="26" t="str">
        <f t="shared" si="489"/>
        <v>R</v>
      </c>
      <c r="K345" s="28">
        <v>12.0</v>
      </c>
      <c r="L345" s="26" t="str">
        <f t="shared" si="490"/>
        <v>R</v>
      </c>
      <c r="M345" s="28">
        <v>12.0</v>
      </c>
      <c r="N345" s="26" t="str">
        <f t="shared" si="491"/>
        <v>R</v>
      </c>
      <c r="O345" s="28">
        <v>22.0</v>
      </c>
      <c r="P345" s="26" t="str">
        <f t="shared" si="492"/>
        <v>I</v>
      </c>
      <c r="Q345" s="28">
        <v>15.0</v>
      </c>
      <c r="R345" s="26" t="str">
        <f t="shared" si="493"/>
        <v>R</v>
      </c>
      <c r="S345" s="28">
        <v>14.0</v>
      </c>
      <c r="T345" s="26" t="str">
        <f t="shared" si="494"/>
        <v>R</v>
      </c>
      <c r="U345" s="28">
        <v>19.0</v>
      </c>
      <c r="V345" s="26" t="str">
        <f t="shared" si="495"/>
        <v>I</v>
      </c>
      <c r="W345" s="32" t="s">
        <v>299</v>
      </c>
      <c r="X345" s="65">
        <v>6.0</v>
      </c>
      <c r="Y345" s="33" t="str">
        <f t="shared" si="496"/>
        <v>R</v>
      </c>
      <c r="Z345" s="65">
        <v>22.0</v>
      </c>
      <c r="AA345" s="33" t="str">
        <f t="shared" si="497"/>
        <v>S</v>
      </c>
      <c r="AB345" s="65">
        <v>6.0</v>
      </c>
      <c r="AC345" s="33" t="str">
        <f t="shared" si="498"/>
        <v>R</v>
      </c>
      <c r="AD345" s="65">
        <v>24.0</v>
      </c>
      <c r="AE345" s="33" t="str">
        <f t="shared" si="499"/>
        <v>S</v>
      </c>
      <c r="AF345" s="65">
        <v>6.0</v>
      </c>
      <c r="AG345" s="33" t="str">
        <f t="shared" si="500"/>
        <v>R</v>
      </c>
      <c r="AH345" s="65" t="s">
        <v>299</v>
      </c>
      <c r="AI345" s="66">
        <v>23.0</v>
      </c>
      <c r="AJ345" s="36" t="str">
        <f t="shared" si="501"/>
        <v>I</v>
      </c>
      <c r="AK345" s="66">
        <v>22.0</v>
      </c>
      <c r="AL345" s="36" t="str">
        <f t="shared" si="502"/>
        <v>I</v>
      </c>
      <c r="AM345" s="66">
        <v>15.0</v>
      </c>
      <c r="AN345" s="36" t="str">
        <f t="shared" si="503"/>
        <v>S</v>
      </c>
      <c r="AO345" s="66" t="s">
        <v>299</v>
      </c>
      <c r="AP345" s="67">
        <v>28.0</v>
      </c>
      <c r="AQ345" s="37" t="str">
        <f t="shared" si="504"/>
        <v>S</v>
      </c>
      <c r="AR345" s="65">
        <v>19.0</v>
      </c>
      <c r="AS345" s="33" t="str">
        <f t="shared" si="505"/>
        <v>S</v>
      </c>
      <c r="AT345" s="65">
        <v>25.0</v>
      </c>
      <c r="AU345" s="33" t="str">
        <f t="shared" si="506"/>
        <v>S</v>
      </c>
      <c r="AV345" s="33" t="s">
        <v>300</v>
      </c>
      <c r="AW345" s="28">
        <v>23.0</v>
      </c>
      <c r="AX345" s="26" t="str">
        <f t="shared" si="507"/>
        <v>S</v>
      </c>
      <c r="AY345" s="67">
        <v>6.0</v>
      </c>
      <c r="AZ345" s="37" t="str">
        <f t="shared" si="508"/>
        <v>R</v>
      </c>
      <c r="BA345" s="66">
        <v>26.0</v>
      </c>
      <c r="BB345" s="36" t="str">
        <f t="shared" si="509"/>
        <v>S</v>
      </c>
      <c r="BC345" s="39" t="s">
        <v>357</v>
      </c>
      <c r="BD345" s="39" t="s">
        <v>357</v>
      </c>
      <c r="BE345" s="66">
        <v>22.0</v>
      </c>
      <c r="BF345" s="36" t="str">
        <f t="shared" si="510"/>
        <v>S</v>
      </c>
      <c r="BG345" s="68">
        <v>22.0</v>
      </c>
      <c r="BH345" s="41" t="str">
        <f t="shared" si="511"/>
        <v>S</v>
      </c>
      <c r="BI345" s="41"/>
    </row>
    <row r="346">
      <c r="A346" s="21" t="s">
        <v>906</v>
      </c>
      <c r="B346" s="21" t="s">
        <v>444</v>
      </c>
      <c r="C346" s="21" t="s">
        <v>1743</v>
      </c>
      <c r="D346" s="69" t="s">
        <v>190</v>
      </c>
      <c r="E346" s="18" t="s">
        <v>190</v>
      </c>
      <c r="F346" s="18" t="s">
        <v>192</v>
      </c>
      <c r="G346" s="63" t="s">
        <v>1744</v>
      </c>
      <c r="H346" s="42" t="s">
        <v>479</v>
      </c>
      <c r="I346" s="28">
        <v>6.0</v>
      </c>
      <c r="J346" s="26" t="str">
        <f t="shared" si="489"/>
        <v>R</v>
      </c>
      <c r="K346" s="28">
        <v>10.0</v>
      </c>
      <c r="L346" s="26" t="str">
        <f t="shared" si="490"/>
        <v>R</v>
      </c>
      <c r="M346" s="28">
        <v>12.0</v>
      </c>
      <c r="N346" s="26" t="str">
        <f t="shared" si="491"/>
        <v>R</v>
      </c>
      <c r="O346" s="28">
        <v>22.0</v>
      </c>
      <c r="P346" s="26" t="str">
        <f t="shared" si="492"/>
        <v>I</v>
      </c>
      <c r="Q346" s="28">
        <v>15.0</v>
      </c>
      <c r="R346" s="26" t="str">
        <f t="shared" si="493"/>
        <v>R</v>
      </c>
      <c r="S346" s="28">
        <v>14.0</v>
      </c>
      <c r="T346" s="26" t="str">
        <f t="shared" si="494"/>
        <v>R</v>
      </c>
      <c r="U346" s="28">
        <v>19.0</v>
      </c>
      <c r="V346" s="26" t="str">
        <f t="shared" si="495"/>
        <v>I</v>
      </c>
      <c r="W346" s="32" t="s">
        <v>299</v>
      </c>
      <c r="X346" s="65">
        <v>6.0</v>
      </c>
      <c r="Y346" s="33" t="str">
        <f t="shared" si="496"/>
        <v>R</v>
      </c>
      <c r="Z346" s="65">
        <v>23.0</v>
      </c>
      <c r="AA346" s="33" t="str">
        <f t="shared" si="497"/>
        <v>S</v>
      </c>
      <c r="AB346" s="65">
        <v>6.0</v>
      </c>
      <c r="AC346" s="33" t="str">
        <f t="shared" si="498"/>
        <v>R</v>
      </c>
      <c r="AD346" s="65">
        <v>24.0</v>
      </c>
      <c r="AE346" s="33" t="str">
        <f t="shared" si="499"/>
        <v>S</v>
      </c>
      <c r="AF346" s="65">
        <v>6.0</v>
      </c>
      <c r="AG346" s="33" t="str">
        <f t="shared" si="500"/>
        <v>R</v>
      </c>
      <c r="AH346" s="65" t="s">
        <v>299</v>
      </c>
      <c r="AI346" s="66">
        <v>23.0</v>
      </c>
      <c r="AJ346" s="36" t="str">
        <f t="shared" si="501"/>
        <v>I</v>
      </c>
      <c r="AK346" s="66">
        <v>22.0</v>
      </c>
      <c r="AL346" s="36" t="str">
        <f t="shared" si="502"/>
        <v>I</v>
      </c>
      <c r="AM346" s="66">
        <v>16.0</v>
      </c>
      <c r="AN346" s="36" t="str">
        <f t="shared" si="503"/>
        <v>S</v>
      </c>
      <c r="AO346" s="66" t="s">
        <v>299</v>
      </c>
      <c r="AP346" s="67">
        <v>28.0</v>
      </c>
      <c r="AQ346" s="37" t="str">
        <f t="shared" si="504"/>
        <v>S</v>
      </c>
      <c r="AR346" s="65">
        <v>21.0</v>
      </c>
      <c r="AS346" s="33" t="str">
        <f t="shared" si="505"/>
        <v>S</v>
      </c>
      <c r="AT346" s="65">
        <v>25.0</v>
      </c>
      <c r="AU346" s="33" t="str">
        <f t="shared" si="506"/>
        <v>S</v>
      </c>
      <c r="AV346" s="33" t="s">
        <v>300</v>
      </c>
      <c r="AW346" s="28">
        <v>23.0</v>
      </c>
      <c r="AX346" s="26" t="str">
        <f t="shared" si="507"/>
        <v>S</v>
      </c>
      <c r="AY346" s="67">
        <v>6.0</v>
      </c>
      <c r="AZ346" s="37" t="str">
        <f t="shared" si="508"/>
        <v>R</v>
      </c>
      <c r="BA346" s="66">
        <v>28.0</v>
      </c>
      <c r="BB346" s="36" t="str">
        <f t="shared" si="509"/>
        <v>S</v>
      </c>
      <c r="BC346" s="39" t="s">
        <v>357</v>
      </c>
      <c r="BD346" s="39" t="s">
        <v>357</v>
      </c>
      <c r="BE346" s="66">
        <v>22.0</v>
      </c>
      <c r="BF346" s="36" t="str">
        <f t="shared" si="510"/>
        <v>S</v>
      </c>
      <c r="BG346" s="68">
        <v>22.0</v>
      </c>
      <c r="BH346" s="41" t="str">
        <f t="shared" si="511"/>
        <v>S</v>
      </c>
      <c r="BI346" s="41"/>
    </row>
    <row r="347">
      <c r="A347" s="21" t="s">
        <v>906</v>
      </c>
      <c r="B347" s="21" t="s">
        <v>444</v>
      </c>
      <c r="C347" s="21" t="s">
        <v>1747</v>
      </c>
      <c r="D347" s="69" t="s">
        <v>190</v>
      </c>
      <c r="E347" s="18" t="s">
        <v>190</v>
      </c>
      <c r="F347" s="18" t="s">
        <v>192</v>
      </c>
      <c r="G347" s="63" t="s">
        <v>1748</v>
      </c>
      <c r="H347" s="42" t="s">
        <v>479</v>
      </c>
      <c r="I347" s="28">
        <v>6.0</v>
      </c>
      <c r="J347" s="26" t="str">
        <f t="shared" si="489"/>
        <v>R</v>
      </c>
      <c r="K347" s="28">
        <v>15.0</v>
      </c>
      <c r="L347" s="26" t="str">
        <f t="shared" si="490"/>
        <v>R</v>
      </c>
      <c r="M347" s="28">
        <v>12.0</v>
      </c>
      <c r="N347" s="26" t="str">
        <f t="shared" si="491"/>
        <v>R</v>
      </c>
      <c r="O347" s="28">
        <v>22.0</v>
      </c>
      <c r="P347" s="26" t="str">
        <f t="shared" si="492"/>
        <v>I</v>
      </c>
      <c r="Q347" s="28">
        <v>15.0</v>
      </c>
      <c r="R347" s="26" t="str">
        <f t="shared" si="493"/>
        <v>R</v>
      </c>
      <c r="S347" s="28">
        <v>14.0</v>
      </c>
      <c r="T347" s="26" t="str">
        <f t="shared" si="494"/>
        <v>R</v>
      </c>
      <c r="U347" s="28">
        <v>19.0</v>
      </c>
      <c r="V347" s="26" t="str">
        <f t="shared" si="495"/>
        <v>I</v>
      </c>
      <c r="W347" s="32" t="s">
        <v>299</v>
      </c>
      <c r="X347" s="65">
        <v>6.0</v>
      </c>
      <c r="Y347" s="33" t="str">
        <f t="shared" si="496"/>
        <v>R</v>
      </c>
      <c r="Z347" s="65">
        <v>22.0</v>
      </c>
      <c r="AA347" s="33" t="str">
        <f t="shared" si="497"/>
        <v>S</v>
      </c>
      <c r="AB347" s="65">
        <v>6.0</v>
      </c>
      <c r="AC347" s="33" t="str">
        <f t="shared" si="498"/>
        <v>R</v>
      </c>
      <c r="AD347" s="65">
        <v>24.0</v>
      </c>
      <c r="AE347" s="33" t="str">
        <f t="shared" si="499"/>
        <v>S</v>
      </c>
      <c r="AF347" s="65">
        <v>6.0</v>
      </c>
      <c r="AG347" s="33" t="str">
        <f t="shared" si="500"/>
        <v>R</v>
      </c>
      <c r="AH347" s="65" t="s">
        <v>299</v>
      </c>
      <c r="AI347" s="66">
        <v>23.0</v>
      </c>
      <c r="AJ347" s="36" t="str">
        <f t="shared" si="501"/>
        <v>I</v>
      </c>
      <c r="AK347" s="66">
        <v>22.0</v>
      </c>
      <c r="AL347" s="36" t="str">
        <f t="shared" si="502"/>
        <v>I</v>
      </c>
      <c r="AM347" s="66">
        <v>17.0</v>
      </c>
      <c r="AN347" s="36" t="str">
        <f t="shared" si="503"/>
        <v>S</v>
      </c>
      <c r="AO347" s="66" t="s">
        <v>299</v>
      </c>
      <c r="AP347" s="67">
        <v>28.0</v>
      </c>
      <c r="AQ347" s="37" t="str">
        <f t="shared" si="504"/>
        <v>S</v>
      </c>
      <c r="AR347" s="65">
        <v>19.0</v>
      </c>
      <c r="AS347" s="33" t="str">
        <f t="shared" si="505"/>
        <v>S</v>
      </c>
      <c r="AT347" s="65">
        <v>25.0</v>
      </c>
      <c r="AU347" s="33" t="str">
        <f t="shared" si="506"/>
        <v>S</v>
      </c>
      <c r="AV347" s="33" t="s">
        <v>300</v>
      </c>
      <c r="AW347" s="28">
        <v>23.0</v>
      </c>
      <c r="AX347" s="26" t="str">
        <f t="shared" si="507"/>
        <v>S</v>
      </c>
      <c r="AY347" s="67">
        <v>6.0</v>
      </c>
      <c r="AZ347" s="37" t="str">
        <f t="shared" si="508"/>
        <v>R</v>
      </c>
      <c r="BA347" s="66">
        <v>26.0</v>
      </c>
      <c r="BB347" s="36" t="str">
        <f t="shared" si="509"/>
        <v>S</v>
      </c>
      <c r="BC347" s="39" t="s">
        <v>357</v>
      </c>
      <c r="BD347" s="39" t="s">
        <v>357</v>
      </c>
      <c r="BE347" s="66">
        <v>22.0</v>
      </c>
      <c r="BF347" s="36" t="str">
        <f t="shared" si="510"/>
        <v>S</v>
      </c>
      <c r="BG347" s="68">
        <v>22.0</v>
      </c>
      <c r="BH347" s="41" t="str">
        <f t="shared" si="511"/>
        <v>S</v>
      </c>
      <c r="BI347" s="41"/>
    </row>
    <row r="348">
      <c r="A348" s="21" t="s">
        <v>906</v>
      </c>
      <c r="B348" s="23">
        <v>172.0</v>
      </c>
      <c r="C348" s="21" t="s">
        <v>1087</v>
      </c>
      <c r="D348" s="69" t="s">
        <v>190</v>
      </c>
      <c r="E348" s="18" t="s">
        <v>190</v>
      </c>
      <c r="F348" s="18" t="s">
        <v>192</v>
      </c>
      <c r="G348" s="63" t="s">
        <v>1088</v>
      </c>
      <c r="H348" s="42" t="s">
        <v>479</v>
      </c>
      <c r="I348" s="28">
        <v>6.0</v>
      </c>
      <c r="J348" s="26" t="str">
        <f t="shared" si="489"/>
        <v>R</v>
      </c>
      <c r="K348" s="28">
        <v>19.0</v>
      </c>
      <c r="L348" s="26" t="str">
        <f t="shared" si="490"/>
        <v>S</v>
      </c>
      <c r="M348" s="28">
        <v>18.0</v>
      </c>
      <c r="N348" s="26" t="str">
        <f t="shared" si="491"/>
        <v>R</v>
      </c>
      <c r="O348" s="28">
        <v>24.0</v>
      </c>
      <c r="P348" s="26" t="str">
        <f t="shared" si="492"/>
        <v>S</v>
      </c>
      <c r="Q348" s="28">
        <v>16.0</v>
      </c>
      <c r="R348" s="26" t="str">
        <f t="shared" si="493"/>
        <v>R</v>
      </c>
      <c r="S348" s="28">
        <v>18.0</v>
      </c>
      <c r="T348" s="26" t="str">
        <f t="shared" si="494"/>
        <v>R</v>
      </c>
      <c r="U348" s="28">
        <v>16.0</v>
      </c>
      <c r="V348" s="26" t="str">
        <f t="shared" si="495"/>
        <v>R</v>
      </c>
      <c r="W348" s="32" t="s">
        <v>299</v>
      </c>
      <c r="X348" s="65">
        <v>6.0</v>
      </c>
      <c r="Y348" s="33" t="str">
        <f t="shared" si="496"/>
        <v>R</v>
      </c>
      <c r="Z348" s="65">
        <v>21.0</v>
      </c>
      <c r="AA348" s="33" t="str">
        <f t="shared" si="497"/>
        <v>S</v>
      </c>
      <c r="AB348" s="65">
        <v>6.0</v>
      </c>
      <c r="AC348" s="33" t="str">
        <f t="shared" si="498"/>
        <v>R</v>
      </c>
      <c r="AD348" s="65">
        <v>23.0</v>
      </c>
      <c r="AE348" s="33" t="str">
        <f t="shared" si="499"/>
        <v>S</v>
      </c>
      <c r="AF348" s="65">
        <v>6.0</v>
      </c>
      <c r="AG348" s="33" t="str">
        <f t="shared" si="500"/>
        <v>R</v>
      </c>
      <c r="AH348" s="65" t="s">
        <v>299</v>
      </c>
      <c r="AI348" s="66">
        <v>11.0</v>
      </c>
      <c r="AJ348" s="36" t="str">
        <f t="shared" si="501"/>
        <v>R</v>
      </c>
      <c r="AK348" s="66">
        <v>13.0</v>
      </c>
      <c r="AL348" s="36" t="str">
        <f t="shared" si="502"/>
        <v>R</v>
      </c>
      <c r="AM348" s="66">
        <v>7.0</v>
      </c>
      <c r="AN348" s="36" t="str">
        <f t="shared" si="503"/>
        <v>R</v>
      </c>
      <c r="AO348" s="66" t="s">
        <v>299</v>
      </c>
      <c r="AP348" s="67">
        <v>6.0</v>
      </c>
      <c r="AQ348" s="37" t="str">
        <f t="shared" si="504"/>
        <v>R</v>
      </c>
      <c r="AR348" s="65">
        <v>6.0</v>
      </c>
      <c r="AS348" s="33" t="str">
        <f t="shared" si="505"/>
        <v>R</v>
      </c>
      <c r="AT348" s="65">
        <v>6.0</v>
      </c>
      <c r="AU348" s="33" t="str">
        <f t="shared" si="506"/>
        <v>R</v>
      </c>
      <c r="AV348" s="65" t="s">
        <v>299</v>
      </c>
      <c r="AW348" s="28">
        <v>22.0</v>
      </c>
      <c r="AX348" s="26" t="str">
        <f t="shared" si="507"/>
        <v>S</v>
      </c>
      <c r="AY348" s="67">
        <v>6.0</v>
      </c>
      <c r="AZ348" s="37" t="str">
        <f t="shared" si="508"/>
        <v>R</v>
      </c>
      <c r="BA348" s="66">
        <v>18.0</v>
      </c>
      <c r="BB348" s="36" t="str">
        <f t="shared" si="509"/>
        <v>R</v>
      </c>
      <c r="BC348" s="39" t="s">
        <v>357</v>
      </c>
      <c r="BD348" s="39" t="s">
        <v>357</v>
      </c>
      <c r="BE348" s="66">
        <v>16.0</v>
      </c>
      <c r="BF348" s="36" t="str">
        <f t="shared" si="510"/>
        <v>R</v>
      </c>
      <c r="BG348" s="68">
        <v>17.0</v>
      </c>
      <c r="BH348" s="41" t="str">
        <f t="shared" si="511"/>
        <v>S</v>
      </c>
      <c r="BI348" s="41"/>
    </row>
    <row r="349">
      <c r="A349" s="21" t="s">
        <v>906</v>
      </c>
      <c r="B349" s="21" t="s">
        <v>444</v>
      </c>
      <c r="C349" s="21" t="s">
        <v>1753</v>
      </c>
      <c r="D349" s="69" t="s">
        <v>190</v>
      </c>
      <c r="E349" s="18" t="s">
        <v>190</v>
      </c>
      <c r="F349" s="18" t="s">
        <v>192</v>
      </c>
      <c r="G349" s="63" t="s">
        <v>1754</v>
      </c>
      <c r="H349" s="42" t="s">
        <v>479</v>
      </c>
      <c r="I349" s="28">
        <v>6.0</v>
      </c>
      <c r="J349" s="26" t="str">
        <f t="shared" si="489"/>
        <v>R</v>
      </c>
      <c r="K349" s="28">
        <v>20.0</v>
      </c>
      <c r="L349" s="26" t="str">
        <f t="shared" si="490"/>
        <v>S</v>
      </c>
      <c r="M349" s="28">
        <v>18.0</v>
      </c>
      <c r="N349" s="26" t="str">
        <f t="shared" si="491"/>
        <v>R</v>
      </c>
      <c r="O349" s="28">
        <v>24.0</v>
      </c>
      <c r="P349" s="26" t="str">
        <f t="shared" si="492"/>
        <v>S</v>
      </c>
      <c r="Q349" s="28">
        <v>16.0</v>
      </c>
      <c r="R349" s="26" t="str">
        <f t="shared" si="493"/>
        <v>R</v>
      </c>
      <c r="S349" s="28">
        <v>18.0</v>
      </c>
      <c r="T349" s="26" t="str">
        <f t="shared" si="494"/>
        <v>R</v>
      </c>
      <c r="U349" s="28">
        <v>16.0</v>
      </c>
      <c r="V349" s="26" t="str">
        <f t="shared" si="495"/>
        <v>R</v>
      </c>
      <c r="W349" s="32" t="s">
        <v>299</v>
      </c>
      <c r="X349" s="65">
        <v>6.0</v>
      </c>
      <c r="Y349" s="33" t="str">
        <f t="shared" si="496"/>
        <v>R</v>
      </c>
      <c r="Z349" s="65">
        <v>22.0</v>
      </c>
      <c r="AA349" s="33" t="str">
        <f t="shared" si="497"/>
        <v>S</v>
      </c>
      <c r="AB349" s="65">
        <v>6.0</v>
      </c>
      <c r="AC349" s="33" t="str">
        <f t="shared" si="498"/>
        <v>R</v>
      </c>
      <c r="AD349" s="65">
        <v>23.0</v>
      </c>
      <c r="AE349" s="33" t="str">
        <f t="shared" si="499"/>
        <v>S</v>
      </c>
      <c r="AF349" s="65">
        <v>6.0</v>
      </c>
      <c r="AG349" s="33" t="str">
        <f t="shared" si="500"/>
        <v>R</v>
      </c>
      <c r="AH349" s="65" t="s">
        <v>299</v>
      </c>
      <c r="AI349" s="66">
        <v>11.0</v>
      </c>
      <c r="AJ349" s="36" t="str">
        <f t="shared" si="501"/>
        <v>R</v>
      </c>
      <c r="AK349" s="66">
        <v>13.0</v>
      </c>
      <c r="AL349" s="36" t="str">
        <f t="shared" si="502"/>
        <v>R</v>
      </c>
      <c r="AM349" s="66">
        <v>6.0</v>
      </c>
      <c r="AN349" s="36" t="str">
        <f t="shared" si="503"/>
        <v>R</v>
      </c>
      <c r="AO349" s="66" t="s">
        <v>299</v>
      </c>
      <c r="AP349" s="67">
        <v>6.0</v>
      </c>
      <c r="AQ349" s="37" t="str">
        <f t="shared" si="504"/>
        <v>R</v>
      </c>
      <c r="AR349" s="65">
        <v>7.0</v>
      </c>
      <c r="AS349" s="33" t="str">
        <f t="shared" si="505"/>
        <v>R</v>
      </c>
      <c r="AT349" s="65">
        <v>6.0</v>
      </c>
      <c r="AU349" s="33" t="str">
        <f t="shared" si="506"/>
        <v>R</v>
      </c>
      <c r="AV349" s="65" t="s">
        <v>299</v>
      </c>
      <c r="AW349" s="28">
        <v>22.0</v>
      </c>
      <c r="AX349" s="26" t="str">
        <f t="shared" si="507"/>
        <v>S</v>
      </c>
      <c r="AY349" s="67">
        <v>6.0</v>
      </c>
      <c r="AZ349" s="37" t="str">
        <f t="shared" si="508"/>
        <v>R</v>
      </c>
      <c r="BA349" s="66">
        <v>19.0</v>
      </c>
      <c r="BB349" s="36" t="str">
        <f t="shared" si="509"/>
        <v>R</v>
      </c>
      <c r="BC349" s="39" t="s">
        <v>357</v>
      </c>
      <c r="BD349" s="39" t="s">
        <v>357</v>
      </c>
      <c r="BE349" s="66">
        <v>16.0</v>
      </c>
      <c r="BF349" s="36" t="str">
        <f t="shared" si="510"/>
        <v>R</v>
      </c>
      <c r="BG349" s="68">
        <v>17.0</v>
      </c>
      <c r="BH349" s="41" t="str">
        <f t="shared" si="511"/>
        <v>S</v>
      </c>
      <c r="BI349" s="41"/>
    </row>
    <row r="350">
      <c r="A350" s="21" t="s">
        <v>906</v>
      </c>
      <c r="B350" s="21" t="s">
        <v>444</v>
      </c>
      <c r="C350" s="21" t="s">
        <v>1757</v>
      </c>
      <c r="D350" s="69" t="s">
        <v>190</v>
      </c>
      <c r="E350" s="18" t="s">
        <v>190</v>
      </c>
      <c r="F350" s="18" t="s">
        <v>192</v>
      </c>
      <c r="G350" s="63" t="s">
        <v>1758</v>
      </c>
      <c r="H350" s="42" t="s">
        <v>479</v>
      </c>
      <c r="I350" s="28">
        <v>6.0</v>
      </c>
      <c r="J350" s="26" t="str">
        <f t="shared" si="489"/>
        <v>R</v>
      </c>
      <c r="K350" s="28">
        <v>20.0</v>
      </c>
      <c r="L350" s="26" t="str">
        <f t="shared" si="490"/>
        <v>S</v>
      </c>
      <c r="M350" s="28">
        <v>18.0</v>
      </c>
      <c r="N350" s="26" t="str">
        <f t="shared" si="491"/>
        <v>R</v>
      </c>
      <c r="O350" s="28">
        <v>24.0</v>
      </c>
      <c r="P350" s="26" t="str">
        <f t="shared" si="492"/>
        <v>S</v>
      </c>
      <c r="Q350" s="28">
        <v>16.0</v>
      </c>
      <c r="R350" s="26" t="str">
        <f t="shared" si="493"/>
        <v>R</v>
      </c>
      <c r="S350" s="28">
        <v>18.0</v>
      </c>
      <c r="T350" s="26" t="str">
        <f t="shared" si="494"/>
        <v>R</v>
      </c>
      <c r="U350" s="28">
        <v>16.0</v>
      </c>
      <c r="V350" s="26" t="str">
        <f t="shared" si="495"/>
        <v>R</v>
      </c>
      <c r="W350" s="32" t="s">
        <v>299</v>
      </c>
      <c r="X350" s="65">
        <v>6.0</v>
      </c>
      <c r="Y350" s="33" t="str">
        <f t="shared" si="496"/>
        <v>R</v>
      </c>
      <c r="Z350" s="65">
        <v>20.0</v>
      </c>
      <c r="AA350" s="33" t="str">
        <f t="shared" si="497"/>
        <v>S</v>
      </c>
      <c r="AB350" s="65">
        <v>6.0</v>
      </c>
      <c r="AC350" s="33" t="str">
        <f t="shared" si="498"/>
        <v>R</v>
      </c>
      <c r="AD350" s="65">
        <v>23.0</v>
      </c>
      <c r="AE350" s="33" t="str">
        <f t="shared" si="499"/>
        <v>S</v>
      </c>
      <c r="AF350" s="65">
        <v>6.0</v>
      </c>
      <c r="AG350" s="33" t="str">
        <f t="shared" si="500"/>
        <v>R</v>
      </c>
      <c r="AH350" s="65" t="s">
        <v>299</v>
      </c>
      <c r="AI350" s="66">
        <v>11.0</v>
      </c>
      <c r="AJ350" s="36" t="str">
        <f t="shared" si="501"/>
        <v>R</v>
      </c>
      <c r="AK350" s="66">
        <v>13.0</v>
      </c>
      <c r="AL350" s="36" t="str">
        <f t="shared" si="502"/>
        <v>R</v>
      </c>
      <c r="AM350" s="66">
        <v>9.0</v>
      </c>
      <c r="AN350" s="36" t="str">
        <f t="shared" si="503"/>
        <v>R</v>
      </c>
      <c r="AO350" s="66" t="s">
        <v>299</v>
      </c>
      <c r="AP350" s="67">
        <v>6.0</v>
      </c>
      <c r="AQ350" s="37" t="str">
        <f t="shared" si="504"/>
        <v>R</v>
      </c>
      <c r="AR350" s="65">
        <v>6.0</v>
      </c>
      <c r="AS350" s="33" t="str">
        <f t="shared" si="505"/>
        <v>R</v>
      </c>
      <c r="AT350" s="65">
        <v>6.0</v>
      </c>
      <c r="AU350" s="33" t="str">
        <f t="shared" si="506"/>
        <v>R</v>
      </c>
      <c r="AV350" s="65" t="s">
        <v>299</v>
      </c>
      <c r="AW350" s="28">
        <v>22.0</v>
      </c>
      <c r="AX350" s="26" t="str">
        <f t="shared" si="507"/>
        <v>S</v>
      </c>
      <c r="AY350" s="67">
        <v>6.0</v>
      </c>
      <c r="AZ350" s="37" t="str">
        <f t="shared" si="508"/>
        <v>R</v>
      </c>
      <c r="BA350" s="66">
        <v>18.0</v>
      </c>
      <c r="BB350" s="36" t="str">
        <f t="shared" si="509"/>
        <v>R</v>
      </c>
      <c r="BC350" s="39" t="s">
        <v>357</v>
      </c>
      <c r="BD350" s="39" t="s">
        <v>357</v>
      </c>
      <c r="BE350" s="66">
        <v>16.0</v>
      </c>
      <c r="BF350" s="36" t="str">
        <f t="shared" si="510"/>
        <v>R</v>
      </c>
      <c r="BG350" s="68">
        <v>17.0</v>
      </c>
      <c r="BH350" s="41" t="str">
        <f t="shared" si="511"/>
        <v>S</v>
      </c>
      <c r="BI350" s="41"/>
    </row>
    <row r="351">
      <c r="A351" s="21" t="s">
        <v>906</v>
      </c>
      <c r="B351" s="23">
        <v>173.0</v>
      </c>
      <c r="C351" s="21" t="s">
        <v>1093</v>
      </c>
      <c r="D351" s="69" t="s">
        <v>571</v>
      </c>
      <c r="E351" s="18" t="s">
        <v>572</v>
      </c>
      <c r="F351" s="18" t="s">
        <v>192</v>
      </c>
      <c r="G351" s="63" t="s">
        <v>1094</v>
      </c>
      <c r="H351" s="42" t="s">
        <v>479</v>
      </c>
      <c r="I351" s="28">
        <v>6.0</v>
      </c>
      <c r="J351" s="26" t="str">
        <f t="shared" si="489"/>
        <v>R</v>
      </c>
      <c r="K351" s="28">
        <v>6.0</v>
      </c>
      <c r="L351" s="26" t="str">
        <f t="shared" si="490"/>
        <v>R</v>
      </c>
      <c r="M351" s="28">
        <v>6.0</v>
      </c>
      <c r="N351" s="26" t="str">
        <f t="shared" si="491"/>
        <v>R</v>
      </c>
      <c r="O351" s="28">
        <v>22.0</v>
      </c>
      <c r="P351" s="26" t="str">
        <f t="shared" si="492"/>
        <v>I</v>
      </c>
      <c r="Q351" s="28">
        <v>12.0</v>
      </c>
      <c r="R351" s="26" t="str">
        <f t="shared" si="493"/>
        <v>R</v>
      </c>
      <c r="S351" s="28">
        <v>11.0</v>
      </c>
      <c r="T351" s="26" t="str">
        <f t="shared" si="494"/>
        <v>R</v>
      </c>
      <c r="U351" s="28">
        <v>14.0</v>
      </c>
      <c r="V351" s="26" t="str">
        <f t="shared" si="495"/>
        <v>R</v>
      </c>
      <c r="W351" s="32" t="s">
        <v>299</v>
      </c>
      <c r="X351" s="65">
        <v>6.0</v>
      </c>
      <c r="Y351" s="33" t="str">
        <f t="shared" si="496"/>
        <v>R</v>
      </c>
      <c r="Z351" s="65">
        <v>18.0</v>
      </c>
      <c r="AA351" s="33" t="str">
        <f t="shared" si="497"/>
        <v>S</v>
      </c>
      <c r="AB351" s="65">
        <v>6.0</v>
      </c>
      <c r="AC351" s="33" t="str">
        <f t="shared" si="498"/>
        <v>R</v>
      </c>
      <c r="AD351" s="65">
        <v>18.0</v>
      </c>
      <c r="AE351" s="33" t="str">
        <f t="shared" si="499"/>
        <v>S</v>
      </c>
      <c r="AF351" s="65">
        <v>6.0</v>
      </c>
      <c r="AG351" s="33" t="str">
        <f t="shared" si="500"/>
        <v>R</v>
      </c>
      <c r="AH351" s="65" t="s">
        <v>299</v>
      </c>
      <c r="AI351" s="66">
        <v>23.0</v>
      </c>
      <c r="AJ351" s="36" t="str">
        <f t="shared" si="501"/>
        <v>I</v>
      </c>
      <c r="AK351" s="66">
        <v>23.0</v>
      </c>
      <c r="AL351" s="36" t="str">
        <f t="shared" si="502"/>
        <v>S</v>
      </c>
      <c r="AM351" s="66">
        <v>23.0</v>
      </c>
      <c r="AN351" s="36" t="str">
        <f t="shared" si="503"/>
        <v>S</v>
      </c>
      <c r="AO351" s="66" t="s">
        <v>299</v>
      </c>
      <c r="AP351" s="67">
        <v>6.0</v>
      </c>
      <c r="AQ351" s="37" t="str">
        <f t="shared" si="504"/>
        <v>R</v>
      </c>
      <c r="AR351" s="65">
        <v>18.0</v>
      </c>
      <c r="AS351" s="33" t="str">
        <f t="shared" si="505"/>
        <v>S</v>
      </c>
      <c r="AT351" s="65">
        <v>13.0</v>
      </c>
      <c r="AU351" s="33" t="str">
        <f t="shared" si="506"/>
        <v>R</v>
      </c>
      <c r="AV351" s="65" t="s">
        <v>299</v>
      </c>
      <c r="AW351" s="28">
        <v>20.0</v>
      </c>
      <c r="AX351" s="26" t="str">
        <f t="shared" si="507"/>
        <v>S</v>
      </c>
      <c r="AY351" s="67">
        <v>6.0</v>
      </c>
      <c r="AZ351" s="37" t="str">
        <f t="shared" si="508"/>
        <v>R</v>
      </c>
      <c r="BA351" s="66">
        <v>16.0</v>
      </c>
      <c r="BB351" s="36" t="str">
        <f t="shared" si="509"/>
        <v>R</v>
      </c>
      <c r="BC351" s="39" t="s">
        <v>357</v>
      </c>
      <c r="BD351" s="39" t="s">
        <v>357</v>
      </c>
      <c r="BE351" s="66">
        <v>15.0</v>
      </c>
      <c r="BF351" s="36" t="str">
        <f t="shared" si="510"/>
        <v>R</v>
      </c>
      <c r="BG351" s="68">
        <v>16.0</v>
      </c>
      <c r="BH351" s="41" t="str">
        <f t="shared" si="511"/>
        <v>R</v>
      </c>
      <c r="BI351" s="41"/>
    </row>
    <row r="352">
      <c r="A352" s="21" t="s">
        <v>906</v>
      </c>
      <c r="B352" s="21" t="s">
        <v>444</v>
      </c>
      <c r="C352" s="21" t="s">
        <v>1763</v>
      </c>
      <c r="D352" s="69" t="s">
        <v>571</v>
      </c>
      <c r="E352" s="18" t="s">
        <v>572</v>
      </c>
      <c r="F352" s="18" t="s">
        <v>192</v>
      </c>
      <c r="G352" s="63" t="s">
        <v>1764</v>
      </c>
      <c r="H352" s="42" t="s">
        <v>479</v>
      </c>
      <c r="I352" s="28">
        <v>6.0</v>
      </c>
      <c r="J352" s="26" t="str">
        <f t="shared" si="489"/>
        <v>R</v>
      </c>
      <c r="K352" s="28">
        <v>6.0</v>
      </c>
      <c r="L352" s="26" t="str">
        <f t="shared" si="490"/>
        <v>R</v>
      </c>
      <c r="M352" s="28">
        <v>6.0</v>
      </c>
      <c r="N352" s="26" t="str">
        <f t="shared" si="491"/>
        <v>R</v>
      </c>
      <c r="O352" s="28">
        <v>22.0</v>
      </c>
      <c r="P352" s="26" t="str">
        <f t="shared" si="492"/>
        <v>I</v>
      </c>
      <c r="Q352" s="28">
        <v>12.0</v>
      </c>
      <c r="R352" s="26" t="str">
        <f t="shared" si="493"/>
        <v>R</v>
      </c>
      <c r="S352" s="28">
        <v>11.0</v>
      </c>
      <c r="T352" s="26" t="str">
        <f t="shared" si="494"/>
        <v>R</v>
      </c>
      <c r="U352" s="28">
        <v>14.0</v>
      </c>
      <c r="V352" s="26" t="str">
        <f t="shared" si="495"/>
        <v>R</v>
      </c>
      <c r="W352" s="32" t="s">
        <v>299</v>
      </c>
      <c r="X352" s="65">
        <v>6.0</v>
      </c>
      <c r="Y352" s="33" t="str">
        <f t="shared" si="496"/>
        <v>R</v>
      </c>
      <c r="Z352" s="65">
        <v>19.0</v>
      </c>
      <c r="AA352" s="33" t="str">
        <f t="shared" si="497"/>
        <v>S</v>
      </c>
      <c r="AB352" s="65">
        <v>6.0</v>
      </c>
      <c r="AC352" s="33" t="str">
        <f t="shared" si="498"/>
        <v>R</v>
      </c>
      <c r="AD352" s="65">
        <v>18.0</v>
      </c>
      <c r="AE352" s="33" t="str">
        <f t="shared" si="499"/>
        <v>S</v>
      </c>
      <c r="AF352" s="65">
        <v>6.0</v>
      </c>
      <c r="AG352" s="33" t="str">
        <f t="shared" si="500"/>
        <v>R</v>
      </c>
      <c r="AH352" s="65" t="s">
        <v>299</v>
      </c>
      <c r="AI352" s="66">
        <v>23.0</v>
      </c>
      <c r="AJ352" s="36" t="str">
        <f t="shared" si="501"/>
        <v>I</v>
      </c>
      <c r="AK352" s="66">
        <v>23.0</v>
      </c>
      <c r="AL352" s="36" t="str">
        <f t="shared" si="502"/>
        <v>S</v>
      </c>
      <c r="AM352" s="66">
        <v>21.0</v>
      </c>
      <c r="AN352" s="36" t="str">
        <f t="shared" si="503"/>
        <v>S</v>
      </c>
      <c r="AO352" s="66" t="s">
        <v>299</v>
      </c>
      <c r="AP352" s="67">
        <v>6.0</v>
      </c>
      <c r="AQ352" s="37" t="str">
        <f t="shared" si="504"/>
        <v>R</v>
      </c>
      <c r="AR352" s="65">
        <v>20.0</v>
      </c>
      <c r="AS352" s="33" t="str">
        <f t="shared" si="505"/>
        <v>S</v>
      </c>
      <c r="AT352" s="65">
        <v>13.0</v>
      </c>
      <c r="AU352" s="33" t="str">
        <f t="shared" si="506"/>
        <v>R</v>
      </c>
      <c r="AV352" s="65" t="s">
        <v>299</v>
      </c>
      <c r="AW352" s="28">
        <v>20.0</v>
      </c>
      <c r="AX352" s="26" t="str">
        <f t="shared" si="507"/>
        <v>S</v>
      </c>
      <c r="AY352" s="67">
        <v>6.0</v>
      </c>
      <c r="AZ352" s="37" t="str">
        <f t="shared" si="508"/>
        <v>R</v>
      </c>
      <c r="BA352" s="66">
        <v>15.0</v>
      </c>
      <c r="BB352" s="36" t="str">
        <f t="shared" si="509"/>
        <v>R</v>
      </c>
      <c r="BC352" s="39" t="s">
        <v>357</v>
      </c>
      <c r="BD352" s="39" t="s">
        <v>357</v>
      </c>
      <c r="BE352" s="66">
        <v>15.0</v>
      </c>
      <c r="BF352" s="36" t="str">
        <f t="shared" si="510"/>
        <v>R</v>
      </c>
      <c r="BG352" s="68">
        <v>16.0</v>
      </c>
      <c r="BH352" s="41" t="str">
        <f t="shared" si="511"/>
        <v>R</v>
      </c>
      <c r="BI352" s="41"/>
    </row>
    <row r="353">
      <c r="A353" s="21" t="s">
        <v>906</v>
      </c>
      <c r="B353" s="21" t="s">
        <v>444</v>
      </c>
      <c r="C353" s="21" t="s">
        <v>1766</v>
      </c>
      <c r="D353" s="69" t="s">
        <v>571</v>
      </c>
      <c r="E353" s="18" t="s">
        <v>572</v>
      </c>
      <c r="F353" s="18" t="s">
        <v>192</v>
      </c>
      <c r="G353" s="63" t="s">
        <v>1768</v>
      </c>
      <c r="H353" s="42" t="s">
        <v>479</v>
      </c>
      <c r="I353" s="28">
        <v>6.0</v>
      </c>
      <c r="J353" s="26" t="str">
        <f t="shared" si="489"/>
        <v>R</v>
      </c>
      <c r="K353" s="28">
        <v>6.0</v>
      </c>
      <c r="L353" s="26" t="str">
        <f t="shared" si="490"/>
        <v>R</v>
      </c>
      <c r="M353" s="28">
        <v>6.0</v>
      </c>
      <c r="N353" s="26" t="str">
        <f t="shared" si="491"/>
        <v>R</v>
      </c>
      <c r="O353" s="28">
        <v>22.0</v>
      </c>
      <c r="P353" s="26" t="str">
        <f t="shared" si="492"/>
        <v>I</v>
      </c>
      <c r="Q353" s="28">
        <v>12.0</v>
      </c>
      <c r="R353" s="26" t="str">
        <f t="shared" si="493"/>
        <v>R</v>
      </c>
      <c r="S353" s="28">
        <v>11.0</v>
      </c>
      <c r="T353" s="26" t="str">
        <f t="shared" si="494"/>
        <v>R</v>
      </c>
      <c r="U353" s="28">
        <v>14.0</v>
      </c>
      <c r="V353" s="26" t="str">
        <f t="shared" si="495"/>
        <v>R</v>
      </c>
      <c r="W353" s="32" t="s">
        <v>299</v>
      </c>
      <c r="X353" s="65">
        <v>6.0</v>
      </c>
      <c r="Y353" s="33" t="str">
        <f t="shared" si="496"/>
        <v>R</v>
      </c>
      <c r="Z353" s="65">
        <v>18.0</v>
      </c>
      <c r="AA353" s="33" t="str">
        <f t="shared" si="497"/>
        <v>S</v>
      </c>
      <c r="AB353" s="65">
        <v>6.0</v>
      </c>
      <c r="AC353" s="33" t="str">
        <f t="shared" si="498"/>
        <v>R</v>
      </c>
      <c r="AD353" s="65">
        <v>18.0</v>
      </c>
      <c r="AE353" s="33" t="str">
        <f t="shared" si="499"/>
        <v>S</v>
      </c>
      <c r="AF353" s="65">
        <v>6.0</v>
      </c>
      <c r="AG353" s="33" t="str">
        <f t="shared" si="500"/>
        <v>R</v>
      </c>
      <c r="AH353" s="65" t="s">
        <v>299</v>
      </c>
      <c r="AI353" s="66">
        <v>23.0</v>
      </c>
      <c r="AJ353" s="36" t="str">
        <f t="shared" si="501"/>
        <v>I</v>
      </c>
      <c r="AK353" s="66">
        <v>23.0</v>
      </c>
      <c r="AL353" s="36" t="str">
        <f t="shared" si="502"/>
        <v>S</v>
      </c>
      <c r="AM353" s="66">
        <v>21.0</v>
      </c>
      <c r="AN353" s="36" t="str">
        <f t="shared" si="503"/>
        <v>S</v>
      </c>
      <c r="AO353" s="66" t="s">
        <v>299</v>
      </c>
      <c r="AP353" s="67">
        <v>6.0</v>
      </c>
      <c r="AQ353" s="37" t="str">
        <f t="shared" si="504"/>
        <v>R</v>
      </c>
      <c r="AR353" s="65">
        <v>18.0</v>
      </c>
      <c r="AS353" s="33" t="str">
        <f t="shared" si="505"/>
        <v>S</v>
      </c>
      <c r="AT353" s="65">
        <v>13.0</v>
      </c>
      <c r="AU353" s="33" t="str">
        <f t="shared" si="506"/>
        <v>R</v>
      </c>
      <c r="AV353" s="65" t="s">
        <v>299</v>
      </c>
      <c r="AW353" s="28">
        <v>20.0</v>
      </c>
      <c r="AX353" s="26" t="str">
        <f t="shared" si="507"/>
        <v>S</v>
      </c>
      <c r="AY353" s="67">
        <v>6.0</v>
      </c>
      <c r="AZ353" s="37" t="str">
        <f t="shared" si="508"/>
        <v>R</v>
      </c>
      <c r="BA353" s="66">
        <v>16.0</v>
      </c>
      <c r="BB353" s="36" t="str">
        <f t="shared" si="509"/>
        <v>R</v>
      </c>
      <c r="BC353" s="39" t="s">
        <v>357</v>
      </c>
      <c r="BD353" s="39" t="s">
        <v>357</v>
      </c>
      <c r="BE353" s="66">
        <v>15.0</v>
      </c>
      <c r="BF353" s="36" t="str">
        <f t="shared" si="510"/>
        <v>R</v>
      </c>
      <c r="BG353" s="68">
        <v>16.0</v>
      </c>
      <c r="BH353" s="41" t="str">
        <f t="shared" si="511"/>
        <v>R</v>
      </c>
      <c r="BI353" s="41"/>
    </row>
    <row r="354">
      <c r="A354" s="21" t="s">
        <v>906</v>
      </c>
      <c r="B354" s="23">
        <v>174.0</v>
      </c>
      <c r="C354" s="21" t="s">
        <v>1099</v>
      </c>
      <c r="D354" s="69" t="s">
        <v>1009</v>
      </c>
      <c r="E354" s="18" t="s">
        <v>103</v>
      </c>
      <c r="F354" s="18" t="s">
        <v>192</v>
      </c>
      <c r="G354" s="63" t="s">
        <v>1100</v>
      </c>
      <c r="H354" s="42" t="s">
        <v>479</v>
      </c>
      <c r="I354" s="28">
        <v>6.0</v>
      </c>
      <c r="J354" s="26" t="str">
        <f t="shared" si="489"/>
        <v>R</v>
      </c>
      <c r="K354" s="28">
        <v>19.0</v>
      </c>
      <c r="L354" s="26" t="str">
        <f t="shared" si="490"/>
        <v>S</v>
      </c>
      <c r="M354" s="28">
        <v>6.0</v>
      </c>
      <c r="N354" s="26" t="str">
        <f t="shared" si="491"/>
        <v>R</v>
      </c>
      <c r="O354" s="28">
        <v>25.0</v>
      </c>
      <c r="P354" s="26" t="str">
        <f t="shared" si="492"/>
        <v>S</v>
      </c>
      <c r="Q354" s="28">
        <v>12.0</v>
      </c>
      <c r="R354" s="26" t="str">
        <f t="shared" si="493"/>
        <v>R</v>
      </c>
      <c r="S354" s="28">
        <v>6.0</v>
      </c>
      <c r="T354" s="26" t="str">
        <f t="shared" si="494"/>
        <v>R</v>
      </c>
      <c r="U354" s="28">
        <v>17.0</v>
      </c>
      <c r="V354" s="26" t="str">
        <f t="shared" si="495"/>
        <v>I</v>
      </c>
      <c r="W354" s="32" t="s">
        <v>299</v>
      </c>
      <c r="X354" s="65">
        <v>6.0</v>
      </c>
      <c r="Y354" s="33" t="str">
        <f t="shared" si="496"/>
        <v>R</v>
      </c>
      <c r="Z354" s="65">
        <v>12.0</v>
      </c>
      <c r="AA354" s="33" t="str">
        <f t="shared" si="497"/>
        <v>R</v>
      </c>
      <c r="AB354" s="65">
        <v>6.0</v>
      </c>
      <c r="AC354" s="33" t="str">
        <f t="shared" si="498"/>
        <v>R</v>
      </c>
      <c r="AD354" s="65">
        <v>21.0</v>
      </c>
      <c r="AE354" s="33" t="str">
        <f t="shared" si="499"/>
        <v>S</v>
      </c>
      <c r="AF354" s="65">
        <v>6.0</v>
      </c>
      <c r="AG354" s="33" t="str">
        <f t="shared" si="500"/>
        <v>R</v>
      </c>
      <c r="AH354" s="65" t="s">
        <v>299</v>
      </c>
      <c r="AI354" s="66">
        <v>13.0</v>
      </c>
      <c r="AJ354" s="36" t="str">
        <f t="shared" si="501"/>
        <v>R</v>
      </c>
      <c r="AK354" s="66">
        <v>11.0</v>
      </c>
      <c r="AL354" s="36" t="str">
        <f t="shared" si="502"/>
        <v>R</v>
      </c>
      <c r="AM354" s="66">
        <v>8.0</v>
      </c>
      <c r="AN354" s="36" t="str">
        <f t="shared" si="503"/>
        <v>R</v>
      </c>
      <c r="AO354" s="66" t="s">
        <v>299</v>
      </c>
      <c r="AP354" s="67">
        <v>6.0</v>
      </c>
      <c r="AQ354" s="37" t="str">
        <f t="shared" si="504"/>
        <v>R</v>
      </c>
      <c r="AR354" s="65">
        <v>15.0</v>
      </c>
      <c r="AS354" s="33" t="str">
        <f t="shared" si="505"/>
        <v>R</v>
      </c>
      <c r="AT354" s="65">
        <v>6.0</v>
      </c>
      <c r="AU354" s="33" t="str">
        <f t="shared" si="506"/>
        <v>R</v>
      </c>
      <c r="AV354" s="65" t="s">
        <v>299</v>
      </c>
      <c r="AW354" s="28">
        <v>8.0</v>
      </c>
      <c r="AX354" s="26" t="str">
        <f t="shared" si="507"/>
        <v>R</v>
      </c>
      <c r="AY354" s="67">
        <v>6.0</v>
      </c>
      <c r="AZ354" s="37" t="str">
        <f t="shared" si="508"/>
        <v>R</v>
      </c>
      <c r="BA354" s="66">
        <v>6.0</v>
      </c>
      <c r="BB354" s="36" t="str">
        <f t="shared" si="509"/>
        <v>R</v>
      </c>
      <c r="BC354" s="39" t="s">
        <v>357</v>
      </c>
      <c r="BD354" s="39" t="s">
        <v>357</v>
      </c>
      <c r="BE354" s="66">
        <v>8.0</v>
      </c>
      <c r="BF354" s="36" t="str">
        <f t="shared" si="510"/>
        <v>R</v>
      </c>
      <c r="BG354" s="68">
        <v>6.0</v>
      </c>
      <c r="BH354" s="41" t="str">
        <f t="shared" si="511"/>
        <v>R</v>
      </c>
      <c r="BI354" s="41"/>
    </row>
    <row r="355">
      <c r="A355" s="21" t="s">
        <v>906</v>
      </c>
      <c r="B355" s="21" t="s">
        <v>444</v>
      </c>
      <c r="C355" s="21" t="s">
        <v>1769</v>
      </c>
      <c r="D355" s="69" t="s">
        <v>1009</v>
      </c>
      <c r="E355" s="18" t="s">
        <v>103</v>
      </c>
      <c r="F355" s="18" t="s">
        <v>192</v>
      </c>
      <c r="G355" s="63" t="s">
        <v>1770</v>
      </c>
      <c r="H355" s="42" t="s">
        <v>479</v>
      </c>
      <c r="I355" s="28">
        <v>6.0</v>
      </c>
      <c r="J355" s="26" t="str">
        <f t="shared" si="489"/>
        <v>R</v>
      </c>
      <c r="K355" s="28">
        <v>20.0</v>
      </c>
      <c r="L355" s="26" t="str">
        <f t="shared" si="490"/>
        <v>S</v>
      </c>
      <c r="M355" s="28">
        <v>6.0</v>
      </c>
      <c r="N355" s="26" t="str">
        <f t="shared" si="491"/>
        <v>R</v>
      </c>
      <c r="O355" s="28">
        <v>25.0</v>
      </c>
      <c r="P355" s="26" t="str">
        <f t="shared" si="492"/>
        <v>S</v>
      </c>
      <c r="Q355" s="28">
        <v>12.0</v>
      </c>
      <c r="R355" s="26" t="str">
        <f t="shared" si="493"/>
        <v>R</v>
      </c>
      <c r="S355" s="28">
        <v>6.0</v>
      </c>
      <c r="T355" s="26" t="str">
        <f t="shared" si="494"/>
        <v>R</v>
      </c>
      <c r="U355" s="28">
        <v>17.0</v>
      </c>
      <c r="V355" s="26" t="str">
        <f t="shared" si="495"/>
        <v>I</v>
      </c>
      <c r="W355" s="32" t="s">
        <v>299</v>
      </c>
      <c r="X355" s="65">
        <v>6.0</v>
      </c>
      <c r="Y355" s="33" t="str">
        <f t="shared" si="496"/>
        <v>R</v>
      </c>
      <c r="Z355" s="65">
        <v>13.0</v>
      </c>
      <c r="AA355" s="33" t="str">
        <f t="shared" si="497"/>
        <v>R</v>
      </c>
      <c r="AB355" s="65">
        <v>6.0</v>
      </c>
      <c r="AC355" s="33" t="str">
        <f t="shared" si="498"/>
        <v>R</v>
      </c>
      <c r="AD355" s="65">
        <v>21.0</v>
      </c>
      <c r="AE355" s="33" t="str">
        <f t="shared" si="499"/>
        <v>S</v>
      </c>
      <c r="AF355" s="65">
        <v>6.0</v>
      </c>
      <c r="AG355" s="33" t="str">
        <f t="shared" si="500"/>
        <v>R</v>
      </c>
      <c r="AH355" s="65" t="s">
        <v>299</v>
      </c>
      <c r="AI355" s="66">
        <v>13.0</v>
      </c>
      <c r="AJ355" s="36" t="str">
        <f t="shared" si="501"/>
        <v>R</v>
      </c>
      <c r="AK355" s="66">
        <v>11.0</v>
      </c>
      <c r="AL355" s="36" t="str">
        <f t="shared" si="502"/>
        <v>R</v>
      </c>
      <c r="AM355" s="66">
        <v>6.0</v>
      </c>
      <c r="AN355" s="36" t="str">
        <f t="shared" si="503"/>
        <v>R</v>
      </c>
      <c r="AO355" s="66" t="s">
        <v>299</v>
      </c>
      <c r="AP355" s="67">
        <v>6.0</v>
      </c>
      <c r="AQ355" s="37" t="str">
        <f t="shared" si="504"/>
        <v>R</v>
      </c>
      <c r="AR355" s="65">
        <v>13.0</v>
      </c>
      <c r="AS355" s="33" t="str">
        <f t="shared" si="505"/>
        <v>R</v>
      </c>
      <c r="AT355" s="65">
        <v>6.0</v>
      </c>
      <c r="AU355" s="33" t="str">
        <f t="shared" si="506"/>
        <v>R</v>
      </c>
      <c r="AV355" s="65" t="s">
        <v>299</v>
      </c>
      <c r="AW355" s="28">
        <v>8.0</v>
      </c>
      <c r="AX355" s="26" t="str">
        <f t="shared" si="507"/>
        <v>R</v>
      </c>
      <c r="AY355" s="67">
        <v>6.0</v>
      </c>
      <c r="AZ355" s="37" t="str">
        <f t="shared" si="508"/>
        <v>R</v>
      </c>
      <c r="BA355" s="66">
        <v>6.0</v>
      </c>
      <c r="BB355" s="36" t="str">
        <f t="shared" si="509"/>
        <v>R</v>
      </c>
      <c r="BC355" s="39" t="s">
        <v>357</v>
      </c>
      <c r="BD355" s="39" t="s">
        <v>357</v>
      </c>
      <c r="BE355" s="66">
        <v>8.0</v>
      </c>
      <c r="BF355" s="36" t="str">
        <f t="shared" si="510"/>
        <v>R</v>
      </c>
      <c r="BG355" s="68">
        <v>6.0</v>
      </c>
      <c r="BH355" s="41" t="str">
        <f t="shared" si="511"/>
        <v>R</v>
      </c>
      <c r="BI355" s="41"/>
    </row>
    <row r="356">
      <c r="A356" s="21" t="s">
        <v>906</v>
      </c>
      <c r="B356" s="21" t="s">
        <v>444</v>
      </c>
      <c r="C356" s="21" t="s">
        <v>1771</v>
      </c>
      <c r="D356" s="69" t="s">
        <v>1009</v>
      </c>
      <c r="E356" s="18" t="s">
        <v>103</v>
      </c>
      <c r="F356" s="18" t="s">
        <v>192</v>
      </c>
      <c r="G356" s="63" t="s">
        <v>1772</v>
      </c>
      <c r="H356" s="42" t="s">
        <v>479</v>
      </c>
      <c r="I356" s="28">
        <v>6.0</v>
      </c>
      <c r="J356" s="26" t="str">
        <f t="shared" si="489"/>
        <v>R</v>
      </c>
      <c r="K356" s="28">
        <v>19.0</v>
      </c>
      <c r="L356" s="26" t="str">
        <f t="shared" si="490"/>
        <v>S</v>
      </c>
      <c r="M356" s="28">
        <v>6.0</v>
      </c>
      <c r="N356" s="26" t="str">
        <f t="shared" si="491"/>
        <v>R</v>
      </c>
      <c r="O356" s="28">
        <v>25.0</v>
      </c>
      <c r="P356" s="26" t="str">
        <f t="shared" si="492"/>
        <v>S</v>
      </c>
      <c r="Q356" s="28">
        <v>12.0</v>
      </c>
      <c r="R356" s="26" t="str">
        <f t="shared" si="493"/>
        <v>R</v>
      </c>
      <c r="S356" s="28">
        <v>6.0</v>
      </c>
      <c r="T356" s="26" t="str">
        <f t="shared" si="494"/>
        <v>R</v>
      </c>
      <c r="U356" s="28">
        <v>17.0</v>
      </c>
      <c r="V356" s="26" t="str">
        <f t="shared" si="495"/>
        <v>I</v>
      </c>
      <c r="W356" s="32" t="s">
        <v>299</v>
      </c>
      <c r="X356" s="65">
        <v>6.0</v>
      </c>
      <c r="Y356" s="33" t="str">
        <f t="shared" si="496"/>
        <v>R</v>
      </c>
      <c r="Z356" s="65">
        <v>12.0</v>
      </c>
      <c r="AA356" s="33" t="str">
        <f t="shared" si="497"/>
        <v>R</v>
      </c>
      <c r="AB356" s="65">
        <v>6.0</v>
      </c>
      <c r="AC356" s="33" t="str">
        <f t="shared" si="498"/>
        <v>R</v>
      </c>
      <c r="AD356" s="65">
        <v>21.0</v>
      </c>
      <c r="AE356" s="33" t="str">
        <f t="shared" si="499"/>
        <v>S</v>
      </c>
      <c r="AF356" s="65">
        <v>6.0</v>
      </c>
      <c r="AG356" s="33" t="str">
        <f t="shared" si="500"/>
        <v>R</v>
      </c>
      <c r="AH356" s="65" t="s">
        <v>299</v>
      </c>
      <c r="AI356" s="66">
        <v>13.0</v>
      </c>
      <c r="AJ356" s="36" t="str">
        <f t="shared" si="501"/>
        <v>R</v>
      </c>
      <c r="AK356" s="66">
        <v>11.0</v>
      </c>
      <c r="AL356" s="36" t="str">
        <f t="shared" si="502"/>
        <v>R</v>
      </c>
      <c r="AM356" s="66">
        <v>6.0</v>
      </c>
      <c r="AN356" s="36" t="str">
        <f t="shared" si="503"/>
        <v>R</v>
      </c>
      <c r="AO356" s="66" t="s">
        <v>299</v>
      </c>
      <c r="AP356" s="67">
        <v>6.0</v>
      </c>
      <c r="AQ356" s="37" t="str">
        <f t="shared" si="504"/>
        <v>R</v>
      </c>
      <c r="AR356" s="65">
        <v>15.0</v>
      </c>
      <c r="AS356" s="33" t="str">
        <f t="shared" si="505"/>
        <v>R</v>
      </c>
      <c r="AT356" s="65">
        <v>6.0</v>
      </c>
      <c r="AU356" s="33" t="str">
        <f t="shared" si="506"/>
        <v>R</v>
      </c>
      <c r="AV356" s="65" t="s">
        <v>299</v>
      </c>
      <c r="AW356" s="28">
        <v>8.0</v>
      </c>
      <c r="AX356" s="26" t="str">
        <f t="shared" si="507"/>
        <v>R</v>
      </c>
      <c r="AY356" s="67">
        <v>6.0</v>
      </c>
      <c r="AZ356" s="37" t="str">
        <f t="shared" si="508"/>
        <v>R</v>
      </c>
      <c r="BA356" s="66">
        <v>6.0</v>
      </c>
      <c r="BB356" s="36" t="str">
        <f t="shared" si="509"/>
        <v>R</v>
      </c>
      <c r="BC356" s="39" t="s">
        <v>357</v>
      </c>
      <c r="BD356" s="39" t="s">
        <v>357</v>
      </c>
      <c r="BE356" s="66">
        <v>8.0</v>
      </c>
      <c r="BF356" s="36" t="str">
        <f t="shared" si="510"/>
        <v>R</v>
      </c>
      <c r="BG356" s="68">
        <v>6.0</v>
      </c>
      <c r="BH356" s="41" t="str">
        <f t="shared" si="511"/>
        <v>R</v>
      </c>
      <c r="BI356" s="41"/>
    </row>
    <row r="357">
      <c r="A357" s="51" t="s">
        <v>915</v>
      </c>
      <c r="B357" s="53">
        <v>175.0</v>
      </c>
      <c r="C357" s="51" t="s">
        <v>1623</v>
      </c>
      <c r="D357" s="69" t="s">
        <v>190</v>
      </c>
      <c r="E357" s="18" t="s">
        <v>190</v>
      </c>
      <c r="F357" s="18" t="s">
        <v>192</v>
      </c>
      <c r="G357" s="63" t="s">
        <v>1624</v>
      </c>
      <c r="H357" s="22" t="s">
        <v>198</v>
      </c>
      <c r="I357" s="28">
        <v>6.0</v>
      </c>
      <c r="J357" s="26" t="str">
        <f t="shared" si="489"/>
        <v>R</v>
      </c>
      <c r="K357" s="28">
        <v>6.0</v>
      </c>
      <c r="L357" s="26" t="str">
        <f t="shared" si="490"/>
        <v>R</v>
      </c>
      <c r="M357" s="28">
        <v>6.0</v>
      </c>
      <c r="N357" s="26" t="str">
        <f t="shared" si="491"/>
        <v>R</v>
      </c>
      <c r="O357" s="28">
        <v>22.0</v>
      </c>
      <c r="P357" s="26" t="str">
        <f t="shared" si="492"/>
        <v>I</v>
      </c>
      <c r="Q357" s="28">
        <v>6.0</v>
      </c>
      <c r="R357" s="26" t="str">
        <f t="shared" si="493"/>
        <v>R</v>
      </c>
      <c r="S357" s="28">
        <v>6.0</v>
      </c>
      <c r="T357" s="26" t="str">
        <f t="shared" si="494"/>
        <v>R</v>
      </c>
      <c r="U357" s="28">
        <v>18.0</v>
      </c>
      <c r="V357" s="26" t="str">
        <f t="shared" si="495"/>
        <v>I</v>
      </c>
      <c r="W357" s="32" t="s">
        <v>299</v>
      </c>
      <c r="X357" s="65">
        <v>6.0</v>
      </c>
      <c r="Y357" s="33" t="str">
        <f t="shared" si="496"/>
        <v>R</v>
      </c>
      <c r="Z357" s="65">
        <v>7.0</v>
      </c>
      <c r="AA357" s="33" t="str">
        <f t="shared" si="497"/>
        <v>R</v>
      </c>
      <c r="AB357" s="65">
        <v>6.0</v>
      </c>
      <c r="AC357" s="33" t="str">
        <f t="shared" si="498"/>
        <v>R</v>
      </c>
      <c r="AD357" s="65">
        <v>12.0</v>
      </c>
      <c r="AE357" s="33" t="str">
        <f t="shared" si="499"/>
        <v>R</v>
      </c>
      <c r="AF357" s="65">
        <v>6.0</v>
      </c>
      <c r="AG357" s="33" t="str">
        <f t="shared" si="500"/>
        <v>R</v>
      </c>
      <c r="AH357" s="65" t="s">
        <v>299</v>
      </c>
      <c r="AI357" s="66">
        <v>6.0</v>
      </c>
      <c r="AJ357" s="36" t="str">
        <f t="shared" si="501"/>
        <v>R</v>
      </c>
      <c r="AK357" s="66">
        <v>6.0</v>
      </c>
      <c r="AL357" s="36" t="str">
        <f t="shared" si="502"/>
        <v>R</v>
      </c>
      <c r="AM357" s="66">
        <v>7.0</v>
      </c>
      <c r="AN357" s="36" t="str">
        <f t="shared" si="503"/>
        <v>R</v>
      </c>
      <c r="AO357" s="66" t="s">
        <v>299</v>
      </c>
      <c r="AP357" s="67">
        <v>6.0</v>
      </c>
      <c r="AQ357" s="37" t="str">
        <f t="shared" si="504"/>
        <v>R</v>
      </c>
      <c r="AR357" s="65">
        <v>12.0</v>
      </c>
      <c r="AS357" s="33" t="str">
        <f t="shared" si="505"/>
        <v>R</v>
      </c>
      <c r="AT357" s="65">
        <v>22.0</v>
      </c>
      <c r="AU357" s="33" t="str">
        <f t="shared" si="506"/>
        <v>S</v>
      </c>
      <c r="AV357" s="65" t="s">
        <v>299</v>
      </c>
      <c r="AW357" s="28">
        <v>6.0</v>
      </c>
      <c r="AX357" s="26" t="str">
        <f t="shared" si="507"/>
        <v>R</v>
      </c>
      <c r="AY357" s="67">
        <v>6.0</v>
      </c>
      <c r="AZ357" s="37" t="str">
        <f t="shared" si="508"/>
        <v>R</v>
      </c>
      <c r="BA357" s="66">
        <v>19.0</v>
      </c>
      <c r="BB357" s="36" t="str">
        <f t="shared" si="509"/>
        <v>R</v>
      </c>
      <c r="BC357" s="39" t="s">
        <v>357</v>
      </c>
      <c r="BD357" s="39" t="s">
        <v>357</v>
      </c>
      <c r="BE357" s="66">
        <v>23.0</v>
      </c>
      <c r="BF357" s="36" t="str">
        <f t="shared" si="510"/>
        <v>S</v>
      </c>
      <c r="BG357" s="68">
        <v>6.0</v>
      </c>
      <c r="BH357" s="41" t="str">
        <f t="shared" si="511"/>
        <v>R</v>
      </c>
      <c r="BI357" s="41"/>
    </row>
    <row r="358">
      <c r="A358" s="51" t="s">
        <v>915</v>
      </c>
      <c r="B358" s="51" t="s">
        <v>444</v>
      </c>
      <c r="C358" s="51" t="s">
        <v>1773</v>
      </c>
      <c r="D358" s="69" t="s">
        <v>190</v>
      </c>
      <c r="E358" s="18" t="s">
        <v>190</v>
      </c>
      <c r="F358" s="18" t="s">
        <v>192</v>
      </c>
      <c r="G358" s="63" t="s">
        <v>1774</v>
      </c>
      <c r="H358" s="22" t="s">
        <v>198</v>
      </c>
      <c r="I358" s="28">
        <v>6.0</v>
      </c>
      <c r="J358" s="26" t="str">
        <f t="shared" si="489"/>
        <v>R</v>
      </c>
      <c r="K358" s="28">
        <v>6.0</v>
      </c>
      <c r="L358" s="26" t="str">
        <f t="shared" si="490"/>
        <v>R</v>
      </c>
      <c r="M358" s="28">
        <v>6.0</v>
      </c>
      <c r="N358" s="26" t="str">
        <f t="shared" si="491"/>
        <v>R</v>
      </c>
      <c r="O358" s="28">
        <v>22.0</v>
      </c>
      <c r="P358" s="26" t="str">
        <f t="shared" si="492"/>
        <v>I</v>
      </c>
      <c r="Q358" s="28">
        <v>6.0</v>
      </c>
      <c r="R358" s="26" t="str">
        <f t="shared" si="493"/>
        <v>R</v>
      </c>
      <c r="S358" s="28">
        <v>6.0</v>
      </c>
      <c r="T358" s="26" t="str">
        <f t="shared" si="494"/>
        <v>R</v>
      </c>
      <c r="U358" s="28">
        <v>18.0</v>
      </c>
      <c r="V358" s="26" t="str">
        <f t="shared" si="495"/>
        <v>I</v>
      </c>
      <c r="W358" s="32" t="s">
        <v>299</v>
      </c>
      <c r="X358" s="65">
        <v>6.0</v>
      </c>
      <c r="Y358" s="33" t="str">
        <f t="shared" si="496"/>
        <v>R</v>
      </c>
      <c r="Z358" s="65">
        <v>7.0</v>
      </c>
      <c r="AA358" s="33" t="str">
        <f t="shared" si="497"/>
        <v>R</v>
      </c>
      <c r="AB358" s="65">
        <v>6.0</v>
      </c>
      <c r="AC358" s="33" t="str">
        <f t="shared" si="498"/>
        <v>R</v>
      </c>
      <c r="AD358" s="65">
        <v>12.0</v>
      </c>
      <c r="AE358" s="33" t="str">
        <f t="shared" si="499"/>
        <v>R</v>
      </c>
      <c r="AF358" s="65">
        <v>6.0</v>
      </c>
      <c r="AG358" s="33" t="str">
        <f t="shared" si="500"/>
        <v>R</v>
      </c>
      <c r="AH358" s="65" t="s">
        <v>299</v>
      </c>
      <c r="AI358" s="66">
        <v>6.0</v>
      </c>
      <c r="AJ358" s="36" t="str">
        <f t="shared" si="501"/>
        <v>R</v>
      </c>
      <c r="AK358" s="66">
        <v>6.0</v>
      </c>
      <c r="AL358" s="36" t="str">
        <f t="shared" si="502"/>
        <v>R</v>
      </c>
      <c r="AM358" s="66">
        <v>7.0</v>
      </c>
      <c r="AN358" s="36" t="str">
        <f t="shared" si="503"/>
        <v>R</v>
      </c>
      <c r="AO358" s="66" t="s">
        <v>299</v>
      </c>
      <c r="AP358" s="67">
        <v>6.0</v>
      </c>
      <c r="AQ358" s="37" t="str">
        <f t="shared" si="504"/>
        <v>R</v>
      </c>
      <c r="AR358" s="65">
        <v>12.0</v>
      </c>
      <c r="AS358" s="33" t="str">
        <f t="shared" si="505"/>
        <v>R</v>
      </c>
      <c r="AT358" s="65">
        <v>22.0</v>
      </c>
      <c r="AU358" s="33" t="str">
        <f t="shared" si="506"/>
        <v>S</v>
      </c>
      <c r="AV358" s="65" t="s">
        <v>299</v>
      </c>
      <c r="AW358" s="28">
        <v>6.0</v>
      </c>
      <c r="AX358" s="26" t="str">
        <f t="shared" si="507"/>
        <v>R</v>
      </c>
      <c r="AY358" s="67">
        <v>6.0</v>
      </c>
      <c r="AZ358" s="37" t="str">
        <f t="shared" si="508"/>
        <v>R</v>
      </c>
      <c r="BA358" s="66">
        <v>19.0</v>
      </c>
      <c r="BB358" s="36" t="str">
        <f t="shared" si="509"/>
        <v>R</v>
      </c>
      <c r="BC358" s="39" t="s">
        <v>357</v>
      </c>
      <c r="BD358" s="39" t="s">
        <v>357</v>
      </c>
      <c r="BE358" s="66">
        <v>23.0</v>
      </c>
      <c r="BF358" s="36" t="str">
        <f t="shared" si="510"/>
        <v>S</v>
      </c>
      <c r="BG358" s="68">
        <v>6.0</v>
      </c>
      <c r="BH358" s="41" t="str">
        <f t="shared" si="511"/>
        <v>R</v>
      </c>
      <c r="BI358" s="41"/>
    </row>
    <row r="359">
      <c r="A359" s="51" t="s">
        <v>915</v>
      </c>
      <c r="B359" s="51" t="s">
        <v>444</v>
      </c>
      <c r="C359" s="51" t="s">
        <v>1775</v>
      </c>
      <c r="D359" s="69" t="s">
        <v>190</v>
      </c>
      <c r="E359" s="18" t="s">
        <v>190</v>
      </c>
      <c r="F359" s="18" t="s">
        <v>192</v>
      </c>
      <c r="G359" s="63" t="s">
        <v>1776</v>
      </c>
      <c r="H359" s="22" t="s">
        <v>198</v>
      </c>
      <c r="I359" s="28">
        <v>6.0</v>
      </c>
      <c r="J359" s="26" t="str">
        <f t="shared" si="489"/>
        <v>R</v>
      </c>
      <c r="K359" s="28">
        <v>6.0</v>
      </c>
      <c r="L359" s="26" t="str">
        <f t="shared" si="490"/>
        <v>R</v>
      </c>
      <c r="M359" s="28">
        <v>6.0</v>
      </c>
      <c r="N359" s="26" t="str">
        <f t="shared" si="491"/>
        <v>R</v>
      </c>
      <c r="O359" s="28">
        <v>22.0</v>
      </c>
      <c r="P359" s="26" t="str">
        <f t="shared" si="492"/>
        <v>I</v>
      </c>
      <c r="Q359" s="28">
        <v>6.0</v>
      </c>
      <c r="R359" s="26" t="str">
        <f t="shared" si="493"/>
        <v>R</v>
      </c>
      <c r="S359" s="28">
        <v>6.0</v>
      </c>
      <c r="T359" s="26" t="str">
        <f t="shared" si="494"/>
        <v>R</v>
      </c>
      <c r="U359" s="28">
        <v>18.0</v>
      </c>
      <c r="V359" s="26" t="str">
        <f t="shared" si="495"/>
        <v>I</v>
      </c>
      <c r="W359" s="32" t="s">
        <v>299</v>
      </c>
      <c r="X359" s="65">
        <v>6.0</v>
      </c>
      <c r="Y359" s="33" t="str">
        <f t="shared" si="496"/>
        <v>R</v>
      </c>
      <c r="Z359" s="65">
        <v>7.0</v>
      </c>
      <c r="AA359" s="33" t="str">
        <f t="shared" si="497"/>
        <v>R</v>
      </c>
      <c r="AB359" s="65">
        <v>6.0</v>
      </c>
      <c r="AC359" s="33" t="str">
        <f t="shared" si="498"/>
        <v>R</v>
      </c>
      <c r="AD359" s="65">
        <v>12.0</v>
      </c>
      <c r="AE359" s="33" t="str">
        <f t="shared" si="499"/>
        <v>R</v>
      </c>
      <c r="AF359" s="65">
        <v>6.0</v>
      </c>
      <c r="AG359" s="33" t="str">
        <f t="shared" si="500"/>
        <v>R</v>
      </c>
      <c r="AH359" s="65" t="s">
        <v>299</v>
      </c>
      <c r="AI359" s="66">
        <v>6.0</v>
      </c>
      <c r="AJ359" s="36" t="str">
        <f t="shared" si="501"/>
        <v>R</v>
      </c>
      <c r="AK359" s="66">
        <v>6.0</v>
      </c>
      <c r="AL359" s="36" t="str">
        <f t="shared" si="502"/>
        <v>R</v>
      </c>
      <c r="AM359" s="66">
        <v>7.0</v>
      </c>
      <c r="AN359" s="36" t="str">
        <f t="shared" si="503"/>
        <v>R</v>
      </c>
      <c r="AO359" s="66" t="s">
        <v>299</v>
      </c>
      <c r="AP359" s="67">
        <v>6.0</v>
      </c>
      <c r="AQ359" s="37" t="str">
        <f t="shared" si="504"/>
        <v>R</v>
      </c>
      <c r="AR359" s="65">
        <v>12.0</v>
      </c>
      <c r="AS359" s="33" t="str">
        <f t="shared" si="505"/>
        <v>R</v>
      </c>
      <c r="AT359" s="65">
        <v>22.0</v>
      </c>
      <c r="AU359" s="33" t="str">
        <f t="shared" si="506"/>
        <v>S</v>
      </c>
      <c r="AV359" s="65" t="s">
        <v>299</v>
      </c>
      <c r="AW359" s="28">
        <v>6.0</v>
      </c>
      <c r="AX359" s="26" t="str">
        <f t="shared" si="507"/>
        <v>R</v>
      </c>
      <c r="AY359" s="67">
        <v>6.0</v>
      </c>
      <c r="AZ359" s="37" t="str">
        <f t="shared" si="508"/>
        <v>R</v>
      </c>
      <c r="BA359" s="66">
        <v>19.0</v>
      </c>
      <c r="BB359" s="36" t="str">
        <f t="shared" si="509"/>
        <v>R</v>
      </c>
      <c r="BC359" s="39" t="s">
        <v>357</v>
      </c>
      <c r="BD359" s="39" t="s">
        <v>357</v>
      </c>
      <c r="BE359" s="66">
        <v>23.0</v>
      </c>
      <c r="BF359" s="36" t="str">
        <f t="shared" si="510"/>
        <v>S</v>
      </c>
      <c r="BG359" s="68">
        <v>6.0</v>
      </c>
      <c r="BH359" s="41" t="str">
        <f t="shared" si="511"/>
        <v>R</v>
      </c>
      <c r="BI359" s="41"/>
    </row>
    <row r="360">
      <c r="A360" s="51" t="s">
        <v>915</v>
      </c>
      <c r="B360" s="53">
        <v>176.0</v>
      </c>
      <c r="C360" s="51" t="s">
        <v>1625</v>
      </c>
      <c r="D360" s="69" t="s">
        <v>571</v>
      </c>
      <c r="E360" s="18" t="s">
        <v>572</v>
      </c>
      <c r="F360" s="18" t="s">
        <v>573</v>
      </c>
      <c r="G360" s="63" t="s">
        <v>1626</v>
      </c>
      <c r="H360" s="72" t="s">
        <v>1627</v>
      </c>
      <c r="I360" s="28">
        <v>30.0</v>
      </c>
      <c r="J360" s="26" t="str">
        <f t="shared" si="489"/>
        <v>S</v>
      </c>
      <c r="K360" s="28">
        <v>30.0</v>
      </c>
      <c r="L360" s="26" t="str">
        <f t="shared" si="490"/>
        <v>S</v>
      </c>
      <c r="M360" s="28">
        <v>40.0</v>
      </c>
      <c r="N360" s="26" t="str">
        <f t="shared" si="491"/>
        <v>S</v>
      </c>
      <c r="O360" s="28">
        <v>38.0</v>
      </c>
      <c r="P360" s="26" t="str">
        <f t="shared" si="492"/>
        <v>S</v>
      </c>
      <c r="Q360" s="28">
        <v>30.0</v>
      </c>
      <c r="R360" s="26" t="str">
        <f t="shared" si="493"/>
        <v>S</v>
      </c>
      <c r="S360" s="28">
        <v>30.0</v>
      </c>
      <c r="T360" s="26" t="str">
        <f t="shared" si="494"/>
        <v>S</v>
      </c>
      <c r="U360" s="28">
        <v>12.0</v>
      </c>
      <c r="V360" s="26" t="str">
        <f t="shared" si="495"/>
        <v>R</v>
      </c>
      <c r="W360" s="32" t="s">
        <v>299</v>
      </c>
      <c r="X360" s="65">
        <v>32.0</v>
      </c>
      <c r="Y360" s="33" t="str">
        <f t="shared" si="496"/>
        <v>S</v>
      </c>
      <c r="Z360" s="65">
        <v>40.0</v>
      </c>
      <c r="AA360" s="33" t="str">
        <f t="shared" si="497"/>
        <v>S</v>
      </c>
      <c r="AB360" s="65">
        <v>13.0</v>
      </c>
      <c r="AC360" s="33" t="str">
        <f t="shared" si="498"/>
        <v>R</v>
      </c>
      <c r="AD360" s="65">
        <v>18.0</v>
      </c>
      <c r="AE360" s="33" t="str">
        <f t="shared" si="499"/>
        <v>S</v>
      </c>
      <c r="AF360" s="65">
        <v>40.0</v>
      </c>
      <c r="AG360" s="33" t="str">
        <f t="shared" si="500"/>
        <v>S</v>
      </c>
      <c r="AH360" s="65" t="s">
        <v>299</v>
      </c>
      <c r="AI360" s="66">
        <v>25.0</v>
      </c>
      <c r="AJ360" s="36" t="str">
        <f t="shared" si="501"/>
        <v>S</v>
      </c>
      <c r="AK360" s="66">
        <v>22.0</v>
      </c>
      <c r="AL360" s="36" t="str">
        <f t="shared" si="502"/>
        <v>I</v>
      </c>
      <c r="AM360" s="66">
        <v>6.0</v>
      </c>
      <c r="AN360" s="36" t="str">
        <f t="shared" si="503"/>
        <v>R</v>
      </c>
      <c r="AO360" s="66" t="s">
        <v>299</v>
      </c>
      <c r="AP360" s="67">
        <v>30.0</v>
      </c>
      <c r="AQ360" s="37" t="str">
        <f t="shared" si="504"/>
        <v>S</v>
      </c>
      <c r="AR360" s="65">
        <v>26.0</v>
      </c>
      <c r="AS360" s="33" t="str">
        <f t="shared" si="505"/>
        <v>S</v>
      </c>
      <c r="AT360" s="65">
        <v>17.0</v>
      </c>
      <c r="AU360" s="33" t="str">
        <f t="shared" si="506"/>
        <v>S</v>
      </c>
      <c r="AV360" s="33" t="s">
        <v>300</v>
      </c>
      <c r="AW360" s="28">
        <v>26.0</v>
      </c>
      <c r="AX360" s="26" t="str">
        <f t="shared" si="507"/>
        <v>S</v>
      </c>
      <c r="AY360" s="67">
        <v>6.0</v>
      </c>
      <c r="AZ360" s="37" t="str">
        <f t="shared" si="508"/>
        <v>R</v>
      </c>
      <c r="BA360" s="66">
        <v>30.0</v>
      </c>
      <c r="BB360" s="36" t="str">
        <f t="shared" si="509"/>
        <v>S</v>
      </c>
      <c r="BC360" s="39" t="s">
        <v>357</v>
      </c>
      <c r="BD360" s="39" t="s">
        <v>357</v>
      </c>
      <c r="BE360" s="66">
        <v>10.0</v>
      </c>
      <c r="BF360" s="36" t="str">
        <f t="shared" si="510"/>
        <v>R</v>
      </c>
      <c r="BG360" s="68">
        <v>23.0</v>
      </c>
      <c r="BH360" s="41" t="str">
        <f t="shared" si="511"/>
        <v>S</v>
      </c>
      <c r="BI360" s="41"/>
    </row>
    <row r="361">
      <c r="A361" s="51" t="s">
        <v>915</v>
      </c>
      <c r="B361" s="51" t="s">
        <v>444</v>
      </c>
      <c r="C361" s="51" t="s">
        <v>1777</v>
      </c>
      <c r="D361" s="69" t="s">
        <v>571</v>
      </c>
      <c r="E361" s="18" t="s">
        <v>572</v>
      </c>
      <c r="F361" s="18" t="s">
        <v>573</v>
      </c>
      <c r="G361" s="63" t="s">
        <v>1778</v>
      </c>
      <c r="H361" s="72" t="s">
        <v>1627</v>
      </c>
      <c r="I361" s="28">
        <v>30.0</v>
      </c>
      <c r="J361" s="26" t="str">
        <f t="shared" si="489"/>
        <v>S</v>
      </c>
      <c r="K361" s="28">
        <v>30.0</v>
      </c>
      <c r="L361" s="26" t="str">
        <f t="shared" si="490"/>
        <v>S</v>
      </c>
      <c r="M361" s="28">
        <v>40.0</v>
      </c>
      <c r="N361" s="26" t="str">
        <f t="shared" si="491"/>
        <v>S</v>
      </c>
      <c r="O361" s="28">
        <v>38.0</v>
      </c>
      <c r="P361" s="26" t="str">
        <f t="shared" si="492"/>
        <v>S</v>
      </c>
      <c r="Q361" s="28">
        <v>30.0</v>
      </c>
      <c r="R361" s="26" t="str">
        <f t="shared" si="493"/>
        <v>S</v>
      </c>
      <c r="S361" s="28">
        <v>30.0</v>
      </c>
      <c r="T361" s="26" t="str">
        <f t="shared" si="494"/>
        <v>S</v>
      </c>
      <c r="U361" s="28">
        <v>12.0</v>
      </c>
      <c r="V361" s="26" t="str">
        <f t="shared" si="495"/>
        <v>R</v>
      </c>
      <c r="W361" s="32" t="s">
        <v>299</v>
      </c>
      <c r="X361" s="65">
        <v>32.0</v>
      </c>
      <c r="Y361" s="33" t="str">
        <f t="shared" si="496"/>
        <v>S</v>
      </c>
      <c r="Z361" s="65">
        <v>40.0</v>
      </c>
      <c r="AA361" s="33" t="str">
        <f t="shared" si="497"/>
        <v>S</v>
      </c>
      <c r="AB361" s="65">
        <v>13.0</v>
      </c>
      <c r="AC361" s="33" t="str">
        <f t="shared" si="498"/>
        <v>R</v>
      </c>
      <c r="AD361" s="65">
        <v>18.0</v>
      </c>
      <c r="AE361" s="33" t="str">
        <f t="shared" si="499"/>
        <v>S</v>
      </c>
      <c r="AF361" s="65">
        <v>40.0</v>
      </c>
      <c r="AG361" s="33" t="str">
        <f t="shared" si="500"/>
        <v>S</v>
      </c>
      <c r="AH361" s="65" t="s">
        <v>299</v>
      </c>
      <c r="AI361" s="66">
        <v>25.0</v>
      </c>
      <c r="AJ361" s="36" t="str">
        <f t="shared" si="501"/>
        <v>S</v>
      </c>
      <c r="AK361" s="66">
        <v>22.0</v>
      </c>
      <c r="AL361" s="36" t="str">
        <f t="shared" si="502"/>
        <v>I</v>
      </c>
      <c r="AM361" s="66">
        <v>6.0</v>
      </c>
      <c r="AN361" s="36" t="str">
        <f t="shared" si="503"/>
        <v>R</v>
      </c>
      <c r="AO361" s="66" t="s">
        <v>299</v>
      </c>
      <c r="AP361" s="67">
        <v>30.0</v>
      </c>
      <c r="AQ361" s="37" t="str">
        <f t="shared" si="504"/>
        <v>S</v>
      </c>
      <c r="AR361" s="65">
        <v>26.0</v>
      </c>
      <c r="AS361" s="33" t="str">
        <f t="shared" si="505"/>
        <v>S</v>
      </c>
      <c r="AT361" s="65">
        <v>17.0</v>
      </c>
      <c r="AU361" s="33" t="str">
        <f t="shared" si="506"/>
        <v>S</v>
      </c>
      <c r="AV361" s="33" t="s">
        <v>300</v>
      </c>
      <c r="AW361" s="28">
        <v>26.0</v>
      </c>
      <c r="AX361" s="26" t="str">
        <f t="shared" si="507"/>
        <v>S</v>
      </c>
      <c r="AY361" s="67">
        <v>6.0</v>
      </c>
      <c r="AZ361" s="37" t="str">
        <f t="shared" si="508"/>
        <v>R</v>
      </c>
      <c r="BA361" s="66">
        <v>30.0</v>
      </c>
      <c r="BB361" s="36" t="str">
        <f t="shared" si="509"/>
        <v>S</v>
      </c>
      <c r="BC361" s="39" t="s">
        <v>357</v>
      </c>
      <c r="BD361" s="39" t="s">
        <v>357</v>
      </c>
      <c r="BE361" s="66">
        <v>10.0</v>
      </c>
      <c r="BF361" s="36" t="str">
        <f t="shared" si="510"/>
        <v>R</v>
      </c>
      <c r="BG361" s="68">
        <v>23.0</v>
      </c>
      <c r="BH361" s="41" t="str">
        <f t="shared" si="511"/>
        <v>S</v>
      </c>
      <c r="BI361" s="41"/>
    </row>
    <row r="362">
      <c r="A362" s="51" t="s">
        <v>915</v>
      </c>
      <c r="B362" s="51" t="s">
        <v>444</v>
      </c>
      <c r="C362" s="51" t="s">
        <v>1779</v>
      </c>
      <c r="D362" s="69" t="s">
        <v>571</v>
      </c>
      <c r="E362" s="18" t="s">
        <v>572</v>
      </c>
      <c r="F362" s="18" t="s">
        <v>573</v>
      </c>
      <c r="G362" s="63" t="s">
        <v>1780</v>
      </c>
      <c r="H362" s="72" t="s">
        <v>1627</v>
      </c>
      <c r="I362" s="28">
        <v>30.0</v>
      </c>
      <c r="J362" s="26" t="str">
        <f t="shared" si="489"/>
        <v>S</v>
      </c>
      <c r="K362" s="28">
        <v>30.0</v>
      </c>
      <c r="L362" s="26" t="str">
        <f t="shared" si="490"/>
        <v>S</v>
      </c>
      <c r="M362" s="28">
        <v>40.0</v>
      </c>
      <c r="N362" s="26" t="str">
        <f t="shared" si="491"/>
        <v>S</v>
      </c>
      <c r="O362" s="28">
        <v>38.0</v>
      </c>
      <c r="P362" s="26" t="str">
        <f t="shared" si="492"/>
        <v>S</v>
      </c>
      <c r="Q362" s="28">
        <v>30.0</v>
      </c>
      <c r="R362" s="26" t="str">
        <f t="shared" si="493"/>
        <v>S</v>
      </c>
      <c r="S362" s="28">
        <v>30.0</v>
      </c>
      <c r="T362" s="26" t="str">
        <f t="shared" si="494"/>
        <v>S</v>
      </c>
      <c r="U362" s="28">
        <v>12.0</v>
      </c>
      <c r="V362" s="26" t="str">
        <f t="shared" si="495"/>
        <v>R</v>
      </c>
      <c r="W362" s="32" t="s">
        <v>299</v>
      </c>
      <c r="X362" s="65">
        <v>32.0</v>
      </c>
      <c r="Y362" s="33" t="str">
        <f t="shared" si="496"/>
        <v>S</v>
      </c>
      <c r="Z362" s="65">
        <v>40.0</v>
      </c>
      <c r="AA362" s="33" t="str">
        <f t="shared" si="497"/>
        <v>S</v>
      </c>
      <c r="AB362" s="65">
        <v>13.0</v>
      </c>
      <c r="AC362" s="33" t="str">
        <f t="shared" si="498"/>
        <v>R</v>
      </c>
      <c r="AD362" s="65">
        <v>18.0</v>
      </c>
      <c r="AE362" s="33" t="str">
        <f t="shared" si="499"/>
        <v>S</v>
      </c>
      <c r="AF362" s="65">
        <v>40.0</v>
      </c>
      <c r="AG362" s="33" t="str">
        <f t="shared" si="500"/>
        <v>S</v>
      </c>
      <c r="AH362" s="65" t="s">
        <v>299</v>
      </c>
      <c r="AI362" s="66">
        <v>25.0</v>
      </c>
      <c r="AJ362" s="36" t="str">
        <f t="shared" si="501"/>
        <v>S</v>
      </c>
      <c r="AK362" s="66">
        <v>22.0</v>
      </c>
      <c r="AL362" s="36" t="str">
        <f t="shared" si="502"/>
        <v>I</v>
      </c>
      <c r="AM362" s="66">
        <v>6.0</v>
      </c>
      <c r="AN362" s="36" t="str">
        <f t="shared" si="503"/>
        <v>R</v>
      </c>
      <c r="AO362" s="66" t="s">
        <v>299</v>
      </c>
      <c r="AP362" s="67">
        <v>30.0</v>
      </c>
      <c r="AQ362" s="37" t="str">
        <f t="shared" si="504"/>
        <v>S</v>
      </c>
      <c r="AR362" s="65">
        <v>26.0</v>
      </c>
      <c r="AS362" s="33" t="str">
        <f t="shared" si="505"/>
        <v>S</v>
      </c>
      <c r="AT362" s="65">
        <v>17.0</v>
      </c>
      <c r="AU362" s="33" t="str">
        <f t="shared" si="506"/>
        <v>S</v>
      </c>
      <c r="AV362" s="33" t="s">
        <v>300</v>
      </c>
      <c r="AW362" s="28">
        <v>26.0</v>
      </c>
      <c r="AX362" s="26" t="str">
        <f t="shared" si="507"/>
        <v>S</v>
      </c>
      <c r="AY362" s="67">
        <v>6.0</v>
      </c>
      <c r="AZ362" s="37" t="str">
        <f t="shared" si="508"/>
        <v>R</v>
      </c>
      <c r="BA362" s="66">
        <v>30.0</v>
      </c>
      <c r="BB362" s="36" t="str">
        <f t="shared" si="509"/>
        <v>S</v>
      </c>
      <c r="BC362" s="39" t="s">
        <v>357</v>
      </c>
      <c r="BD362" s="39" t="s">
        <v>357</v>
      </c>
      <c r="BE362" s="66">
        <v>10.0</v>
      </c>
      <c r="BF362" s="36" t="str">
        <f t="shared" si="510"/>
        <v>R</v>
      </c>
      <c r="BG362" s="68">
        <v>23.0</v>
      </c>
      <c r="BH362" s="41" t="str">
        <f t="shared" si="511"/>
        <v>S</v>
      </c>
      <c r="BI362" s="41"/>
    </row>
    <row r="363">
      <c r="A363" s="51" t="s">
        <v>915</v>
      </c>
      <c r="B363" s="53">
        <v>177.0</v>
      </c>
      <c r="C363" s="51" t="s">
        <v>1630</v>
      </c>
      <c r="D363" s="69" t="s">
        <v>705</v>
      </c>
      <c r="E363" s="18" t="s">
        <v>572</v>
      </c>
      <c r="F363" s="18" t="s">
        <v>192</v>
      </c>
      <c r="G363" s="63" t="s">
        <v>1631</v>
      </c>
      <c r="H363" s="42" t="s">
        <v>479</v>
      </c>
      <c r="I363" s="28">
        <v>14.0</v>
      </c>
      <c r="J363" s="26" t="str">
        <f t="shared" si="489"/>
        <v>R</v>
      </c>
      <c r="K363" s="28">
        <v>20.0</v>
      </c>
      <c r="L363" s="26" t="str">
        <f t="shared" si="490"/>
        <v>S</v>
      </c>
      <c r="M363" s="28">
        <v>20.0</v>
      </c>
      <c r="N363" s="26" t="str">
        <f t="shared" si="491"/>
        <v>R</v>
      </c>
      <c r="O363" s="28">
        <v>18.0</v>
      </c>
      <c r="P363" s="26" t="str">
        <f t="shared" si="492"/>
        <v>R</v>
      </c>
      <c r="Q363" s="28">
        <v>16.0</v>
      </c>
      <c r="R363" s="26" t="str">
        <f t="shared" si="493"/>
        <v>R</v>
      </c>
      <c r="S363" s="28">
        <v>15.0</v>
      </c>
      <c r="T363" s="26" t="str">
        <f t="shared" si="494"/>
        <v>R</v>
      </c>
      <c r="U363" s="28">
        <v>6.0</v>
      </c>
      <c r="V363" s="26" t="str">
        <f t="shared" si="495"/>
        <v>R</v>
      </c>
      <c r="W363" s="32" t="s">
        <v>299</v>
      </c>
      <c r="X363" s="65">
        <v>20.0</v>
      </c>
      <c r="Y363" s="33" t="str">
        <f t="shared" si="496"/>
        <v>S</v>
      </c>
      <c r="Z363" s="65">
        <v>16.0</v>
      </c>
      <c r="AA363" s="33" t="str">
        <f t="shared" si="497"/>
        <v>R</v>
      </c>
      <c r="AB363" s="65">
        <v>11.0</v>
      </c>
      <c r="AC363" s="33" t="str">
        <f t="shared" si="498"/>
        <v>R</v>
      </c>
      <c r="AD363" s="65">
        <v>12.0</v>
      </c>
      <c r="AE363" s="33" t="str">
        <f t="shared" si="499"/>
        <v>R</v>
      </c>
      <c r="AF363" s="65">
        <v>18.0</v>
      </c>
      <c r="AG363" s="33" t="str">
        <f t="shared" si="500"/>
        <v>R</v>
      </c>
      <c r="AH363" s="65" t="s">
        <v>299</v>
      </c>
      <c r="AI363" s="66">
        <v>15.0</v>
      </c>
      <c r="AJ363" s="36" t="str">
        <f t="shared" si="501"/>
        <v>R</v>
      </c>
      <c r="AK363" s="66">
        <v>12.0</v>
      </c>
      <c r="AL363" s="36" t="str">
        <f t="shared" si="502"/>
        <v>R</v>
      </c>
      <c r="AM363" s="66">
        <v>6.0</v>
      </c>
      <c r="AN363" s="36" t="str">
        <f t="shared" si="503"/>
        <v>R</v>
      </c>
      <c r="AO363" s="66" t="s">
        <v>299</v>
      </c>
      <c r="AP363" s="67">
        <v>6.0</v>
      </c>
      <c r="AQ363" s="37" t="str">
        <f t="shared" si="504"/>
        <v>R</v>
      </c>
      <c r="AR363" s="65">
        <v>16.0</v>
      </c>
      <c r="AS363" s="33" t="str">
        <f t="shared" si="505"/>
        <v>R</v>
      </c>
      <c r="AT363" s="65">
        <v>15.0</v>
      </c>
      <c r="AU363" s="33" t="str">
        <f t="shared" si="506"/>
        <v>R</v>
      </c>
      <c r="AV363" s="65" t="s">
        <v>299</v>
      </c>
      <c r="AW363" s="28">
        <v>14.0</v>
      </c>
      <c r="AX363" s="26" t="str">
        <f t="shared" si="507"/>
        <v>R</v>
      </c>
      <c r="AY363" s="67">
        <v>14.0</v>
      </c>
      <c r="AZ363" s="37" t="str">
        <f t="shared" si="508"/>
        <v>R</v>
      </c>
      <c r="BA363" s="66">
        <v>17.0</v>
      </c>
      <c r="BB363" s="36" t="str">
        <f t="shared" si="509"/>
        <v>R</v>
      </c>
      <c r="BC363" s="39" t="s">
        <v>357</v>
      </c>
      <c r="BD363" s="39" t="s">
        <v>357</v>
      </c>
      <c r="BE363" s="66">
        <v>28.0</v>
      </c>
      <c r="BF363" s="36" t="str">
        <f t="shared" si="510"/>
        <v>S</v>
      </c>
      <c r="BG363" s="68">
        <v>12.0</v>
      </c>
      <c r="BH363" s="41" t="str">
        <f t="shared" si="511"/>
        <v>R</v>
      </c>
      <c r="BI363" s="41"/>
    </row>
    <row r="364">
      <c r="A364" s="51" t="s">
        <v>915</v>
      </c>
      <c r="B364" s="51" t="s">
        <v>444</v>
      </c>
      <c r="C364" s="51" t="s">
        <v>1781</v>
      </c>
      <c r="D364" s="69" t="s">
        <v>705</v>
      </c>
      <c r="E364" s="18" t="s">
        <v>572</v>
      </c>
      <c r="F364" s="18" t="s">
        <v>192</v>
      </c>
      <c r="G364" s="63" t="s">
        <v>1782</v>
      </c>
      <c r="H364" s="42" t="s">
        <v>479</v>
      </c>
      <c r="I364" s="28">
        <v>14.0</v>
      </c>
      <c r="J364" s="26" t="str">
        <f t="shared" si="489"/>
        <v>R</v>
      </c>
      <c r="K364" s="28">
        <v>20.0</v>
      </c>
      <c r="L364" s="26" t="str">
        <f t="shared" si="490"/>
        <v>S</v>
      </c>
      <c r="M364" s="28">
        <v>20.0</v>
      </c>
      <c r="N364" s="26" t="str">
        <f t="shared" si="491"/>
        <v>R</v>
      </c>
      <c r="O364" s="28">
        <v>18.0</v>
      </c>
      <c r="P364" s="26" t="str">
        <f t="shared" si="492"/>
        <v>R</v>
      </c>
      <c r="Q364" s="28">
        <v>16.0</v>
      </c>
      <c r="R364" s="26" t="str">
        <f t="shared" si="493"/>
        <v>R</v>
      </c>
      <c r="S364" s="28">
        <v>15.0</v>
      </c>
      <c r="T364" s="26" t="str">
        <f t="shared" si="494"/>
        <v>R</v>
      </c>
      <c r="U364" s="28">
        <v>6.0</v>
      </c>
      <c r="V364" s="26" t="str">
        <f t="shared" si="495"/>
        <v>R</v>
      </c>
      <c r="W364" s="32" t="s">
        <v>299</v>
      </c>
      <c r="X364" s="65">
        <v>20.0</v>
      </c>
      <c r="Y364" s="33" t="str">
        <f t="shared" si="496"/>
        <v>S</v>
      </c>
      <c r="Z364" s="65">
        <v>16.0</v>
      </c>
      <c r="AA364" s="33" t="str">
        <f t="shared" si="497"/>
        <v>R</v>
      </c>
      <c r="AB364" s="65">
        <v>11.0</v>
      </c>
      <c r="AC364" s="33" t="str">
        <f t="shared" si="498"/>
        <v>R</v>
      </c>
      <c r="AD364" s="65">
        <v>12.0</v>
      </c>
      <c r="AE364" s="33" t="str">
        <f t="shared" si="499"/>
        <v>R</v>
      </c>
      <c r="AF364" s="65">
        <v>18.0</v>
      </c>
      <c r="AG364" s="33" t="str">
        <f t="shared" si="500"/>
        <v>R</v>
      </c>
      <c r="AH364" s="65" t="s">
        <v>299</v>
      </c>
      <c r="AI364" s="66">
        <v>15.0</v>
      </c>
      <c r="AJ364" s="36" t="str">
        <f t="shared" si="501"/>
        <v>R</v>
      </c>
      <c r="AK364" s="66">
        <v>12.0</v>
      </c>
      <c r="AL364" s="36" t="str">
        <f t="shared" si="502"/>
        <v>R</v>
      </c>
      <c r="AM364" s="66">
        <v>6.0</v>
      </c>
      <c r="AN364" s="36" t="str">
        <f t="shared" si="503"/>
        <v>R</v>
      </c>
      <c r="AO364" s="66" t="s">
        <v>299</v>
      </c>
      <c r="AP364" s="67">
        <v>6.0</v>
      </c>
      <c r="AQ364" s="37" t="str">
        <f t="shared" si="504"/>
        <v>R</v>
      </c>
      <c r="AR364" s="65">
        <v>16.0</v>
      </c>
      <c r="AS364" s="33" t="str">
        <f t="shared" si="505"/>
        <v>R</v>
      </c>
      <c r="AT364" s="65">
        <v>15.0</v>
      </c>
      <c r="AU364" s="33" t="str">
        <f t="shared" si="506"/>
        <v>R</v>
      </c>
      <c r="AV364" s="65" t="s">
        <v>299</v>
      </c>
      <c r="AW364" s="28">
        <v>14.0</v>
      </c>
      <c r="AX364" s="26" t="str">
        <f t="shared" si="507"/>
        <v>R</v>
      </c>
      <c r="AY364" s="67">
        <v>14.0</v>
      </c>
      <c r="AZ364" s="37" t="str">
        <f t="shared" si="508"/>
        <v>R</v>
      </c>
      <c r="BA364" s="66">
        <v>17.0</v>
      </c>
      <c r="BB364" s="36" t="str">
        <f t="shared" si="509"/>
        <v>R</v>
      </c>
      <c r="BC364" s="39" t="s">
        <v>357</v>
      </c>
      <c r="BD364" s="39" t="s">
        <v>357</v>
      </c>
      <c r="BE364" s="66">
        <v>28.0</v>
      </c>
      <c r="BF364" s="36" t="str">
        <f t="shared" si="510"/>
        <v>S</v>
      </c>
      <c r="BG364" s="68">
        <v>12.0</v>
      </c>
      <c r="BH364" s="41" t="str">
        <f t="shared" si="511"/>
        <v>R</v>
      </c>
      <c r="BI364" s="41"/>
    </row>
    <row r="365">
      <c r="A365" s="51" t="s">
        <v>915</v>
      </c>
      <c r="B365" s="51" t="s">
        <v>444</v>
      </c>
      <c r="C365" s="51" t="s">
        <v>1783</v>
      </c>
      <c r="D365" s="69" t="s">
        <v>705</v>
      </c>
      <c r="E365" s="18" t="s">
        <v>572</v>
      </c>
      <c r="F365" s="18" t="s">
        <v>192</v>
      </c>
      <c r="G365" s="63" t="s">
        <v>1784</v>
      </c>
      <c r="H365" s="42" t="s">
        <v>479</v>
      </c>
      <c r="I365" s="28">
        <v>14.0</v>
      </c>
      <c r="J365" s="26" t="str">
        <f t="shared" si="489"/>
        <v>R</v>
      </c>
      <c r="K365" s="28">
        <v>20.0</v>
      </c>
      <c r="L365" s="26" t="str">
        <f t="shared" si="490"/>
        <v>S</v>
      </c>
      <c r="M365" s="28">
        <v>20.0</v>
      </c>
      <c r="N365" s="26" t="str">
        <f t="shared" si="491"/>
        <v>R</v>
      </c>
      <c r="O365" s="28">
        <v>18.0</v>
      </c>
      <c r="P365" s="26" t="str">
        <f t="shared" si="492"/>
        <v>R</v>
      </c>
      <c r="Q365" s="28">
        <v>16.0</v>
      </c>
      <c r="R365" s="26" t="str">
        <f t="shared" si="493"/>
        <v>R</v>
      </c>
      <c r="S365" s="28">
        <v>15.0</v>
      </c>
      <c r="T365" s="26" t="str">
        <f t="shared" si="494"/>
        <v>R</v>
      </c>
      <c r="U365" s="28">
        <v>6.0</v>
      </c>
      <c r="V365" s="26" t="str">
        <f t="shared" si="495"/>
        <v>R</v>
      </c>
      <c r="W365" s="32" t="s">
        <v>299</v>
      </c>
      <c r="X365" s="65">
        <v>20.0</v>
      </c>
      <c r="Y365" s="33" t="str">
        <f t="shared" si="496"/>
        <v>S</v>
      </c>
      <c r="Z365" s="65">
        <v>16.0</v>
      </c>
      <c r="AA365" s="33" t="str">
        <f t="shared" si="497"/>
        <v>R</v>
      </c>
      <c r="AB365" s="65">
        <v>11.0</v>
      </c>
      <c r="AC365" s="33" t="str">
        <f t="shared" si="498"/>
        <v>R</v>
      </c>
      <c r="AD365" s="65">
        <v>12.0</v>
      </c>
      <c r="AE365" s="33" t="str">
        <f t="shared" si="499"/>
        <v>R</v>
      </c>
      <c r="AF365" s="65">
        <v>18.0</v>
      </c>
      <c r="AG365" s="33" t="str">
        <f t="shared" si="500"/>
        <v>R</v>
      </c>
      <c r="AH365" s="65" t="s">
        <v>299</v>
      </c>
      <c r="AI365" s="66">
        <v>15.0</v>
      </c>
      <c r="AJ365" s="36" t="str">
        <f t="shared" si="501"/>
        <v>R</v>
      </c>
      <c r="AK365" s="66">
        <v>12.0</v>
      </c>
      <c r="AL365" s="36" t="str">
        <f t="shared" si="502"/>
        <v>R</v>
      </c>
      <c r="AM365" s="66">
        <v>6.0</v>
      </c>
      <c r="AN365" s="36" t="str">
        <f t="shared" si="503"/>
        <v>R</v>
      </c>
      <c r="AO365" s="66" t="s">
        <v>299</v>
      </c>
      <c r="AP365" s="67">
        <v>6.0</v>
      </c>
      <c r="AQ365" s="37" t="str">
        <f t="shared" si="504"/>
        <v>R</v>
      </c>
      <c r="AR365" s="65">
        <v>16.0</v>
      </c>
      <c r="AS365" s="33" t="str">
        <f t="shared" si="505"/>
        <v>R</v>
      </c>
      <c r="AT365" s="65">
        <v>15.0</v>
      </c>
      <c r="AU365" s="33" t="str">
        <f t="shared" si="506"/>
        <v>R</v>
      </c>
      <c r="AV365" s="65" t="s">
        <v>299</v>
      </c>
      <c r="AW365" s="28">
        <v>14.0</v>
      </c>
      <c r="AX365" s="26" t="str">
        <f t="shared" si="507"/>
        <v>R</v>
      </c>
      <c r="AY365" s="67">
        <v>14.0</v>
      </c>
      <c r="AZ365" s="37" t="str">
        <f t="shared" si="508"/>
        <v>R</v>
      </c>
      <c r="BA365" s="66">
        <v>17.0</v>
      </c>
      <c r="BB365" s="36" t="str">
        <f t="shared" si="509"/>
        <v>R</v>
      </c>
      <c r="BC365" s="39" t="s">
        <v>357</v>
      </c>
      <c r="BD365" s="39" t="s">
        <v>357</v>
      </c>
      <c r="BE365" s="66">
        <v>28.0</v>
      </c>
      <c r="BF365" s="36" t="str">
        <f t="shared" si="510"/>
        <v>S</v>
      </c>
      <c r="BG365" s="68">
        <v>12.0</v>
      </c>
      <c r="BH365" s="41" t="str">
        <f t="shared" si="511"/>
        <v>R</v>
      </c>
      <c r="BI365" s="41"/>
    </row>
    <row r="366">
      <c r="A366" s="21" t="s">
        <v>922</v>
      </c>
      <c r="B366" s="23">
        <v>178.0</v>
      </c>
      <c r="C366" s="21" t="s">
        <v>1634</v>
      </c>
      <c r="D366" s="69" t="s">
        <v>190</v>
      </c>
      <c r="E366" s="18" t="s">
        <v>190</v>
      </c>
      <c r="F366" s="18" t="s">
        <v>192</v>
      </c>
      <c r="G366" s="63" t="s">
        <v>1635</v>
      </c>
      <c r="H366" s="22" t="s">
        <v>198</v>
      </c>
      <c r="I366" s="28">
        <v>6.0</v>
      </c>
      <c r="J366" s="26" t="str">
        <f t="shared" si="489"/>
        <v>R</v>
      </c>
      <c r="K366" s="28">
        <v>15.0</v>
      </c>
      <c r="L366" s="26" t="str">
        <f t="shared" si="490"/>
        <v>R</v>
      </c>
      <c r="M366" s="28">
        <v>6.0</v>
      </c>
      <c r="N366" s="26" t="str">
        <f t="shared" si="491"/>
        <v>R</v>
      </c>
      <c r="O366" s="28">
        <v>19.0</v>
      </c>
      <c r="P366" s="26" t="str">
        <f t="shared" si="492"/>
        <v>R</v>
      </c>
      <c r="Q366" s="28">
        <v>6.0</v>
      </c>
      <c r="R366" s="26" t="str">
        <f t="shared" si="493"/>
        <v>R</v>
      </c>
      <c r="S366" s="28">
        <v>15.0</v>
      </c>
      <c r="T366" s="26" t="str">
        <f t="shared" si="494"/>
        <v>R</v>
      </c>
      <c r="U366" s="28">
        <v>18.0</v>
      </c>
      <c r="V366" s="26" t="str">
        <f t="shared" si="495"/>
        <v>I</v>
      </c>
      <c r="W366" s="32" t="s">
        <v>299</v>
      </c>
      <c r="X366" s="65">
        <v>12.0</v>
      </c>
      <c r="Y366" s="33" t="str">
        <f t="shared" si="496"/>
        <v>R</v>
      </c>
      <c r="Z366" s="65">
        <v>18.0</v>
      </c>
      <c r="AA366" s="33" t="str">
        <f t="shared" si="497"/>
        <v>S</v>
      </c>
      <c r="AB366" s="65">
        <v>6.0</v>
      </c>
      <c r="AC366" s="33" t="str">
        <f t="shared" si="498"/>
        <v>R</v>
      </c>
      <c r="AD366" s="65">
        <v>18.0</v>
      </c>
      <c r="AE366" s="33" t="str">
        <f t="shared" si="499"/>
        <v>S</v>
      </c>
      <c r="AF366" s="65">
        <v>16.0</v>
      </c>
      <c r="AG366" s="33" t="str">
        <f t="shared" si="500"/>
        <v>R</v>
      </c>
      <c r="AH366" s="65" t="s">
        <v>299</v>
      </c>
      <c r="AI366" s="66">
        <v>12.0</v>
      </c>
      <c r="AJ366" s="36" t="str">
        <f t="shared" si="501"/>
        <v>R</v>
      </c>
      <c r="AK366" s="66">
        <v>17.0</v>
      </c>
      <c r="AL366" s="36" t="str">
        <f t="shared" si="502"/>
        <v>R</v>
      </c>
      <c r="AM366" s="66">
        <v>6.0</v>
      </c>
      <c r="AN366" s="36" t="str">
        <f t="shared" si="503"/>
        <v>R</v>
      </c>
      <c r="AO366" s="66" t="s">
        <v>299</v>
      </c>
      <c r="AP366" s="67">
        <v>6.0</v>
      </c>
      <c r="AQ366" s="37" t="str">
        <f t="shared" si="504"/>
        <v>R</v>
      </c>
      <c r="AR366" s="65">
        <v>21.0</v>
      </c>
      <c r="AS366" s="33" t="str">
        <f t="shared" si="505"/>
        <v>S</v>
      </c>
      <c r="AT366" s="65">
        <v>15.0</v>
      </c>
      <c r="AU366" s="33" t="str">
        <f t="shared" si="506"/>
        <v>R</v>
      </c>
      <c r="AV366" s="65" t="s">
        <v>299</v>
      </c>
      <c r="AW366" s="28">
        <v>9.0</v>
      </c>
      <c r="AX366" s="26" t="str">
        <f t="shared" si="507"/>
        <v>R</v>
      </c>
      <c r="AY366" s="67">
        <v>10.0</v>
      </c>
      <c r="AZ366" s="37" t="str">
        <f t="shared" si="508"/>
        <v>R</v>
      </c>
      <c r="BA366" s="66">
        <v>23.0</v>
      </c>
      <c r="BB366" s="36" t="str">
        <f t="shared" si="509"/>
        <v>S</v>
      </c>
      <c r="BC366" s="39" t="s">
        <v>357</v>
      </c>
      <c r="BD366" s="39" t="s">
        <v>357</v>
      </c>
      <c r="BE366" s="66">
        <v>21.0</v>
      </c>
      <c r="BF366" s="36" t="str">
        <f t="shared" si="510"/>
        <v>I</v>
      </c>
      <c r="BG366" s="68">
        <v>11.0</v>
      </c>
      <c r="BH366" s="41" t="str">
        <f t="shared" si="511"/>
        <v>R</v>
      </c>
      <c r="BI366" s="41"/>
    </row>
    <row r="367">
      <c r="A367" s="21" t="s">
        <v>922</v>
      </c>
      <c r="B367" s="21" t="s">
        <v>444</v>
      </c>
      <c r="C367" s="21" t="s">
        <v>1785</v>
      </c>
      <c r="D367" s="69" t="s">
        <v>190</v>
      </c>
      <c r="E367" s="18" t="s">
        <v>190</v>
      </c>
      <c r="F367" s="18" t="s">
        <v>192</v>
      </c>
      <c r="G367" s="63" t="s">
        <v>1786</v>
      </c>
      <c r="H367" s="22" t="s">
        <v>198</v>
      </c>
      <c r="I367" s="28">
        <v>6.0</v>
      </c>
      <c r="J367" s="26" t="str">
        <f t="shared" si="489"/>
        <v>R</v>
      </c>
      <c r="K367" s="28">
        <v>15.0</v>
      </c>
      <c r="L367" s="26" t="str">
        <f t="shared" si="490"/>
        <v>R</v>
      </c>
      <c r="M367" s="28">
        <v>6.0</v>
      </c>
      <c r="N367" s="26" t="str">
        <f t="shared" si="491"/>
        <v>R</v>
      </c>
      <c r="O367" s="28">
        <v>19.0</v>
      </c>
      <c r="P367" s="26" t="str">
        <f t="shared" si="492"/>
        <v>R</v>
      </c>
      <c r="Q367" s="28">
        <v>6.0</v>
      </c>
      <c r="R367" s="26" t="str">
        <f t="shared" si="493"/>
        <v>R</v>
      </c>
      <c r="S367" s="28">
        <v>15.0</v>
      </c>
      <c r="T367" s="26" t="str">
        <f t="shared" si="494"/>
        <v>R</v>
      </c>
      <c r="U367" s="28">
        <v>18.0</v>
      </c>
      <c r="V367" s="26" t="str">
        <f t="shared" si="495"/>
        <v>I</v>
      </c>
      <c r="W367" s="32" t="s">
        <v>299</v>
      </c>
      <c r="X367" s="65">
        <v>12.0</v>
      </c>
      <c r="Y367" s="33" t="str">
        <f t="shared" si="496"/>
        <v>R</v>
      </c>
      <c r="Z367" s="65">
        <v>18.0</v>
      </c>
      <c r="AA367" s="33" t="str">
        <f t="shared" si="497"/>
        <v>S</v>
      </c>
      <c r="AB367" s="65">
        <v>6.0</v>
      </c>
      <c r="AC367" s="33" t="str">
        <f t="shared" si="498"/>
        <v>R</v>
      </c>
      <c r="AD367" s="65">
        <v>18.0</v>
      </c>
      <c r="AE367" s="33" t="str">
        <f t="shared" si="499"/>
        <v>S</v>
      </c>
      <c r="AF367" s="65">
        <v>16.0</v>
      </c>
      <c r="AG367" s="33" t="str">
        <f t="shared" si="500"/>
        <v>R</v>
      </c>
      <c r="AH367" s="65" t="s">
        <v>299</v>
      </c>
      <c r="AI367" s="66">
        <v>12.0</v>
      </c>
      <c r="AJ367" s="36" t="str">
        <f t="shared" si="501"/>
        <v>R</v>
      </c>
      <c r="AK367" s="66">
        <v>17.0</v>
      </c>
      <c r="AL367" s="36" t="str">
        <f t="shared" si="502"/>
        <v>R</v>
      </c>
      <c r="AM367" s="66">
        <v>6.0</v>
      </c>
      <c r="AN367" s="36" t="str">
        <f t="shared" si="503"/>
        <v>R</v>
      </c>
      <c r="AO367" s="66" t="s">
        <v>299</v>
      </c>
      <c r="AP367" s="67">
        <v>6.0</v>
      </c>
      <c r="AQ367" s="37" t="str">
        <f t="shared" si="504"/>
        <v>R</v>
      </c>
      <c r="AR367" s="65">
        <v>21.0</v>
      </c>
      <c r="AS367" s="33" t="str">
        <f t="shared" si="505"/>
        <v>S</v>
      </c>
      <c r="AT367" s="65">
        <v>15.0</v>
      </c>
      <c r="AU367" s="33" t="str">
        <f t="shared" si="506"/>
        <v>R</v>
      </c>
      <c r="AV367" s="65" t="s">
        <v>299</v>
      </c>
      <c r="AW367" s="28">
        <v>9.0</v>
      </c>
      <c r="AX367" s="26" t="str">
        <f t="shared" si="507"/>
        <v>R</v>
      </c>
      <c r="AY367" s="67">
        <v>10.0</v>
      </c>
      <c r="AZ367" s="37" t="str">
        <f t="shared" si="508"/>
        <v>R</v>
      </c>
      <c r="BA367" s="66">
        <v>23.0</v>
      </c>
      <c r="BB367" s="36" t="str">
        <f t="shared" si="509"/>
        <v>S</v>
      </c>
      <c r="BC367" s="39" t="s">
        <v>357</v>
      </c>
      <c r="BD367" s="39" t="s">
        <v>357</v>
      </c>
      <c r="BE367" s="66">
        <v>21.0</v>
      </c>
      <c r="BF367" s="36" t="str">
        <f t="shared" si="510"/>
        <v>I</v>
      </c>
      <c r="BG367" s="68">
        <v>11.0</v>
      </c>
      <c r="BH367" s="41" t="str">
        <f t="shared" si="511"/>
        <v>R</v>
      </c>
      <c r="BI367" s="41"/>
    </row>
    <row r="368">
      <c r="A368" s="21" t="s">
        <v>922</v>
      </c>
      <c r="B368" s="21" t="s">
        <v>444</v>
      </c>
      <c r="C368" s="21" t="s">
        <v>1787</v>
      </c>
      <c r="D368" s="69" t="s">
        <v>190</v>
      </c>
      <c r="E368" s="18" t="s">
        <v>190</v>
      </c>
      <c r="F368" s="18" t="s">
        <v>192</v>
      </c>
      <c r="G368" s="63" t="s">
        <v>1788</v>
      </c>
      <c r="H368" s="22" t="s">
        <v>198</v>
      </c>
      <c r="I368" s="28">
        <v>6.0</v>
      </c>
      <c r="J368" s="26" t="str">
        <f t="shared" si="489"/>
        <v>R</v>
      </c>
      <c r="K368" s="28">
        <v>15.0</v>
      </c>
      <c r="L368" s="26" t="str">
        <f t="shared" si="490"/>
        <v>R</v>
      </c>
      <c r="M368" s="28">
        <v>6.0</v>
      </c>
      <c r="N368" s="26" t="str">
        <f t="shared" si="491"/>
        <v>R</v>
      </c>
      <c r="O368" s="28">
        <v>19.0</v>
      </c>
      <c r="P368" s="26" t="str">
        <f t="shared" si="492"/>
        <v>R</v>
      </c>
      <c r="Q368" s="28">
        <v>6.0</v>
      </c>
      <c r="R368" s="26" t="str">
        <f t="shared" si="493"/>
        <v>R</v>
      </c>
      <c r="S368" s="28">
        <v>15.0</v>
      </c>
      <c r="T368" s="26" t="str">
        <f t="shared" si="494"/>
        <v>R</v>
      </c>
      <c r="U368" s="28">
        <v>18.0</v>
      </c>
      <c r="V368" s="26" t="str">
        <f t="shared" si="495"/>
        <v>I</v>
      </c>
      <c r="W368" s="32" t="s">
        <v>299</v>
      </c>
      <c r="X368" s="65">
        <v>12.0</v>
      </c>
      <c r="Y368" s="33" t="str">
        <f t="shared" si="496"/>
        <v>R</v>
      </c>
      <c r="Z368" s="65">
        <v>18.0</v>
      </c>
      <c r="AA368" s="33" t="str">
        <f t="shared" si="497"/>
        <v>S</v>
      </c>
      <c r="AB368" s="65">
        <v>6.0</v>
      </c>
      <c r="AC368" s="33" t="str">
        <f t="shared" si="498"/>
        <v>R</v>
      </c>
      <c r="AD368" s="65">
        <v>18.0</v>
      </c>
      <c r="AE368" s="33" t="str">
        <f t="shared" si="499"/>
        <v>S</v>
      </c>
      <c r="AF368" s="65">
        <v>16.0</v>
      </c>
      <c r="AG368" s="33" t="str">
        <f t="shared" si="500"/>
        <v>R</v>
      </c>
      <c r="AH368" s="65" t="s">
        <v>299</v>
      </c>
      <c r="AI368" s="66">
        <v>12.0</v>
      </c>
      <c r="AJ368" s="36" t="str">
        <f t="shared" si="501"/>
        <v>R</v>
      </c>
      <c r="AK368" s="66">
        <v>17.0</v>
      </c>
      <c r="AL368" s="36" t="str">
        <f t="shared" si="502"/>
        <v>R</v>
      </c>
      <c r="AM368" s="66">
        <v>6.0</v>
      </c>
      <c r="AN368" s="36" t="str">
        <f t="shared" si="503"/>
        <v>R</v>
      </c>
      <c r="AO368" s="66" t="s">
        <v>299</v>
      </c>
      <c r="AP368" s="67">
        <v>6.0</v>
      </c>
      <c r="AQ368" s="37" t="str">
        <f t="shared" si="504"/>
        <v>R</v>
      </c>
      <c r="AR368" s="65">
        <v>21.0</v>
      </c>
      <c r="AS368" s="33" t="str">
        <f t="shared" si="505"/>
        <v>S</v>
      </c>
      <c r="AT368" s="65">
        <v>15.0</v>
      </c>
      <c r="AU368" s="33" t="str">
        <f t="shared" si="506"/>
        <v>R</v>
      </c>
      <c r="AV368" s="65" t="s">
        <v>299</v>
      </c>
      <c r="AW368" s="28">
        <v>9.0</v>
      </c>
      <c r="AX368" s="26" t="str">
        <f t="shared" si="507"/>
        <v>R</v>
      </c>
      <c r="AY368" s="67">
        <v>10.0</v>
      </c>
      <c r="AZ368" s="37" t="str">
        <f t="shared" si="508"/>
        <v>R</v>
      </c>
      <c r="BA368" s="66">
        <v>23.0</v>
      </c>
      <c r="BB368" s="36" t="str">
        <f t="shared" si="509"/>
        <v>S</v>
      </c>
      <c r="BC368" s="39" t="s">
        <v>357</v>
      </c>
      <c r="BD368" s="39" t="s">
        <v>357</v>
      </c>
      <c r="BE368" s="66">
        <v>21.0</v>
      </c>
      <c r="BF368" s="36" t="str">
        <f t="shared" si="510"/>
        <v>I</v>
      </c>
      <c r="BG368" s="68">
        <v>11.0</v>
      </c>
      <c r="BH368" s="41" t="str">
        <f t="shared" si="511"/>
        <v>R</v>
      </c>
      <c r="BI368" s="41"/>
    </row>
    <row r="369">
      <c r="A369" s="21" t="s">
        <v>922</v>
      </c>
      <c r="B369" s="23">
        <v>179.0</v>
      </c>
      <c r="C369" s="21" t="s">
        <v>1636</v>
      </c>
      <c r="D369" s="69" t="s">
        <v>190</v>
      </c>
      <c r="E369" s="18" t="s">
        <v>190</v>
      </c>
      <c r="F369" s="18" t="s">
        <v>192</v>
      </c>
      <c r="G369" s="63" t="s">
        <v>1637</v>
      </c>
      <c r="H369" s="22" t="s">
        <v>198</v>
      </c>
      <c r="I369" s="28">
        <v>6.0</v>
      </c>
      <c r="J369" s="26" t="str">
        <f t="shared" si="489"/>
        <v>R</v>
      </c>
      <c r="K369" s="28">
        <v>19.0</v>
      </c>
      <c r="L369" s="26" t="str">
        <f t="shared" si="490"/>
        <v>S</v>
      </c>
      <c r="M369" s="28">
        <v>6.0</v>
      </c>
      <c r="N369" s="26" t="str">
        <f t="shared" si="491"/>
        <v>R</v>
      </c>
      <c r="O369" s="28">
        <v>23.0</v>
      </c>
      <c r="P369" s="26" t="str">
        <f t="shared" si="492"/>
        <v>S</v>
      </c>
      <c r="Q369" s="28">
        <v>11.0</v>
      </c>
      <c r="R369" s="26" t="str">
        <f t="shared" si="493"/>
        <v>R</v>
      </c>
      <c r="S369" s="28">
        <v>23.0</v>
      </c>
      <c r="T369" s="26" t="str">
        <f t="shared" si="494"/>
        <v>S</v>
      </c>
      <c r="U369" s="28">
        <v>27.0</v>
      </c>
      <c r="V369" s="26" t="str">
        <f t="shared" si="495"/>
        <v>S</v>
      </c>
      <c r="W369" s="32" t="s">
        <v>299</v>
      </c>
      <c r="X369" s="65">
        <v>17.0</v>
      </c>
      <c r="Y369" s="33" t="str">
        <f t="shared" si="496"/>
        <v>I</v>
      </c>
      <c r="Z369" s="65">
        <v>24.0</v>
      </c>
      <c r="AA369" s="33" t="str">
        <f t="shared" si="497"/>
        <v>S</v>
      </c>
      <c r="AB369" s="65">
        <v>21.0</v>
      </c>
      <c r="AC369" s="33" t="str">
        <f t="shared" si="498"/>
        <v>I</v>
      </c>
      <c r="AD369" s="65">
        <v>24.0</v>
      </c>
      <c r="AE369" s="33" t="str">
        <f t="shared" si="499"/>
        <v>S</v>
      </c>
      <c r="AF369" s="65">
        <v>23.0</v>
      </c>
      <c r="AG369" s="33" t="str">
        <f t="shared" si="500"/>
        <v>R</v>
      </c>
      <c r="AH369" s="65" t="s">
        <v>299</v>
      </c>
      <c r="AI369" s="66">
        <v>32.0</v>
      </c>
      <c r="AJ369" s="36" t="str">
        <f t="shared" si="501"/>
        <v>S</v>
      </c>
      <c r="AK369" s="66">
        <v>26.0</v>
      </c>
      <c r="AL369" s="36" t="str">
        <f t="shared" si="502"/>
        <v>S</v>
      </c>
      <c r="AM369" s="66">
        <v>26.0</v>
      </c>
      <c r="AN369" s="36" t="str">
        <f t="shared" si="503"/>
        <v>S</v>
      </c>
      <c r="AO369" s="36" t="s">
        <v>300</v>
      </c>
      <c r="AP369" s="67">
        <v>6.0</v>
      </c>
      <c r="AQ369" s="37" t="str">
        <f t="shared" si="504"/>
        <v>R</v>
      </c>
      <c r="AR369" s="65">
        <v>24.0</v>
      </c>
      <c r="AS369" s="33" t="str">
        <f t="shared" si="505"/>
        <v>S</v>
      </c>
      <c r="AT369" s="65">
        <v>24.0</v>
      </c>
      <c r="AU369" s="33" t="str">
        <f t="shared" si="506"/>
        <v>S</v>
      </c>
      <c r="AV369" s="33" t="s">
        <v>300</v>
      </c>
      <c r="AW369" s="28">
        <v>6.0</v>
      </c>
      <c r="AX369" s="26" t="str">
        <f t="shared" si="507"/>
        <v>R</v>
      </c>
      <c r="AY369" s="67">
        <v>26.0</v>
      </c>
      <c r="AZ369" s="37" t="str">
        <f t="shared" si="508"/>
        <v>S</v>
      </c>
      <c r="BA369" s="66">
        <v>34.0</v>
      </c>
      <c r="BB369" s="36" t="str">
        <f t="shared" si="509"/>
        <v>S</v>
      </c>
      <c r="BC369" s="39" t="s">
        <v>357</v>
      </c>
      <c r="BD369" s="39" t="s">
        <v>357</v>
      </c>
      <c r="BE369" s="66">
        <v>27.0</v>
      </c>
      <c r="BF369" s="36" t="str">
        <f t="shared" si="510"/>
        <v>S</v>
      </c>
      <c r="BG369" s="68">
        <v>23.0</v>
      </c>
      <c r="BH369" s="41" t="str">
        <f t="shared" si="511"/>
        <v>S</v>
      </c>
      <c r="BI369" s="41"/>
    </row>
    <row r="370">
      <c r="A370" s="21" t="s">
        <v>922</v>
      </c>
      <c r="B370" s="21" t="s">
        <v>444</v>
      </c>
      <c r="C370" s="21" t="s">
        <v>1789</v>
      </c>
      <c r="D370" s="69" t="s">
        <v>190</v>
      </c>
      <c r="E370" s="18" t="s">
        <v>190</v>
      </c>
      <c r="F370" s="18" t="s">
        <v>192</v>
      </c>
      <c r="G370" s="63" t="s">
        <v>1790</v>
      </c>
      <c r="H370" s="22" t="s">
        <v>198</v>
      </c>
      <c r="I370" s="28">
        <v>6.0</v>
      </c>
      <c r="J370" s="26" t="str">
        <f t="shared" si="489"/>
        <v>R</v>
      </c>
      <c r="K370" s="28">
        <v>19.0</v>
      </c>
      <c r="L370" s="26" t="str">
        <f t="shared" si="490"/>
        <v>S</v>
      </c>
      <c r="M370" s="28">
        <v>6.0</v>
      </c>
      <c r="N370" s="26" t="str">
        <f t="shared" si="491"/>
        <v>R</v>
      </c>
      <c r="O370" s="28">
        <v>23.0</v>
      </c>
      <c r="P370" s="26" t="str">
        <f t="shared" si="492"/>
        <v>S</v>
      </c>
      <c r="Q370" s="28">
        <v>11.0</v>
      </c>
      <c r="R370" s="26" t="str">
        <f t="shared" si="493"/>
        <v>R</v>
      </c>
      <c r="S370" s="28">
        <v>23.0</v>
      </c>
      <c r="T370" s="26" t="str">
        <f t="shared" si="494"/>
        <v>S</v>
      </c>
      <c r="U370" s="28">
        <v>27.0</v>
      </c>
      <c r="V370" s="26" t="str">
        <f t="shared" si="495"/>
        <v>S</v>
      </c>
      <c r="W370" s="32" t="s">
        <v>299</v>
      </c>
      <c r="X370" s="65">
        <v>17.0</v>
      </c>
      <c r="Y370" s="33" t="str">
        <f t="shared" si="496"/>
        <v>I</v>
      </c>
      <c r="Z370" s="65">
        <v>24.0</v>
      </c>
      <c r="AA370" s="33" t="str">
        <f t="shared" si="497"/>
        <v>S</v>
      </c>
      <c r="AB370" s="65">
        <v>21.0</v>
      </c>
      <c r="AC370" s="33" t="str">
        <f t="shared" si="498"/>
        <v>I</v>
      </c>
      <c r="AD370" s="65">
        <v>24.0</v>
      </c>
      <c r="AE370" s="33" t="str">
        <f t="shared" si="499"/>
        <v>S</v>
      </c>
      <c r="AF370" s="65">
        <v>23.0</v>
      </c>
      <c r="AG370" s="33" t="str">
        <f t="shared" si="500"/>
        <v>R</v>
      </c>
      <c r="AH370" s="65" t="s">
        <v>299</v>
      </c>
      <c r="AI370" s="66">
        <v>32.0</v>
      </c>
      <c r="AJ370" s="36" t="str">
        <f t="shared" si="501"/>
        <v>S</v>
      </c>
      <c r="AK370" s="66">
        <v>26.0</v>
      </c>
      <c r="AL370" s="36" t="str">
        <f t="shared" si="502"/>
        <v>S</v>
      </c>
      <c r="AM370" s="66">
        <v>26.0</v>
      </c>
      <c r="AN370" s="36" t="str">
        <f t="shared" si="503"/>
        <v>S</v>
      </c>
      <c r="AO370" s="36" t="s">
        <v>300</v>
      </c>
      <c r="AP370" s="67">
        <v>6.0</v>
      </c>
      <c r="AQ370" s="37" t="str">
        <f t="shared" si="504"/>
        <v>R</v>
      </c>
      <c r="AR370" s="65">
        <v>24.0</v>
      </c>
      <c r="AS370" s="33" t="str">
        <f t="shared" si="505"/>
        <v>S</v>
      </c>
      <c r="AT370" s="65">
        <v>24.0</v>
      </c>
      <c r="AU370" s="33" t="str">
        <f t="shared" si="506"/>
        <v>S</v>
      </c>
      <c r="AV370" s="33" t="s">
        <v>300</v>
      </c>
      <c r="AW370" s="28">
        <v>6.0</v>
      </c>
      <c r="AX370" s="26" t="str">
        <f t="shared" si="507"/>
        <v>R</v>
      </c>
      <c r="AY370" s="67">
        <v>26.0</v>
      </c>
      <c r="AZ370" s="37" t="str">
        <f t="shared" si="508"/>
        <v>S</v>
      </c>
      <c r="BA370" s="66">
        <v>34.0</v>
      </c>
      <c r="BB370" s="36" t="str">
        <f t="shared" si="509"/>
        <v>S</v>
      </c>
      <c r="BC370" s="39" t="s">
        <v>357</v>
      </c>
      <c r="BD370" s="39" t="s">
        <v>357</v>
      </c>
      <c r="BE370" s="66">
        <v>27.0</v>
      </c>
      <c r="BF370" s="36" t="str">
        <f t="shared" si="510"/>
        <v>S</v>
      </c>
      <c r="BG370" s="68">
        <v>23.0</v>
      </c>
      <c r="BH370" s="41" t="str">
        <f t="shared" si="511"/>
        <v>S</v>
      </c>
      <c r="BI370" s="41"/>
    </row>
    <row r="371">
      <c r="A371" s="21" t="s">
        <v>922</v>
      </c>
      <c r="B371" s="21" t="s">
        <v>444</v>
      </c>
      <c r="C371" s="21" t="s">
        <v>1791</v>
      </c>
      <c r="D371" s="69" t="s">
        <v>190</v>
      </c>
      <c r="E371" s="18" t="s">
        <v>190</v>
      </c>
      <c r="F371" s="18" t="s">
        <v>192</v>
      </c>
      <c r="G371" s="63" t="s">
        <v>1792</v>
      </c>
      <c r="H371" s="22" t="s">
        <v>198</v>
      </c>
      <c r="I371" s="28">
        <v>6.0</v>
      </c>
      <c r="J371" s="26" t="str">
        <f t="shared" si="489"/>
        <v>R</v>
      </c>
      <c r="K371" s="28">
        <v>19.0</v>
      </c>
      <c r="L371" s="26" t="str">
        <f t="shared" si="490"/>
        <v>S</v>
      </c>
      <c r="M371" s="28">
        <v>6.0</v>
      </c>
      <c r="N371" s="26" t="str">
        <f t="shared" si="491"/>
        <v>R</v>
      </c>
      <c r="O371" s="28">
        <v>23.0</v>
      </c>
      <c r="P371" s="26" t="str">
        <f t="shared" si="492"/>
        <v>S</v>
      </c>
      <c r="Q371" s="28">
        <v>11.0</v>
      </c>
      <c r="R371" s="26" t="str">
        <f t="shared" si="493"/>
        <v>R</v>
      </c>
      <c r="S371" s="28">
        <v>23.0</v>
      </c>
      <c r="T371" s="26" t="str">
        <f t="shared" si="494"/>
        <v>S</v>
      </c>
      <c r="U371" s="28">
        <v>27.0</v>
      </c>
      <c r="V371" s="26" t="str">
        <f t="shared" si="495"/>
        <v>S</v>
      </c>
      <c r="W371" s="32" t="s">
        <v>299</v>
      </c>
      <c r="X371" s="65">
        <v>17.0</v>
      </c>
      <c r="Y371" s="33" t="str">
        <f t="shared" si="496"/>
        <v>I</v>
      </c>
      <c r="Z371" s="65">
        <v>24.0</v>
      </c>
      <c r="AA371" s="33" t="str">
        <f t="shared" si="497"/>
        <v>S</v>
      </c>
      <c r="AB371" s="65">
        <v>21.0</v>
      </c>
      <c r="AC371" s="33" t="str">
        <f t="shared" si="498"/>
        <v>I</v>
      </c>
      <c r="AD371" s="65">
        <v>24.0</v>
      </c>
      <c r="AE371" s="33" t="str">
        <f t="shared" si="499"/>
        <v>S</v>
      </c>
      <c r="AF371" s="65">
        <v>23.0</v>
      </c>
      <c r="AG371" s="33" t="str">
        <f t="shared" si="500"/>
        <v>R</v>
      </c>
      <c r="AH371" s="65" t="s">
        <v>299</v>
      </c>
      <c r="AI371" s="66">
        <v>32.0</v>
      </c>
      <c r="AJ371" s="36" t="str">
        <f t="shared" si="501"/>
        <v>S</v>
      </c>
      <c r="AK371" s="66">
        <v>26.0</v>
      </c>
      <c r="AL371" s="36" t="str">
        <f t="shared" si="502"/>
        <v>S</v>
      </c>
      <c r="AM371" s="66">
        <v>26.0</v>
      </c>
      <c r="AN371" s="36" t="str">
        <f t="shared" si="503"/>
        <v>S</v>
      </c>
      <c r="AO371" s="36" t="s">
        <v>300</v>
      </c>
      <c r="AP371" s="67">
        <v>6.0</v>
      </c>
      <c r="AQ371" s="37" t="str">
        <f t="shared" si="504"/>
        <v>R</v>
      </c>
      <c r="AR371" s="65">
        <v>24.0</v>
      </c>
      <c r="AS371" s="33" t="str">
        <f t="shared" si="505"/>
        <v>S</v>
      </c>
      <c r="AT371" s="65">
        <v>24.0</v>
      </c>
      <c r="AU371" s="33" t="str">
        <f t="shared" si="506"/>
        <v>S</v>
      </c>
      <c r="AV371" s="33" t="s">
        <v>300</v>
      </c>
      <c r="AW371" s="28">
        <v>6.0</v>
      </c>
      <c r="AX371" s="26" t="str">
        <f t="shared" si="507"/>
        <v>R</v>
      </c>
      <c r="AY371" s="67">
        <v>26.0</v>
      </c>
      <c r="AZ371" s="37" t="str">
        <f t="shared" si="508"/>
        <v>S</v>
      </c>
      <c r="BA371" s="66">
        <v>34.0</v>
      </c>
      <c r="BB371" s="36" t="str">
        <f t="shared" si="509"/>
        <v>S</v>
      </c>
      <c r="BC371" s="39" t="s">
        <v>357</v>
      </c>
      <c r="BD371" s="39" t="s">
        <v>357</v>
      </c>
      <c r="BE371" s="66">
        <v>27.0</v>
      </c>
      <c r="BF371" s="36" t="str">
        <f t="shared" si="510"/>
        <v>S</v>
      </c>
      <c r="BG371" s="68">
        <v>23.0</v>
      </c>
      <c r="BH371" s="41" t="str">
        <f t="shared" si="511"/>
        <v>S</v>
      </c>
      <c r="BI371" s="41"/>
    </row>
    <row r="372">
      <c r="A372" s="21" t="s">
        <v>922</v>
      </c>
      <c r="B372" s="23">
        <v>180.0</v>
      </c>
      <c r="C372" s="21" t="s">
        <v>1638</v>
      </c>
      <c r="D372" s="69" t="s">
        <v>571</v>
      </c>
      <c r="E372" s="18" t="s">
        <v>572</v>
      </c>
      <c r="F372" s="18" t="s">
        <v>192</v>
      </c>
      <c r="G372" s="63" t="s">
        <v>1639</v>
      </c>
      <c r="H372" s="22" t="s">
        <v>198</v>
      </c>
      <c r="I372" s="28">
        <v>6.0</v>
      </c>
      <c r="J372" s="26" t="str">
        <f t="shared" si="489"/>
        <v>R</v>
      </c>
      <c r="K372" s="28">
        <v>18.0</v>
      </c>
      <c r="L372" s="26" t="str">
        <f t="shared" si="490"/>
        <v>R</v>
      </c>
      <c r="M372" s="28">
        <v>6.0</v>
      </c>
      <c r="N372" s="26" t="str">
        <f t="shared" si="491"/>
        <v>R</v>
      </c>
      <c r="O372" s="28">
        <v>21.0</v>
      </c>
      <c r="P372" s="26" t="str">
        <f t="shared" si="492"/>
        <v>I</v>
      </c>
      <c r="Q372" s="28">
        <v>6.0</v>
      </c>
      <c r="R372" s="26" t="str">
        <f t="shared" si="493"/>
        <v>R</v>
      </c>
      <c r="S372" s="28">
        <v>16.0</v>
      </c>
      <c r="T372" s="26" t="str">
        <f t="shared" si="494"/>
        <v>R</v>
      </c>
      <c r="U372" s="28">
        <v>18.0</v>
      </c>
      <c r="V372" s="26" t="str">
        <f t="shared" si="495"/>
        <v>I</v>
      </c>
      <c r="W372" s="32" t="s">
        <v>299</v>
      </c>
      <c r="X372" s="65">
        <v>6.0</v>
      </c>
      <c r="Y372" s="33" t="str">
        <f t="shared" si="496"/>
        <v>R</v>
      </c>
      <c r="Z372" s="65">
        <v>21.0</v>
      </c>
      <c r="AA372" s="33" t="str">
        <f t="shared" si="497"/>
        <v>S</v>
      </c>
      <c r="AB372" s="65">
        <v>6.0</v>
      </c>
      <c r="AC372" s="33" t="str">
        <f t="shared" si="498"/>
        <v>R</v>
      </c>
      <c r="AD372" s="65">
        <v>6.0</v>
      </c>
      <c r="AE372" s="33" t="str">
        <f t="shared" si="499"/>
        <v>R</v>
      </c>
      <c r="AF372" s="65">
        <v>11.0</v>
      </c>
      <c r="AG372" s="33" t="str">
        <f t="shared" si="500"/>
        <v>R</v>
      </c>
      <c r="AH372" s="65" t="s">
        <v>299</v>
      </c>
      <c r="AI372" s="66">
        <v>6.0</v>
      </c>
      <c r="AJ372" s="36" t="str">
        <f t="shared" si="501"/>
        <v>R</v>
      </c>
      <c r="AK372" s="66">
        <v>6.0</v>
      </c>
      <c r="AL372" s="36" t="str">
        <f t="shared" si="502"/>
        <v>R</v>
      </c>
      <c r="AM372" s="66">
        <v>6.0</v>
      </c>
      <c r="AN372" s="36" t="str">
        <f t="shared" si="503"/>
        <v>R</v>
      </c>
      <c r="AO372" s="66" t="s">
        <v>299</v>
      </c>
      <c r="AP372" s="67">
        <v>6.0</v>
      </c>
      <c r="AQ372" s="37" t="str">
        <f t="shared" si="504"/>
        <v>R</v>
      </c>
      <c r="AR372" s="65">
        <v>16.0</v>
      </c>
      <c r="AS372" s="33" t="str">
        <f t="shared" si="505"/>
        <v>R</v>
      </c>
      <c r="AT372" s="65">
        <v>13.0</v>
      </c>
      <c r="AU372" s="33" t="str">
        <f t="shared" si="506"/>
        <v>R</v>
      </c>
      <c r="AV372" s="65" t="s">
        <v>299</v>
      </c>
      <c r="AW372" s="28">
        <v>6.0</v>
      </c>
      <c r="AX372" s="26" t="str">
        <f t="shared" si="507"/>
        <v>R</v>
      </c>
      <c r="AY372" s="67">
        <v>13.0</v>
      </c>
      <c r="AZ372" s="37" t="str">
        <f t="shared" si="508"/>
        <v>R</v>
      </c>
      <c r="BA372" s="66">
        <v>22.0</v>
      </c>
      <c r="BB372" s="36" t="str">
        <f t="shared" si="509"/>
        <v>R</v>
      </c>
      <c r="BC372" s="39" t="s">
        <v>357</v>
      </c>
      <c r="BD372" s="39" t="s">
        <v>357</v>
      </c>
      <c r="BE372" s="66">
        <v>23.0</v>
      </c>
      <c r="BF372" s="36" t="str">
        <f t="shared" si="510"/>
        <v>S</v>
      </c>
      <c r="BG372" s="68">
        <v>17.0</v>
      </c>
      <c r="BH372" s="41" t="str">
        <f t="shared" si="511"/>
        <v>S</v>
      </c>
      <c r="BI372" s="41"/>
    </row>
    <row r="373">
      <c r="A373" s="21" t="s">
        <v>922</v>
      </c>
      <c r="B373" s="21" t="s">
        <v>444</v>
      </c>
      <c r="C373" s="21" t="s">
        <v>1793</v>
      </c>
      <c r="D373" s="69" t="s">
        <v>571</v>
      </c>
      <c r="E373" s="18" t="s">
        <v>572</v>
      </c>
      <c r="F373" s="18" t="s">
        <v>192</v>
      </c>
      <c r="G373" s="63" t="s">
        <v>1794</v>
      </c>
      <c r="H373" s="22" t="s">
        <v>198</v>
      </c>
      <c r="I373" s="28">
        <v>6.0</v>
      </c>
      <c r="J373" s="26" t="str">
        <f t="shared" si="489"/>
        <v>R</v>
      </c>
      <c r="K373" s="28">
        <v>18.0</v>
      </c>
      <c r="L373" s="26" t="str">
        <f t="shared" si="490"/>
        <v>R</v>
      </c>
      <c r="M373" s="28">
        <v>6.0</v>
      </c>
      <c r="N373" s="26" t="str">
        <f t="shared" si="491"/>
        <v>R</v>
      </c>
      <c r="O373" s="28">
        <v>21.0</v>
      </c>
      <c r="P373" s="26" t="str">
        <f t="shared" si="492"/>
        <v>I</v>
      </c>
      <c r="Q373" s="28">
        <v>6.0</v>
      </c>
      <c r="R373" s="26" t="str">
        <f t="shared" si="493"/>
        <v>R</v>
      </c>
      <c r="S373" s="28">
        <v>16.0</v>
      </c>
      <c r="T373" s="26" t="str">
        <f t="shared" si="494"/>
        <v>R</v>
      </c>
      <c r="U373" s="28">
        <v>18.0</v>
      </c>
      <c r="V373" s="26" t="str">
        <f t="shared" si="495"/>
        <v>I</v>
      </c>
      <c r="W373" s="32" t="s">
        <v>299</v>
      </c>
      <c r="X373" s="65">
        <v>6.0</v>
      </c>
      <c r="Y373" s="33" t="str">
        <f t="shared" si="496"/>
        <v>R</v>
      </c>
      <c r="Z373" s="65">
        <v>21.0</v>
      </c>
      <c r="AA373" s="33" t="str">
        <f t="shared" si="497"/>
        <v>S</v>
      </c>
      <c r="AB373" s="65">
        <v>6.0</v>
      </c>
      <c r="AC373" s="33" t="str">
        <f t="shared" si="498"/>
        <v>R</v>
      </c>
      <c r="AD373" s="65">
        <v>6.0</v>
      </c>
      <c r="AE373" s="33" t="str">
        <f t="shared" si="499"/>
        <v>R</v>
      </c>
      <c r="AF373" s="65">
        <v>11.0</v>
      </c>
      <c r="AG373" s="33" t="str">
        <f t="shared" si="500"/>
        <v>R</v>
      </c>
      <c r="AH373" s="65" t="s">
        <v>299</v>
      </c>
      <c r="AI373" s="66">
        <v>6.0</v>
      </c>
      <c r="AJ373" s="36" t="str">
        <f t="shared" si="501"/>
        <v>R</v>
      </c>
      <c r="AK373" s="66">
        <v>6.0</v>
      </c>
      <c r="AL373" s="36" t="str">
        <f t="shared" si="502"/>
        <v>R</v>
      </c>
      <c r="AM373" s="66">
        <v>6.0</v>
      </c>
      <c r="AN373" s="36" t="str">
        <f t="shared" si="503"/>
        <v>R</v>
      </c>
      <c r="AO373" s="66" t="s">
        <v>299</v>
      </c>
      <c r="AP373" s="67">
        <v>6.0</v>
      </c>
      <c r="AQ373" s="37" t="str">
        <f t="shared" si="504"/>
        <v>R</v>
      </c>
      <c r="AR373" s="65">
        <v>16.0</v>
      </c>
      <c r="AS373" s="33" t="str">
        <f t="shared" si="505"/>
        <v>R</v>
      </c>
      <c r="AT373" s="65">
        <v>13.0</v>
      </c>
      <c r="AU373" s="33" t="str">
        <f t="shared" si="506"/>
        <v>R</v>
      </c>
      <c r="AV373" s="65" t="s">
        <v>299</v>
      </c>
      <c r="AW373" s="28">
        <v>6.0</v>
      </c>
      <c r="AX373" s="26" t="str">
        <f t="shared" si="507"/>
        <v>R</v>
      </c>
      <c r="AY373" s="67">
        <v>13.0</v>
      </c>
      <c r="AZ373" s="37" t="str">
        <f t="shared" si="508"/>
        <v>R</v>
      </c>
      <c r="BA373" s="66">
        <v>22.0</v>
      </c>
      <c r="BB373" s="36" t="str">
        <f t="shared" si="509"/>
        <v>R</v>
      </c>
      <c r="BC373" s="39" t="s">
        <v>357</v>
      </c>
      <c r="BD373" s="39" t="s">
        <v>357</v>
      </c>
      <c r="BE373" s="66">
        <v>23.0</v>
      </c>
      <c r="BF373" s="36" t="str">
        <f t="shared" si="510"/>
        <v>S</v>
      </c>
      <c r="BG373" s="68">
        <v>17.0</v>
      </c>
      <c r="BH373" s="41" t="str">
        <f t="shared" si="511"/>
        <v>S</v>
      </c>
      <c r="BI373" s="41"/>
    </row>
    <row r="374">
      <c r="A374" s="21" t="s">
        <v>922</v>
      </c>
      <c r="B374" s="21" t="s">
        <v>444</v>
      </c>
      <c r="C374" s="21" t="s">
        <v>1795</v>
      </c>
      <c r="D374" s="69" t="s">
        <v>571</v>
      </c>
      <c r="E374" s="18" t="s">
        <v>572</v>
      </c>
      <c r="F374" s="18" t="s">
        <v>192</v>
      </c>
      <c r="G374" s="63" t="s">
        <v>1796</v>
      </c>
      <c r="H374" s="22" t="s">
        <v>198</v>
      </c>
      <c r="I374" s="28">
        <v>6.0</v>
      </c>
      <c r="J374" s="26" t="str">
        <f t="shared" si="489"/>
        <v>R</v>
      </c>
      <c r="K374" s="28">
        <v>18.0</v>
      </c>
      <c r="L374" s="26" t="str">
        <f t="shared" si="490"/>
        <v>R</v>
      </c>
      <c r="M374" s="28">
        <v>6.0</v>
      </c>
      <c r="N374" s="26" t="str">
        <f t="shared" si="491"/>
        <v>R</v>
      </c>
      <c r="O374" s="28">
        <v>21.0</v>
      </c>
      <c r="P374" s="26" t="str">
        <f t="shared" si="492"/>
        <v>I</v>
      </c>
      <c r="Q374" s="28">
        <v>6.0</v>
      </c>
      <c r="R374" s="26" t="str">
        <f t="shared" si="493"/>
        <v>R</v>
      </c>
      <c r="S374" s="28">
        <v>16.0</v>
      </c>
      <c r="T374" s="26" t="str">
        <f t="shared" si="494"/>
        <v>R</v>
      </c>
      <c r="U374" s="28">
        <v>18.0</v>
      </c>
      <c r="V374" s="26" t="str">
        <f t="shared" si="495"/>
        <v>I</v>
      </c>
      <c r="W374" s="32" t="s">
        <v>299</v>
      </c>
      <c r="X374" s="65">
        <v>6.0</v>
      </c>
      <c r="Y374" s="33" t="str">
        <f t="shared" si="496"/>
        <v>R</v>
      </c>
      <c r="Z374" s="65">
        <v>21.0</v>
      </c>
      <c r="AA374" s="33" t="str">
        <f t="shared" si="497"/>
        <v>S</v>
      </c>
      <c r="AB374" s="65">
        <v>6.0</v>
      </c>
      <c r="AC374" s="33" t="str">
        <f t="shared" si="498"/>
        <v>R</v>
      </c>
      <c r="AD374" s="65">
        <v>6.0</v>
      </c>
      <c r="AE374" s="33" t="str">
        <f t="shared" si="499"/>
        <v>R</v>
      </c>
      <c r="AF374" s="65">
        <v>11.0</v>
      </c>
      <c r="AG374" s="33" t="str">
        <f t="shared" si="500"/>
        <v>R</v>
      </c>
      <c r="AH374" s="65" t="s">
        <v>299</v>
      </c>
      <c r="AI374" s="66">
        <v>6.0</v>
      </c>
      <c r="AJ374" s="36" t="str">
        <f t="shared" si="501"/>
        <v>R</v>
      </c>
      <c r="AK374" s="66">
        <v>6.0</v>
      </c>
      <c r="AL374" s="36" t="str">
        <f t="shared" si="502"/>
        <v>R</v>
      </c>
      <c r="AM374" s="66">
        <v>6.0</v>
      </c>
      <c r="AN374" s="36" t="str">
        <f t="shared" si="503"/>
        <v>R</v>
      </c>
      <c r="AO374" s="66" t="s">
        <v>299</v>
      </c>
      <c r="AP374" s="67">
        <v>6.0</v>
      </c>
      <c r="AQ374" s="37" t="str">
        <f t="shared" si="504"/>
        <v>R</v>
      </c>
      <c r="AR374" s="65">
        <v>16.0</v>
      </c>
      <c r="AS374" s="33" t="str">
        <f t="shared" si="505"/>
        <v>R</v>
      </c>
      <c r="AT374" s="65">
        <v>13.0</v>
      </c>
      <c r="AU374" s="33" t="str">
        <f t="shared" si="506"/>
        <v>R</v>
      </c>
      <c r="AV374" s="65" t="s">
        <v>299</v>
      </c>
      <c r="AW374" s="28">
        <v>6.0</v>
      </c>
      <c r="AX374" s="26" t="str">
        <f t="shared" si="507"/>
        <v>R</v>
      </c>
      <c r="AY374" s="67">
        <v>13.0</v>
      </c>
      <c r="AZ374" s="37" t="str">
        <f t="shared" si="508"/>
        <v>R</v>
      </c>
      <c r="BA374" s="66">
        <v>22.0</v>
      </c>
      <c r="BB374" s="36" t="str">
        <f t="shared" si="509"/>
        <v>R</v>
      </c>
      <c r="BC374" s="39" t="s">
        <v>357</v>
      </c>
      <c r="BD374" s="39" t="s">
        <v>357</v>
      </c>
      <c r="BE374" s="66">
        <v>23.0</v>
      </c>
      <c r="BF374" s="36" t="str">
        <f t="shared" si="510"/>
        <v>S</v>
      </c>
      <c r="BG374" s="68">
        <v>17.0</v>
      </c>
      <c r="BH374" s="41" t="str">
        <f t="shared" si="511"/>
        <v>S</v>
      </c>
      <c r="BI374" s="41"/>
    </row>
    <row r="375">
      <c r="A375" s="51" t="s">
        <v>926</v>
      </c>
      <c r="B375" s="53">
        <v>181.0</v>
      </c>
      <c r="C375" s="51" t="s">
        <v>1105</v>
      </c>
      <c r="D375" s="69" t="s">
        <v>190</v>
      </c>
      <c r="E375" s="18" t="s">
        <v>190</v>
      </c>
      <c r="F375" s="18" t="s">
        <v>192</v>
      </c>
      <c r="G375" s="63" t="s">
        <v>1106</v>
      </c>
      <c r="H375" s="22" t="s">
        <v>198</v>
      </c>
      <c r="I375" s="28">
        <v>6.0</v>
      </c>
      <c r="J375" s="26" t="str">
        <f t="shared" si="489"/>
        <v>R</v>
      </c>
      <c r="K375" s="28">
        <v>20.0</v>
      </c>
      <c r="L375" s="26" t="str">
        <f t="shared" si="490"/>
        <v>S</v>
      </c>
      <c r="M375" s="28">
        <v>6.0</v>
      </c>
      <c r="N375" s="26" t="str">
        <f t="shared" si="491"/>
        <v>R</v>
      </c>
      <c r="O375" s="28">
        <v>20.0</v>
      </c>
      <c r="P375" s="26" t="str">
        <f t="shared" si="492"/>
        <v>I</v>
      </c>
      <c r="Q375" s="28">
        <v>6.0</v>
      </c>
      <c r="R375" s="26" t="str">
        <f t="shared" si="493"/>
        <v>R</v>
      </c>
      <c r="S375" s="28">
        <v>18.0</v>
      </c>
      <c r="T375" s="26" t="str">
        <f t="shared" si="494"/>
        <v>R</v>
      </c>
      <c r="U375" s="28">
        <v>15.0</v>
      </c>
      <c r="V375" s="26" t="str">
        <f t="shared" si="495"/>
        <v>R</v>
      </c>
      <c r="W375" s="32" t="s">
        <v>299</v>
      </c>
      <c r="X375" s="65">
        <v>6.0</v>
      </c>
      <c r="Y375" s="33" t="str">
        <f t="shared" si="496"/>
        <v>R</v>
      </c>
      <c r="Z375" s="65">
        <v>15.0</v>
      </c>
      <c r="AA375" s="33" t="str">
        <f t="shared" si="497"/>
        <v>R</v>
      </c>
      <c r="AB375" s="65">
        <v>17.0</v>
      </c>
      <c r="AC375" s="33" t="str">
        <f t="shared" si="498"/>
        <v>R</v>
      </c>
      <c r="AD375" s="65">
        <v>14.0</v>
      </c>
      <c r="AE375" s="33" t="str">
        <f t="shared" si="499"/>
        <v>S</v>
      </c>
      <c r="AF375" s="65">
        <v>14.0</v>
      </c>
      <c r="AG375" s="33" t="str">
        <f t="shared" si="500"/>
        <v>R</v>
      </c>
      <c r="AH375" s="65" t="s">
        <v>299</v>
      </c>
      <c r="AI375" s="66">
        <v>18.0</v>
      </c>
      <c r="AJ375" s="36" t="str">
        <f t="shared" si="501"/>
        <v>R</v>
      </c>
      <c r="AK375" s="66">
        <v>18.0</v>
      </c>
      <c r="AL375" s="36" t="str">
        <f t="shared" si="502"/>
        <v>R</v>
      </c>
      <c r="AM375" s="66">
        <v>15.0</v>
      </c>
      <c r="AN375" s="36" t="str">
        <f t="shared" si="503"/>
        <v>S</v>
      </c>
      <c r="AO375" s="66" t="s">
        <v>299</v>
      </c>
      <c r="AP375" s="67">
        <v>16.0</v>
      </c>
      <c r="AQ375" s="37" t="str">
        <f t="shared" si="504"/>
        <v>S</v>
      </c>
      <c r="AR375" s="65">
        <v>16.0</v>
      </c>
      <c r="AS375" s="33" t="str">
        <f t="shared" si="505"/>
        <v>R</v>
      </c>
      <c r="AT375" s="65">
        <v>15.0</v>
      </c>
      <c r="AU375" s="33" t="str">
        <f t="shared" si="506"/>
        <v>R</v>
      </c>
      <c r="AV375" s="65" t="s">
        <v>299</v>
      </c>
      <c r="AW375" s="28">
        <v>17.0</v>
      </c>
      <c r="AX375" s="26" t="str">
        <f t="shared" si="507"/>
        <v>R</v>
      </c>
      <c r="AY375" s="67">
        <v>16.0</v>
      </c>
      <c r="AZ375" s="37" t="str">
        <f t="shared" si="508"/>
        <v>R</v>
      </c>
      <c r="BA375" s="66">
        <v>26.0</v>
      </c>
      <c r="BB375" s="36" t="str">
        <f t="shared" si="509"/>
        <v>S</v>
      </c>
      <c r="BC375" s="39" t="s">
        <v>357</v>
      </c>
      <c r="BD375" s="39" t="s">
        <v>357</v>
      </c>
      <c r="BE375" s="66">
        <v>22.0</v>
      </c>
      <c r="BF375" s="36" t="str">
        <f t="shared" si="510"/>
        <v>S</v>
      </c>
      <c r="BG375" s="68">
        <v>16.0</v>
      </c>
      <c r="BH375" s="41" t="str">
        <f t="shared" si="511"/>
        <v>R</v>
      </c>
      <c r="BI375" s="41"/>
    </row>
    <row r="376">
      <c r="A376" s="51" t="s">
        <v>926</v>
      </c>
      <c r="B376" s="51" t="s">
        <v>444</v>
      </c>
      <c r="C376" s="51" t="s">
        <v>1797</v>
      </c>
      <c r="D376" s="69" t="s">
        <v>190</v>
      </c>
      <c r="E376" s="18" t="s">
        <v>190</v>
      </c>
      <c r="F376" s="18" t="s">
        <v>192</v>
      </c>
      <c r="G376" s="63" t="s">
        <v>1798</v>
      </c>
      <c r="H376" s="22" t="s">
        <v>198</v>
      </c>
      <c r="I376" s="28">
        <v>6.0</v>
      </c>
      <c r="J376" s="26" t="str">
        <f t="shared" si="489"/>
        <v>R</v>
      </c>
      <c r="K376" s="28">
        <v>22.0</v>
      </c>
      <c r="L376" s="26" t="str">
        <f t="shared" si="490"/>
        <v>S</v>
      </c>
      <c r="M376" s="28">
        <v>6.0</v>
      </c>
      <c r="N376" s="26" t="str">
        <f t="shared" si="491"/>
        <v>R</v>
      </c>
      <c r="O376" s="28">
        <v>20.0</v>
      </c>
      <c r="P376" s="26" t="str">
        <f t="shared" si="492"/>
        <v>I</v>
      </c>
      <c r="Q376" s="28">
        <v>6.0</v>
      </c>
      <c r="R376" s="26" t="str">
        <f t="shared" si="493"/>
        <v>R</v>
      </c>
      <c r="S376" s="28">
        <v>18.0</v>
      </c>
      <c r="T376" s="26" t="str">
        <f t="shared" si="494"/>
        <v>R</v>
      </c>
      <c r="U376" s="28">
        <v>15.0</v>
      </c>
      <c r="V376" s="26" t="str">
        <f t="shared" si="495"/>
        <v>R</v>
      </c>
      <c r="W376" s="32" t="s">
        <v>299</v>
      </c>
      <c r="X376" s="65">
        <v>6.0</v>
      </c>
      <c r="Y376" s="33" t="str">
        <f t="shared" si="496"/>
        <v>R</v>
      </c>
      <c r="Z376" s="65">
        <v>14.0</v>
      </c>
      <c r="AA376" s="33" t="str">
        <f t="shared" si="497"/>
        <v>R</v>
      </c>
      <c r="AB376" s="65">
        <v>18.0</v>
      </c>
      <c r="AC376" s="33" t="str">
        <f t="shared" si="498"/>
        <v>R</v>
      </c>
      <c r="AD376" s="65">
        <v>14.0</v>
      </c>
      <c r="AE376" s="33" t="str">
        <f t="shared" si="499"/>
        <v>S</v>
      </c>
      <c r="AF376" s="65">
        <v>15.0</v>
      </c>
      <c r="AG376" s="33" t="str">
        <f t="shared" si="500"/>
        <v>R</v>
      </c>
      <c r="AH376" s="65" t="s">
        <v>299</v>
      </c>
      <c r="AI376" s="66">
        <v>18.0</v>
      </c>
      <c r="AJ376" s="36" t="str">
        <f t="shared" si="501"/>
        <v>R</v>
      </c>
      <c r="AK376" s="66">
        <v>18.0</v>
      </c>
      <c r="AL376" s="36" t="str">
        <f t="shared" si="502"/>
        <v>R</v>
      </c>
      <c r="AM376" s="66">
        <v>18.0</v>
      </c>
      <c r="AN376" s="36" t="str">
        <f t="shared" si="503"/>
        <v>S</v>
      </c>
      <c r="AO376" s="66" t="s">
        <v>299</v>
      </c>
      <c r="AP376" s="67">
        <v>16.0</v>
      </c>
      <c r="AQ376" s="37" t="str">
        <f t="shared" si="504"/>
        <v>S</v>
      </c>
      <c r="AR376" s="65">
        <v>14.0</v>
      </c>
      <c r="AS376" s="33" t="str">
        <f t="shared" si="505"/>
        <v>R</v>
      </c>
      <c r="AT376" s="65">
        <v>15.0</v>
      </c>
      <c r="AU376" s="33" t="str">
        <f t="shared" si="506"/>
        <v>R</v>
      </c>
      <c r="AV376" s="65" t="s">
        <v>299</v>
      </c>
      <c r="AW376" s="28">
        <v>17.0</v>
      </c>
      <c r="AX376" s="26" t="str">
        <f t="shared" si="507"/>
        <v>R</v>
      </c>
      <c r="AY376" s="67">
        <v>16.0</v>
      </c>
      <c r="AZ376" s="37" t="str">
        <f t="shared" si="508"/>
        <v>R</v>
      </c>
      <c r="BA376" s="66">
        <v>25.0</v>
      </c>
      <c r="BB376" s="36" t="str">
        <f t="shared" si="509"/>
        <v>S</v>
      </c>
      <c r="BC376" s="39" t="s">
        <v>357</v>
      </c>
      <c r="BD376" s="39" t="s">
        <v>357</v>
      </c>
      <c r="BE376" s="66">
        <v>22.0</v>
      </c>
      <c r="BF376" s="36" t="str">
        <f t="shared" si="510"/>
        <v>S</v>
      </c>
      <c r="BG376" s="68">
        <v>16.0</v>
      </c>
      <c r="BH376" s="41" t="str">
        <f t="shared" si="511"/>
        <v>R</v>
      </c>
      <c r="BI376" s="41"/>
    </row>
    <row r="377">
      <c r="A377" s="51" t="s">
        <v>926</v>
      </c>
      <c r="B377" s="51" t="s">
        <v>444</v>
      </c>
      <c r="C377" s="51" t="s">
        <v>1799</v>
      </c>
      <c r="D377" s="69" t="s">
        <v>190</v>
      </c>
      <c r="E377" s="18" t="s">
        <v>190</v>
      </c>
      <c r="F377" s="18" t="s">
        <v>192</v>
      </c>
      <c r="G377" s="63" t="s">
        <v>1800</v>
      </c>
      <c r="H377" s="22" t="s">
        <v>198</v>
      </c>
      <c r="I377" s="28">
        <v>6.0</v>
      </c>
      <c r="J377" s="26" t="str">
        <f t="shared" si="489"/>
        <v>R</v>
      </c>
      <c r="K377" s="28">
        <v>21.0</v>
      </c>
      <c r="L377" s="26" t="str">
        <f t="shared" si="490"/>
        <v>S</v>
      </c>
      <c r="M377" s="28">
        <v>6.0</v>
      </c>
      <c r="N377" s="26" t="str">
        <f t="shared" si="491"/>
        <v>R</v>
      </c>
      <c r="O377" s="28">
        <v>20.0</v>
      </c>
      <c r="P377" s="26" t="str">
        <f t="shared" si="492"/>
        <v>I</v>
      </c>
      <c r="Q377" s="28">
        <v>6.0</v>
      </c>
      <c r="R377" s="26" t="str">
        <f t="shared" si="493"/>
        <v>R</v>
      </c>
      <c r="S377" s="28">
        <v>18.0</v>
      </c>
      <c r="T377" s="26" t="str">
        <f t="shared" si="494"/>
        <v>R</v>
      </c>
      <c r="U377" s="28">
        <v>15.0</v>
      </c>
      <c r="V377" s="26" t="str">
        <f t="shared" si="495"/>
        <v>R</v>
      </c>
      <c r="W377" s="32" t="s">
        <v>299</v>
      </c>
      <c r="X377" s="65">
        <v>6.0</v>
      </c>
      <c r="Y377" s="33" t="str">
        <f t="shared" si="496"/>
        <v>R</v>
      </c>
      <c r="Z377" s="65">
        <v>14.0</v>
      </c>
      <c r="AA377" s="33" t="str">
        <f t="shared" si="497"/>
        <v>R</v>
      </c>
      <c r="AB377" s="65">
        <v>15.0</v>
      </c>
      <c r="AC377" s="33" t="str">
        <f t="shared" si="498"/>
        <v>R</v>
      </c>
      <c r="AD377" s="65">
        <v>14.0</v>
      </c>
      <c r="AE377" s="33" t="str">
        <f t="shared" si="499"/>
        <v>S</v>
      </c>
      <c r="AF377" s="65">
        <v>13.0</v>
      </c>
      <c r="AG377" s="33" t="str">
        <f t="shared" si="500"/>
        <v>R</v>
      </c>
      <c r="AH377" s="65" t="s">
        <v>299</v>
      </c>
      <c r="AI377" s="66">
        <v>18.0</v>
      </c>
      <c r="AJ377" s="36" t="str">
        <f t="shared" si="501"/>
        <v>R</v>
      </c>
      <c r="AK377" s="66">
        <v>18.0</v>
      </c>
      <c r="AL377" s="36" t="str">
        <f t="shared" si="502"/>
        <v>R</v>
      </c>
      <c r="AM377" s="66">
        <v>18.0</v>
      </c>
      <c r="AN377" s="36" t="str">
        <f t="shared" si="503"/>
        <v>S</v>
      </c>
      <c r="AO377" s="66" t="s">
        <v>299</v>
      </c>
      <c r="AP377" s="67">
        <v>16.0</v>
      </c>
      <c r="AQ377" s="37" t="str">
        <f t="shared" si="504"/>
        <v>S</v>
      </c>
      <c r="AR377" s="65">
        <v>16.0</v>
      </c>
      <c r="AS377" s="33" t="str">
        <f t="shared" si="505"/>
        <v>R</v>
      </c>
      <c r="AT377" s="65">
        <v>15.0</v>
      </c>
      <c r="AU377" s="33" t="str">
        <f t="shared" si="506"/>
        <v>R</v>
      </c>
      <c r="AV377" s="65" t="s">
        <v>299</v>
      </c>
      <c r="AW377" s="28">
        <v>17.0</v>
      </c>
      <c r="AX377" s="26" t="str">
        <f t="shared" si="507"/>
        <v>R</v>
      </c>
      <c r="AY377" s="67">
        <v>16.0</v>
      </c>
      <c r="AZ377" s="37" t="str">
        <f t="shared" si="508"/>
        <v>R</v>
      </c>
      <c r="BA377" s="66">
        <v>26.0</v>
      </c>
      <c r="BB377" s="36" t="str">
        <f t="shared" si="509"/>
        <v>S</v>
      </c>
      <c r="BC377" s="39" t="s">
        <v>357</v>
      </c>
      <c r="BD377" s="39" t="s">
        <v>357</v>
      </c>
      <c r="BE377" s="66">
        <v>22.0</v>
      </c>
      <c r="BF377" s="36" t="str">
        <f t="shared" si="510"/>
        <v>S</v>
      </c>
      <c r="BG377" s="68">
        <v>16.0</v>
      </c>
      <c r="BH377" s="41" t="str">
        <f t="shared" si="511"/>
        <v>R</v>
      </c>
      <c r="BI377" s="41"/>
    </row>
    <row r="378">
      <c r="A378" s="51" t="s">
        <v>926</v>
      </c>
      <c r="B378" s="53">
        <v>182.0</v>
      </c>
      <c r="C378" s="51" t="s">
        <v>1109</v>
      </c>
      <c r="D378" s="69" t="s">
        <v>190</v>
      </c>
      <c r="E378" s="18" t="s">
        <v>190</v>
      </c>
      <c r="F378" s="18" t="s">
        <v>192</v>
      </c>
      <c r="G378" s="63" t="s">
        <v>1110</v>
      </c>
      <c r="H378" s="22" t="s">
        <v>198</v>
      </c>
      <c r="I378" s="28">
        <v>6.0</v>
      </c>
      <c r="J378" s="26" t="str">
        <f t="shared" si="489"/>
        <v>R</v>
      </c>
      <c r="K378" s="28">
        <v>6.0</v>
      </c>
      <c r="L378" s="26" t="str">
        <f t="shared" si="490"/>
        <v>R</v>
      </c>
      <c r="M378" s="28">
        <v>6.0</v>
      </c>
      <c r="N378" s="26" t="str">
        <f t="shared" si="491"/>
        <v>R</v>
      </c>
      <c r="O378" s="28">
        <v>9.0</v>
      </c>
      <c r="P378" s="26" t="str">
        <f t="shared" si="492"/>
        <v>R</v>
      </c>
      <c r="Q378" s="28">
        <v>6.0</v>
      </c>
      <c r="R378" s="26" t="str">
        <f t="shared" si="493"/>
        <v>R</v>
      </c>
      <c r="S378" s="28">
        <v>20.0</v>
      </c>
      <c r="T378" s="26" t="str">
        <f t="shared" si="494"/>
        <v>S</v>
      </c>
      <c r="U378" s="28">
        <v>17.0</v>
      </c>
      <c r="V378" s="26" t="str">
        <f t="shared" si="495"/>
        <v>I</v>
      </c>
      <c r="W378" s="32" t="s">
        <v>299</v>
      </c>
      <c r="X378" s="65">
        <v>20.0</v>
      </c>
      <c r="Y378" s="33" t="str">
        <f t="shared" si="496"/>
        <v>S</v>
      </c>
      <c r="Z378" s="65">
        <v>6.0</v>
      </c>
      <c r="AA378" s="33" t="str">
        <f t="shared" si="497"/>
        <v>R</v>
      </c>
      <c r="AB378" s="65">
        <v>6.0</v>
      </c>
      <c r="AC378" s="33" t="str">
        <f t="shared" si="498"/>
        <v>R</v>
      </c>
      <c r="AD378" s="65">
        <v>15.0</v>
      </c>
      <c r="AE378" s="33" t="str">
        <f t="shared" si="499"/>
        <v>S</v>
      </c>
      <c r="AF378" s="65">
        <v>14.0</v>
      </c>
      <c r="AG378" s="33" t="str">
        <f t="shared" si="500"/>
        <v>R</v>
      </c>
      <c r="AH378" s="65" t="s">
        <v>299</v>
      </c>
      <c r="AI378" s="66">
        <v>21.0</v>
      </c>
      <c r="AJ378" s="36" t="str">
        <f t="shared" si="501"/>
        <v>R</v>
      </c>
      <c r="AK378" s="66">
        <v>20.0</v>
      </c>
      <c r="AL378" s="36" t="str">
        <f t="shared" si="502"/>
        <v>I</v>
      </c>
      <c r="AM378" s="66">
        <v>11.0</v>
      </c>
      <c r="AN378" s="36" t="str">
        <f t="shared" si="503"/>
        <v>R</v>
      </c>
      <c r="AO378" s="66" t="s">
        <v>299</v>
      </c>
      <c r="AP378" s="67">
        <v>24.0</v>
      </c>
      <c r="AQ378" s="37" t="str">
        <f t="shared" si="504"/>
        <v>S</v>
      </c>
      <c r="AR378" s="65">
        <v>20.0</v>
      </c>
      <c r="AS378" s="33" t="str">
        <f t="shared" si="505"/>
        <v>S</v>
      </c>
      <c r="AT378" s="65">
        <v>20.0</v>
      </c>
      <c r="AU378" s="33" t="str">
        <f t="shared" si="506"/>
        <v>S</v>
      </c>
      <c r="AV378" s="33" t="s">
        <v>300</v>
      </c>
      <c r="AW378" s="28">
        <v>18.0</v>
      </c>
      <c r="AX378" s="26" t="str">
        <f t="shared" si="507"/>
        <v>R</v>
      </c>
      <c r="AY378" s="67">
        <v>16.0</v>
      </c>
      <c r="AZ378" s="37" t="str">
        <f t="shared" si="508"/>
        <v>R</v>
      </c>
      <c r="BA378" s="66">
        <v>24.0</v>
      </c>
      <c r="BB378" s="36" t="str">
        <f t="shared" si="509"/>
        <v>S</v>
      </c>
      <c r="BC378" s="39" t="s">
        <v>357</v>
      </c>
      <c r="BD378" s="39" t="s">
        <v>357</v>
      </c>
      <c r="BE378" s="66">
        <v>18.0</v>
      </c>
      <c r="BF378" s="36" t="str">
        <f t="shared" si="510"/>
        <v>R</v>
      </c>
      <c r="BG378" s="68">
        <v>20.0</v>
      </c>
      <c r="BH378" s="41" t="str">
        <f t="shared" si="511"/>
        <v>S</v>
      </c>
      <c r="BI378" s="41"/>
    </row>
    <row r="379">
      <c r="A379" s="51" t="s">
        <v>926</v>
      </c>
      <c r="B379" s="51" t="s">
        <v>444</v>
      </c>
      <c r="C379" s="51" t="s">
        <v>1801</v>
      </c>
      <c r="D379" s="69" t="s">
        <v>190</v>
      </c>
      <c r="E379" s="18" t="s">
        <v>190</v>
      </c>
      <c r="F379" s="18" t="s">
        <v>192</v>
      </c>
      <c r="G379" s="63" t="s">
        <v>1802</v>
      </c>
      <c r="H379" s="22" t="s">
        <v>198</v>
      </c>
      <c r="I379" s="28">
        <v>6.0</v>
      </c>
      <c r="J379" s="26" t="str">
        <f t="shared" si="489"/>
        <v>R</v>
      </c>
      <c r="K379" s="28">
        <v>6.0</v>
      </c>
      <c r="L379" s="26" t="str">
        <f t="shared" si="490"/>
        <v>R</v>
      </c>
      <c r="M379" s="28">
        <v>6.0</v>
      </c>
      <c r="N379" s="26" t="str">
        <f t="shared" si="491"/>
        <v>R</v>
      </c>
      <c r="O379" s="28">
        <v>9.0</v>
      </c>
      <c r="P379" s="26" t="str">
        <f t="shared" si="492"/>
        <v>R</v>
      </c>
      <c r="Q379" s="28">
        <v>6.0</v>
      </c>
      <c r="R379" s="26" t="str">
        <f t="shared" si="493"/>
        <v>R</v>
      </c>
      <c r="S379" s="28">
        <v>20.0</v>
      </c>
      <c r="T379" s="26" t="str">
        <f t="shared" si="494"/>
        <v>S</v>
      </c>
      <c r="U379" s="28">
        <v>17.0</v>
      </c>
      <c r="V379" s="26" t="str">
        <f t="shared" si="495"/>
        <v>I</v>
      </c>
      <c r="W379" s="32" t="s">
        <v>299</v>
      </c>
      <c r="X379" s="65">
        <v>20.0</v>
      </c>
      <c r="Y379" s="33" t="str">
        <f t="shared" si="496"/>
        <v>S</v>
      </c>
      <c r="Z379" s="65">
        <v>6.0</v>
      </c>
      <c r="AA379" s="33" t="str">
        <f t="shared" si="497"/>
        <v>R</v>
      </c>
      <c r="AB379" s="65">
        <v>6.0</v>
      </c>
      <c r="AC379" s="33" t="str">
        <f t="shared" si="498"/>
        <v>R</v>
      </c>
      <c r="AD379" s="65">
        <v>15.0</v>
      </c>
      <c r="AE379" s="33" t="str">
        <f t="shared" si="499"/>
        <v>S</v>
      </c>
      <c r="AF379" s="65">
        <v>14.0</v>
      </c>
      <c r="AG379" s="33" t="str">
        <f t="shared" si="500"/>
        <v>R</v>
      </c>
      <c r="AH379" s="65" t="s">
        <v>299</v>
      </c>
      <c r="AI379" s="66">
        <v>21.0</v>
      </c>
      <c r="AJ379" s="36" t="str">
        <f t="shared" si="501"/>
        <v>R</v>
      </c>
      <c r="AK379" s="66">
        <v>20.0</v>
      </c>
      <c r="AL379" s="36" t="str">
        <f t="shared" si="502"/>
        <v>I</v>
      </c>
      <c r="AM379" s="66">
        <v>11.0</v>
      </c>
      <c r="AN379" s="36" t="str">
        <f t="shared" si="503"/>
        <v>R</v>
      </c>
      <c r="AO379" s="66" t="s">
        <v>299</v>
      </c>
      <c r="AP379" s="67">
        <v>24.0</v>
      </c>
      <c r="AQ379" s="37" t="str">
        <f t="shared" si="504"/>
        <v>S</v>
      </c>
      <c r="AR379" s="65">
        <v>20.0</v>
      </c>
      <c r="AS379" s="33" t="str">
        <f t="shared" si="505"/>
        <v>S</v>
      </c>
      <c r="AT379" s="65">
        <v>20.0</v>
      </c>
      <c r="AU379" s="33" t="str">
        <f t="shared" si="506"/>
        <v>S</v>
      </c>
      <c r="AV379" s="33" t="s">
        <v>300</v>
      </c>
      <c r="AW379" s="28">
        <v>18.0</v>
      </c>
      <c r="AX379" s="26" t="str">
        <f t="shared" si="507"/>
        <v>R</v>
      </c>
      <c r="AY379" s="67">
        <v>16.0</v>
      </c>
      <c r="AZ379" s="37" t="str">
        <f t="shared" si="508"/>
        <v>R</v>
      </c>
      <c r="BA379" s="66">
        <v>24.0</v>
      </c>
      <c r="BB379" s="36" t="str">
        <f t="shared" si="509"/>
        <v>S</v>
      </c>
      <c r="BC379" s="39" t="s">
        <v>357</v>
      </c>
      <c r="BD379" s="39" t="s">
        <v>357</v>
      </c>
      <c r="BE379" s="66">
        <v>18.0</v>
      </c>
      <c r="BF379" s="36" t="str">
        <f t="shared" si="510"/>
        <v>R</v>
      </c>
      <c r="BG379" s="68">
        <v>20.0</v>
      </c>
      <c r="BH379" s="41" t="str">
        <f t="shared" si="511"/>
        <v>S</v>
      </c>
      <c r="BI379" s="41"/>
    </row>
    <row r="380">
      <c r="A380" s="51" t="s">
        <v>926</v>
      </c>
      <c r="B380" s="51" t="s">
        <v>444</v>
      </c>
      <c r="C380" s="51" t="s">
        <v>1803</v>
      </c>
      <c r="D380" s="69" t="s">
        <v>190</v>
      </c>
      <c r="E380" s="18" t="s">
        <v>190</v>
      </c>
      <c r="F380" s="18" t="s">
        <v>192</v>
      </c>
      <c r="G380" s="63" t="s">
        <v>1804</v>
      </c>
      <c r="H380" s="22" t="s">
        <v>198</v>
      </c>
      <c r="I380" s="28">
        <v>6.0</v>
      </c>
      <c r="J380" s="26" t="str">
        <f t="shared" si="489"/>
        <v>R</v>
      </c>
      <c r="K380" s="28">
        <v>6.0</v>
      </c>
      <c r="L380" s="26" t="str">
        <f t="shared" si="490"/>
        <v>R</v>
      </c>
      <c r="M380" s="28">
        <v>6.0</v>
      </c>
      <c r="N380" s="26" t="str">
        <f t="shared" si="491"/>
        <v>R</v>
      </c>
      <c r="O380" s="28">
        <v>9.0</v>
      </c>
      <c r="P380" s="26" t="str">
        <f t="shared" si="492"/>
        <v>R</v>
      </c>
      <c r="Q380" s="28">
        <v>6.0</v>
      </c>
      <c r="R380" s="26" t="str">
        <f t="shared" si="493"/>
        <v>R</v>
      </c>
      <c r="S380" s="28">
        <v>20.0</v>
      </c>
      <c r="T380" s="26" t="str">
        <f t="shared" si="494"/>
        <v>S</v>
      </c>
      <c r="U380" s="28">
        <v>17.0</v>
      </c>
      <c r="V380" s="26" t="str">
        <f t="shared" si="495"/>
        <v>I</v>
      </c>
      <c r="W380" s="32" t="s">
        <v>299</v>
      </c>
      <c r="X380" s="65">
        <v>20.0</v>
      </c>
      <c r="Y380" s="33" t="str">
        <f t="shared" si="496"/>
        <v>S</v>
      </c>
      <c r="Z380" s="65">
        <v>6.0</v>
      </c>
      <c r="AA380" s="33" t="str">
        <f t="shared" si="497"/>
        <v>R</v>
      </c>
      <c r="AB380" s="65">
        <v>6.0</v>
      </c>
      <c r="AC380" s="33" t="str">
        <f t="shared" si="498"/>
        <v>R</v>
      </c>
      <c r="AD380" s="65">
        <v>15.0</v>
      </c>
      <c r="AE380" s="33" t="str">
        <f t="shared" si="499"/>
        <v>S</v>
      </c>
      <c r="AF380" s="65">
        <v>14.0</v>
      </c>
      <c r="AG380" s="33" t="str">
        <f t="shared" si="500"/>
        <v>R</v>
      </c>
      <c r="AH380" s="65" t="s">
        <v>299</v>
      </c>
      <c r="AI380" s="66">
        <v>21.0</v>
      </c>
      <c r="AJ380" s="36" t="str">
        <f t="shared" si="501"/>
        <v>R</v>
      </c>
      <c r="AK380" s="66">
        <v>20.0</v>
      </c>
      <c r="AL380" s="36" t="str">
        <f t="shared" si="502"/>
        <v>I</v>
      </c>
      <c r="AM380" s="66">
        <v>11.0</v>
      </c>
      <c r="AN380" s="36" t="str">
        <f t="shared" si="503"/>
        <v>R</v>
      </c>
      <c r="AO380" s="66" t="s">
        <v>299</v>
      </c>
      <c r="AP380" s="67">
        <v>24.0</v>
      </c>
      <c r="AQ380" s="37" t="str">
        <f t="shared" si="504"/>
        <v>S</v>
      </c>
      <c r="AR380" s="65">
        <v>20.0</v>
      </c>
      <c r="AS380" s="33" t="str">
        <f t="shared" si="505"/>
        <v>S</v>
      </c>
      <c r="AT380" s="65">
        <v>20.0</v>
      </c>
      <c r="AU380" s="33" t="str">
        <f t="shared" si="506"/>
        <v>S</v>
      </c>
      <c r="AV380" s="33" t="s">
        <v>300</v>
      </c>
      <c r="AW380" s="28">
        <v>18.0</v>
      </c>
      <c r="AX380" s="26" t="str">
        <f t="shared" si="507"/>
        <v>R</v>
      </c>
      <c r="AY380" s="67">
        <v>16.0</v>
      </c>
      <c r="AZ380" s="37" t="str">
        <f t="shared" si="508"/>
        <v>R</v>
      </c>
      <c r="BA380" s="66">
        <v>24.0</v>
      </c>
      <c r="BB380" s="36" t="str">
        <f t="shared" si="509"/>
        <v>S</v>
      </c>
      <c r="BC380" s="39" t="s">
        <v>357</v>
      </c>
      <c r="BD380" s="39" t="s">
        <v>357</v>
      </c>
      <c r="BE380" s="66">
        <v>18.0</v>
      </c>
      <c r="BF380" s="36" t="str">
        <f t="shared" si="510"/>
        <v>R</v>
      </c>
      <c r="BG380" s="68">
        <v>20.0</v>
      </c>
      <c r="BH380" s="41" t="str">
        <f t="shared" si="511"/>
        <v>S</v>
      </c>
      <c r="BI380" s="41"/>
    </row>
    <row r="381">
      <c r="A381" s="51" t="s">
        <v>926</v>
      </c>
      <c r="B381" s="53">
        <v>183.0</v>
      </c>
      <c r="C381" s="51" t="s">
        <v>1115</v>
      </c>
      <c r="D381" s="69" t="s">
        <v>190</v>
      </c>
      <c r="E381" s="18" t="s">
        <v>190</v>
      </c>
      <c r="F381" s="18" t="s">
        <v>192</v>
      </c>
      <c r="G381" s="63" t="s">
        <v>1116</v>
      </c>
      <c r="H381" s="22" t="s">
        <v>198</v>
      </c>
      <c r="I381" s="28">
        <v>6.0</v>
      </c>
      <c r="J381" s="26" t="str">
        <f t="shared" si="489"/>
        <v>R</v>
      </c>
      <c r="K381" s="28">
        <v>18.0</v>
      </c>
      <c r="L381" s="26" t="str">
        <f t="shared" si="490"/>
        <v>R</v>
      </c>
      <c r="M381" s="28">
        <v>6.0</v>
      </c>
      <c r="N381" s="26" t="str">
        <f t="shared" si="491"/>
        <v>R</v>
      </c>
      <c r="O381" s="28">
        <v>24.0</v>
      </c>
      <c r="P381" s="26" t="str">
        <f t="shared" si="492"/>
        <v>S</v>
      </c>
      <c r="Q381" s="28">
        <v>6.0</v>
      </c>
      <c r="R381" s="26" t="str">
        <f t="shared" si="493"/>
        <v>R</v>
      </c>
      <c r="S381" s="28">
        <v>19.0</v>
      </c>
      <c r="T381" s="26" t="str">
        <f t="shared" si="494"/>
        <v>R</v>
      </c>
      <c r="U381" s="28">
        <v>15.0</v>
      </c>
      <c r="V381" s="26" t="str">
        <f t="shared" si="495"/>
        <v>R</v>
      </c>
      <c r="W381" s="32" t="s">
        <v>299</v>
      </c>
      <c r="X381" s="65">
        <v>6.0</v>
      </c>
      <c r="Y381" s="33" t="str">
        <f t="shared" si="496"/>
        <v>R</v>
      </c>
      <c r="Z381" s="65">
        <v>23.0</v>
      </c>
      <c r="AA381" s="33" t="str">
        <f t="shared" si="497"/>
        <v>S</v>
      </c>
      <c r="AB381" s="65">
        <v>16.0</v>
      </c>
      <c r="AC381" s="33" t="str">
        <f t="shared" si="498"/>
        <v>R</v>
      </c>
      <c r="AD381" s="65">
        <v>16.0</v>
      </c>
      <c r="AE381" s="33" t="str">
        <f t="shared" si="499"/>
        <v>S</v>
      </c>
      <c r="AF381" s="65">
        <v>16.0</v>
      </c>
      <c r="AG381" s="33" t="str">
        <f t="shared" si="500"/>
        <v>R</v>
      </c>
      <c r="AH381" s="65" t="s">
        <v>299</v>
      </c>
      <c r="AI381" s="66">
        <v>24.0</v>
      </c>
      <c r="AJ381" s="36" t="str">
        <f t="shared" si="501"/>
        <v>I</v>
      </c>
      <c r="AK381" s="66">
        <v>24.0</v>
      </c>
      <c r="AL381" s="36" t="str">
        <f t="shared" si="502"/>
        <v>S</v>
      </c>
      <c r="AM381" s="66">
        <v>15.0</v>
      </c>
      <c r="AN381" s="36" t="str">
        <f t="shared" si="503"/>
        <v>S</v>
      </c>
      <c r="AO381" s="66" t="s">
        <v>299</v>
      </c>
      <c r="AP381" s="67">
        <v>21.0</v>
      </c>
      <c r="AQ381" s="37" t="str">
        <f t="shared" si="504"/>
        <v>S</v>
      </c>
      <c r="AR381" s="65">
        <v>18.0</v>
      </c>
      <c r="AS381" s="33" t="str">
        <f t="shared" si="505"/>
        <v>S</v>
      </c>
      <c r="AT381" s="65">
        <v>16.0</v>
      </c>
      <c r="AU381" s="33" t="str">
        <f t="shared" si="506"/>
        <v>S</v>
      </c>
      <c r="AV381" s="33" t="s">
        <v>300</v>
      </c>
      <c r="AW381" s="28">
        <v>11.0</v>
      </c>
      <c r="AX381" s="26" t="str">
        <f t="shared" si="507"/>
        <v>R</v>
      </c>
      <c r="AY381" s="67">
        <v>18.0</v>
      </c>
      <c r="AZ381" s="37" t="str">
        <f t="shared" si="508"/>
        <v>R</v>
      </c>
      <c r="BA381" s="66">
        <v>22.0</v>
      </c>
      <c r="BB381" s="36" t="str">
        <f t="shared" si="509"/>
        <v>R</v>
      </c>
      <c r="BC381" s="39" t="s">
        <v>357</v>
      </c>
      <c r="BD381" s="39" t="s">
        <v>357</v>
      </c>
      <c r="BE381" s="66">
        <v>28.0</v>
      </c>
      <c r="BF381" s="36" t="str">
        <f t="shared" si="510"/>
        <v>S</v>
      </c>
      <c r="BG381" s="68">
        <v>19.0</v>
      </c>
      <c r="BH381" s="41" t="str">
        <f t="shared" si="511"/>
        <v>S</v>
      </c>
      <c r="BI381" s="41"/>
    </row>
    <row r="382">
      <c r="A382" s="51" t="s">
        <v>926</v>
      </c>
      <c r="B382" s="51" t="s">
        <v>444</v>
      </c>
      <c r="C382" s="51" t="s">
        <v>1805</v>
      </c>
      <c r="D382" s="69" t="s">
        <v>190</v>
      </c>
      <c r="E382" s="18" t="s">
        <v>190</v>
      </c>
      <c r="F382" s="18" t="s">
        <v>192</v>
      </c>
      <c r="G382" s="63" t="s">
        <v>1806</v>
      </c>
      <c r="H382" s="22" t="s">
        <v>198</v>
      </c>
      <c r="I382" s="28">
        <v>6.0</v>
      </c>
      <c r="J382" s="26" t="str">
        <f t="shared" si="489"/>
        <v>R</v>
      </c>
      <c r="K382" s="28">
        <v>17.0</v>
      </c>
      <c r="L382" s="26" t="str">
        <f t="shared" si="490"/>
        <v>R</v>
      </c>
      <c r="M382" s="28">
        <v>6.0</v>
      </c>
      <c r="N382" s="26" t="str">
        <f t="shared" si="491"/>
        <v>R</v>
      </c>
      <c r="O382" s="28">
        <v>24.0</v>
      </c>
      <c r="P382" s="26" t="str">
        <f t="shared" si="492"/>
        <v>S</v>
      </c>
      <c r="Q382" s="28">
        <v>6.0</v>
      </c>
      <c r="R382" s="26" t="str">
        <f t="shared" si="493"/>
        <v>R</v>
      </c>
      <c r="S382" s="28">
        <v>19.0</v>
      </c>
      <c r="T382" s="26" t="str">
        <f t="shared" si="494"/>
        <v>R</v>
      </c>
      <c r="U382" s="28">
        <v>15.0</v>
      </c>
      <c r="V382" s="26" t="str">
        <f t="shared" si="495"/>
        <v>R</v>
      </c>
      <c r="W382" s="32" t="s">
        <v>299</v>
      </c>
      <c r="X382" s="65">
        <v>6.0</v>
      </c>
      <c r="Y382" s="33" t="str">
        <f t="shared" si="496"/>
        <v>R</v>
      </c>
      <c r="Z382" s="65">
        <v>22.0</v>
      </c>
      <c r="AA382" s="33" t="str">
        <f t="shared" si="497"/>
        <v>S</v>
      </c>
      <c r="AB382" s="65">
        <v>13.0</v>
      </c>
      <c r="AC382" s="33" t="str">
        <f t="shared" si="498"/>
        <v>R</v>
      </c>
      <c r="AD382" s="65">
        <v>16.0</v>
      </c>
      <c r="AE382" s="33" t="str">
        <f t="shared" si="499"/>
        <v>S</v>
      </c>
      <c r="AF382" s="65">
        <v>18.0</v>
      </c>
      <c r="AG382" s="33" t="str">
        <f t="shared" si="500"/>
        <v>R</v>
      </c>
      <c r="AH382" s="65" t="s">
        <v>299</v>
      </c>
      <c r="AI382" s="66">
        <v>24.0</v>
      </c>
      <c r="AJ382" s="36" t="str">
        <f t="shared" si="501"/>
        <v>I</v>
      </c>
      <c r="AK382" s="66">
        <v>24.0</v>
      </c>
      <c r="AL382" s="36" t="str">
        <f t="shared" si="502"/>
        <v>S</v>
      </c>
      <c r="AM382" s="66">
        <v>19.0</v>
      </c>
      <c r="AN382" s="36" t="str">
        <f t="shared" si="503"/>
        <v>S</v>
      </c>
      <c r="AO382" s="66" t="s">
        <v>299</v>
      </c>
      <c r="AP382" s="67">
        <v>21.0</v>
      </c>
      <c r="AQ382" s="37" t="str">
        <f t="shared" si="504"/>
        <v>S</v>
      </c>
      <c r="AR382" s="65">
        <v>18.0</v>
      </c>
      <c r="AS382" s="33" t="str">
        <f t="shared" si="505"/>
        <v>S</v>
      </c>
      <c r="AT382" s="65">
        <v>16.0</v>
      </c>
      <c r="AU382" s="33" t="str">
        <f t="shared" si="506"/>
        <v>S</v>
      </c>
      <c r="AV382" s="33" t="s">
        <v>300</v>
      </c>
      <c r="AW382" s="28">
        <v>11.0</v>
      </c>
      <c r="AX382" s="26" t="str">
        <f t="shared" si="507"/>
        <v>R</v>
      </c>
      <c r="AY382" s="67">
        <v>18.0</v>
      </c>
      <c r="AZ382" s="37" t="str">
        <f t="shared" si="508"/>
        <v>R</v>
      </c>
      <c r="BA382" s="66">
        <v>21.0</v>
      </c>
      <c r="BB382" s="36" t="str">
        <f t="shared" si="509"/>
        <v>R</v>
      </c>
      <c r="BC382" s="39" t="s">
        <v>357</v>
      </c>
      <c r="BD382" s="39" t="s">
        <v>357</v>
      </c>
      <c r="BE382" s="66">
        <v>28.0</v>
      </c>
      <c r="BF382" s="36" t="str">
        <f t="shared" si="510"/>
        <v>S</v>
      </c>
      <c r="BG382" s="68">
        <v>19.0</v>
      </c>
      <c r="BH382" s="41" t="str">
        <f t="shared" si="511"/>
        <v>S</v>
      </c>
      <c r="BI382" s="41"/>
    </row>
    <row r="383">
      <c r="A383" s="51" t="s">
        <v>926</v>
      </c>
      <c r="B383" s="51" t="s">
        <v>444</v>
      </c>
      <c r="C383" s="51" t="s">
        <v>1807</v>
      </c>
      <c r="D383" s="69" t="s">
        <v>190</v>
      </c>
      <c r="E383" s="18" t="s">
        <v>190</v>
      </c>
      <c r="F383" s="18" t="s">
        <v>192</v>
      </c>
      <c r="G383" s="63" t="s">
        <v>1808</v>
      </c>
      <c r="H383" s="22" t="s">
        <v>198</v>
      </c>
      <c r="I383" s="28">
        <v>6.0</v>
      </c>
      <c r="J383" s="26" t="str">
        <f t="shared" si="489"/>
        <v>R</v>
      </c>
      <c r="K383" s="28">
        <v>18.0</v>
      </c>
      <c r="L383" s="26" t="str">
        <f t="shared" si="490"/>
        <v>R</v>
      </c>
      <c r="M383" s="28">
        <v>6.0</v>
      </c>
      <c r="N383" s="26" t="str">
        <f t="shared" si="491"/>
        <v>R</v>
      </c>
      <c r="O383" s="28">
        <v>24.0</v>
      </c>
      <c r="P383" s="26" t="str">
        <f t="shared" si="492"/>
        <v>S</v>
      </c>
      <c r="Q383" s="28">
        <v>6.0</v>
      </c>
      <c r="R383" s="26" t="str">
        <f t="shared" si="493"/>
        <v>R</v>
      </c>
      <c r="S383" s="28">
        <v>19.0</v>
      </c>
      <c r="T383" s="26" t="str">
        <f t="shared" si="494"/>
        <v>R</v>
      </c>
      <c r="U383" s="28">
        <v>15.0</v>
      </c>
      <c r="V383" s="26" t="str">
        <f t="shared" si="495"/>
        <v>R</v>
      </c>
      <c r="W383" s="32" t="s">
        <v>299</v>
      </c>
      <c r="X383" s="65">
        <v>6.0</v>
      </c>
      <c r="Y383" s="33" t="str">
        <f t="shared" si="496"/>
        <v>R</v>
      </c>
      <c r="Z383" s="65">
        <v>23.0</v>
      </c>
      <c r="AA383" s="33" t="str">
        <f t="shared" si="497"/>
        <v>S</v>
      </c>
      <c r="AB383" s="65">
        <v>15.0</v>
      </c>
      <c r="AC383" s="33" t="str">
        <f t="shared" si="498"/>
        <v>R</v>
      </c>
      <c r="AD383" s="65">
        <v>16.0</v>
      </c>
      <c r="AE383" s="33" t="str">
        <f t="shared" si="499"/>
        <v>S</v>
      </c>
      <c r="AF383" s="65">
        <v>19.0</v>
      </c>
      <c r="AG383" s="33" t="str">
        <f t="shared" si="500"/>
        <v>R</v>
      </c>
      <c r="AH383" s="65" t="s">
        <v>299</v>
      </c>
      <c r="AI383" s="66">
        <v>24.0</v>
      </c>
      <c r="AJ383" s="36" t="str">
        <f t="shared" si="501"/>
        <v>I</v>
      </c>
      <c r="AK383" s="66">
        <v>24.0</v>
      </c>
      <c r="AL383" s="36" t="str">
        <f t="shared" si="502"/>
        <v>S</v>
      </c>
      <c r="AM383" s="66">
        <v>22.0</v>
      </c>
      <c r="AN383" s="36" t="str">
        <f t="shared" si="503"/>
        <v>S</v>
      </c>
      <c r="AO383" s="66" t="s">
        <v>299</v>
      </c>
      <c r="AP383" s="67">
        <v>21.0</v>
      </c>
      <c r="AQ383" s="37" t="str">
        <f t="shared" si="504"/>
        <v>S</v>
      </c>
      <c r="AR383" s="65">
        <v>19.0</v>
      </c>
      <c r="AS383" s="33" t="str">
        <f t="shared" si="505"/>
        <v>S</v>
      </c>
      <c r="AT383" s="65">
        <v>16.0</v>
      </c>
      <c r="AU383" s="33" t="str">
        <f t="shared" si="506"/>
        <v>S</v>
      </c>
      <c r="AV383" s="33" t="s">
        <v>300</v>
      </c>
      <c r="AW383" s="28">
        <v>11.0</v>
      </c>
      <c r="AX383" s="26" t="str">
        <f t="shared" si="507"/>
        <v>R</v>
      </c>
      <c r="AY383" s="67">
        <v>18.0</v>
      </c>
      <c r="AZ383" s="37" t="str">
        <f t="shared" si="508"/>
        <v>R</v>
      </c>
      <c r="BA383" s="66">
        <v>22.0</v>
      </c>
      <c r="BB383" s="36" t="str">
        <f t="shared" si="509"/>
        <v>R</v>
      </c>
      <c r="BC383" s="39" t="s">
        <v>357</v>
      </c>
      <c r="BD383" s="39" t="s">
        <v>357</v>
      </c>
      <c r="BE383" s="66">
        <v>28.0</v>
      </c>
      <c r="BF383" s="36" t="str">
        <f t="shared" si="510"/>
        <v>S</v>
      </c>
      <c r="BG383" s="68">
        <v>19.0</v>
      </c>
      <c r="BH383" s="41" t="str">
        <f t="shared" si="511"/>
        <v>S</v>
      </c>
      <c r="BI383" s="41"/>
    </row>
    <row r="384">
      <c r="A384" s="51" t="s">
        <v>926</v>
      </c>
      <c r="B384" s="53">
        <v>184.0</v>
      </c>
      <c r="C384" s="51" t="s">
        <v>1119</v>
      </c>
      <c r="D384" s="69" t="s">
        <v>571</v>
      </c>
      <c r="E384" s="18" t="s">
        <v>572</v>
      </c>
      <c r="F384" s="18" t="s">
        <v>192</v>
      </c>
      <c r="G384" s="63" t="s">
        <v>1120</v>
      </c>
      <c r="H384" s="22" t="s">
        <v>198</v>
      </c>
      <c r="I384" s="28">
        <v>6.0</v>
      </c>
      <c r="J384" s="26" t="str">
        <f t="shared" si="489"/>
        <v>R</v>
      </c>
      <c r="K384" s="28">
        <v>16.0</v>
      </c>
      <c r="L384" s="26" t="str">
        <f t="shared" si="490"/>
        <v>R</v>
      </c>
      <c r="M384" s="28">
        <v>9.0</v>
      </c>
      <c r="N384" s="26" t="str">
        <f t="shared" si="491"/>
        <v>R</v>
      </c>
      <c r="O384" s="28">
        <v>19.0</v>
      </c>
      <c r="P384" s="26" t="str">
        <f t="shared" si="492"/>
        <v>R</v>
      </c>
      <c r="Q384" s="28">
        <v>19.0</v>
      </c>
      <c r="R384" s="26" t="str">
        <f t="shared" si="493"/>
        <v>R</v>
      </c>
      <c r="S384" s="28">
        <v>6.0</v>
      </c>
      <c r="T384" s="26" t="str">
        <f t="shared" si="494"/>
        <v>R</v>
      </c>
      <c r="U384" s="28">
        <v>6.0</v>
      </c>
      <c r="V384" s="26" t="str">
        <f t="shared" si="495"/>
        <v>R</v>
      </c>
      <c r="W384" s="32" t="s">
        <v>299</v>
      </c>
      <c r="X384" s="65">
        <v>6.0</v>
      </c>
      <c r="Y384" s="33" t="str">
        <f t="shared" si="496"/>
        <v>R</v>
      </c>
      <c r="Z384" s="65">
        <v>20.0</v>
      </c>
      <c r="AA384" s="33" t="str">
        <f t="shared" si="497"/>
        <v>S</v>
      </c>
      <c r="AB384" s="65">
        <v>9.0</v>
      </c>
      <c r="AC384" s="33" t="str">
        <f t="shared" si="498"/>
        <v>R</v>
      </c>
      <c r="AD384" s="65">
        <v>21.0</v>
      </c>
      <c r="AE384" s="33" t="str">
        <f t="shared" si="499"/>
        <v>S</v>
      </c>
      <c r="AF384" s="65">
        <v>16.0</v>
      </c>
      <c r="AG384" s="33" t="str">
        <f t="shared" si="500"/>
        <v>R</v>
      </c>
      <c r="AH384" s="65" t="s">
        <v>299</v>
      </c>
      <c r="AI384" s="66">
        <v>6.0</v>
      </c>
      <c r="AJ384" s="36" t="str">
        <f t="shared" si="501"/>
        <v>R</v>
      </c>
      <c r="AK384" s="66">
        <v>6.0</v>
      </c>
      <c r="AL384" s="36" t="str">
        <f t="shared" si="502"/>
        <v>R</v>
      </c>
      <c r="AM384" s="66">
        <v>6.0</v>
      </c>
      <c r="AN384" s="36" t="str">
        <f t="shared" si="503"/>
        <v>R</v>
      </c>
      <c r="AO384" s="66" t="s">
        <v>299</v>
      </c>
      <c r="AP384" s="67">
        <v>6.0</v>
      </c>
      <c r="AQ384" s="37" t="str">
        <f t="shared" si="504"/>
        <v>R</v>
      </c>
      <c r="AR384" s="65">
        <v>16.0</v>
      </c>
      <c r="AS384" s="33" t="str">
        <f t="shared" si="505"/>
        <v>R</v>
      </c>
      <c r="AT384" s="65">
        <v>16.0</v>
      </c>
      <c r="AU384" s="33" t="str">
        <f t="shared" si="506"/>
        <v>S</v>
      </c>
      <c r="AV384" s="65" t="s">
        <v>299</v>
      </c>
      <c r="AW384" s="28">
        <v>6.0</v>
      </c>
      <c r="AX384" s="26" t="str">
        <f t="shared" si="507"/>
        <v>R</v>
      </c>
      <c r="AY384" s="67">
        <v>16.0</v>
      </c>
      <c r="AZ384" s="37" t="str">
        <f t="shared" si="508"/>
        <v>R</v>
      </c>
      <c r="BA384" s="66">
        <v>23.0</v>
      </c>
      <c r="BB384" s="36" t="str">
        <f t="shared" si="509"/>
        <v>S</v>
      </c>
      <c r="BC384" s="39" t="s">
        <v>357</v>
      </c>
      <c r="BD384" s="39" t="s">
        <v>357</v>
      </c>
      <c r="BE384" s="66">
        <v>28.0</v>
      </c>
      <c r="BF384" s="36" t="str">
        <f t="shared" si="510"/>
        <v>S</v>
      </c>
      <c r="BG384" s="68">
        <v>14.0</v>
      </c>
      <c r="BH384" s="41" t="str">
        <f t="shared" si="511"/>
        <v>R</v>
      </c>
      <c r="BI384" s="41"/>
    </row>
    <row r="385">
      <c r="A385" s="51" t="s">
        <v>926</v>
      </c>
      <c r="B385" s="51" t="s">
        <v>444</v>
      </c>
      <c r="C385" s="51" t="s">
        <v>1809</v>
      </c>
      <c r="D385" s="69" t="s">
        <v>571</v>
      </c>
      <c r="E385" s="18" t="s">
        <v>572</v>
      </c>
      <c r="F385" s="18" t="s">
        <v>192</v>
      </c>
      <c r="G385" s="63" t="s">
        <v>1810</v>
      </c>
      <c r="H385" s="22" t="s">
        <v>198</v>
      </c>
      <c r="I385" s="28">
        <v>6.0</v>
      </c>
      <c r="J385" s="26" t="str">
        <f t="shared" si="489"/>
        <v>R</v>
      </c>
      <c r="K385" s="28">
        <v>16.0</v>
      </c>
      <c r="L385" s="26" t="str">
        <f t="shared" si="490"/>
        <v>R</v>
      </c>
      <c r="M385" s="28">
        <v>9.0</v>
      </c>
      <c r="N385" s="26" t="str">
        <f t="shared" si="491"/>
        <v>R</v>
      </c>
      <c r="O385" s="28">
        <v>19.0</v>
      </c>
      <c r="P385" s="26" t="str">
        <f t="shared" si="492"/>
        <v>R</v>
      </c>
      <c r="Q385" s="28">
        <v>19.0</v>
      </c>
      <c r="R385" s="26" t="str">
        <f t="shared" si="493"/>
        <v>R</v>
      </c>
      <c r="S385" s="28">
        <v>6.0</v>
      </c>
      <c r="T385" s="26" t="str">
        <f t="shared" si="494"/>
        <v>R</v>
      </c>
      <c r="U385" s="28">
        <v>6.0</v>
      </c>
      <c r="V385" s="26" t="str">
        <f t="shared" si="495"/>
        <v>R</v>
      </c>
      <c r="W385" s="32" t="s">
        <v>299</v>
      </c>
      <c r="X385" s="65">
        <v>6.0</v>
      </c>
      <c r="Y385" s="33" t="str">
        <f t="shared" si="496"/>
        <v>R</v>
      </c>
      <c r="Z385" s="65">
        <v>20.0</v>
      </c>
      <c r="AA385" s="33" t="str">
        <f t="shared" si="497"/>
        <v>S</v>
      </c>
      <c r="AB385" s="65">
        <v>9.0</v>
      </c>
      <c r="AC385" s="33" t="str">
        <f t="shared" si="498"/>
        <v>R</v>
      </c>
      <c r="AD385" s="65">
        <v>21.0</v>
      </c>
      <c r="AE385" s="33" t="str">
        <f t="shared" si="499"/>
        <v>S</v>
      </c>
      <c r="AF385" s="65">
        <v>16.0</v>
      </c>
      <c r="AG385" s="33" t="str">
        <f t="shared" si="500"/>
        <v>R</v>
      </c>
      <c r="AH385" s="65" t="s">
        <v>299</v>
      </c>
      <c r="AI385" s="66">
        <v>6.0</v>
      </c>
      <c r="AJ385" s="36" t="str">
        <f t="shared" si="501"/>
        <v>R</v>
      </c>
      <c r="AK385" s="66">
        <v>6.0</v>
      </c>
      <c r="AL385" s="36" t="str">
        <f t="shared" si="502"/>
        <v>R</v>
      </c>
      <c r="AM385" s="66">
        <v>6.0</v>
      </c>
      <c r="AN385" s="36" t="str">
        <f t="shared" si="503"/>
        <v>R</v>
      </c>
      <c r="AO385" s="66" t="s">
        <v>299</v>
      </c>
      <c r="AP385" s="67">
        <v>6.0</v>
      </c>
      <c r="AQ385" s="37" t="str">
        <f t="shared" si="504"/>
        <v>R</v>
      </c>
      <c r="AR385" s="65">
        <v>16.0</v>
      </c>
      <c r="AS385" s="33" t="str">
        <f t="shared" si="505"/>
        <v>R</v>
      </c>
      <c r="AT385" s="65">
        <v>16.0</v>
      </c>
      <c r="AU385" s="33" t="str">
        <f t="shared" si="506"/>
        <v>S</v>
      </c>
      <c r="AV385" s="65" t="s">
        <v>299</v>
      </c>
      <c r="AW385" s="28">
        <v>6.0</v>
      </c>
      <c r="AX385" s="26" t="str">
        <f t="shared" si="507"/>
        <v>R</v>
      </c>
      <c r="AY385" s="67">
        <v>16.0</v>
      </c>
      <c r="AZ385" s="37" t="str">
        <f t="shared" si="508"/>
        <v>R</v>
      </c>
      <c r="BA385" s="66">
        <v>23.0</v>
      </c>
      <c r="BB385" s="36" t="str">
        <f t="shared" si="509"/>
        <v>S</v>
      </c>
      <c r="BC385" s="39" t="s">
        <v>357</v>
      </c>
      <c r="BD385" s="39" t="s">
        <v>357</v>
      </c>
      <c r="BE385" s="66">
        <v>28.0</v>
      </c>
      <c r="BF385" s="36" t="str">
        <f t="shared" si="510"/>
        <v>S</v>
      </c>
      <c r="BG385" s="68">
        <v>14.0</v>
      </c>
      <c r="BH385" s="41" t="str">
        <f t="shared" si="511"/>
        <v>R</v>
      </c>
      <c r="BI385" s="41"/>
    </row>
    <row r="386">
      <c r="A386" s="51" t="s">
        <v>926</v>
      </c>
      <c r="B386" s="51" t="s">
        <v>444</v>
      </c>
      <c r="C386" s="51" t="s">
        <v>1811</v>
      </c>
      <c r="D386" s="69" t="s">
        <v>571</v>
      </c>
      <c r="E386" s="18" t="s">
        <v>572</v>
      </c>
      <c r="F386" s="18" t="s">
        <v>192</v>
      </c>
      <c r="G386" s="63" t="s">
        <v>1812</v>
      </c>
      <c r="H386" s="22" t="s">
        <v>198</v>
      </c>
      <c r="I386" s="28">
        <v>6.0</v>
      </c>
      <c r="J386" s="26" t="str">
        <f t="shared" si="489"/>
        <v>R</v>
      </c>
      <c r="K386" s="28">
        <v>16.0</v>
      </c>
      <c r="L386" s="26" t="str">
        <f t="shared" si="490"/>
        <v>R</v>
      </c>
      <c r="M386" s="28">
        <v>9.0</v>
      </c>
      <c r="N386" s="26" t="str">
        <f t="shared" si="491"/>
        <v>R</v>
      </c>
      <c r="O386" s="28">
        <v>19.0</v>
      </c>
      <c r="P386" s="26" t="str">
        <f t="shared" si="492"/>
        <v>R</v>
      </c>
      <c r="Q386" s="28">
        <v>19.0</v>
      </c>
      <c r="R386" s="26" t="str">
        <f t="shared" si="493"/>
        <v>R</v>
      </c>
      <c r="S386" s="28">
        <v>6.0</v>
      </c>
      <c r="T386" s="26" t="str">
        <f t="shared" si="494"/>
        <v>R</v>
      </c>
      <c r="U386" s="28">
        <v>6.0</v>
      </c>
      <c r="V386" s="26" t="str">
        <f t="shared" si="495"/>
        <v>R</v>
      </c>
      <c r="W386" s="32" t="s">
        <v>299</v>
      </c>
      <c r="X386" s="65">
        <v>6.0</v>
      </c>
      <c r="Y386" s="33" t="str">
        <f t="shared" si="496"/>
        <v>R</v>
      </c>
      <c r="Z386" s="65">
        <v>20.0</v>
      </c>
      <c r="AA386" s="33" t="str">
        <f t="shared" si="497"/>
        <v>S</v>
      </c>
      <c r="AB386" s="65">
        <v>9.0</v>
      </c>
      <c r="AC386" s="33" t="str">
        <f t="shared" si="498"/>
        <v>R</v>
      </c>
      <c r="AD386" s="65">
        <v>21.0</v>
      </c>
      <c r="AE386" s="33" t="str">
        <f t="shared" si="499"/>
        <v>S</v>
      </c>
      <c r="AF386" s="65">
        <v>16.0</v>
      </c>
      <c r="AG386" s="33" t="str">
        <f t="shared" si="500"/>
        <v>R</v>
      </c>
      <c r="AH386" s="65" t="s">
        <v>299</v>
      </c>
      <c r="AI386" s="66">
        <v>6.0</v>
      </c>
      <c r="AJ386" s="36" t="str">
        <f t="shared" si="501"/>
        <v>R</v>
      </c>
      <c r="AK386" s="66">
        <v>6.0</v>
      </c>
      <c r="AL386" s="36" t="str">
        <f t="shared" si="502"/>
        <v>R</v>
      </c>
      <c r="AM386" s="66">
        <v>6.0</v>
      </c>
      <c r="AN386" s="36" t="str">
        <f t="shared" si="503"/>
        <v>R</v>
      </c>
      <c r="AO386" s="66" t="s">
        <v>299</v>
      </c>
      <c r="AP386" s="67">
        <v>6.0</v>
      </c>
      <c r="AQ386" s="37" t="str">
        <f t="shared" si="504"/>
        <v>R</v>
      </c>
      <c r="AR386" s="65">
        <v>16.0</v>
      </c>
      <c r="AS386" s="33" t="str">
        <f t="shared" si="505"/>
        <v>R</v>
      </c>
      <c r="AT386" s="65">
        <v>16.0</v>
      </c>
      <c r="AU386" s="33" t="str">
        <f t="shared" si="506"/>
        <v>S</v>
      </c>
      <c r="AV386" s="65" t="s">
        <v>299</v>
      </c>
      <c r="AW386" s="28">
        <v>6.0</v>
      </c>
      <c r="AX386" s="26" t="str">
        <f t="shared" si="507"/>
        <v>R</v>
      </c>
      <c r="AY386" s="67">
        <v>16.0</v>
      </c>
      <c r="AZ386" s="37" t="str">
        <f t="shared" si="508"/>
        <v>R</v>
      </c>
      <c r="BA386" s="66">
        <v>23.0</v>
      </c>
      <c r="BB386" s="36" t="str">
        <f t="shared" si="509"/>
        <v>S</v>
      </c>
      <c r="BC386" s="39" t="s">
        <v>357</v>
      </c>
      <c r="BD386" s="39" t="s">
        <v>357</v>
      </c>
      <c r="BE386" s="66">
        <v>28.0</v>
      </c>
      <c r="BF386" s="36" t="str">
        <f t="shared" si="510"/>
        <v>S</v>
      </c>
      <c r="BG386" s="68">
        <v>14.0</v>
      </c>
      <c r="BH386" s="41" t="str">
        <f t="shared" si="511"/>
        <v>R</v>
      </c>
      <c r="BI386" s="41"/>
    </row>
    <row r="387">
      <c r="A387" s="51" t="s">
        <v>926</v>
      </c>
      <c r="B387" s="53">
        <v>185.0</v>
      </c>
      <c r="C387" s="51" t="s">
        <v>1127</v>
      </c>
      <c r="D387" s="69" t="s">
        <v>1009</v>
      </c>
      <c r="E387" s="18" t="s">
        <v>103</v>
      </c>
      <c r="F387" s="18" t="s">
        <v>192</v>
      </c>
      <c r="G387" s="63" t="s">
        <v>1128</v>
      </c>
      <c r="H387" s="22" t="s">
        <v>198</v>
      </c>
      <c r="I387" s="28">
        <v>6.0</v>
      </c>
      <c r="J387" s="26" t="str">
        <f t="shared" si="489"/>
        <v>R</v>
      </c>
      <c r="K387" s="28">
        <v>13.0</v>
      </c>
      <c r="L387" s="26" t="str">
        <f t="shared" si="490"/>
        <v>R</v>
      </c>
      <c r="M387" s="28">
        <v>6.0</v>
      </c>
      <c r="N387" s="26" t="str">
        <f t="shared" si="491"/>
        <v>R</v>
      </c>
      <c r="O387" s="28">
        <v>23.0</v>
      </c>
      <c r="P387" s="26" t="str">
        <f t="shared" si="492"/>
        <v>S</v>
      </c>
      <c r="Q387" s="28">
        <v>14.0</v>
      </c>
      <c r="R387" s="26" t="str">
        <f t="shared" si="493"/>
        <v>R</v>
      </c>
      <c r="S387" s="28">
        <v>17.0</v>
      </c>
      <c r="T387" s="26" t="str">
        <f t="shared" si="494"/>
        <v>R</v>
      </c>
      <c r="U387" s="28">
        <v>14.0</v>
      </c>
      <c r="V387" s="26" t="str">
        <f t="shared" si="495"/>
        <v>R</v>
      </c>
      <c r="W387" s="32" t="s">
        <v>299</v>
      </c>
      <c r="X387" s="65">
        <v>6.0</v>
      </c>
      <c r="Y387" s="33" t="str">
        <f t="shared" si="496"/>
        <v>R</v>
      </c>
      <c r="Z387" s="65">
        <v>25.0</v>
      </c>
      <c r="AA387" s="33" t="str">
        <f t="shared" si="497"/>
        <v>S</v>
      </c>
      <c r="AB387" s="65">
        <v>6.0</v>
      </c>
      <c r="AC387" s="33" t="str">
        <f t="shared" si="498"/>
        <v>R</v>
      </c>
      <c r="AD387" s="65">
        <v>15.0</v>
      </c>
      <c r="AE387" s="33" t="str">
        <f t="shared" si="499"/>
        <v>S</v>
      </c>
      <c r="AF387" s="65">
        <v>6.0</v>
      </c>
      <c r="AG387" s="33" t="str">
        <f t="shared" si="500"/>
        <v>R</v>
      </c>
      <c r="AH387" s="65" t="s">
        <v>299</v>
      </c>
      <c r="AI387" s="66">
        <v>22.0</v>
      </c>
      <c r="AJ387" s="36" t="str">
        <f t="shared" si="501"/>
        <v>I</v>
      </c>
      <c r="AK387" s="66">
        <v>21.0</v>
      </c>
      <c r="AL387" s="36" t="str">
        <f t="shared" si="502"/>
        <v>I</v>
      </c>
      <c r="AM387" s="66">
        <v>19.0</v>
      </c>
      <c r="AN387" s="36" t="str">
        <f t="shared" si="503"/>
        <v>S</v>
      </c>
      <c r="AO387" s="66" t="s">
        <v>299</v>
      </c>
      <c r="AP387" s="67">
        <v>28.0</v>
      </c>
      <c r="AQ387" s="37" t="str">
        <f t="shared" si="504"/>
        <v>S</v>
      </c>
      <c r="AR387" s="65">
        <v>14.0</v>
      </c>
      <c r="AS387" s="33" t="str">
        <f t="shared" si="505"/>
        <v>R</v>
      </c>
      <c r="AT387" s="65">
        <v>14.0</v>
      </c>
      <c r="AU387" s="33" t="str">
        <f t="shared" si="506"/>
        <v>R</v>
      </c>
      <c r="AV387" s="65" t="s">
        <v>299</v>
      </c>
      <c r="AW387" s="28">
        <v>6.0</v>
      </c>
      <c r="AX387" s="26" t="str">
        <f t="shared" si="507"/>
        <v>R</v>
      </c>
      <c r="AY387" s="67">
        <v>13.0</v>
      </c>
      <c r="AZ387" s="37" t="str">
        <f t="shared" si="508"/>
        <v>R</v>
      </c>
      <c r="BA387" s="66">
        <v>25.0</v>
      </c>
      <c r="BB387" s="36" t="str">
        <f t="shared" si="509"/>
        <v>S</v>
      </c>
      <c r="BC387" s="39" t="s">
        <v>357</v>
      </c>
      <c r="BD387" s="39" t="s">
        <v>357</v>
      </c>
      <c r="BE387" s="66">
        <v>28.0</v>
      </c>
      <c r="BF387" s="36" t="str">
        <f t="shared" si="510"/>
        <v>S</v>
      </c>
      <c r="BG387" s="68">
        <v>12.0</v>
      </c>
      <c r="BH387" s="41" t="str">
        <f t="shared" si="511"/>
        <v>R</v>
      </c>
      <c r="BI387" s="41"/>
    </row>
    <row r="388">
      <c r="A388" s="51" t="s">
        <v>926</v>
      </c>
      <c r="B388" s="51" t="s">
        <v>444</v>
      </c>
      <c r="C388" s="51" t="s">
        <v>1813</v>
      </c>
      <c r="D388" s="69" t="s">
        <v>1009</v>
      </c>
      <c r="E388" s="18" t="s">
        <v>103</v>
      </c>
      <c r="F388" s="18" t="s">
        <v>192</v>
      </c>
      <c r="G388" s="63" t="s">
        <v>1814</v>
      </c>
      <c r="H388" s="22" t="s">
        <v>198</v>
      </c>
      <c r="I388" s="28">
        <v>6.0</v>
      </c>
      <c r="J388" s="26" t="str">
        <f t="shared" si="489"/>
        <v>R</v>
      </c>
      <c r="K388" s="28">
        <v>15.0</v>
      </c>
      <c r="L388" s="26" t="str">
        <f t="shared" si="490"/>
        <v>R</v>
      </c>
      <c r="M388" s="28">
        <v>6.0</v>
      </c>
      <c r="N388" s="26" t="str">
        <f t="shared" si="491"/>
        <v>R</v>
      </c>
      <c r="O388" s="28">
        <v>23.0</v>
      </c>
      <c r="P388" s="26" t="str">
        <f t="shared" si="492"/>
        <v>S</v>
      </c>
      <c r="Q388" s="28">
        <v>14.0</v>
      </c>
      <c r="R388" s="26" t="str">
        <f t="shared" si="493"/>
        <v>R</v>
      </c>
      <c r="S388" s="28">
        <v>17.0</v>
      </c>
      <c r="T388" s="26" t="str">
        <f t="shared" si="494"/>
        <v>R</v>
      </c>
      <c r="U388" s="28">
        <v>14.0</v>
      </c>
      <c r="V388" s="26" t="str">
        <f t="shared" si="495"/>
        <v>R</v>
      </c>
      <c r="W388" s="32" t="s">
        <v>299</v>
      </c>
      <c r="X388" s="65">
        <v>6.0</v>
      </c>
      <c r="Y388" s="33" t="str">
        <f t="shared" si="496"/>
        <v>R</v>
      </c>
      <c r="Z388" s="65">
        <v>23.0</v>
      </c>
      <c r="AA388" s="33" t="str">
        <f t="shared" si="497"/>
        <v>S</v>
      </c>
      <c r="AB388" s="65">
        <v>6.0</v>
      </c>
      <c r="AC388" s="33" t="str">
        <f t="shared" si="498"/>
        <v>R</v>
      </c>
      <c r="AD388" s="65">
        <v>15.0</v>
      </c>
      <c r="AE388" s="33" t="str">
        <f t="shared" si="499"/>
        <v>S</v>
      </c>
      <c r="AF388" s="65">
        <v>6.0</v>
      </c>
      <c r="AG388" s="33" t="str">
        <f t="shared" si="500"/>
        <v>R</v>
      </c>
      <c r="AH388" s="65" t="s">
        <v>299</v>
      </c>
      <c r="AI388" s="66">
        <v>22.0</v>
      </c>
      <c r="AJ388" s="36" t="str">
        <f t="shared" si="501"/>
        <v>I</v>
      </c>
      <c r="AK388" s="66">
        <v>21.0</v>
      </c>
      <c r="AL388" s="36" t="str">
        <f t="shared" si="502"/>
        <v>I</v>
      </c>
      <c r="AM388" s="66">
        <v>21.0</v>
      </c>
      <c r="AN388" s="36" t="str">
        <f t="shared" si="503"/>
        <v>S</v>
      </c>
      <c r="AO388" s="66" t="s">
        <v>299</v>
      </c>
      <c r="AP388" s="67">
        <v>28.0</v>
      </c>
      <c r="AQ388" s="37" t="str">
        <f t="shared" si="504"/>
        <v>S</v>
      </c>
      <c r="AR388" s="65">
        <v>11.0</v>
      </c>
      <c r="AS388" s="33" t="str">
        <f t="shared" si="505"/>
        <v>R</v>
      </c>
      <c r="AT388" s="65">
        <v>14.0</v>
      </c>
      <c r="AU388" s="33" t="str">
        <f t="shared" si="506"/>
        <v>R</v>
      </c>
      <c r="AV388" s="65" t="s">
        <v>299</v>
      </c>
      <c r="AW388" s="28">
        <v>6.0</v>
      </c>
      <c r="AX388" s="26" t="str">
        <f t="shared" si="507"/>
        <v>R</v>
      </c>
      <c r="AY388" s="67">
        <v>13.0</v>
      </c>
      <c r="AZ388" s="37" t="str">
        <f t="shared" si="508"/>
        <v>R</v>
      </c>
      <c r="BA388" s="66">
        <v>26.0</v>
      </c>
      <c r="BB388" s="36" t="str">
        <f t="shared" si="509"/>
        <v>S</v>
      </c>
      <c r="BC388" s="39" t="s">
        <v>357</v>
      </c>
      <c r="BD388" s="39" t="s">
        <v>357</v>
      </c>
      <c r="BE388" s="66">
        <v>28.0</v>
      </c>
      <c r="BF388" s="36" t="str">
        <f t="shared" si="510"/>
        <v>S</v>
      </c>
      <c r="BG388" s="68">
        <v>12.0</v>
      </c>
      <c r="BH388" s="41" t="str">
        <f t="shared" si="511"/>
        <v>R</v>
      </c>
      <c r="BI388" s="41"/>
    </row>
    <row r="389">
      <c r="A389" s="51" t="s">
        <v>926</v>
      </c>
      <c r="B389" s="51" t="s">
        <v>444</v>
      </c>
      <c r="C389" s="51" t="s">
        <v>1815</v>
      </c>
      <c r="D389" s="69" t="s">
        <v>1009</v>
      </c>
      <c r="E389" s="18" t="s">
        <v>103</v>
      </c>
      <c r="F389" s="18" t="s">
        <v>192</v>
      </c>
      <c r="G389" s="63" t="s">
        <v>1816</v>
      </c>
      <c r="H389" s="22" t="s">
        <v>198</v>
      </c>
      <c r="I389" s="28">
        <v>6.0</v>
      </c>
      <c r="J389" s="26" t="str">
        <f t="shared" si="489"/>
        <v>R</v>
      </c>
      <c r="K389" s="28">
        <v>12.0</v>
      </c>
      <c r="L389" s="26" t="str">
        <f t="shared" si="490"/>
        <v>R</v>
      </c>
      <c r="M389" s="28">
        <v>6.0</v>
      </c>
      <c r="N389" s="26" t="str">
        <f t="shared" si="491"/>
        <v>R</v>
      </c>
      <c r="O389" s="28">
        <v>23.0</v>
      </c>
      <c r="P389" s="26" t="str">
        <f t="shared" si="492"/>
        <v>S</v>
      </c>
      <c r="Q389" s="28">
        <v>14.0</v>
      </c>
      <c r="R389" s="26" t="str">
        <f t="shared" si="493"/>
        <v>R</v>
      </c>
      <c r="S389" s="28">
        <v>17.0</v>
      </c>
      <c r="T389" s="26" t="str">
        <f t="shared" si="494"/>
        <v>R</v>
      </c>
      <c r="U389" s="28">
        <v>14.0</v>
      </c>
      <c r="V389" s="26" t="str">
        <f t="shared" si="495"/>
        <v>R</v>
      </c>
      <c r="W389" s="32" t="s">
        <v>299</v>
      </c>
      <c r="X389" s="65">
        <v>6.0</v>
      </c>
      <c r="Y389" s="33" t="str">
        <f t="shared" si="496"/>
        <v>R</v>
      </c>
      <c r="Z389" s="65">
        <v>23.0</v>
      </c>
      <c r="AA389" s="33" t="str">
        <f t="shared" si="497"/>
        <v>S</v>
      </c>
      <c r="AB389" s="65">
        <v>6.0</v>
      </c>
      <c r="AC389" s="33" t="str">
        <f t="shared" si="498"/>
        <v>R</v>
      </c>
      <c r="AD389" s="65">
        <v>15.0</v>
      </c>
      <c r="AE389" s="33" t="str">
        <f t="shared" si="499"/>
        <v>S</v>
      </c>
      <c r="AF389" s="65">
        <v>6.0</v>
      </c>
      <c r="AG389" s="33" t="str">
        <f t="shared" si="500"/>
        <v>R</v>
      </c>
      <c r="AH389" s="65" t="s">
        <v>299</v>
      </c>
      <c r="AI389" s="66">
        <v>22.0</v>
      </c>
      <c r="AJ389" s="36" t="str">
        <f t="shared" si="501"/>
        <v>I</v>
      </c>
      <c r="AK389" s="66">
        <v>21.0</v>
      </c>
      <c r="AL389" s="36" t="str">
        <f t="shared" si="502"/>
        <v>I</v>
      </c>
      <c r="AM389" s="66">
        <v>19.0</v>
      </c>
      <c r="AN389" s="36" t="str">
        <f t="shared" si="503"/>
        <v>S</v>
      </c>
      <c r="AO389" s="66" t="s">
        <v>299</v>
      </c>
      <c r="AP389" s="67">
        <v>28.0</v>
      </c>
      <c r="AQ389" s="37" t="str">
        <f t="shared" si="504"/>
        <v>S</v>
      </c>
      <c r="AR389" s="65">
        <v>14.0</v>
      </c>
      <c r="AS389" s="33" t="str">
        <f t="shared" si="505"/>
        <v>R</v>
      </c>
      <c r="AT389" s="65">
        <v>14.0</v>
      </c>
      <c r="AU389" s="33" t="str">
        <f t="shared" si="506"/>
        <v>R</v>
      </c>
      <c r="AV389" s="65" t="s">
        <v>299</v>
      </c>
      <c r="AW389" s="28">
        <v>6.0</v>
      </c>
      <c r="AX389" s="26" t="str">
        <f t="shared" si="507"/>
        <v>R</v>
      </c>
      <c r="AY389" s="67">
        <v>13.0</v>
      </c>
      <c r="AZ389" s="37" t="str">
        <f t="shared" si="508"/>
        <v>R</v>
      </c>
      <c r="BA389" s="66">
        <v>25.0</v>
      </c>
      <c r="BB389" s="36" t="str">
        <f t="shared" si="509"/>
        <v>S</v>
      </c>
      <c r="BC389" s="39" t="s">
        <v>357</v>
      </c>
      <c r="BD389" s="39" t="s">
        <v>357</v>
      </c>
      <c r="BE389" s="66">
        <v>28.0</v>
      </c>
      <c r="BF389" s="36" t="str">
        <f t="shared" si="510"/>
        <v>S</v>
      </c>
      <c r="BG389" s="68">
        <v>12.0</v>
      </c>
      <c r="BH389" s="41" t="str">
        <f t="shared" si="511"/>
        <v>R</v>
      </c>
      <c r="BI389" s="41"/>
    </row>
    <row r="390">
      <c r="A390" s="51" t="s">
        <v>926</v>
      </c>
      <c r="B390" s="53">
        <v>186.0</v>
      </c>
      <c r="C390" s="51" t="s">
        <v>1133</v>
      </c>
      <c r="D390" s="69" t="s">
        <v>1009</v>
      </c>
      <c r="E390" s="18" t="s">
        <v>103</v>
      </c>
      <c r="F390" s="18" t="s">
        <v>192</v>
      </c>
      <c r="G390" s="63" t="s">
        <v>1134</v>
      </c>
      <c r="H390" s="42" t="s">
        <v>479</v>
      </c>
      <c r="I390" s="28">
        <v>6.0</v>
      </c>
      <c r="J390" s="26" t="str">
        <f t="shared" si="489"/>
        <v>R</v>
      </c>
      <c r="K390" s="28">
        <v>16.0</v>
      </c>
      <c r="L390" s="26" t="str">
        <f t="shared" si="490"/>
        <v>R</v>
      </c>
      <c r="M390" s="28">
        <v>6.0</v>
      </c>
      <c r="N390" s="26" t="str">
        <f t="shared" si="491"/>
        <v>R</v>
      </c>
      <c r="O390" s="28">
        <v>20.0</v>
      </c>
      <c r="P390" s="26" t="str">
        <f t="shared" si="492"/>
        <v>I</v>
      </c>
      <c r="Q390" s="28">
        <v>16.0</v>
      </c>
      <c r="R390" s="26" t="str">
        <f t="shared" si="493"/>
        <v>R</v>
      </c>
      <c r="S390" s="28">
        <v>20.0</v>
      </c>
      <c r="T390" s="26" t="str">
        <f t="shared" si="494"/>
        <v>S</v>
      </c>
      <c r="U390" s="28">
        <v>11.0</v>
      </c>
      <c r="V390" s="26" t="str">
        <f t="shared" si="495"/>
        <v>R</v>
      </c>
      <c r="W390" s="32" t="s">
        <v>299</v>
      </c>
      <c r="X390" s="65">
        <v>23.0</v>
      </c>
      <c r="Y390" s="33" t="str">
        <f t="shared" si="496"/>
        <v>S</v>
      </c>
      <c r="Z390" s="65">
        <v>20.0</v>
      </c>
      <c r="AA390" s="33" t="str">
        <f t="shared" si="497"/>
        <v>S</v>
      </c>
      <c r="AB390" s="65">
        <v>21.0</v>
      </c>
      <c r="AC390" s="33" t="str">
        <f t="shared" si="498"/>
        <v>I</v>
      </c>
      <c r="AD390" s="65">
        <v>24.0</v>
      </c>
      <c r="AE390" s="33" t="str">
        <f t="shared" si="499"/>
        <v>S</v>
      </c>
      <c r="AF390" s="65">
        <v>17.0</v>
      </c>
      <c r="AG390" s="33" t="str">
        <f t="shared" si="500"/>
        <v>R</v>
      </c>
      <c r="AH390" s="65" t="s">
        <v>299</v>
      </c>
      <c r="AI390" s="66">
        <v>16.0</v>
      </c>
      <c r="AJ390" s="36" t="str">
        <f t="shared" si="501"/>
        <v>R</v>
      </c>
      <c r="AK390" s="66">
        <v>15.0</v>
      </c>
      <c r="AL390" s="36" t="str">
        <f t="shared" si="502"/>
        <v>R</v>
      </c>
      <c r="AM390" s="66">
        <v>13.0</v>
      </c>
      <c r="AN390" s="36" t="str">
        <f t="shared" si="503"/>
        <v>R</v>
      </c>
      <c r="AO390" s="66" t="s">
        <v>299</v>
      </c>
      <c r="AP390" s="67">
        <v>6.0</v>
      </c>
      <c r="AQ390" s="37" t="str">
        <f t="shared" si="504"/>
        <v>R</v>
      </c>
      <c r="AR390" s="65">
        <v>15.0</v>
      </c>
      <c r="AS390" s="33" t="str">
        <f t="shared" si="505"/>
        <v>R</v>
      </c>
      <c r="AT390" s="65">
        <v>18.0</v>
      </c>
      <c r="AU390" s="33" t="str">
        <f t="shared" si="506"/>
        <v>S</v>
      </c>
      <c r="AV390" s="65" t="s">
        <v>299</v>
      </c>
      <c r="AW390" s="28">
        <v>14.0</v>
      </c>
      <c r="AX390" s="26" t="str">
        <f t="shared" si="507"/>
        <v>R</v>
      </c>
      <c r="AY390" s="67">
        <v>20.0</v>
      </c>
      <c r="AZ390" s="37" t="str">
        <f t="shared" si="508"/>
        <v>R</v>
      </c>
      <c r="BA390" s="66">
        <v>15.0</v>
      </c>
      <c r="BB390" s="36" t="str">
        <f t="shared" si="509"/>
        <v>R</v>
      </c>
      <c r="BC390" s="39" t="s">
        <v>357</v>
      </c>
      <c r="BD390" s="39" t="s">
        <v>357</v>
      </c>
      <c r="BE390" s="66">
        <v>20.0</v>
      </c>
      <c r="BF390" s="36" t="str">
        <f t="shared" si="510"/>
        <v>I</v>
      </c>
      <c r="BG390" s="68">
        <v>12.0</v>
      </c>
      <c r="BH390" s="41" t="str">
        <f t="shared" si="511"/>
        <v>R</v>
      </c>
      <c r="BI390" s="41"/>
    </row>
    <row r="391">
      <c r="A391" s="51" t="s">
        <v>926</v>
      </c>
      <c r="B391" s="51" t="s">
        <v>444</v>
      </c>
      <c r="C391" s="51" t="s">
        <v>1817</v>
      </c>
      <c r="D391" s="69" t="s">
        <v>1009</v>
      </c>
      <c r="E391" s="18" t="s">
        <v>103</v>
      </c>
      <c r="F391" s="18" t="s">
        <v>192</v>
      </c>
      <c r="G391" s="63" t="s">
        <v>1818</v>
      </c>
      <c r="H391" s="42" t="s">
        <v>479</v>
      </c>
      <c r="I391" s="28">
        <v>6.0</v>
      </c>
      <c r="J391" s="26" t="str">
        <f t="shared" si="489"/>
        <v>R</v>
      </c>
      <c r="K391" s="28">
        <v>16.0</v>
      </c>
      <c r="L391" s="26" t="str">
        <f t="shared" si="490"/>
        <v>R</v>
      </c>
      <c r="M391" s="28">
        <v>6.0</v>
      </c>
      <c r="N391" s="26" t="str">
        <f t="shared" si="491"/>
        <v>R</v>
      </c>
      <c r="O391" s="28">
        <v>20.0</v>
      </c>
      <c r="P391" s="26" t="str">
        <f t="shared" si="492"/>
        <v>I</v>
      </c>
      <c r="Q391" s="28">
        <v>16.0</v>
      </c>
      <c r="R391" s="26" t="str">
        <f t="shared" si="493"/>
        <v>R</v>
      </c>
      <c r="S391" s="28">
        <v>20.0</v>
      </c>
      <c r="T391" s="26" t="str">
        <f t="shared" si="494"/>
        <v>S</v>
      </c>
      <c r="U391" s="28">
        <v>11.0</v>
      </c>
      <c r="V391" s="26" t="str">
        <f t="shared" si="495"/>
        <v>R</v>
      </c>
      <c r="W391" s="32" t="s">
        <v>299</v>
      </c>
      <c r="X391" s="65">
        <v>23.0</v>
      </c>
      <c r="Y391" s="33" t="str">
        <f t="shared" si="496"/>
        <v>S</v>
      </c>
      <c r="Z391" s="65">
        <v>22.0</v>
      </c>
      <c r="AA391" s="33" t="str">
        <f t="shared" si="497"/>
        <v>S</v>
      </c>
      <c r="AB391" s="65">
        <v>21.0</v>
      </c>
      <c r="AC391" s="33" t="str">
        <f t="shared" si="498"/>
        <v>I</v>
      </c>
      <c r="AD391" s="65">
        <v>24.0</v>
      </c>
      <c r="AE391" s="33" t="str">
        <f t="shared" si="499"/>
        <v>S</v>
      </c>
      <c r="AF391" s="65">
        <v>17.0</v>
      </c>
      <c r="AG391" s="33" t="str">
        <f t="shared" si="500"/>
        <v>R</v>
      </c>
      <c r="AH391" s="65" t="s">
        <v>299</v>
      </c>
      <c r="AI391" s="66">
        <v>16.0</v>
      </c>
      <c r="AJ391" s="36" t="str">
        <f t="shared" si="501"/>
        <v>R</v>
      </c>
      <c r="AK391" s="66">
        <v>15.0</v>
      </c>
      <c r="AL391" s="36" t="str">
        <f t="shared" si="502"/>
        <v>R</v>
      </c>
      <c r="AM391" s="66">
        <v>13.0</v>
      </c>
      <c r="AN391" s="36" t="str">
        <f t="shared" si="503"/>
        <v>R</v>
      </c>
      <c r="AO391" s="66" t="s">
        <v>299</v>
      </c>
      <c r="AP391" s="67">
        <v>6.0</v>
      </c>
      <c r="AQ391" s="37" t="str">
        <f t="shared" si="504"/>
        <v>R</v>
      </c>
      <c r="AR391" s="65">
        <v>15.0</v>
      </c>
      <c r="AS391" s="33" t="str">
        <f t="shared" si="505"/>
        <v>R</v>
      </c>
      <c r="AT391" s="65">
        <v>18.0</v>
      </c>
      <c r="AU391" s="33" t="str">
        <f t="shared" si="506"/>
        <v>S</v>
      </c>
      <c r="AV391" s="65" t="s">
        <v>299</v>
      </c>
      <c r="AW391" s="28">
        <v>14.0</v>
      </c>
      <c r="AX391" s="26" t="str">
        <f t="shared" si="507"/>
        <v>R</v>
      </c>
      <c r="AY391" s="67">
        <v>20.0</v>
      </c>
      <c r="AZ391" s="37" t="str">
        <f t="shared" si="508"/>
        <v>R</v>
      </c>
      <c r="BA391" s="66">
        <v>20.0</v>
      </c>
      <c r="BB391" s="36" t="str">
        <f t="shared" si="509"/>
        <v>R</v>
      </c>
      <c r="BC391" s="39" t="s">
        <v>357</v>
      </c>
      <c r="BD391" s="39" t="s">
        <v>357</v>
      </c>
      <c r="BE391" s="66">
        <v>16.0</v>
      </c>
      <c r="BF391" s="36" t="str">
        <f t="shared" si="510"/>
        <v>R</v>
      </c>
      <c r="BG391" s="68">
        <v>10.0</v>
      </c>
      <c r="BH391" s="41" t="str">
        <f t="shared" si="511"/>
        <v>R</v>
      </c>
      <c r="BI391" s="41"/>
    </row>
    <row r="392">
      <c r="A392" s="51" t="s">
        <v>926</v>
      </c>
      <c r="B392" s="51" t="s">
        <v>444</v>
      </c>
      <c r="C392" s="51" t="s">
        <v>1819</v>
      </c>
      <c r="D392" s="69" t="s">
        <v>1009</v>
      </c>
      <c r="E392" s="18" t="s">
        <v>103</v>
      </c>
      <c r="F392" s="18" t="s">
        <v>192</v>
      </c>
      <c r="G392" s="63" t="s">
        <v>1820</v>
      </c>
      <c r="H392" s="42" t="s">
        <v>479</v>
      </c>
      <c r="I392" s="28">
        <v>6.0</v>
      </c>
      <c r="J392" s="26" t="str">
        <f t="shared" si="489"/>
        <v>R</v>
      </c>
      <c r="K392" s="28">
        <v>16.0</v>
      </c>
      <c r="L392" s="26" t="str">
        <f t="shared" si="490"/>
        <v>R</v>
      </c>
      <c r="M392" s="28">
        <v>6.0</v>
      </c>
      <c r="N392" s="26" t="str">
        <f t="shared" si="491"/>
        <v>R</v>
      </c>
      <c r="O392" s="28">
        <v>20.0</v>
      </c>
      <c r="P392" s="26" t="str">
        <f t="shared" si="492"/>
        <v>I</v>
      </c>
      <c r="Q392" s="28">
        <v>16.0</v>
      </c>
      <c r="R392" s="26" t="str">
        <f t="shared" si="493"/>
        <v>R</v>
      </c>
      <c r="S392" s="28">
        <v>20.0</v>
      </c>
      <c r="T392" s="26" t="str">
        <f t="shared" si="494"/>
        <v>S</v>
      </c>
      <c r="U392" s="28">
        <v>11.0</v>
      </c>
      <c r="V392" s="26" t="str">
        <f t="shared" si="495"/>
        <v>R</v>
      </c>
      <c r="W392" s="32" t="s">
        <v>299</v>
      </c>
      <c r="X392" s="65">
        <v>23.0</v>
      </c>
      <c r="Y392" s="33" t="str">
        <f t="shared" si="496"/>
        <v>S</v>
      </c>
      <c r="Z392" s="65">
        <v>20.0</v>
      </c>
      <c r="AA392" s="33" t="str">
        <f t="shared" si="497"/>
        <v>S</v>
      </c>
      <c r="AB392" s="65">
        <v>21.0</v>
      </c>
      <c r="AC392" s="33" t="str">
        <f t="shared" si="498"/>
        <v>I</v>
      </c>
      <c r="AD392" s="65">
        <v>24.0</v>
      </c>
      <c r="AE392" s="33" t="str">
        <f t="shared" si="499"/>
        <v>S</v>
      </c>
      <c r="AF392" s="65">
        <v>17.0</v>
      </c>
      <c r="AG392" s="33" t="str">
        <f t="shared" si="500"/>
        <v>R</v>
      </c>
      <c r="AH392" s="65" t="s">
        <v>299</v>
      </c>
      <c r="AI392" s="66">
        <v>16.0</v>
      </c>
      <c r="AJ392" s="36" t="str">
        <f t="shared" si="501"/>
        <v>R</v>
      </c>
      <c r="AK392" s="66">
        <v>15.0</v>
      </c>
      <c r="AL392" s="36" t="str">
        <f t="shared" si="502"/>
        <v>R</v>
      </c>
      <c r="AM392" s="66">
        <v>13.0</v>
      </c>
      <c r="AN392" s="36" t="str">
        <f t="shared" si="503"/>
        <v>R</v>
      </c>
      <c r="AO392" s="66" t="s">
        <v>299</v>
      </c>
      <c r="AP392" s="67">
        <v>6.0</v>
      </c>
      <c r="AQ392" s="37" t="str">
        <f t="shared" si="504"/>
        <v>R</v>
      </c>
      <c r="AR392" s="65">
        <v>15.0</v>
      </c>
      <c r="AS392" s="33" t="str">
        <f t="shared" si="505"/>
        <v>R</v>
      </c>
      <c r="AT392" s="65">
        <v>18.0</v>
      </c>
      <c r="AU392" s="33" t="str">
        <f t="shared" si="506"/>
        <v>S</v>
      </c>
      <c r="AV392" s="65" t="s">
        <v>299</v>
      </c>
      <c r="AW392" s="28">
        <v>14.0</v>
      </c>
      <c r="AX392" s="26" t="str">
        <f t="shared" si="507"/>
        <v>R</v>
      </c>
      <c r="AY392" s="67">
        <v>20.0</v>
      </c>
      <c r="AZ392" s="37" t="str">
        <f t="shared" si="508"/>
        <v>R</v>
      </c>
      <c r="BA392" s="66">
        <v>15.0</v>
      </c>
      <c r="BB392" s="36" t="str">
        <f t="shared" si="509"/>
        <v>R</v>
      </c>
      <c r="BC392" s="39" t="s">
        <v>357</v>
      </c>
      <c r="BD392" s="39" t="s">
        <v>357</v>
      </c>
      <c r="BE392" s="66">
        <v>20.0</v>
      </c>
      <c r="BF392" s="36" t="str">
        <f t="shared" si="510"/>
        <v>I</v>
      </c>
      <c r="BG392" s="68">
        <v>12.0</v>
      </c>
      <c r="BH392" s="41" t="str">
        <f t="shared" si="511"/>
        <v>R</v>
      </c>
      <c r="BI392" s="41"/>
    </row>
    <row r="393">
      <c r="A393" s="51" t="s">
        <v>926</v>
      </c>
      <c r="B393" s="53">
        <v>187.0</v>
      </c>
      <c r="C393" s="51" t="s">
        <v>1136</v>
      </c>
      <c r="D393" s="69" t="s">
        <v>956</v>
      </c>
      <c r="E393" s="18" t="s">
        <v>103</v>
      </c>
      <c r="F393" s="18" t="s">
        <v>192</v>
      </c>
      <c r="G393" s="63" t="s">
        <v>1137</v>
      </c>
      <c r="H393" s="42" t="s">
        <v>479</v>
      </c>
      <c r="I393" s="28">
        <v>6.0</v>
      </c>
      <c r="J393" s="26" t="str">
        <f t="shared" si="489"/>
        <v>R</v>
      </c>
      <c r="K393" s="28">
        <v>18.0</v>
      </c>
      <c r="L393" s="26" t="str">
        <f t="shared" si="490"/>
        <v>R</v>
      </c>
      <c r="M393" s="28">
        <v>6.0</v>
      </c>
      <c r="N393" s="26" t="str">
        <f t="shared" si="491"/>
        <v>R</v>
      </c>
      <c r="O393" s="28">
        <v>24.0</v>
      </c>
      <c r="P393" s="26" t="str">
        <f t="shared" si="492"/>
        <v>S</v>
      </c>
      <c r="Q393" s="28">
        <v>14.0</v>
      </c>
      <c r="R393" s="26" t="str">
        <f t="shared" si="493"/>
        <v>R</v>
      </c>
      <c r="S393" s="28">
        <v>19.0</v>
      </c>
      <c r="T393" s="26" t="str">
        <f t="shared" si="494"/>
        <v>R</v>
      </c>
      <c r="U393" s="28">
        <v>17.0</v>
      </c>
      <c r="V393" s="26" t="str">
        <f t="shared" si="495"/>
        <v>I</v>
      </c>
      <c r="W393" s="32" t="s">
        <v>299</v>
      </c>
      <c r="X393" s="65">
        <v>14.0</v>
      </c>
      <c r="Y393" s="33" t="str">
        <f t="shared" si="496"/>
        <v>R</v>
      </c>
      <c r="Z393" s="65">
        <v>28.0</v>
      </c>
      <c r="AA393" s="33" t="str">
        <f t="shared" si="497"/>
        <v>S</v>
      </c>
      <c r="AB393" s="65">
        <v>12.0</v>
      </c>
      <c r="AC393" s="33" t="str">
        <f t="shared" si="498"/>
        <v>R</v>
      </c>
      <c r="AD393" s="65">
        <v>20.0</v>
      </c>
      <c r="AE393" s="33" t="str">
        <f t="shared" si="499"/>
        <v>S</v>
      </c>
      <c r="AF393" s="65">
        <v>23.0</v>
      </c>
      <c r="AG393" s="33" t="str">
        <f t="shared" si="500"/>
        <v>R</v>
      </c>
      <c r="AH393" s="65" t="s">
        <v>299</v>
      </c>
      <c r="AI393" s="66">
        <v>18.0</v>
      </c>
      <c r="AJ393" s="36" t="str">
        <f t="shared" si="501"/>
        <v>R</v>
      </c>
      <c r="AK393" s="66">
        <v>10.0</v>
      </c>
      <c r="AL393" s="36" t="str">
        <f t="shared" si="502"/>
        <v>R</v>
      </c>
      <c r="AM393" s="66">
        <v>9.0</v>
      </c>
      <c r="AN393" s="36" t="str">
        <f t="shared" si="503"/>
        <v>R</v>
      </c>
      <c r="AO393" s="66" t="s">
        <v>299</v>
      </c>
      <c r="AP393" s="67">
        <v>14.0</v>
      </c>
      <c r="AQ393" s="37" t="str">
        <f t="shared" si="504"/>
        <v>S</v>
      </c>
      <c r="AR393" s="65">
        <v>18.0</v>
      </c>
      <c r="AS393" s="33" t="str">
        <f t="shared" si="505"/>
        <v>S</v>
      </c>
      <c r="AT393" s="65">
        <v>20.0</v>
      </c>
      <c r="AU393" s="33" t="str">
        <f t="shared" si="506"/>
        <v>S</v>
      </c>
      <c r="AV393" s="33" t="s">
        <v>300</v>
      </c>
      <c r="AW393" s="28">
        <v>12.0</v>
      </c>
      <c r="AX393" s="26" t="str">
        <f t="shared" si="507"/>
        <v>R</v>
      </c>
      <c r="AY393" s="67">
        <v>15.0</v>
      </c>
      <c r="AZ393" s="37" t="str">
        <f t="shared" si="508"/>
        <v>R</v>
      </c>
      <c r="BA393" s="66">
        <v>18.0</v>
      </c>
      <c r="BB393" s="36" t="str">
        <f t="shared" si="509"/>
        <v>R</v>
      </c>
      <c r="BC393" s="39" t="s">
        <v>357</v>
      </c>
      <c r="BD393" s="39" t="s">
        <v>357</v>
      </c>
      <c r="BE393" s="66">
        <v>18.0</v>
      </c>
      <c r="BF393" s="36" t="str">
        <f t="shared" si="510"/>
        <v>R</v>
      </c>
      <c r="BG393" s="68">
        <v>13.0</v>
      </c>
      <c r="BH393" s="41" t="str">
        <f t="shared" si="511"/>
        <v>R</v>
      </c>
      <c r="BI393" s="41"/>
    </row>
    <row r="394">
      <c r="A394" s="51" t="s">
        <v>926</v>
      </c>
      <c r="B394" s="51" t="s">
        <v>444</v>
      </c>
      <c r="C394" s="51" t="s">
        <v>1821</v>
      </c>
      <c r="D394" s="69" t="s">
        <v>956</v>
      </c>
      <c r="E394" s="18" t="s">
        <v>103</v>
      </c>
      <c r="F394" s="18" t="s">
        <v>192</v>
      </c>
      <c r="G394" s="63" t="s">
        <v>1822</v>
      </c>
      <c r="H394" s="42" t="s">
        <v>479</v>
      </c>
      <c r="I394" s="28">
        <v>6.0</v>
      </c>
      <c r="J394" s="26" t="str">
        <f t="shared" si="489"/>
        <v>R</v>
      </c>
      <c r="K394" s="28">
        <v>18.0</v>
      </c>
      <c r="L394" s="26" t="str">
        <f t="shared" si="490"/>
        <v>R</v>
      </c>
      <c r="M394" s="28">
        <v>6.0</v>
      </c>
      <c r="N394" s="26" t="str">
        <f t="shared" si="491"/>
        <v>R</v>
      </c>
      <c r="O394" s="28">
        <v>23.0</v>
      </c>
      <c r="P394" s="26" t="str">
        <f t="shared" si="492"/>
        <v>S</v>
      </c>
      <c r="Q394" s="28">
        <v>12.0</v>
      </c>
      <c r="R394" s="26" t="str">
        <f t="shared" si="493"/>
        <v>R</v>
      </c>
      <c r="S394" s="28">
        <v>19.0</v>
      </c>
      <c r="T394" s="26" t="str">
        <f t="shared" si="494"/>
        <v>R</v>
      </c>
      <c r="U394" s="28">
        <v>17.0</v>
      </c>
      <c r="V394" s="26" t="str">
        <f t="shared" si="495"/>
        <v>I</v>
      </c>
      <c r="W394" s="32" t="s">
        <v>299</v>
      </c>
      <c r="X394" s="65">
        <v>14.0</v>
      </c>
      <c r="Y394" s="33" t="str">
        <f t="shared" si="496"/>
        <v>R</v>
      </c>
      <c r="Z394" s="65">
        <v>26.0</v>
      </c>
      <c r="AA394" s="33" t="str">
        <f t="shared" si="497"/>
        <v>S</v>
      </c>
      <c r="AB394" s="65">
        <v>12.0</v>
      </c>
      <c r="AC394" s="33" t="str">
        <f t="shared" si="498"/>
        <v>R</v>
      </c>
      <c r="AD394" s="65">
        <v>20.0</v>
      </c>
      <c r="AE394" s="33" t="str">
        <f t="shared" si="499"/>
        <v>S</v>
      </c>
      <c r="AF394" s="65">
        <v>23.0</v>
      </c>
      <c r="AG394" s="33" t="str">
        <f t="shared" si="500"/>
        <v>R</v>
      </c>
      <c r="AH394" s="65" t="s">
        <v>299</v>
      </c>
      <c r="AI394" s="66">
        <v>18.0</v>
      </c>
      <c r="AJ394" s="36" t="str">
        <f t="shared" si="501"/>
        <v>R</v>
      </c>
      <c r="AK394" s="66">
        <v>10.0</v>
      </c>
      <c r="AL394" s="36" t="str">
        <f t="shared" si="502"/>
        <v>R</v>
      </c>
      <c r="AM394" s="66">
        <v>6.0</v>
      </c>
      <c r="AN394" s="36" t="str">
        <f t="shared" si="503"/>
        <v>R</v>
      </c>
      <c r="AO394" s="66" t="s">
        <v>299</v>
      </c>
      <c r="AP394" s="67">
        <v>14.0</v>
      </c>
      <c r="AQ394" s="37" t="str">
        <f t="shared" si="504"/>
        <v>S</v>
      </c>
      <c r="AR394" s="65">
        <v>18.0</v>
      </c>
      <c r="AS394" s="33" t="str">
        <f t="shared" si="505"/>
        <v>S</v>
      </c>
      <c r="AT394" s="65">
        <v>20.0</v>
      </c>
      <c r="AU394" s="33" t="str">
        <f t="shared" si="506"/>
        <v>S</v>
      </c>
      <c r="AV394" s="33" t="s">
        <v>300</v>
      </c>
      <c r="AW394" s="28">
        <v>12.0</v>
      </c>
      <c r="AX394" s="26" t="str">
        <f t="shared" si="507"/>
        <v>R</v>
      </c>
      <c r="AY394" s="67">
        <v>15.0</v>
      </c>
      <c r="AZ394" s="37" t="str">
        <f t="shared" si="508"/>
        <v>R</v>
      </c>
      <c r="BA394" s="66">
        <v>18.0</v>
      </c>
      <c r="BB394" s="36" t="str">
        <f t="shared" si="509"/>
        <v>R</v>
      </c>
      <c r="BC394" s="39" t="s">
        <v>357</v>
      </c>
      <c r="BD394" s="39" t="s">
        <v>357</v>
      </c>
      <c r="BE394" s="66">
        <v>16.0</v>
      </c>
      <c r="BF394" s="36" t="str">
        <f t="shared" si="510"/>
        <v>R</v>
      </c>
      <c r="BG394" s="68">
        <v>11.0</v>
      </c>
      <c r="BH394" s="41" t="str">
        <f t="shared" si="511"/>
        <v>R</v>
      </c>
      <c r="BI394" s="41"/>
    </row>
    <row r="395">
      <c r="A395" s="51" t="s">
        <v>926</v>
      </c>
      <c r="B395" s="51" t="s">
        <v>444</v>
      </c>
      <c r="C395" s="51" t="s">
        <v>1823</v>
      </c>
      <c r="D395" s="69" t="s">
        <v>956</v>
      </c>
      <c r="E395" s="18" t="s">
        <v>103</v>
      </c>
      <c r="F395" s="18" t="s">
        <v>192</v>
      </c>
      <c r="G395" s="63" t="s">
        <v>1824</v>
      </c>
      <c r="H395" s="42" t="s">
        <v>479</v>
      </c>
      <c r="I395" s="28">
        <v>6.0</v>
      </c>
      <c r="J395" s="26" t="str">
        <f t="shared" si="489"/>
        <v>R</v>
      </c>
      <c r="K395" s="28">
        <v>18.0</v>
      </c>
      <c r="L395" s="26" t="str">
        <f t="shared" si="490"/>
        <v>R</v>
      </c>
      <c r="M395" s="28">
        <v>6.0</v>
      </c>
      <c r="N395" s="26" t="str">
        <f t="shared" si="491"/>
        <v>R</v>
      </c>
      <c r="O395" s="28">
        <v>23.0</v>
      </c>
      <c r="P395" s="26" t="str">
        <f t="shared" si="492"/>
        <v>S</v>
      </c>
      <c r="Q395" s="28">
        <v>12.0</v>
      </c>
      <c r="R395" s="26" t="str">
        <f t="shared" si="493"/>
        <v>R</v>
      </c>
      <c r="S395" s="28">
        <v>19.0</v>
      </c>
      <c r="T395" s="26" t="str">
        <f t="shared" si="494"/>
        <v>R</v>
      </c>
      <c r="U395" s="28">
        <v>17.0</v>
      </c>
      <c r="V395" s="26" t="str">
        <f t="shared" si="495"/>
        <v>I</v>
      </c>
      <c r="W395" s="32" t="s">
        <v>299</v>
      </c>
      <c r="X395" s="65">
        <v>14.0</v>
      </c>
      <c r="Y395" s="33" t="str">
        <f t="shared" si="496"/>
        <v>R</v>
      </c>
      <c r="Z395" s="65">
        <v>26.0</v>
      </c>
      <c r="AA395" s="33" t="str">
        <f t="shared" si="497"/>
        <v>S</v>
      </c>
      <c r="AB395" s="65">
        <v>12.0</v>
      </c>
      <c r="AC395" s="33" t="str">
        <f t="shared" si="498"/>
        <v>R</v>
      </c>
      <c r="AD395" s="65">
        <v>20.0</v>
      </c>
      <c r="AE395" s="33" t="str">
        <f t="shared" si="499"/>
        <v>S</v>
      </c>
      <c r="AF395" s="65">
        <v>23.0</v>
      </c>
      <c r="AG395" s="33" t="str">
        <f t="shared" si="500"/>
        <v>R</v>
      </c>
      <c r="AH395" s="65" t="s">
        <v>299</v>
      </c>
      <c r="AI395" s="66">
        <v>18.0</v>
      </c>
      <c r="AJ395" s="36" t="str">
        <f t="shared" si="501"/>
        <v>R</v>
      </c>
      <c r="AK395" s="66">
        <v>10.0</v>
      </c>
      <c r="AL395" s="36" t="str">
        <f t="shared" si="502"/>
        <v>R</v>
      </c>
      <c r="AM395" s="66">
        <v>6.0</v>
      </c>
      <c r="AN395" s="36" t="str">
        <f t="shared" si="503"/>
        <v>R</v>
      </c>
      <c r="AO395" s="66" t="s">
        <v>299</v>
      </c>
      <c r="AP395" s="67">
        <v>14.0</v>
      </c>
      <c r="AQ395" s="37" t="str">
        <f t="shared" si="504"/>
        <v>S</v>
      </c>
      <c r="AR395" s="65">
        <v>18.0</v>
      </c>
      <c r="AS395" s="33" t="str">
        <f t="shared" si="505"/>
        <v>S</v>
      </c>
      <c r="AT395" s="65">
        <v>20.0</v>
      </c>
      <c r="AU395" s="33" t="str">
        <f t="shared" si="506"/>
        <v>S</v>
      </c>
      <c r="AV395" s="33" t="s">
        <v>300</v>
      </c>
      <c r="AW395" s="28">
        <v>13.0</v>
      </c>
      <c r="AX395" s="26" t="str">
        <f t="shared" si="507"/>
        <v>R</v>
      </c>
      <c r="AY395" s="67">
        <v>15.0</v>
      </c>
      <c r="AZ395" s="37" t="str">
        <f t="shared" si="508"/>
        <v>R</v>
      </c>
      <c r="BA395" s="66">
        <v>18.0</v>
      </c>
      <c r="BB395" s="36" t="str">
        <f t="shared" si="509"/>
        <v>R</v>
      </c>
      <c r="BC395" s="39" t="s">
        <v>357</v>
      </c>
      <c r="BD395" s="39" t="s">
        <v>357</v>
      </c>
      <c r="BE395" s="66">
        <v>16.0</v>
      </c>
      <c r="BF395" s="36" t="str">
        <f t="shared" si="510"/>
        <v>R</v>
      </c>
      <c r="BG395" s="68">
        <v>13.0</v>
      </c>
      <c r="BH395" s="41" t="str">
        <f t="shared" si="511"/>
        <v>R</v>
      </c>
      <c r="BI395" s="41"/>
    </row>
    <row r="396">
      <c r="A396" s="21" t="s">
        <v>576</v>
      </c>
      <c r="B396" s="23">
        <v>188.0</v>
      </c>
      <c r="C396" s="21" t="s">
        <v>977</v>
      </c>
      <c r="D396" s="69" t="s">
        <v>190</v>
      </c>
      <c r="E396" s="18" t="s">
        <v>190</v>
      </c>
      <c r="F396" s="18" t="s">
        <v>192</v>
      </c>
      <c r="G396" s="63" t="s">
        <v>978</v>
      </c>
      <c r="H396" s="22" t="s">
        <v>198</v>
      </c>
      <c r="I396" s="28">
        <v>6.0</v>
      </c>
      <c r="J396" s="26" t="str">
        <f t="shared" si="489"/>
        <v>R</v>
      </c>
      <c r="K396" s="28">
        <v>6.0</v>
      </c>
      <c r="L396" s="26" t="str">
        <f t="shared" si="490"/>
        <v>R</v>
      </c>
      <c r="M396" s="28">
        <v>6.0</v>
      </c>
      <c r="N396" s="26" t="str">
        <f t="shared" si="491"/>
        <v>R</v>
      </c>
      <c r="O396" s="28">
        <v>24.0</v>
      </c>
      <c r="P396" s="26" t="str">
        <f t="shared" si="492"/>
        <v>S</v>
      </c>
      <c r="Q396" s="28">
        <v>6.0</v>
      </c>
      <c r="R396" s="26" t="str">
        <f t="shared" si="493"/>
        <v>R</v>
      </c>
      <c r="S396" s="28">
        <v>6.0</v>
      </c>
      <c r="T396" s="26" t="str">
        <f t="shared" si="494"/>
        <v>R</v>
      </c>
      <c r="U396" s="28">
        <v>15.0</v>
      </c>
      <c r="V396" s="26" t="str">
        <f t="shared" si="495"/>
        <v>R</v>
      </c>
      <c r="W396" s="32" t="s">
        <v>299</v>
      </c>
      <c r="X396" s="65">
        <v>6.0</v>
      </c>
      <c r="Y396" s="33" t="str">
        <f t="shared" si="496"/>
        <v>R</v>
      </c>
      <c r="Z396" s="65">
        <v>6.0</v>
      </c>
      <c r="AA396" s="33" t="str">
        <f t="shared" si="497"/>
        <v>R</v>
      </c>
      <c r="AB396" s="65">
        <v>6.0</v>
      </c>
      <c r="AC396" s="33" t="str">
        <f t="shared" si="498"/>
        <v>R</v>
      </c>
      <c r="AD396" s="65">
        <v>18.0</v>
      </c>
      <c r="AE396" s="33" t="str">
        <f t="shared" si="499"/>
        <v>S</v>
      </c>
      <c r="AF396" s="65">
        <v>6.0</v>
      </c>
      <c r="AG396" s="33" t="str">
        <f t="shared" si="500"/>
        <v>R</v>
      </c>
      <c r="AH396" s="65" t="s">
        <v>299</v>
      </c>
      <c r="AI396" s="66">
        <v>6.0</v>
      </c>
      <c r="AJ396" s="36" t="str">
        <f t="shared" si="501"/>
        <v>R</v>
      </c>
      <c r="AK396" s="66">
        <v>6.0</v>
      </c>
      <c r="AL396" s="36" t="str">
        <f t="shared" si="502"/>
        <v>R</v>
      </c>
      <c r="AM396" s="66">
        <v>6.0</v>
      </c>
      <c r="AN396" s="36" t="str">
        <f t="shared" si="503"/>
        <v>R</v>
      </c>
      <c r="AO396" s="66" t="s">
        <v>299</v>
      </c>
      <c r="AP396" s="67">
        <v>6.0</v>
      </c>
      <c r="AQ396" s="37" t="str">
        <f t="shared" si="504"/>
        <v>R</v>
      </c>
      <c r="AR396" s="65">
        <v>12.0</v>
      </c>
      <c r="AS396" s="33" t="str">
        <f t="shared" si="505"/>
        <v>R</v>
      </c>
      <c r="AT396" s="65">
        <v>22.0</v>
      </c>
      <c r="AU396" s="33" t="str">
        <f t="shared" si="506"/>
        <v>S</v>
      </c>
      <c r="AV396" s="65" t="s">
        <v>299</v>
      </c>
      <c r="AW396" s="28">
        <v>6.0</v>
      </c>
      <c r="AX396" s="26" t="str">
        <f t="shared" si="507"/>
        <v>R</v>
      </c>
      <c r="AY396" s="67">
        <v>6.0</v>
      </c>
      <c r="AZ396" s="37" t="str">
        <f t="shared" si="508"/>
        <v>R</v>
      </c>
      <c r="BA396" s="66">
        <v>18.0</v>
      </c>
      <c r="BB396" s="36" t="str">
        <f t="shared" si="509"/>
        <v>R</v>
      </c>
      <c r="BC396" s="39" t="s">
        <v>357</v>
      </c>
      <c r="BD396" s="39" t="s">
        <v>357</v>
      </c>
      <c r="BE396" s="66">
        <v>23.0</v>
      </c>
      <c r="BF396" s="36" t="str">
        <f t="shared" si="510"/>
        <v>S</v>
      </c>
      <c r="BG396" s="68">
        <v>6.0</v>
      </c>
      <c r="BH396" s="41" t="str">
        <f t="shared" si="511"/>
        <v>R</v>
      </c>
      <c r="BI396" s="41"/>
    </row>
    <row r="397">
      <c r="A397" s="21" t="s">
        <v>576</v>
      </c>
      <c r="B397" s="21" t="s">
        <v>444</v>
      </c>
      <c r="C397" s="21" t="s">
        <v>1825</v>
      </c>
      <c r="D397" s="69" t="s">
        <v>190</v>
      </c>
      <c r="E397" s="18" t="s">
        <v>190</v>
      </c>
      <c r="F397" s="18" t="s">
        <v>192</v>
      </c>
      <c r="G397" s="63" t="s">
        <v>1826</v>
      </c>
      <c r="H397" s="22" t="s">
        <v>198</v>
      </c>
      <c r="I397" s="28">
        <v>6.0</v>
      </c>
      <c r="J397" s="26" t="str">
        <f t="shared" si="489"/>
        <v>R</v>
      </c>
      <c r="K397" s="28">
        <v>6.0</v>
      </c>
      <c r="L397" s="26" t="str">
        <f t="shared" si="490"/>
        <v>R</v>
      </c>
      <c r="M397" s="28">
        <v>6.0</v>
      </c>
      <c r="N397" s="26" t="str">
        <f t="shared" si="491"/>
        <v>R</v>
      </c>
      <c r="O397" s="28">
        <v>24.0</v>
      </c>
      <c r="P397" s="26" t="str">
        <f t="shared" si="492"/>
        <v>S</v>
      </c>
      <c r="Q397" s="28">
        <v>6.0</v>
      </c>
      <c r="R397" s="26" t="str">
        <f t="shared" si="493"/>
        <v>R</v>
      </c>
      <c r="S397" s="28">
        <v>6.0</v>
      </c>
      <c r="T397" s="26" t="str">
        <f t="shared" si="494"/>
        <v>R</v>
      </c>
      <c r="U397" s="28">
        <v>15.0</v>
      </c>
      <c r="V397" s="26" t="str">
        <f t="shared" si="495"/>
        <v>R</v>
      </c>
      <c r="W397" s="32" t="s">
        <v>299</v>
      </c>
      <c r="X397" s="65">
        <v>6.0</v>
      </c>
      <c r="Y397" s="33" t="str">
        <f t="shared" si="496"/>
        <v>R</v>
      </c>
      <c r="Z397" s="65">
        <v>6.0</v>
      </c>
      <c r="AA397" s="33" t="str">
        <f t="shared" si="497"/>
        <v>R</v>
      </c>
      <c r="AB397" s="65">
        <v>6.0</v>
      </c>
      <c r="AC397" s="33" t="str">
        <f t="shared" si="498"/>
        <v>R</v>
      </c>
      <c r="AD397" s="65">
        <v>16.0</v>
      </c>
      <c r="AE397" s="33" t="str">
        <f t="shared" si="499"/>
        <v>S</v>
      </c>
      <c r="AF397" s="65">
        <v>6.0</v>
      </c>
      <c r="AG397" s="33" t="str">
        <f t="shared" si="500"/>
        <v>R</v>
      </c>
      <c r="AH397" s="65" t="s">
        <v>299</v>
      </c>
      <c r="AI397" s="66">
        <v>6.0</v>
      </c>
      <c r="AJ397" s="36" t="str">
        <f t="shared" si="501"/>
        <v>R</v>
      </c>
      <c r="AK397" s="66">
        <v>6.0</v>
      </c>
      <c r="AL397" s="36" t="str">
        <f t="shared" si="502"/>
        <v>R</v>
      </c>
      <c r="AM397" s="66">
        <v>6.0</v>
      </c>
      <c r="AN397" s="36" t="str">
        <f t="shared" si="503"/>
        <v>R</v>
      </c>
      <c r="AO397" s="66" t="s">
        <v>299</v>
      </c>
      <c r="AP397" s="67">
        <v>6.0</v>
      </c>
      <c r="AQ397" s="37" t="str">
        <f t="shared" si="504"/>
        <v>R</v>
      </c>
      <c r="AR397" s="65">
        <v>15.0</v>
      </c>
      <c r="AS397" s="33" t="str">
        <f t="shared" si="505"/>
        <v>R</v>
      </c>
      <c r="AT397" s="65">
        <v>22.0</v>
      </c>
      <c r="AU397" s="33" t="str">
        <f t="shared" si="506"/>
        <v>S</v>
      </c>
      <c r="AV397" s="65" t="s">
        <v>299</v>
      </c>
      <c r="AW397" s="28">
        <v>6.0</v>
      </c>
      <c r="AX397" s="26" t="str">
        <f t="shared" si="507"/>
        <v>R</v>
      </c>
      <c r="AY397" s="67">
        <v>6.0</v>
      </c>
      <c r="AZ397" s="37" t="str">
        <f t="shared" si="508"/>
        <v>R</v>
      </c>
      <c r="BA397" s="66">
        <v>18.0</v>
      </c>
      <c r="BB397" s="36" t="str">
        <f t="shared" si="509"/>
        <v>R</v>
      </c>
      <c r="BC397" s="39" t="s">
        <v>357</v>
      </c>
      <c r="BD397" s="39" t="s">
        <v>357</v>
      </c>
      <c r="BE397" s="66">
        <v>23.0</v>
      </c>
      <c r="BF397" s="36" t="str">
        <f t="shared" si="510"/>
        <v>S</v>
      </c>
      <c r="BG397" s="68">
        <v>6.0</v>
      </c>
      <c r="BH397" s="41" t="str">
        <f t="shared" si="511"/>
        <v>R</v>
      </c>
      <c r="BI397" s="41"/>
    </row>
    <row r="398">
      <c r="A398" s="21" t="s">
        <v>576</v>
      </c>
      <c r="B398" s="21" t="s">
        <v>444</v>
      </c>
      <c r="C398" s="21" t="s">
        <v>1827</v>
      </c>
      <c r="D398" s="69" t="s">
        <v>190</v>
      </c>
      <c r="E398" s="18" t="s">
        <v>190</v>
      </c>
      <c r="F398" s="18" t="s">
        <v>192</v>
      </c>
      <c r="G398" s="63" t="s">
        <v>1828</v>
      </c>
      <c r="H398" s="22" t="s">
        <v>198</v>
      </c>
      <c r="I398" s="28">
        <v>6.0</v>
      </c>
      <c r="J398" s="26" t="str">
        <f t="shared" si="489"/>
        <v>R</v>
      </c>
      <c r="K398" s="28">
        <v>6.0</v>
      </c>
      <c r="L398" s="26" t="str">
        <f t="shared" si="490"/>
        <v>R</v>
      </c>
      <c r="M398" s="28">
        <v>6.0</v>
      </c>
      <c r="N398" s="26" t="str">
        <f t="shared" si="491"/>
        <v>R</v>
      </c>
      <c r="O398" s="28">
        <v>24.0</v>
      </c>
      <c r="P398" s="26" t="str">
        <f t="shared" si="492"/>
        <v>S</v>
      </c>
      <c r="Q398" s="28">
        <v>6.0</v>
      </c>
      <c r="R398" s="26" t="str">
        <f t="shared" si="493"/>
        <v>R</v>
      </c>
      <c r="S398" s="28">
        <v>6.0</v>
      </c>
      <c r="T398" s="26" t="str">
        <f t="shared" si="494"/>
        <v>R</v>
      </c>
      <c r="U398" s="28">
        <v>15.0</v>
      </c>
      <c r="V398" s="26" t="str">
        <f t="shared" si="495"/>
        <v>R</v>
      </c>
      <c r="W398" s="32" t="s">
        <v>299</v>
      </c>
      <c r="X398" s="65">
        <v>6.0</v>
      </c>
      <c r="Y398" s="33" t="str">
        <f t="shared" si="496"/>
        <v>R</v>
      </c>
      <c r="Z398" s="65">
        <v>7.0</v>
      </c>
      <c r="AA398" s="33" t="str">
        <f t="shared" si="497"/>
        <v>R</v>
      </c>
      <c r="AB398" s="65">
        <v>6.0</v>
      </c>
      <c r="AC398" s="33" t="str">
        <f t="shared" si="498"/>
        <v>R</v>
      </c>
      <c r="AD398" s="65">
        <v>16.0</v>
      </c>
      <c r="AE398" s="33" t="str">
        <f t="shared" si="499"/>
        <v>S</v>
      </c>
      <c r="AF398" s="65">
        <v>6.0</v>
      </c>
      <c r="AG398" s="33" t="str">
        <f t="shared" si="500"/>
        <v>R</v>
      </c>
      <c r="AH398" s="65" t="s">
        <v>299</v>
      </c>
      <c r="AI398" s="66">
        <v>6.0</v>
      </c>
      <c r="AJ398" s="36" t="str">
        <f t="shared" si="501"/>
        <v>R</v>
      </c>
      <c r="AK398" s="66">
        <v>6.0</v>
      </c>
      <c r="AL398" s="36" t="str">
        <f t="shared" si="502"/>
        <v>R</v>
      </c>
      <c r="AM398" s="66">
        <v>7.0</v>
      </c>
      <c r="AN398" s="36" t="str">
        <f t="shared" si="503"/>
        <v>R</v>
      </c>
      <c r="AO398" s="66" t="s">
        <v>299</v>
      </c>
      <c r="AP398" s="67">
        <v>6.0</v>
      </c>
      <c r="AQ398" s="37" t="str">
        <f t="shared" si="504"/>
        <v>R</v>
      </c>
      <c r="AR398" s="65">
        <v>12.0</v>
      </c>
      <c r="AS398" s="33" t="str">
        <f t="shared" si="505"/>
        <v>R</v>
      </c>
      <c r="AT398" s="65">
        <v>22.0</v>
      </c>
      <c r="AU398" s="33" t="str">
        <f t="shared" si="506"/>
        <v>S</v>
      </c>
      <c r="AV398" s="65" t="s">
        <v>299</v>
      </c>
      <c r="AW398" s="28">
        <v>6.0</v>
      </c>
      <c r="AX398" s="26" t="str">
        <f t="shared" si="507"/>
        <v>R</v>
      </c>
      <c r="AY398" s="67">
        <v>6.0</v>
      </c>
      <c r="AZ398" s="37" t="str">
        <f t="shared" si="508"/>
        <v>R</v>
      </c>
      <c r="BA398" s="66">
        <v>19.0</v>
      </c>
      <c r="BB398" s="36" t="str">
        <f t="shared" si="509"/>
        <v>R</v>
      </c>
      <c r="BC398" s="39" t="s">
        <v>357</v>
      </c>
      <c r="BD398" s="39" t="s">
        <v>357</v>
      </c>
      <c r="BE398" s="66">
        <v>23.0</v>
      </c>
      <c r="BF398" s="36" t="str">
        <f t="shared" si="510"/>
        <v>S</v>
      </c>
      <c r="BG398" s="68">
        <v>6.0</v>
      </c>
      <c r="BH398" s="41" t="str">
        <f t="shared" si="511"/>
        <v>R</v>
      </c>
      <c r="BI398" s="41"/>
    </row>
    <row r="399">
      <c r="A399" s="21" t="s">
        <v>576</v>
      </c>
      <c r="B399" s="21" t="s">
        <v>444</v>
      </c>
      <c r="C399" s="21" t="s">
        <v>979</v>
      </c>
      <c r="D399" s="69" t="s">
        <v>190</v>
      </c>
      <c r="E399" s="18" t="s">
        <v>190</v>
      </c>
      <c r="F399" s="18" t="s">
        <v>192</v>
      </c>
      <c r="G399" s="63" t="s">
        <v>980</v>
      </c>
      <c r="H399" s="22" t="s">
        <v>198</v>
      </c>
      <c r="I399" s="28">
        <v>6.0</v>
      </c>
      <c r="J399" s="26" t="str">
        <f t="shared" si="489"/>
        <v>R</v>
      </c>
      <c r="K399" s="28">
        <v>6.0</v>
      </c>
      <c r="L399" s="26" t="str">
        <f t="shared" si="490"/>
        <v>R</v>
      </c>
      <c r="M399" s="28">
        <v>6.0</v>
      </c>
      <c r="N399" s="26" t="str">
        <f t="shared" si="491"/>
        <v>R</v>
      </c>
      <c r="O399" s="28">
        <v>25.0</v>
      </c>
      <c r="P399" s="26" t="str">
        <f t="shared" si="492"/>
        <v>S</v>
      </c>
      <c r="Q399" s="28">
        <v>6.0</v>
      </c>
      <c r="R399" s="26" t="str">
        <f t="shared" si="493"/>
        <v>R</v>
      </c>
      <c r="S399" s="28">
        <v>6.0</v>
      </c>
      <c r="T399" s="26" t="str">
        <f t="shared" si="494"/>
        <v>R</v>
      </c>
      <c r="U399" s="28">
        <v>12.0</v>
      </c>
      <c r="V399" s="26" t="str">
        <f t="shared" si="495"/>
        <v>R</v>
      </c>
      <c r="W399" s="32" t="s">
        <v>299</v>
      </c>
      <c r="X399" s="65">
        <v>6.0</v>
      </c>
      <c r="Y399" s="33" t="str">
        <f t="shared" si="496"/>
        <v>R</v>
      </c>
      <c r="Z399" s="65">
        <v>6.0</v>
      </c>
      <c r="AA399" s="33" t="str">
        <f t="shared" si="497"/>
        <v>R</v>
      </c>
      <c r="AB399" s="65">
        <v>6.0</v>
      </c>
      <c r="AC399" s="33" t="str">
        <f t="shared" si="498"/>
        <v>R</v>
      </c>
      <c r="AD399" s="65">
        <v>13.0</v>
      </c>
      <c r="AE399" s="33" t="str">
        <f t="shared" si="499"/>
        <v>S</v>
      </c>
      <c r="AF399" s="65">
        <v>6.0</v>
      </c>
      <c r="AG399" s="33" t="str">
        <f t="shared" si="500"/>
        <v>R</v>
      </c>
      <c r="AH399" s="65" t="s">
        <v>299</v>
      </c>
      <c r="AI399" s="66">
        <v>6.0</v>
      </c>
      <c r="AJ399" s="36" t="str">
        <f t="shared" si="501"/>
        <v>R</v>
      </c>
      <c r="AK399" s="66">
        <v>6.0</v>
      </c>
      <c r="AL399" s="36" t="str">
        <f t="shared" si="502"/>
        <v>R</v>
      </c>
      <c r="AM399" s="66">
        <v>6.0</v>
      </c>
      <c r="AN399" s="36" t="str">
        <f t="shared" si="503"/>
        <v>R</v>
      </c>
      <c r="AO399" s="66" t="s">
        <v>299</v>
      </c>
      <c r="AP399" s="67">
        <v>6.0</v>
      </c>
      <c r="AQ399" s="37" t="str">
        <f t="shared" si="504"/>
        <v>R</v>
      </c>
      <c r="AR399" s="65">
        <v>13.0</v>
      </c>
      <c r="AS399" s="33" t="str">
        <f t="shared" si="505"/>
        <v>R</v>
      </c>
      <c r="AT399" s="65">
        <v>17.0</v>
      </c>
      <c r="AU399" s="33" t="str">
        <f t="shared" si="506"/>
        <v>S</v>
      </c>
      <c r="AV399" s="65" t="s">
        <v>299</v>
      </c>
      <c r="AW399" s="28">
        <v>6.0</v>
      </c>
      <c r="AX399" s="26" t="str">
        <f t="shared" si="507"/>
        <v>R</v>
      </c>
      <c r="AY399" s="67">
        <v>6.0</v>
      </c>
      <c r="AZ399" s="37" t="str">
        <f t="shared" si="508"/>
        <v>R</v>
      </c>
      <c r="BA399" s="66">
        <v>13.0</v>
      </c>
      <c r="BB399" s="36" t="str">
        <f t="shared" si="509"/>
        <v>R</v>
      </c>
      <c r="BC399" s="39" t="s">
        <v>357</v>
      </c>
      <c r="BD399" s="39" t="s">
        <v>357</v>
      </c>
      <c r="BE399" s="66">
        <v>21.0</v>
      </c>
      <c r="BF399" s="36" t="str">
        <f t="shared" si="510"/>
        <v>I</v>
      </c>
      <c r="BG399" s="68">
        <v>6.0</v>
      </c>
      <c r="BH399" s="41" t="str">
        <f t="shared" si="511"/>
        <v>R</v>
      </c>
      <c r="BI399" s="41"/>
    </row>
    <row r="400">
      <c r="A400" s="21" t="s">
        <v>576</v>
      </c>
      <c r="B400" s="21" t="s">
        <v>444</v>
      </c>
      <c r="C400" s="21" t="s">
        <v>1829</v>
      </c>
      <c r="D400" s="69" t="s">
        <v>190</v>
      </c>
      <c r="E400" s="18" t="s">
        <v>190</v>
      </c>
      <c r="F400" s="18" t="s">
        <v>192</v>
      </c>
      <c r="G400" s="63" t="s">
        <v>1830</v>
      </c>
      <c r="H400" s="22" t="s">
        <v>198</v>
      </c>
      <c r="I400" s="28">
        <v>6.0</v>
      </c>
      <c r="J400" s="26" t="str">
        <f t="shared" si="489"/>
        <v>R</v>
      </c>
      <c r="K400" s="28">
        <v>6.0</v>
      </c>
      <c r="L400" s="26" t="str">
        <f t="shared" si="490"/>
        <v>R</v>
      </c>
      <c r="M400" s="28">
        <v>6.0</v>
      </c>
      <c r="N400" s="26" t="str">
        <f t="shared" si="491"/>
        <v>R</v>
      </c>
      <c r="O400" s="28">
        <v>27.0</v>
      </c>
      <c r="P400" s="26" t="str">
        <f t="shared" si="492"/>
        <v>S</v>
      </c>
      <c r="Q400" s="28">
        <v>6.0</v>
      </c>
      <c r="R400" s="26" t="str">
        <f t="shared" si="493"/>
        <v>R</v>
      </c>
      <c r="S400" s="28">
        <v>6.0</v>
      </c>
      <c r="T400" s="26" t="str">
        <f t="shared" si="494"/>
        <v>R</v>
      </c>
      <c r="U400" s="28">
        <v>12.0</v>
      </c>
      <c r="V400" s="26" t="str">
        <f t="shared" si="495"/>
        <v>R</v>
      </c>
      <c r="W400" s="32" t="s">
        <v>299</v>
      </c>
      <c r="X400" s="65">
        <v>6.0</v>
      </c>
      <c r="Y400" s="33" t="str">
        <f t="shared" si="496"/>
        <v>R</v>
      </c>
      <c r="Z400" s="65">
        <v>6.0</v>
      </c>
      <c r="AA400" s="33" t="str">
        <f t="shared" si="497"/>
        <v>R</v>
      </c>
      <c r="AB400" s="65">
        <v>6.0</v>
      </c>
      <c r="AC400" s="33" t="str">
        <f t="shared" si="498"/>
        <v>R</v>
      </c>
      <c r="AD400" s="65">
        <v>13.0</v>
      </c>
      <c r="AE400" s="33" t="str">
        <f t="shared" si="499"/>
        <v>S</v>
      </c>
      <c r="AF400" s="65">
        <v>6.0</v>
      </c>
      <c r="AG400" s="33" t="str">
        <f t="shared" si="500"/>
        <v>R</v>
      </c>
      <c r="AH400" s="65" t="s">
        <v>299</v>
      </c>
      <c r="AI400" s="66">
        <v>6.0</v>
      </c>
      <c r="AJ400" s="36" t="str">
        <f t="shared" si="501"/>
        <v>R</v>
      </c>
      <c r="AK400" s="66">
        <v>6.0</v>
      </c>
      <c r="AL400" s="36" t="str">
        <f t="shared" si="502"/>
        <v>R</v>
      </c>
      <c r="AM400" s="66">
        <v>6.0</v>
      </c>
      <c r="AN400" s="36" t="str">
        <f t="shared" si="503"/>
        <v>R</v>
      </c>
      <c r="AO400" s="66" t="s">
        <v>299</v>
      </c>
      <c r="AP400" s="67">
        <v>6.0</v>
      </c>
      <c r="AQ400" s="37" t="str">
        <f t="shared" si="504"/>
        <v>R</v>
      </c>
      <c r="AR400" s="65">
        <v>14.0</v>
      </c>
      <c r="AS400" s="33" t="str">
        <f t="shared" si="505"/>
        <v>R</v>
      </c>
      <c r="AT400" s="65">
        <v>17.0</v>
      </c>
      <c r="AU400" s="33" t="str">
        <f t="shared" si="506"/>
        <v>S</v>
      </c>
      <c r="AV400" s="65" t="s">
        <v>299</v>
      </c>
      <c r="AW400" s="28">
        <v>6.0</v>
      </c>
      <c r="AX400" s="26" t="str">
        <f t="shared" si="507"/>
        <v>R</v>
      </c>
      <c r="AY400" s="67">
        <v>6.0</v>
      </c>
      <c r="AZ400" s="37" t="str">
        <f t="shared" si="508"/>
        <v>R</v>
      </c>
      <c r="BA400" s="66">
        <v>14.0</v>
      </c>
      <c r="BB400" s="36" t="str">
        <f t="shared" si="509"/>
        <v>R</v>
      </c>
      <c r="BC400" s="39" t="s">
        <v>357</v>
      </c>
      <c r="BD400" s="39" t="s">
        <v>357</v>
      </c>
      <c r="BE400" s="66">
        <v>21.0</v>
      </c>
      <c r="BF400" s="36" t="str">
        <f t="shared" si="510"/>
        <v>I</v>
      </c>
      <c r="BG400" s="68">
        <v>6.0</v>
      </c>
      <c r="BH400" s="41" t="str">
        <f t="shared" si="511"/>
        <v>R</v>
      </c>
      <c r="BI400" s="41"/>
    </row>
    <row r="401">
      <c r="A401" s="21" t="s">
        <v>576</v>
      </c>
      <c r="B401" s="21" t="s">
        <v>444</v>
      </c>
      <c r="C401" s="21" t="s">
        <v>1831</v>
      </c>
      <c r="D401" s="69" t="s">
        <v>190</v>
      </c>
      <c r="E401" s="18" t="s">
        <v>190</v>
      </c>
      <c r="F401" s="18" t="s">
        <v>192</v>
      </c>
      <c r="G401" s="63" t="s">
        <v>1832</v>
      </c>
      <c r="H401" s="22" t="s">
        <v>198</v>
      </c>
      <c r="I401" s="28">
        <v>6.0</v>
      </c>
      <c r="J401" s="26" t="str">
        <f t="shared" si="489"/>
        <v>R</v>
      </c>
      <c r="K401" s="28">
        <v>6.0</v>
      </c>
      <c r="L401" s="26" t="str">
        <f t="shared" si="490"/>
        <v>R</v>
      </c>
      <c r="M401" s="28">
        <v>6.0</v>
      </c>
      <c r="N401" s="26" t="str">
        <f t="shared" si="491"/>
        <v>R</v>
      </c>
      <c r="O401" s="28">
        <v>25.0</v>
      </c>
      <c r="P401" s="26" t="str">
        <f t="shared" si="492"/>
        <v>S</v>
      </c>
      <c r="Q401" s="28">
        <v>6.0</v>
      </c>
      <c r="R401" s="26" t="str">
        <f t="shared" si="493"/>
        <v>R</v>
      </c>
      <c r="S401" s="28">
        <v>6.0</v>
      </c>
      <c r="T401" s="26" t="str">
        <f t="shared" si="494"/>
        <v>R</v>
      </c>
      <c r="U401" s="28">
        <v>12.0</v>
      </c>
      <c r="V401" s="26" t="str">
        <f t="shared" si="495"/>
        <v>R</v>
      </c>
      <c r="W401" s="32" t="s">
        <v>299</v>
      </c>
      <c r="X401" s="65">
        <v>6.0</v>
      </c>
      <c r="Y401" s="33" t="str">
        <f t="shared" si="496"/>
        <v>R</v>
      </c>
      <c r="Z401" s="65">
        <v>8.0</v>
      </c>
      <c r="AA401" s="33" t="str">
        <f t="shared" si="497"/>
        <v>R</v>
      </c>
      <c r="AB401" s="65">
        <v>6.0</v>
      </c>
      <c r="AC401" s="33" t="str">
        <f t="shared" si="498"/>
        <v>R</v>
      </c>
      <c r="AD401" s="65">
        <v>13.0</v>
      </c>
      <c r="AE401" s="33" t="str">
        <f t="shared" si="499"/>
        <v>S</v>
      </c>
      <c r="AF401" s="65">
        <v>6.0</v>
      </c>
      <c r="AG401" s="33" t="str">
        <f t="shared" si="500"/>
        <v>R</v>
      </c>
      <c r="AH401" s="65" t="s">
        <v>299</v>
      </c>
      <c r="AI401" s="66">
        <v>6.0</v>
      </c>
      <c r="AJ401" s="36" t="str">
        <f t="shared" si="501"/>
        <v>R</v>
      </c>
      <c r="AK401" s="66">
        <v>6.0</v>
      </c>
      <c r="AL401" s="36" t="str">
        <f t="shared" si="502"/>
        <v>R</v>
      </c>
      <c r="AM401" s="66">
        <v>6.0</v>
      </c>
      <c r="AN401" s="36" t="str">
        <f t="shared" si="503"/>
        <v>R</v>
      </c>
      <c r="AO401" s="66" t="s">
        <v>299</v>
      </c>
      <c r="AP401" s="67">
        <v>6.0</v>
      </c>
      <c r="AQ401" s="37" t="str">
        <f t="shared" si="504"/>
        <v>R</v>
      </c>
      <c r="AR401" s="65">
        <v>13.0</v>
      </c>
      <c r="AS401" s="33" t="str">
        <f t="shared" si="505"/>
        <v>R</v>
      </c>
      <c r="AT401" s="65">
        <v>17.0</v>
      </c>
      <c r="AU401" s="33" t="str">
        <f t="shared" si="506"/>
        <v>S</v>
      </c>
      <c r="AV401" s="65" t="s">
        <v>299</v>
      </c>
      <c r="AW401" s="28">
        <v>6.0</v>
      </c>
      <c r="AX401" s="26" t="str">
        <f t="shared" si="507"/>
        <v>R</v>
      </c>
      <c r="AY401" s="67">
        <v>6.0</v>
      </c>
      <c r="AZ401" s="37" t="str">
        <f t="shared" si="508"/>
        <v>R</v>
      </c>
      <c r="BA401" s="66">
        <v>16.0</v>
      </c>
      <c r="BB401" s="36" t="str">
        <f t="shared" si="509"/>
        <v>R</v>
      </c>
      <c r="BC401" s="39" t="s">
        <v>357</v>
      </c>
      <c r="BD401" s="39" t="s">
        <v>357</v>
      </c>
      <c r="BE401" s="66">
        <v>21.0</v>
      </c>
      <c r="BF401" s="36" t="str">
        <f t="shared" si="510"/>
        <v>I</v>
      </c>
      <c r="BG401" s="68">
        <v>6.0</v>
      </c>
      <c r="BH401" s="41" t="str">
        <f t="shared" si="511"/>
        <v>R</v>
      </c>
      <c r="BI401" s="41"/>
    </row>
    <row r="402">
      <c r="A402" s="21" t="s">
        <v>576</v>
      </c>
      <c r="B402" s="23">
        <v>189.0</v>
      </c>
      <c r="C402" s="21" t="s">
        <v>986</v>
      </c>
      <c r="D402" s="69" t="s">
        <v>571</v>
      </c>
      <c r="E402" s="18" t="s">
        <v>572</v>
      </c>
      <c r="F402" s="18" t="s">
        <v>192</v>
      </c>
      <c r="G402" s="63" t="s">
        <v>987</v>
      </c>
      <c r="H402" s="22" t="s">
        <v>198</v>
      </c>
      <c r="I402" s="28">
        <v>6.0</v>
      </c>
      <c r="J402" s="26" t="str">
        <f t="shared" si="489"/>
        <v>R</v>
      </c>
      <c r="K402" s="28">
        <v>6.0</v>
      </c>
      <c r="L402" s="26" t="str">
        <f t="shared" si="490"/>
        <v>R</v>
      </c>
      <c r="M402" s="28">
        <v>6.0</v>
      </c>
      <c r="N402" s="26" t="str">
        <f t="shared" si="491"/>
        <v>R</v>
      </c>
      <c r="O402" s="28">
        <v>18.0</v>
      </c>
      <c r="P402" s="26" t="str">
        <f t="shared" si="492"/>
        <v>R</v>
      </c>
      <c r="Q402" s="28">
        <v>6.0</v>
      </c>
      <c r="R402" s="26" t="str">
        <f t="shared" si="493"/>
        <v>R</v>
      </c>
      <c r="S402" s="28">
        <v>8.0</v>
      </c>
      <c r="T402" s="26" t="str">
        <f t="shared" si="494"/>
        <v>R</v>
      </c>
      <c r="U402" s="28">
        <v>6.0</v>
      </c>
      <c r="V402" s="26" t="str">
        <f t="shared" si="495"/>
        <v>R</v>
      </c>
      <c r="W402" s="32" t="s">
        <v>299</v>
      </c>
      <c r="X402" s="65">
        <v>6.0</v>
      </c>
      <c r="Y402" s="33" t="str">
        <f t="shared" si="496"/>
        <v>R</v>
      </c>
      <c r="Z402" s="65">
        <v>6.0</v>
      </c>
      <c r="AA402" s="33" t="str">
        <f t="shared" si="497"/>
        <v>R</v>
      </c>
      <c r="AB402" s="65">
        <v>6.0</v>
      </c>
      <c r="AC402" s="33" t="str">
        <f t="shared" si="498"/>
        <v>R</v>
      </c>
      <c r="AD402" s="65">
        <v>11.0</v>
      </c>
      <c r="AE402" s="33" t="str">
        <f t="shared" si="499"/>
        <v>R</v>
      </c>
      <c r="AF402" s="65">
        <v>6.0</v>
      </c>
      <c r="AG402" s="33" t="str">
        <f t="shared" si="500"/>
        <v>R</v>
      </c>
      <c r="AH402" s="65" t="s">
        <v>299</v>
      </c>
      <c r="AI402" s="66">
        <v>6.0</v>
      </c>
      <c r="AJ402" s="36" t="str">
        <f t="shared" si="501"/>
        <v>R</v>
      </c>
      <c r="AK402" s="66">
        <v>6.0</v>
      </c>
      <c r="AL402" s="36" t="str">
        <f t="shared" si="502"/>
        <v>R</v>
      </c>
      <c r="AM402" s="66">
        <v>6.0</v>
      </c>
      <c r="AN402" s="36" t="str">
        <f t="shared" si="503"/>
        <v>R</v>
      </c>
      <c r="AO402" s="66" t="s">
        <v>299</v>
      </c>
      <c r="AP402" s="67">
        <v>6.0</v>
      </c>
      <c r="AQ402" s="37" t="str">
        <f t="shared" si="504"/>
        <v>R</v>
      </c>
      <c r="AR402" s="65">
        <v>15.0</v>
      </c>
      <c r="AS402" s="33" t="str">
        <f t="shared" si="505"/>
        <v>R</v>
      </c>
      <c r="AT402" s="65">
        <v>6.0</v>
      </c>
      <c r="AU402" s="33" t="str">
        <f t="shared" si="506"/>
        <v>R</v>
      </c>
      <c r="AV402" s="65" t="s">
        <v>299</v>
      </c>
      <c r="AW402" s="28">
        <v>6.0</v>
      </c>
      <c r="AX402" s="26" t="str">
        <f t="shared" si="507"/>
        <v>R</v>
      </c>
      <c r="AY402" s="67">
        <v>6.0</v>
      </c>
      <c r="AZ402" s="37" t="str">
        <f t="shared" si="508"/>
        <v>R</v>
      </c>
      <c r="BA402" s="66">
        <v>17.0</v>
      </c>
      <c r="BB402" s="36" t="str">
        <f t="shared" si="509"/>
        <v>R</v>
      </c>
      <c r="BC402" s="39" t="s">
        <v>357</v>
      </c>
      <c r="BD402" s="39" t="s">
        <v>357</v>
      </c>
      <c r="BE402" s="66">
        <v>23.0</v>
      </c>
      <c r="BF402" s="36" t="str">
        <f t="shared" si="510"/>
        <v>S</v>
      </c>
      <c r="BG402" s="68">
        <v>6.0</v>
      </c>
      <c r="BH402" s="41" t="str">
        <f t="shared" si="511"/>
        <v>R</v>
      </c>
      <c r="BI402" s="41"/>
    </row>
    <row r="403">
      <c r="A403" s="21" t="s">
        <v>576</v>
      </c>
      <c r="B403" s="21" t="s">
        <v>444</v>
      </c>
      <c r="C403" s="21" t="s">
        <v>1833</v>
      </c>
      <c r="D403" s="69" t="s">
        <v>571</v>
      </c>
      <c r="E403" s="18" t="s">
        <v>572</v>
      </c>
      <c r="F403" s="18" t="s">
        <v>192</v>
      </c>
      <c r="G403" s="63" t="s">
        <v>1834</v>
      </c>
      <c r="H403" s="22" t="s">
        <v>198</v>
      </c>
      <c r="I403" s="28">
        <v>6.0</v>
      </c>
      <c r="J403" s="26" t="str">
        <f t="shared" si="489"/>
        <v>R</v>
      </c>
      <c r="K403" s="28">
        <v>6.0</v>
      </c>
      <c r="L403" s="26" t="str">
        <f t="shared" si="490"/>
        <v>R</v>
      </c>
      <c r="M403" s="28">
        <v>6.0</v>
      </c>
      <c r="N403" s="26" t="str">
        <f t="shared" si="491"/>
        <v>R</v>
      </c>
      <c r="O403" s="28">
        <v>18.0</v>
      </c>
      <c r="P403" s="26" t="str">
        <f t="shared" si="492"/>
        <v>R</v>
      </c>
      <c r="Q403" s="28">
        <v>6.0</v>
      </c>
      <c r="R403" s="26" t="str">
        <f t="shared" si="493"/>
        <v>R</v>
      </c>
      <c r="S403" s="28">
        <v>8.0</v>
      </c>
      <c r="T403" s="26" t="str">
        <f t="shared" si="494"/>
        <v>R</v>
      </c>
      <c r="U403" s="28">
        <v>6.0</v>
      </c>
      <c r="V403" s="26" t="str">
        <f t="shared" si="495"/>
        <v>R</v>
      </c>
      <c r="W403" s="32" t="s">
        <v>299</v>
      </c>
      <c r="X403" s="65">
        <v>6.0</v>
      </c>
      <c r="Y403" s="33" t="str">
        <f t="shared" si="496"/>
        <v>R</v>
      </c>
      <c r="Z403" s="65">
        <v>7.0</v>
      </c>
      <c r="AA403" s="33" t="str">
        <f t="shared" si="497"/>
        <v>R</v>
      </c>
      <c r="AB403" s="65">
        <v>6.0</v>
      </c>
      <c r="AC403" s="33" t="str">
        <f t="shared" si="498"/>
        <v>R</v>
      </c>
      <c r="AD403" s="65">
        <v>11.0</v>
      </c>
      <c r="AE403" s="33" t="str">
        <f t="shared" si="499"/>
        <v>R</v>
      </c>
      <c r="AF403" s="65">
        <v>6.0</v>
      </c>
      <c r="AG403" s="33" t="str">
        <f t="shared" si="500"/>
        <v>R</v>
      </c>
      <c r="AH403" s="65" t="s">
        <v>299</v>
      </c>
      <c r="AI403" s="66">
        <v>6.0</v>
      </c>
      <c r="AJ403" s="36" t="str">
        <f t="shared" si="501"/>
        <v>R</v>
      </c>
      <c r="AK403" s="66">
        <v>6.0</v>
      </c>
      <c r="AL403" s="36" t="str">
        <f t="shared" si="502"/>
        <v>R</v>
      </c>
      <c r="AM403" s="66">
        <v>6.0</v>
      </c>
      <c r="AN403" s="36" t="str">
        <f t="shared" si="503"/>
        <v>R</v>
      </c>
      <c r="AO403" s="66" t="s">
        <v>299</v>
      </c>
      <c r="AP403" s="67">
        <v>6.0</v>
      </c>
      <c r="AQ403" s="37" t="str">
        <f t="shared" si="504"/>
        <v>R</v>
      </c>
      <c r="AR403" s="65">
        <v>16.0</v>
      </c>
      <c r="AS403" s="33" t="str">
        <f t="shared" si="505"/>
        <v>R</v>
      </c>
      <c r="AT403" s="65">
        <v>6.0</v>
      </c>
      <c r="AU403" s="33" t="str">
        <f t="shared" si="506"/>
        <v>R</v>
      </c>
      <c r="AV403" s="65" t="s">
        <v>299</v>
      </c>
      <c r="AW403" s="28">
        <v>6.0</v>
      </c>
      <c r="AX403" s="26" t="str">
        <f t="shared" si="507"/>
        <v>R</v>
      </c>
      <c r="AY403" s="67">
        <v>6.0</v>
      </c>
      <c r="AZ403" s="37" t="str">
        <f t="shared" si="508"/>
        <v>R</v>
      </c>
      <c r="BA403" s="66">
        <v>16.0</v>
      </c>
      <c r="BB403" s="36" t="str">
        <f t="shared" si="509"/>
        <v>R</v>
      </c>
      <c r="BC403" s="39" t="s">
        <v>357</v>
      </c>
      <c r="BD403" s="39" t="s">
        <v>357</v>
      </c>
      <c r="BE403" s="66">
        <v>23.0</v>
      </c>
      <c r="BF403" s="36" t="str">
        <f t="shared" si="510"/>
        <v>S</v>
      </c>
      <c r="BG403" s="68">
        <v>6.0</v>
      </c>
      <c r="BH403" s="41" t="str">
        <f t="shared" si="511"/>
        <v>R</v>
      </c>
      <c r="BI403" s="41"/>
    </row>
    <row r="404">
      <c r="A404" s="21" t="s">
        <v>576</v>
      </c>
      <c r="B404" s="21" t="s">
        <v>444</v>
      </c>
      <c r="C404" s="21" t="s">
        <v>1835</v>
      </c>
      <c r="D404" s="69" t="s">
        <v>571</v>
      </c>
      <c r="E404" s="18" t="s">
        <v>572</v>
      </c>
      <c r="F404" s="18" t="s">
        <v>192</v>
      </c>
      <c r="G404" s="63" t="s">
        <v>1836</v>
      </c>
      <c r="H404" s="22" t="s">
        <v>198</v>
      </c>
      <c r="I404" s="28">
        <v>6.0</v>
      </c>
      <c r="J404" s="26" t="str">
        <f t="shared" si="489"/>
        <v>R</v>
      </c>
      <c r="K404" s="28">
        <v>6.0</v>
      </c>
      <c r="L404" s="26" t="str">
        <f t="shared" si="490"/>
        <v>R</v>
      </c>
      <c r="M404" s="28">
        <v>6.0</v>
      </c>
      <c r="N404" s="26" t="str">
        <f t="shared" si="491"/>
        <v>R</v>
      </c>
      <c r="O404" s="28">
        <v>18.0</v>
      </c>
      <c r="P404" s="26" t="str">
        <f t="shared" si="492"/>
        <v>R</v>
      </c>
      <c r="Q404" s="28">
        <v>6.0</v>
      </c>
      <c r="R404" s="26" t="str">
        <f t="shared" si="493"/>
        <v>R</v>
      </c>
      <c r="S404" s="28">
        <v>8.0</v>
      </c>
      <c r="T404" s="26" t="str">
        <f t="shared" si="494"/>
        <v>R</v>
      </c>
      <c r="U404" s="28">
        <v>6.0</v>
      </c>
      <c r="V404" s="26" t="str">
        <f t="shared" si="495"/>
        <v>R</v>
      </c>
      <c r="W404" s="32" t="s">
        <v>299</v>
      </c>
      <c r="X404" s="65">
        <v>6.0</v>
      </c>
      <c r="Y404" s="33" t="str">
        <f t="shared" si="496"/>
        <v>R</v>
      </c>
      <c r="Z404" s="65">
        <v>6.0</v>
      </c>
      <c r="AA404" s="33" t="str">
        <f t="shared" si="497"/>
        <v>R</v>
      </c>
      <c r="AB404" s="65">
        <v>6.0</v>
      </c>
      <c r="AC404" s="33" t="str">
        <f t="shared" si="498"/>
        <v>R</v>
      </c>
      <c r="AD404" s="65">
        <v>11.0</v>
      </c>
      <c r="AE404" s="33" t="str">
        <f t="shared" si="499"/>
        <v>R</v>
      </c>
      <c r="AF404" s="65">
        <v>6.0</v>
      </c>
      <c r="AG404" s="33" t="str">
        <f t="shared" si="500"/>
        <v>R</v>
      </c>
      <c r="AH404" s="65" t="s">
        <v>299</v>
      </c>
      <c r="AI404" s="66">
        <v>6.0</v>
      </c>
      <c r="AJ404" s="36" t="str">
        <f t="shared" si="501"/>
        <v>R</v>
      </c>
      <c r="AK404" s="66">
        <v>6.0</v>
      </c>
      <c r="AL404" s="36" t="str">
        <f t="shared" si="502"/>
        <v>R</v>
      </c>
      <c r="AM404" s="66">
        <v>6.0</v>
      </c>
      <c r="AN404" s="36" t="str">
        <f t="shared" si="503"/>
        <v>R</v>
      </c>
      <c r="AO404" s="66" t="s">
        <v>299</v>
      </c>
      <c r="AP404" s="67">
        <v>6.0</v>
      </c>
      <c r="AQ404" s="37" t="str">
        <f t="shared" si="504"/>
        <v>R</v>
      </c>
      <c r="AR404" s="65">
        <v>15.0</v>
      </c>
      <c r="AS404" s="33" t="str">
        <f t="shared" si="505"/>
        <v>R</v>
      </c>
      <c r="AT404" s="65">
        <v>6.0</v>
      </c>
      <c r="AU404" s="33" t="str">
        <f t="shared" si="506"/>
        <v>R</v>
      </c>
      <c r="AV404" s="65" t="s">
        <v>299</v>
      </c>
      <c r="AW404" s="28">
        <v>6.0</v>
      </c>
      <c r="AX404" s="26" t="str">
        <f t="shared" si="507"/>
        <v>R</v>
      </c>
      <c r="AY404" s="67">
        <v>6.0</v>
      </c>
      <c r="AZ404" s="37" t="str">
        <f t="shared" si="508"/>
        <v>R</v>
      </c>
      <c r="BA404" s="66">
        <v>18.0</v>
      </c>
      <c r="BB404" s="36" t="str">
        <f t="shared" si="509"/>
        <v>R</v>
      </c>
      <c r="BC404" s="39" t="s">
        <v>357</v>
      </c>
      <c r="BD404" s="39" t="s">
        <v>357</v>
      </c>
      <c r="BE404" s="66">
        <v>23.0</v>
      </c>
      <c r="BF404" s="36" t="str">
        <f t="shared" si="510"/>
        <v>S</v>
      </c>
      <c r="BG404" s="68">
        <v>6.0</v>
      </c>
      <c r="BH404" s="41" t="str">
        <f t="shared" si="511"/>
        <v>R</v>
      </c>
      <c r="BI404" s="41"/>
    </row>
    <row r="405">
      <c r="A405" s="21" t="s">
        <v>576</v>
      </c>
      <c r="B405" s="21" t="s">
        <v>444</v>
      </c>
      <c r="C405" s="21" t="s">
        <v>991</v>
      </c>
      <c r="D405" s="69" t="s">
        <v>571</v>
      </c>
      <c r="E405" s="18" t="s">
        <v>572</v>
      </c>
      <c r="F405" s="18" t="s">
        <v>192</v>
      </c>
      <c r="G405" s="63" t="s">
        <v>992</v>
      </c>
      <c r="H405" s="42" t="s">
        <v>479</v>
      </c>
      <c r="I405" s="28">
        <v>6.0</v>
      </c>
      <c r="J405" s="26" t="str">
        <f t="shared" si="489"/>
        <v>R</v>
      </c>
      <c r="K405" s="28">
        <v>19.0</v>
      </c>
      <c r="L405" s="26" t="str">
        <f t="shared" si="490"/>
        <v>S</v>
      </c>
      <c r="M405" s="28">
        <v>6.0</v>
      </c>
      <c r="N405" s="26" t="str">
        <f t="shared" si="491"/>
        <v>R</v>
      </c>
      <c r="O405" s="28">
        <v>28.0</v>
      </c>
      <c r="P405" s="26" t="str">
        <f t="shared" si="492"/>
        <v>S</v>
      </c>
      <c r="Q405" s="28">
        <v>6.0</v>
      </c>
      <c r="R405" s="26" t="str">
        <f t="shared" si="493"/>
        <v>R</v>
      </c>
      <c r="S405" s="28">
        <v>18.0</v>
      </c>
      <c r="T405" s="26" t="str">
        <f t="shared" si="494"/>
        <v>R</v>
      </c>
      <c r="U405" s="28">
        <v>14.0</v>
      </c>
      <c r="V405" s="26" t="str">
        <f t="shared" si="495"/>
        <v>R</v>
      </c>
      <c r="W405" s="32" t="s">
        <v>299</v>
      </c>
      <c r="X405" s="65">
        <v>11.0</v>
      </c>
      <c r="Y405" s="33" t="str">
        <f t="shared" si="496"/>
        <v>R</v>
      </c>
      <c r="Z405" s="65">
        <v>19.0</v>
      </c>
      <c r="AA405" s="33" t="str">
        <f t="shared" si="497"/>
        <v>S</v>
      </c>
      <c r="AB405" s="65">
        <v>15.0</v>
      </c>
      <c r="AC405" s="33" t="str">
        <f t="shared" si="498"/>
        <v>R</v>
      </c>
      <c r="AD405" s="65">
        <v>14.0</v>
      </c>
      <c r="AE405" s="33" t="str">
        <f t="shared" si="499"/>
        <v>S</v>
      </c>
      <c r="AF405" s="65">
        <v>14.0</v>
      </c>
      <c r="AG405" s="33" t="str">
        <f t="shared" si="500"/>
        <v>R</v>
      </c>
      <c r="AH405" s="65" t="s">
        <v>299</v>
      </c>
      <c r="AI405" s="66">
        <v>17.0</v>
      </c>
      <c r="AJ405" s="36" t="str">
        <f t="shared" si="501"/>
        <v>R</v>
      </c>
      <c r="AK405" s="66">
        <v>17.0</v>
      </c>
      <c r="AL405" s="36" t="str">
        <f t="shared" si="502"/>
        <v>R</v>
      </c>
      <c r="AM405" s="66">
        <v>15.0</v>
      </c>
      <c r="AN405" s="36" t="str">
        <f t="shared" si="503"/>
        <v>S</v>
      </c>
      <c r="AO405" s="66" t="s">
        <v>299</v>
      </c>
      <c r="AP405" s="67">
        <v>6.0</v>
      </c>
      <c r="AQ405" s="37" t="str">
        <f t="shared" si="504"/>
        <v>R</v>
      </c>
      <c r="AR405" s="65">
        <v>16.0</v>
      </c>
      <c r="AS405" s="33" t="str">
        <f t="shared" si="505"/>
        <v>R</v>
      </c>
      <c r="AT405" s="65">
        <v>17.0</v>
      </c>
      <c r="AU405" s="33" t="str">
        <f t="shared" si="506"/>
        <v>S</v>
      </c>
      <c r="AV405" s="65" t="s">
        <v>299</v>
      </c>
      <c r="AW405" s="28">
        <v>8.0</v>
      </c>
      <c r="AX405" s="26" t="str">
        <f t="shared" si="507"/>
        <v>R</v>
      </c>
      <c r="AY405" s="67">
        <v>12.0</v>
      </c>
      <c r="AZ405" s="37" t="str">
        <f t="shared" si="508"/>
        <v>R</v>
      </c>
      <c r="BA405" s="66">
        <v>22.0</v>
      </c>
      <c r="BB405" s="36" t="str">
        <f t="shared" si="509"/>
        <v>R</v>
      </c>
      <c r="BC405" s="39" t="s">
        <v>357</v>
      </c>
      <c r="BD405" s="39" t="s">
        <v>357</v>
      </c>
      <c r="BE405" s="66">
        <v>24.0</v>
      </c>
      <c r="BF405" s="36" t="str">
        <f t="shared" si="510"/>
        <v>S</v>
      </c>
      <c r="BG405" s="68">
        <v>16.0</v>
      </c>
      <c r="BH405" s="41" t="str">
        <f t="shared" si="511"/>
        <v>R</v>
      </c>
      <c r="BI405" s="41"/>
    </row>
    <row r="406">
      <c r="A406" s="21" t="s">
        <v>576</v>
      </c>
      <c r="B406" s="21" t="s">
        <v>444</v>
      </c>
      <c r="C406" s="21" t="s">
        <v>1837</v>
      </c>
      <c r="D406" s="69" t="s">
        <v>571</v>
      </c>
      <c r="E406" s="18" t="s">
        <v>572</v>
      </c>
      <c r="F406" s="18" t="s">
        <v>192</v>
      </c>
      <c r="G406" s="63" t="s">
        <v>1838</v>
      </c>
      <c r="H406" s="42" t="s">
        <v>479</v>
      </c>
      <c r="I406" s="28">
        <v>6.0</v>
      </c>
      <c r="J406" s="26" t="str">
        <f t="shared" si="489"/>
        <v>R</v>
      </c>
      <c r="K406" s="28">
        <v>20.0</v>
      </c>
      <c r="L406" s="26" t="str">
        <f t="shared" si="490"/>
        <v>S</v>
      </c>
      <c r="M406" s="28">
        <v>6.0</v>
      </c>
      <c r="N406" s="26" t="str">
        <f t="shared" si="491"/>
        <v>R</v>
      </c>
      <c r="O406" s="28">
        <v>28.0</v>
      </c>
      <c r="P406" s="26" t="str">
        <f t="shared" si="492"/>
        <v>S</v>
      </c>
      <c r="Q406" s="28">
        <v>6.0</v>
      </c>
      <c r="R406" s="26" t="str">
        <f t="shared" si="493"/>
        <v>R</v>
      </c>
      <c r="S406" s="28">
        <v>18.0</v>
      </c>
      <c r="T406" s="26" t="str">
        <f t="shared" si="494"/>
        <v>R</v>
      </c>
      <c r="U406" s="28">
        <v>14.0</v>
      </c>
      <c r="V406" s="26" t="str">
        <f t="shared" si="495"/>
        <v>R</v>
      </c>
      <c r="W406" s="32" t="s">
        <v>299</v>
      </c>
      <c r="X406" s="65">
        <v>10.0</v>
      </c>
      <c r="Y406" s="33" t="str">
        <f t="shared" si="496"/>
        <v>R</v>
      </c>
      <c r="Z406" s="65">
        <v>20.0</v>
      </c>
      <c r="AA406" s="33" t="str">
        <f t="shared" si="497"/>
        <v>S</v>
      </c>
      <c r="AB406" s="65">
        <v>14.0</v>
      </c>
      <c r="AC406" s="33" t="str">
        <f t="shared" si="498"/>
        <v>R</v>
      </c>
      <c r="AD406" s="65">
        <v>13.0</v>
      </c>
      <c r="AE406" s="33" t="str">
        <f t="shared" si="499"/>
        <v>S</v>
      </c>
      <c r="AF406" s="65">
        <v>14.0</v>
      </c>
      <c r="AG406" s="33" t="str">
        <f t="shared" si="500"/>
        <v>R</v>
      </c>
      <c r="AH406" s="65" t="s">
        <v>299</v>
      </c>
      <c r="AI406" s="66">
        <v>17.0</v>
      </c>
      <c r="AJ406" s="36" t="str">
        <f t="shared" si="501"/>
        <v>R</v>
      </c>
      <c r="AK406" s="66">
        <v>17.0</v>
      </c>
      <c r="AL406" s="36" t="str">
        <f t="shared" si="502"/>
        <v>R</v>
      </c>
      <c r="AM406" s="66">
        <v>15.0</v>
      </c>
      <c r="AN406" s="36" t="str">
        <f t="shared" si="503"/>
        <v>S</v>
      </c>
      <c r="AO406" s="66" t="s">
        <v>299</v>
      </c>
      <c r="AP406" s="67">
        <v>6.0</v>
      </c>
      <c r="AQ406" s="37" t="str">
        <f t="shared" si="504"/>
        <v>R</v>
      </c>
      <c r="AR406" s="65">
        <v>17.0</v>
      </c>
      <c r="AS406" s="33" t="str">
        <f t="shared" si="505"/>
        <v>R</v>
      </c>
      <c r="AT406" s="65">
        <v>17.0</v>
      </c>
      <c r="AU406" s="33" t="str">
        <f t="shared" si="506"/>
        <v>S</v>
      </c>
      <c r="AV406" s="65" t="s">
        <v>299</v>
      </c>
      <c r="AW406" s="28">
        <v>8.0</v>
      </c>
      <c r="AX406" s="26" t="str">
        <f t="shared" si="507"/>
        <v>R</v>
      </c>
      <c r="AY406" s="67">
        <v>12.0</v>
      </c>
      <c r="AZ406" s="37" t="str">
        <f t="shared" si="508"/>
        <v>R</v>
      </c>
      <c r="BA406" s="66">
        <v>21.0</v>
      </c>
      <c r="BB406" s="36" t="str">
        <f t="shared" si="509"/>
        <v>R</v>
      </c>
      <c r="BC406" s="39" t="s">
        <v>357</v>
      </c>
      <c r="BD406" s="39" t="s">
        <v>357</v>
      </c>
      <c r="BE406" s="66">
        <v>24.0</v>
      </c>
      <c r="BF406" s="36" t="str">
        <f t="shared" si="510"/>
        <v>S</v>
      </c>
      <c r="BG406" s="68">
        <v>16.0</v>
      </c>
      <c r="BH406" s="41" t="str">
        <f t="shared" si="511"/>
        <v>R</v>
      </c>
      <c r="BI406" s="41"/>
    </row>
    <row r="407">
      <c r="A407" s="21" t="s">
        <v>576</v>
      </c>
      <c r="B407" s="21" t="s">
        <v>444</v>
      </c>
      <c r="C407" s="21" t="s">
        <v>1839</v>
      </c>
      <c r="D407" s="69" t="s">
        <v>571</v>
      </c>
      <c r="E407" s="18" t="s">
        <v>572</v>
      </c>
      <c r="F407" s="18" t="s">
        <v>192</v>
      </c>
      <c r="G407" s="63" t="s">
        <v>1840</v>
      </c>
      <c r="H407" s="42" t="s">
        <v>479</v>
      </c>
      <c r="I407" s="28">
        <v>6.0</v>
      </c>
      <c r="J407" s="26" t="str">
        <f t="shared" si="489"/>
        <v>R</v>
      </c>
      <c r="K407" s="28">
        <v>24.0</v>
      </c>
      <c r="L407" s="26" t="str">
        <f t="shared" si="490"/>
        <v>S</v>
      </c>
      <c r="M407" s="28">
        <v>6.0</v>
      </c>
      <c r="N407" s="26" t="str">
        <f t="shared" si="491"/>
        <v>R</v>
      </c>
      <c r="O407" s="28">
        <v>28.0</v>
      </c>
      <c r="P407" s="26" t="str">
        <f t="shared" si="492"/>
        <v>S</v>
      </c>
      <c r="Q407" s="28">
        <v>6.0</v>
      </c>
      <c r="R407" s="26" t="str">
        <f t="shared" si="493"/>
        <v>R</v>
      </c>
      <c r="S407" s="28">
        <v>18.0</v>
      </c>
      <c r="T407" s="26" t="str">
        <f t="shared" si="494"/>
        <v>R</v>
      </c>
      <c r="U407" s="28">
        <v>14.0</v>
      </c>
      <c r="V407" s="26" t="str">
        <f t="shared" si="495"/>
        <v>R</v>
      </c>
      <c r="W407" s="32" t="s">
        <v>299</v>
      </c>
      <c r="X407" s="65">
        <v>10.0</v>
      </c>
      <c r="Y407" s="33" t="str">
        <f t="shared" si="496"/>
        <v>R</v>
      </c>
      <c r="Z407" s="65">
        <v>19.0</v>
      </c>
      <c r="AA407" s="33" t="str">
        <f t="shared" si="497"/>
        <v>S</v>
      </c>
      <c r="AB407" s="65">
        <v>15.0</v>
      </c>
      <c r="AC407" s="33" t="str">
        <f t="shared" si="498"/>
        <v>R</v>
      </c>
      <c r="AD407" s="65">
        <v>13.0</v>
      </c>
      <c r="AE407" s="33" t="str">
        <f t="shared" si="499"/>
        <v>S</v>
      </c>
      <c r="AF407" s="65">
        <v>14.0</v>
      </c>
      <c r="AG407" s="33" t="str">
        <f t="shared" si="500"/>
        <v>R</v>
      </c>
      <c r="AH407" s="65" t="s">
        <v>299</v>
      </c>
      <c r="AI407" s="66">
        <v>17.0</v>
      </c>
      <c r="AJ407" s="36" t="str">
        <f t="shared" si="501"/>
        <v>R</v>
      </c>
      <c r="AK407" s="66">
        <v>17.0</v>
      </c>
      <c r="AL407" s="36" t="str">
        <f t="shared" si="502"/>
        <v>R</v>
      </c>
      <c r="AM407" s="66">
        <v>16.0</v>
      </c>
      <c r="AN407" s="36" t="str">
        <f t="shared" si="503"/>
        <v>S</v>
      </c>
      <c r="AO407" s="66" t="s">
        <v>299</v>
      </c>
      <c r="AP407" s="67">
        <v>6.0</v>
      </c>
      <c r="AQ407" s="37" t="str">
        <f t="shared" si="504"/>
        <v>R</v>
      </c>
      <c r="AR407" s="65">
        <v>15.0</v>
      </c>
      <c r="AS407" s="33" t="str">
        <f t="shared" si="505"/>
        <v>R</v>
      </c>
      <c r="AT407" s="65">
        <v>17.0</v>
      </c>
      <c r="AU407" s="33" t="str">
        <f t="shared" si="506"/>
        <v>S</v>
      </c>
      <c r="AV407" s="65" t="s">
        <v>299</v>
      </c>
      <c r="AW407" s="28">
        <v>8.0</v>
      </c>
      <c r="AX407" s="26" t="str">
        <f t="shared" si="507"/>
        <v>R</v>
      </c>
      <c r="AY407" s="67">
        <v>12.0</v>
      </c>
      <c r="AZ407" s="37" t="str">
        <f t="shared" si="508"/>
        <v>R</v>
      </c>
      <c r="BA407" s="66">
        <v>22.0</v>
      </c>
      <c r="BB407" s="36" t="str">
        <f t="shared" si="509"/>
        <v>R</v>
      </c>
      <c r="BC407" s="39" t="s">
        <v>357</v>
      </c>
      <c r="BD407" s="39" t="s">
        <v>357</v>
      </c>
      <c r="BE407" s="66">
        <v>24.0</v>
      </c>
      <c r="BF407" s="36" t="str">
        <f t="shared" si="510"/>
        <v>S</v>
      </c>
      <c r="BG407" s="68">
        <v>16.0</v>
      </c>
      <c r="BH407" s="41" t="str">
        <f t="shared" si="511"/>
        <v>R</v>
      </c>
      <c r="BI407" s="41"/>
    </row>
    <row r="408">
      <c r="A408" s="51" t="s">
        <v>930</v>
      </c>
      <c r="B408" s="53">
        <v>190.0</v>
      </c>
      <c r="C408" s="51" t="s">
        <v>1141</v>
      </c>
      <c r="D408" s="69" t="s">
        <v>190</v>
      </c>
      <c r="E408" s="18" t="s">
        <v>190</v>
      </c>
      <c r="F408" s="18" t="s">
        <v>192</v>
      </c>
      <c r="G408" s="63" t="s">
        <v>1142</v>
      </c>
      <c r="H408" s="22" t="s">
        <v>198</v>
      </c>
      <c r="I408" s="28">
        <v>6.0</v>
      </c>
      <c r="J408" s="26" t="str">
        <f t="shared" si="489"/>
        <v>R</v>
      </c>
      <c r="K408" s="28">
        <v>16.0</v>
      </c>
      <c r="L408" s="26" t="str">
        <f t="shared" si="490"/>
        <v>R</v>
      </c>
      <c r="M408" s="28">
        <v>6.0</v>
      </c>
      <c r="N408" s="26" t="str">
        <f t="shared" si="491"/>
        <v>R</v>
      </c>
      <c r="O408" s="28">
        <v>22.0</v>
      </c>
      <c r="P408" s="26" t="str">
        <f t="shared" si="492"/>
        <v>I</v>
      </c>
      <c r="Q408" s="28">
        <v>6.0</v>
      </c>
      <c r="R408" s="26" t="str">
        <f t="shared" si="493"/>
        <v>R</v>
      </c>
      <c r="S408" s="28">
        <v>17.0</v>
      </c>
      <c r="T408" s="26" t="str">
        <f t="shared" si="494"/>
        <v>R</v>
      </c>
      <c r="U408" s="28">
        <v>18.0</v>
      </c>
      <c r="V408" s="26" t="str">
        <f t="shared" si="495"/>
        <v>I</v>
      </c>
      <c r="W408" s="32" t="s">
        <v>299</v>
      </c>
      <c r="X408" s="65">
        <v>6.0</v>
      </c>
      <c r="Y408" s="33" t="str">
        <f t="shared" si="496"/>
        <v>R</v>
      </c>
      <c r="Z408" s="65">
        <v>21.0</v>
      </c>
      <c r="AA408" s="33" t="str">
        <f t="shared" si="497"/>
        <v>S</v>
      </c>
      <c r="AB408" s="65">
        <v>6.0</v>
      </c>
      <c r="AC408" s="33" t="str">
        <f t="shared" si="498"/>
        <v>R</v>
      </c>
      <c r="AD408" s="65">
        <v>12.0</v>
      </c>
      <c r="AE408" s="33" t="str">
        <f t="shared" si="499"/>
        <v>R</v>
      </c>
      <c r="AF408" s="65">
        <v>6.0</v>
      </c>
      <c r="AG408" s="33" t="str">
        <f t="shared" si="500"/>
        <v>R</v>
      </c>
      <c r="AH408" s="65" t="s">
        <v>299</v>
      </c>
      <c r="AI408" s="66">
        <v>21.0</v>
      </c>
      <c r="AJ408" s="36" t="str">
        <f t="shared" si="501"/>
        <v>R</v>
      </c>
      <c r="AK408" s="66">
        <v>18.0</v>
      </c>
      <c r="AL408" s="36" t="str">
        <f t="shared" si="502"/>
        <v>R</v>
      </c>
      <c r="AM408" s="66">
        <v>20.0</v>
      </c>
      <c r="AN408" s="36" t="str">
        <f t="shared" si="503"/>
        <v>S</v>
      </c>
      <c r="AO408" s="66" t="s">
        <v>299</v>
      </c>
      <c r="AP408" s="67">
        <v>6.0</v>
      </c>
      <c r="AQ408" s="37" t="str">
        <f t="shared" si="504"/>
        <v>R</v>
      </c>
      <c r="AR408" s="65">
        <v>12.0</v>
      </c>
      <c r="AS408" s="33" t="str">
        <f t="shared" si="505"/>
        <v>R</v>
      </c>
      <c r="AT408" s="65">
        <v>17.0</v>
      </c>
      <c r="AU408" s="33" t="str">
        <f t="shared" si="506"/>
        <v>S</v>
      </c>
      <c r="AV408" s="65" t="s">
        <v>299</v>
      </c>
      <c r="AW408" s="28">
        <v>18.0</v>
      </c>
      <c r="AX408" s="26" t="str">
        <f t="shared" si="507"/>
        <v>R</v>
      </c>
      <c r="AY408" s="67">
        <v>6.0</v>
      </c>
      <c r="AZ408" s="37" t="str">
        <f t="shared" si="508"/>
        <v>R</v>
      </c>
      <c r="BA408" s="66">
        <v>25.0</v>
      </c>
      <c r="BB408" s="36" t="str">
        <f t="shared" si="509"/>
        <v>S</v>
      </c>
      <c r="BC408" s="39" t="s">
        <v>357</v>
      </c>
      <c r="BD408" s="39" t="s">
        <v>357</v>
      </c>
      <c r="BE408" s="66">
        <v>24.0</v>
      </c>
      <c r="BF408" s="36" t="str">
        <f t="shared" si="510"/>
        <v>S</v>
      </c>
      <c r="BG408" s="68">
        <v>17.0</v>
      </c>
      <c r="BH408" s="41" t="str">
        <f t="shared" si="511"/>
        <v>S</v>
      </c>
      <c r="BI408" s="41"/>
    </row>
    <row r="409">
      <c r="A409" s="51" t="s">
        <v>930</v>
      </c>
      <c r="B409" s="51" t="s">
        <v>444</v>
      </c>
      <c r="C409" s="51" t="s">
        <v>1841</v>
      </c>
      <c r="D409" s="69" t="s">
        <v>190</v>
      </c>
      <c r="E409" s="18" t="s">
        <v>190</v>
      </c>
      <c r="F409" s="18" t="s">
        <v>192</v>
      </c>
      <c r="G409" s="63" t="s">
        <v>1842</v>
      </c>
      <c r="H409" s="22" t="s">
        <v>198</v>
      </c>
      <c r="I409" s="28">
        <v>6.0</v>
      </c>
      <c r="J409" s="26" t="str">
        <f t="shared" si="489"/>
        <v>R</v>
      </c>
      <c r="K409" s="28">
        <v>17.0</v>
      </c>
      <c r="L409" s="26" t="str">
        <f t="shared" si="490"/>
        <v>R</v>
      </c>
      <c r="M409" s="28">
        <v>6.0</v>
      </c>
      <c r="N409" s="26" t="str">
        <f t="shared" si="491"/>
        <v>R</v>
      </c>
      <c r="O409" s="28">
        <v>22.0</v>
      </c>
      <c r="P409" s="26" t="str">
        <f t="shared" si="492"/>
        <v>I</v>
      </c>
      <c r="Q409" s="28">
        <v>6.0</v>
      </c>
      <c r="R409" s="26" t="str">
        <f t="shared" si="493"/>
        <v>R</v>
      </c>
      <c r="S409" s="28">
        <v>17.0</v>
      </c>
      <c r="T409" s="26" t="str">
        <f t="shared" si="494"/>
        <v>R</v>
      </c>
      <c r="U409" s="28">
        <v>18.0</v>
      </c>
      <c r="V409" s="26" t="str">
        <f t="shared" si="495"/>
        <v>I</v>
      </c>
      <c r="W409" s="32" t="s">
        <v>299</v>
      </c>
      <c r="X409" s="65">
        <v>6.0</v>
      </c>
      <c r="Y409" s="33" t="str">
        <f t="shared" si="496"/>
        <v>R</v>
      </c>
      <c r="Z409" s="65">
        <v>22.0</v>
      </c>
      <c r="AA409" s="33" t="str">
        <f t="shared" si="497"/>
        <v>S</v>
      </c>
      <c r="AB409" s="65">
        <v>6.0</v>
      </c>
      <c r="AC409" s="33" t="str">
        <f t="shared" si="498"/>
        <v>R</v>
      </c>
      <c r="AD409" s="65">
        <v>12.0</v>
      </c>
      <c r="AE409" s="33" t="str">
        <f t="shared" si="499"/>
        <v>R</v>
      </c>
      <c r="AF409" s="65">
        <v>6.0</v>
      </c>
      <c r="AG409" s="33" t="str">
        <f t="shared" si="500"/>
        <v>R</v>
      </c>
      <c r="AH409" s="65" t="s">
        <v>299</v>
      </c>
      <c r="AI409" s="66">
        <v>21.0</v>
      </c>
      <c r="AJ409" s="36" t="str">
        <f t="shared" si="501"/>
        <v>R</v>
      </c>
      <c r="AK409" s="66">
        <v>18.0</v>
      </c>
      <c r="AL409" s="36" t="str">
        <f t="shared" si="502"/>
        <v>R</v>
      </c>
      <c r="AM409" s="66">
        <v>20.0</v>
      </c>
      <c r="AN409" s="36" t="str">
        <f t="shared" si="503"/>
        <v>S</v>
      </c>
      <c r="AO409" s="66" t="s">
        <v>299</v>
      </c>
      <c r="AP409" s="67">
        <v>6.0</v>
      </c>
      <c r="AQ409" s="37" t="str">
        <f t="shared" si="504"/>
        <v>R</v>
      </c>
      <c r="AR409" s="65">
        <v>14.0</v>
      </c>
      <c r="AS409" s="33" t="str">
        <f t="shared" si="505"/>
        <v>R</v>
      </c>
      <c r="AT409" s="65">
        <v>17.0</v>
      </c>
      <c r="AU409" s="33" t="str">
        <f t="shared" si="506"/>
        <v>S</v>
      </c>
      <c r="AV409" s="65" t="s">
        <v>299</v>
      </c>
      <c r="AW409" s="28">
        <v>18.0</v>
      </c>
      <c r="AX409" s="26" t="str">
        <f t="shared" si="507"/>
        <v>R</v>
      </c>
      <c r="AY409" s="67">
        <v>6.0</v>
      </c>
      <c r="AZ409" s="37" t="str">
        <f t="shared" si="508"/>
        <v>R</v>
      </c>
      <c r="BA409" s="66">
        <v>26.0</v>
      </c>
      <c r="BB409" s="36" t="str">
        <f t="shared" si="509"/>
        <v>S</v>
      </c>
      <c r="BC409" s="39" t="s">
        <v>357</v>
      </c>
      <c r="BD409" s="39" t="s">
        <v>357</v>
      </c>
      <c r="BE409" s="66">
        <v>24.0</v>
      </c>
      <c r="BF409" s="36" t="str">
        <f t="shared" si="510"/>
        <v>S</v>
      </c>
      <c r="BG409" s="68">
        <v>17.0</v>
      </c>
      <c r="BH409" s="41" t="str">
        <f t="shared" si="511"/>
        <v>S</v>
      </c>
      <c r="BI409" s="41"/>
    </row>
    <row r="410">
      <c r="A410" s="51" t="s">
        <v>930</v>
      </c>
      <c r="B410" s="51" t="s">
        <v>444</v>
      </c>
      <c r="C410" s="51" t="s">
        <v>1843</v>
      </c>
      <c r="D410" s="69" t="s">
        <v>190</v>
      </c>
      <c r="E410" s="18" t="s">
        <v>190</v>
      </c>
      <c r="F410" s="18" t="s">
        <v>192</v>
      </c>
      <c r="G410" s="63" t="s">
        <v>1844</v>
      </c>
      <c r="H410" s="22" t="s">
        <v>198</v>
      </c>
      <c r="I410" s="28">
        <v>6.0</v>
      </c>
      <c r="J410" s="26" t="str">
        <f t="shared" si="489"/>
        <v>R</v>
      </c>
      <c r="K410" s="28">
        <v>13.0</v>
      </c>
      <c r="L410" s="26" t="str">
        <f t="shared" si="490"/>
        <v>R</v>
      </c>
      <c r="M410" s="28">
        <v>6.0</v>
      </c>
      <c r="N410" s="26" t="str">
        <f t="shared" si="491"/>
        <v>R</v>
      </c>
      <c r="O410" s="28">
        <v>22.0</v>
      </c>
      <c r="P410" s="26" t="str">
        <f t="shared" si="492"/>
        <v>I</v>
      </c>
      <c r="Q410" s="28">
        <v>6.0</v>
      </c>
      <c r="R410" s="26" t="str">
        <f t="shared" si="493"/>
        <v>R</v>
      </c>
      <c r="S410" s="28">
        <v>17.0</v>
      </c>
      <c r="T410" s="26" t="str">
        <f t="shared" si="494"/>
        <v>R</v>
      </c>
      <c r="U410" s="28">
        <v>18.0</v>
      </c>
      <c r="V410" s="26" t="str">
        <f t="shared" si="495"/>
        <v>I</v>
      </c>
      <c r="W410" s="32" t="s">
        <v>299</v>
      </c>
      <c r="X410" s="65">
        <v>6.0</v>
      </c>
      <c r="Y410" s="33" t="str">
        <f t="shared" si="496"/>
        <v>R</v>
      </c>
      <c r="Z410" s="65">
        <v>21.0</v>
      </c>
      <c r="AA410" s="33" t="str">
        <f t="shared" si="497"/>
        <v>S</v>
      </c>
      <c r="AB410" s="65">
        <v>6.0</v>
      </c>
      <c r="AC410" s="33" t="str">
        <f t="shared" si="498"/>
        <v>R</v>
      </c>
      <c r="AD410" s="65">
        <v>12.0</v>
      </c>
      <c r="AE410" s="33" t="str">
        <f t="shared" si="499"/>
        <v>R</v>
      </c>
      <c r="AF410" s="65">
        <v>6.0</v>
      </c>
      <c r="AG410" s="33" t="str">
        <f t="shared" si="500"/>
        <v>R</v>
      </c>
      <c r="AH410" s="65" t="s">
        <v>299</v>
      </c>
      <c r="AI410" s="66">
        <v>21.0</v>
      </c>
      <c r="AJ410" s="36" t="str">
        <f t="shared" si="501"/>
        <v>R</v>
      </c>
      <c r="AK410" s="66">
        <v>18.0</v>
      </c>
      <c r="AL410" s="36" t="str">
        <f t="shared" si="502"/>
        <v>R</v>
      </c>
      <c r="AM410" s="66">
        <v>20.0</v>
      </c>
      <c r="AN410" s="36" t="str">
        <f t="shared" si="503"/>
        <v>S</v>
      </c>
      <c r="AO410" s="66" t="s">
        <v>299</v>
      </c>
      <c r="AP410" s="67">
        <v>6.0</v>
      </c>
      <c r="AQ410" s="37" t="str">
        <f t="shared" si="504"/>
        <v>R</v>
      </c>
      <c r="AR410" s="65">
        <v>13.0</v>
      </c>
      <c r="AS410" s="33" t="str">
        <f t="shared" si="505"/>
        <v>R</v>
      </c>
      <c r="AT410" s="65">
        <v>17.0</v>
      </c>
      <c r="AU410" s="33" t="str">
        <f t="shared" si="506"/>
        <v>S</v>
      </c>
      <c r="AV410" s="65" t="s">
        <v>299</v>
      </c>
      <c r="AW410" s="28">
        <v>18.0</v>
      </c>
      <c r="AX410" s="26" t="str">
        <f t="shared" si="507"/>
        <v>R</v>
      </c>
      <c r="AY410" s="67">
        <v>6.0</v>
      </c>
      <c r="AZ410" s="37" t="str">
        <f t="shared" si="508"/>
        <v>R</v>
      </c>
      <c r="BA410" s="66">
        <v>25.0</v>
      </c>
      <c r="BB410" s="36" t="str">
        <f t="shared" si="509"/>
        <v>S</v>
      </c>
      <c r="BC410" s="39" t="s">
        <v>357</v>
      </c>
      <c r="BD410" s="39" t="s">
        <v>357</v>
      </c>
      <c r="BE410" s="66">
        <v>24.0</v>
      </c>
      <c r="BF410" s="36" t="str">
        <f t="shared" si="510"/>
        <v>S</v>
      </c>
      <c r="BG410" s="68">
        <v>17.0</v>
      </c>
      <c r="BH410" s="41" t="str">
        <f t="shared" si="511"/>
        <v>S</v>
      </c>
      <c r="BI410" s="41"/>
    </row>
    <row r="411">
      <c r="A411" s="51" t="s">
        <v>930</v>
      </c>
      <c r="B411" s="53">
        <v>191.0</v>
      </c>
      <c r="C411" s="51" t="s">
        <v>1145</v>
      </c>
      <c r="D411" s="69" t="s">
        <v>571</v>
      </c>
      <c r="E411" s="18" t="s">
        <v>572</v>
      </c>
      <c r="F411" s="18" t="s">
        <v>192</v>
      </c>
      <c r="G411" s="63" t="s">
        <v>1146</v>
      </c>
      <c r="H411" s="22" t="s">
        <v>198</v>
      </c>
      <c r="I411" s="28">
        <v>6.0</v>
      </c>
      <c r="J411" s="26" t="str">
        <f t="shared" si="489"/>
        <v>R</v>
      </c>
      <c r="K411" s="28">
        <v>13.0</v>
      </c>
      <c r="L411" s="26" t="str">
        <f t="shared" si="490"/>
        <v>R</v>
      </c>
      <c r="M411" s="28">
        <v>11.0</v>
      </c>
      <c r="N411" s="26" t="str">
        <f t="shared" si="491"/>
        <v>R</v>
      </c>
      <c r="O411" s="28">
        <v>20.0</v>
      </c>
      <c r="P411" s="26" t="str">
        <f t="shared" si="492"/>
        <v>I</v>
      </c>
      <c r="Q411" s="28">
        <v>16.0</v>
      </c>
      <c r="R411" s="26" t="str">
        <f t="shared" si="493"/>
        <v>R</v>
      </c>
      <c r="S411" s="28">
        <v>18.0</v>
      </c>
      <c r="T411" s="26" t="str">
        <f t="shared" si="494"/>
        <v>R</v>
      </c>
      <c r="U411" s="28">
        <v>16.0</v>
      </c>
      <c r="V411" s="26" t="str">
        <f t="shared" si="495"/>
        <v>R</v>
      </c>
      <c r="W411" s="32" t="s">
        <v>299</v>
      </c>
      <c r="X411" s="65">
        <v>6.0</v>
      </c>
      <c r="Y411" s="33" t="str">
        <f t="shared" si="496"/>
        <v>R</v>
      </c>
      <c r="Z411" s="65">
        <v>23.0</v>
      </c>
      <c r="AA411" s="33" t="str">
        <f t="shared" si="497"/>
        <v>S</v>
      </c>
      <c r="AB411" s="65">
        <v>18.0</v>
      </c>
      <c r="AC411" s="33" t="str">
        <f t="shared" si="498"/>
        <v>R</v>
      </c>
      <c r="AD411" s="65">
        <v>18.0</v>
      </c>
      <c r="AE411" s="33" t="str">
        <f t="shared" si="499"/>
        <v>S</v>
      </c>
      <c r="AF411" s="65">
        <v>14.0</v>
      </c>
      <c r="AG411" s="33" t="str">
        <f t="shared" si="500"/>
        <v>R</v>
      </c>
      <c r="AH411" s="65" t="s">
        <v>299</v>
      </c>
      <c r="AI411" s="66">
        <v>25.0</v>
      </c>
      <c r="AJ411" s="36" t="str">
        <f t="shared" si="501"/>
        <v>S</v>
      </c>
      <c r="AK411" s="66">
        <v>23.0</v>
      </c>
      <c r="AL411" s="36" t="str">
        <f t="shared" si="502"/>
        <v>S</v>
      </c>
      <c r="AM411" s="66">
        <v>16.0</v>
      </c>
      <c r="AN411" s="36" t="str">
        <f t="shared" si="503"/>
        <v>S</v>
      </c>
      <c r="AO411" s="36" t="s">
        <v>300</v>
      </c>
      <c r="AP411" s="67">
        <v>20.0</v>
      </c>
      <c r="AQ411" s="37" t="str">
        <f t="shared" si="504"/>
        <v>S</v>
      </c>
      <c r="AR411" s="65">
        <v>17.0</v>
      </c>
      <c r="AS411" s="33" t="str">
        <f t="shared" si="505"/>
        <v>R</v>
      </c>
      <c r="AT411" s="65">
        <v>21.0</v>
      </c>
      <c r="AU411" s="33" t="str">
        <f t="shared" si="506"/>
        <v>S</v>
      </c>
      <c r="AV411" s="65" t="s">
        <v>299</v>
      </c>
      <c r="AW411" s="28">
        <v>23.0</v>
      </c>
      <c r="AX411" s="26" t="str">
        <f t="shared" si="507"/>
        <v>S</v>
      </c>
      <c r="AY411" s="67">
        <v>6.0</v>
      </c>
      <c r="AZ411" s="37" t="str">
        <f t="shared" si="508"/>
        <v>R</v>
      </c>
      <c r="BA411" s="66">
        <v>22.0</v>
      </c>
      <c r="BB411" s="36" t="str">
        <f t="shared" si="509"/>
        <v>R</v>
      </c>
      <c r="BC411" s="39" t="s">
        <v>357</v>
      </c>
      <c r="BD411" s="39" t="s">
        <v>357</v>
      </c>
      <c r="BE411" s="66">
        <v>28.0</v>
      </c>
      <c r="BF411" s="36" t="str">
        <f t="shared" si="510"/>
        <v>S</v>
      </c>
      <c r="BG411" s="68">
        <v>22.0</v>
      </c>
      <c r="BH411" s="41" t="str">
        <f t="shared" si="511"/>
        <v>S</v>
      </c>
      <c r="BI411" s="41"/>
    </row>
    <row r="412">
      <c r="A412" s="51" t="s">
        <v>930</v>
      </c>
      <c r="B412" s="51" t="s">
        <v>444</v>
      </c>
      <c r="C412" s="51" t="s">
        <v>1845</v>
      </c>
      <c r="D412" s="69" t="s">
        <v>571</v>
      </c>
      <c r="E412" s="18" t="s">
        <v>572</v>
      </c>
      <c r="F412" s="18" t="s">
        <v>192</v>
      </c>
      <c r="G412" s="63" t="s">
        <v>1846</v>
      </c>
      <c r="H412" s="22" t="s">
        <v>198</v>
      </c>
      <c r="I412" s="28">
        <v>6.0</v>
      </c>
      <c r="J412" s="26" t="str">
        <f t="shared" si="489"/>
        <v>R</v>
      </c>
      <c r="K412" s="28">
        <v>14.0</v>
      </c>
      <c r="L412" s="26" t="str">
        <f t="shared" si="490"/>
        <v>R</v>
      </c>
      <c r="M412" s="28">
        <v>11.0</v>
      </c>
      <c r="N412" s="26" t="str">
        <f t="shared" si="491"/>
        <v>R</v>
      </c>
      <c r="O412" s="28">
        <v>20.0</v>
      </c>
      <c r="P412" s="26" t="str">
        <f t="shared" si="492"/>
        <v>I</v>
      </c>
      <c r="Q412" s="28">
        <v>16.0</v>
      </c>
      <c r="R412" s="26" t="str">
        <f t="shared" si="493"/>
        <v>R</v>
      </c>
      <c r="S412" s="28">
        <v>18.0</v>
      </c>
      <c r="T412" s="26" t="str">
        <f t="shared" si="494"/>
        <v>R</v>
      </c>
      <c r="U412" s="28">
        <v>16.0</v>
      </c>
      <c r="V412" s="26" t="str">
        <f t="shared" si="495"/>
        <v>R</v>
      </c>
      <c r="W412" s="32" t="s">
        <v>299</v>
      </c>
      <c r="X412" s="65">
        <v>6.0</v>
      </c>
      <c r="Y412" s="33" t="str">
        <f t="shared" si="496"/>
        <v>R</v>
      </c>
      <c r="Z412" s="65">
        <v>24.0</v>
      </c>
      <c r="AA412" s="33" t="str">
        <f t="shared" si="497"/>
        <v>S</v>
      </c>
      <c r="AB412" s="65">
        <v>16.0</v>
      </c>
      <c r="AC412" s="33" t="str">
        <f t="shared" si="498"/>
        <v>R</v>
      </c>
      <c r="AD412" s="65">
        <v>18.0</v>
      </c>
      <c r="AE412" s="33" t="str">
        <f t="shared" si="499"/>
        <v>S</v>
      </c>
      <c r="AF412" s="65">
        <v>11.0</v>
      </c>
      <c r="AG412" s="33" t="str">
        <f t="shared" si="500"/>
        <v>R</v>
      </c>
      <c r="AH412" s="65" t="s">
        <v>299</v>
      </c>
      <c r="AI412" s="66">
        <v>25.0</v>
      </c>
      <c r="AJ412" s="36" t="str">
        <f t="shared" si="501"/>
        <v>S</v>
      </c>
      <c r="AK412" s="66">
        <v>23.0</v>
      </c>
      <c r="AL412" s="36" t="str">
        <f t="shared" si="502"/>
        <v>S</v>
      </c>
      <c r="AM412" s="66">
        <v>16.0</v>
      </c>
      <c r="AN412" s="36" t="str">
        <f t="shared" si="503"/>
        <v>S</v>
      </c>
      <c r="AO412" s="36" t="s">
        <v>300</v>
      </c>
      <c r="AP412" s="67">
        <v>20.0</v>
      </c>
      <c r="AQ412" s="37" t="str">
        <f t="shared" si="504"/>
        <v>S</v>
      </c>
      <c r="AR412" s="65">
        <v>16.0</v>
      </c>
      <c r="AS412" s="33" t="str">
        <f t="shared" si="505"/>
        <v>R</v>
      </c>
      <c r="AT412" s="65">
        <v>21.0</v>
      </c>
      <c r="AU412" s="33" t="str">
        <f t="shared" si="506"/>
        <v>S</v>
      </c>
      <c r="AV412" s="65" t="s">
        <v>299</v>
      </c>
      <c r="AW412" s="28">
        <v>21.0</v>
      </c>
      <c r="AX412" s="26" t="str">
        <f t="shared" si="507"/>
        <v>S</v>
      </c>
      <c r="AY412" s="67">
        <v>6.0</v>
      </c>
      <c r="AZ412" s="37" t="str">
        <f t="shared" si="508"/>
        <v>R</v>
      </c>
      <c r="BA412" s="66">
        <v>20.0</v>
      </c>
      <c r="BB412" s="36" t="str">
        <f t="shared" si="509"/>
        <v>R</v>
      </c>
      <c r="BC412" s="39" t="s">
        <v>357</v>
      </c>
      <c r="BD412" s="39" t="s">
        <v>357</v>
      </c>
      <c r="BE412" s="66">
        <v>28.0</v>
      </c>
      <c r="BF412" s="36" t="str">
        <f t="shared" si="510"/>
        <v>S</v>
      </c>
      <c r="BG412" s="68">
        <v>22.0</v>
      </c>
      <c r="BH412" s="41" t="str">
        <f t="shared" si="511"/>
        <v>S</v>
      </c>
      <c r="BI412" s="41"/>
    </row>
    <row r="413">
      <c r="A413" s="51" t="s">
        <v>930</v>
      </c>
      <c r="B413" s="51" t="s">
        <v>444</v>
      </c>
      <c r="C413" s="51" t="s">
        <v>1847</v>
      </c>
      <c r="D413" s="69" t="s">
        <v>571</v>
      </c>
      <c r="E413" s="18" t="s">
        <v>572</v>
      </c>
      <c r="F413" s="18" t="s">
        <v>192</v>
      </c>
      <c r="G413" s="63" t="s">
        <v>1848</v>
      </c>
      <c r="H413" s="22" t="s">
        <v>198</v>
      </c>
      <c r="I413" s="28">
        <v>6.0</v>
      </c>
      <c r="J413" s="26" t="str">
        <f t="shared" si="489"/>
        <v>R</v>
      </c>
      <c r="K413" s="28">
        <v>15.0</v>
      </c>
      <c r="L413" s="26" t="str">
        <f t="shared" si="490"/>
        <v>R</v>
      </c>
      <c r="M413" s="28">
        <v>11.0</v>
      </c>
      <c r="N413" s="26" t="str">
        <f t="shared" si="491"/>
        <v>R</v>
      </c>
      <c r="O413" s="28">
        <v>20.0</v>
      </c>
      <c r="P413" s="26" t="str">
        <f t="shared" si="492"/>
        <v>I</v>
      </c>
      <c r="Q413" s="28">
        <v>16.0</v>
      </c>
      <c r="R413" s="26" t="str">
        <f t="shared" si="493"/>
        <v>R</v>
      </c>
      <c r="S413" s="28">
        <v>18.0</v>
      </c>
      <c r="T413" s="26" t="str">
        <f t="shared" si="494"/>
        <v>R</v>
      </c>
      <c r="U413" s="28">
        <v>16.0</v>
      </c>
      <c r="V413" s="26" t="str">
        <f t="shared" si="495"/>
        <v>R</v>
      </c>
      <c r="W413" s="32" t="s">
        <v>299</v>
      </c>
      <c r="X413" s="65">
        <v>6.0</v>
      </c>
      <c r="Y413" s="33" t="str">
        <f t="shared" si="496"/>
        <v>R</v>
      </c>
      <c r="Z413" s="65">
        <v>22.0</v>
      </c>
      <c r="AA413" s="33" t="str">
        <f t="shared" si="497"/>
        <v>S</v>
      </c>
      <c r="AB413" s="65">
        <v>18.0</v>
      </c>
      <c r="AC413" s="33" t="str">
        <f t="shared" si="498"/>
        <v>R</v>
      </c>
      <c r="AD413" s="65">
        <v>18.0</v>
      </c>
      <c r="AE413" s="33" t="str">
        <f t="shared" si="499"/>
        <v>S</v>
      </c>
      <c r="AF413" s="65">
        <v>14.0</v>
      </c>
      <c r="AG413" s="33" t="str">
        <f t="shared" si="500"/>
        <v>R</v>
      </c>
      <c r="AH413" s="65" t="s">
        <v>299</v>
      </c>
      <c r="AI413" s="66">
        <v>25.0</v>
      </c>
      <c r="AJ413" s="36" t="str">
        <f t="shared" si="501"/>
        <v>S</v>
      </c>
      <c r="AK413" s="66">
        <v>23.0</v>
      </c>
      <c r="AL413" s="36" t="str">
        <f t="shared" si="502"/>
        <v>S</v>
      </c>
      <c r="AM413" s="66">
        <v>18.0</v>
      </c>
      <c r="AN413" s="36" t="str">
        <f t="shared" si="503"/>
        <v>S</v>
      </c>
      <c r="AO413" s="36" t="s">
        <v>300</v>
      </c>
      <c r="AP413" s="67">
        <v>20.0</v>
      </c>
      <c r="AQ413" s="37" t="str">
        <f t="shared" si="504"/>
        <v>S</v>
      </c>
      <c r="AR413" s="65">
        <v>17.0</v>
      </c>
      <c r="AS413" s="33" t="str">
        <f t="shared" si="505"/>
        <v>R</v>
      </c>
      <c r="AT413" s="65">
        <v>21.0</v>
      </c>
      <c r="AU413" s="33" t="str">
        <f t="shared" si="506"/>
        <v>S</v>
      </c>
      <c r="AV413" s="65" t="s">
        <v>299</v>
      </c>
      <c r="AW413" s="28">
        <v>22.0</v>
      </c>
      <c r="AX413" s="26" t="str">
        <f t="shared" si="507"/>
        <v>S</v>
      </c>
      <c r="AY413" s="67">
        <v>6.0</v>
      </c>
      <c r="AZ413" s="37" t="str">
        <f t="shared" si="508"/>
        <v>R</v>
      </c>
      <c r="BA413" s="66">
        <v>19.0</v>
      </c>
      <c r="BB413" s="36" t="str">
        <f t="shared" si="509"/>
        <v>R</v>
      </c>
      <c r="BC413" s="39" t="s">
        <v>357</v>
      </c>
      <c r="BD413" s="39" t="s">
        <v>357</v>
      </c>
      <c r="BE413" s="66">
        <v>28.0</v>
      </c>
      <c r="BF413" s="36" t="str">
        <f t="shared" si="510"/>
        <v>S</v>
      </c>
      <c r="BG413" s="68">
        <v>22.0</v>
      </c>
      <c r="BH413" s="41" t="str">
        <f t="shared" si="511"/>
        <v>S</v>
      </c>
      <c r="BI413" s="41"/>
    </row>
    <row r="414">
      <c r="A414" s="51" t="s">
        <v>930</v>
      </c>
      <c r="B414" s="53">
        <v>192.0</v>
      </c>
      <c r="C414" s="51" t="s">
        <v>1147</v>
      </c>
      <c r="D414" s="69" t="s">
        <v>705</v>
      </c>
      <c r="E414" s="18" t="s">
        <v>572</v>
      </c>
      <c r="F414" s="18" t="s">
        <v>192</v>
      </c>
      <c r="G414" s="63" t="s">
        <v>1148</v>
      </c>
      <c r="H414" s="42" t="s">
        <v>479</v>
      </c>
      <c r="I414" s="28">
        <v>15.0</v>
      </c>
      <c r="J414" s="26" t="str">
        <f t="shared" si="489"/>
        <v>R</v>
      </c>
      <c r="K414" s="28">
        <v>12.0</v>
      </c>
      <c r="L414" s="26" t="str">
        <f t="shared" si="490"/>
        <v>R</v>
      </c>
      <c r="M414" s="28">
        <v>21.0</v>
      </c>
      <c r="N414" s="26" t="str">
        <f t="shared" si="491"/>
        <v>R</v>
      </c>
      <c r="O414" s="28">
        <v>28.0</v>
      </c>
      <c r="P414" s="26" t="str">
        <f t="shared" si="492"/>
        <v>S</v>
      </c>
      <c r="Q414" s="28">
        <v>17.0</v>
      </c>
      <c r="R414" s="26" t="str">
        <f t="shared" si="493"/>
        <v>R</v>
      </c>
      <c r="S414" s="28">
        <v>11.0</v>
      </c>
      <c r="T414" s="26" t="str">
        <f t="shared" si="494"/>
        <v>R</v>
      </c>
      <c r="U414" s="28">
        <v>12.0</v>
      </c>
      <c r="V414" s="26" t="str">
        <f t="shared" si="495"/>
        <v>R</v>
      </c>
      <c r="W414" s="32" t="s">
        <v>299</v>
      </c>
      <c r="X414" s="65">
        <v>6.0</v>
      </c>
      <c r="Y414" s="33" t="str">
        <f t="shared" si="496"/>
        <v>R</v>
      </c>
      <c r="Z414" s="65">
        <v>11.0</v>
      </c>
      <c r="AA414" s="33" t="str">
        <f t="shared" si="497"/>
        <v>R</v>
      </c>
      <c r="AB414" s="65">
        <v>20.0</v>
      </c>
      <c r="AC414" s="33" t="str">
        <f t="shared" si="498"/>
        <v>I</v>
      </c>
      <c r="AD414" s="65">
        <v>13.0</v>
      </c>
      <c r="AE414" s="33" t="str">
        <f t="shared" si="499"/>
        <v>S</v>
      </c>
      <c r="AF414" s="65">
        <v>15.0</v>
      </c>
      <c r="AG414" s="33" t="str">
        <f t="shared" si="500"/>
        <v>R</v>
      </c>
      <c r="AH414" s="65" t="s">
        <v>299</v>
      </c>
      <c r="AI414" s="66">
        <v>17.0</v>
      </c>
      <c r="AJ414" s="36" t="str">
        <f t="shared" si="501"/>
        <v>R</v>
      </c>
      <c r="AK414" s="66">
        <v>25.0</v>
      </c>
      <c r="AL414" s="36" t="str">
        <f t="shared" si="502"/>
        <v>S</v>
      </c>
      <c r="AM414" s="66">
        <v>15.0</v>
      </c>
      <c r="AN414" s="36" t="str">
        <f t="shared" si="503"/>
        <v>S</v>
      </c>
      <c r="AO414" s="66" t="s">
        <v>299</v>
      </c>
      <c r="AP414" s="67">
        <v>15.0</v>
      </c>
      <c r="AQ414" s="37" t="str">
        <f t="shared" si="504"/>
        <v>S</v>
      </c>
      <c r="AR414" s="65">
        <v>13.0</v>
      </c>
      <c r="AS414" s="33" t="str">
        <f t="shared" si="505"/>
        <v>R</v>
      </c>
      <c r="AT414" s="65">
        <v>10.0</v>
      </c>
      <c r="AU414" s="33" t="str">
        <f t="shared" si="506"/>
        <v>R</v>
      </c>
      <c r="AV414" s="65" t="s">
        <v>299</v>
      </c>
      <c r="AW414" s="28">
        <v>12.0</v>
      </c>
      <c r="AX414" s="26" t="str">
        <f t="shared" si="507"/>
        <v>R</v>
      </c>
      <c r="AY414" s="67">
        <v>15.0</v>
      </c>
      <c r="AZ414" s="37" t="str">
        <f t="shared" si="508"/>
        <v>R</v>
      </c>
      <c r="BA414" s="66">
        <v>25.0</v>
      </c>
      <c r="BB414" s="36" t="str">
        <f t="shared" si="509"/>
        <v>S</v>
      </c>
      <c r="BC414" s="39" t="s">
        <v>357</v>
      </c>
      <c r="BD414" s="39" t="s">
        <v>357</v>
      </c>
      <c r="BE414" s="66">
        <v>23.0</v>
      </c>
      <c r="BF414" s="36" t="str">
        <f t="shared" si="510"/>
        <v>S</v>
      </c>
      <c r="BG414" s="68">
        <v>25.0</v>
      </c>
      <c r="BH414" s="41" t="str">
        <f t="shared" si="511"/>
        <v>S</v>
      </c>
      <c r="BI414" s="41"/>
    </row>
    <row r="415">
      <c r="A415" s="51" t="s">
        <v>930</v>
      </c>
      <c r="B415" s="51" t="s">
        <v>444</v>
      </c>
      <c r="C415" s="51" t="s">
        <v>1849</v>
      </c>
      <c r="D415" s="69" t="s">
        <v>705</v>
      </c>
      <c r="E415" s="18" t="s">
        <v>572</v>
      </c>
      <c r="F415" s="18" t="s">
        <v>192</v>
      </c>
      <c r="G415" s="63" t="s">
        <v>1850</v>
      </c>
      <c r="H415" s="42" t="s">
        <v>479</v>
      </c>
      <c r="I415" s="28">
        <v>15.0</v>
      </c>
      <c r="J415" s="26" t="str">
        <f t="shared" si="489"/>
        <v>R</v>
      </c>
      <c r="K415" s="28">
        <v>12.0</v>
      </c>
      <c r="L415" s="26" t="str">
        <f t="shared" si="490"/>
        <v>R</v>
      </c>
      <c r="M415" s="28">
        <v>21.0</v>
      </c>
      <c r="N415" s="26" t="str">
        <f t="shared" si="491"/>
        <v>R</v>
      </c>
      <c r="O415" s="28">
        <v>28.0</v>
      </c>
      <c r="P415" s="26" t="str">
        <f t="shared" si="492"/>
        <v>S</v>
      </c>
      <c r="Q415" s="28">
        <v>17.0</v>
      </c>
      <c r="R415" s="26" t="str">
        <f t="shared" si="493"/>
        <v>R</v>
      </c>
      <c r="S415" s="28">
        <v>11.0</v>
      </c>
      <c r="T415" s="26" t="str">
        <f t="shared" si="494"/>
        <v>R</v>
      </c>
      <c r="U415" s="28">
        <v>12.0</v>
      </c>
      <c r="V415" s="26" t="str">
        <f t="shared" si="495"/>
        <v>R</v>
      </c>
      <c r="W415" s="32" t="s">
        <v>299</v>
      </c>
      <c r="X415" s="65">
        <v>6.0</v>
      </c>
      <c r="Y415" s="33" t="str">
        <f t="shared" si="496"/>
        <v>R</v>
      </c>
      <c r="Z415" s="65">
        <v>11.0</v>
      </c>
      <c r="AA415" s="33" t="str">
        <f t="shared" si="497"/>
        <v>R</v>
      </c>
      <c r="AB415" s="65">
        <v>20.0</v>
      </c>
      <c r="AC415" s="33" t="str">
        <f t="shared" si="498"/>
        <v>I</v>
      </c>
      <c r="AD415" s="65">
        <v>13.0</v>
      </c>
      <c r="AE415" s="33" t="str">
        <f t="shared" si="499"/>
        <v>S</v>
      </c>
      <c r="AF415" s="65">
        <v>15.0</v>
      </c>
      <c r="AG415" s="33" t="str">
        <f t="shared" si="500"/>
        <v>R</v>
      </c>
      <c r="AH415" s="65" t="s">
        <v>299</v>
      </c>
      <c r="AI415" s="66">
        <v>17.0</v>
      </c>
      <c r="AJ415" s="36" t="str">
        <f t="shared" si="501"/>
        <v>R</v>
      </c>
      <c r="AK415" s="66">
        <v>25.0</v>
      </c>
      <c r="AL415" s="36" t="str">
        <f t="shared" si="502"/>
        <v>S</v>
      </c>
      <c r="AM415" s="66">
        <v>15.0</v>
      </c>
      <c r="AN415" s="36" t="str">
        <f t="shared" si="503"/>
        <v>S</v>
      </c>
      <c r="AO415" s="66" t="s">
        <v>299</v>
      </c>
      <c r="AP415" s="67">
        <v>15.0</v>
      </c>
      <c r="AQ415" s="37" t="str">
        <f t="shared" si="504"/>
        <v>S</v>
      </c>
      <c r="AR415" s="65">
        <v>13.0</v>
      </c>
      <c r="AS415" s="33" t="str">
        <f t="shared" si="505"/>
        <v>R</v>
      </c>
      <c r="AT415" s="65">
        <v>10.0</v>
      </c>
      <c r="AU415" s="33" t="str">
        <f t="shared" si="506"/>
        <v>R</v>
      </c>
      <c r="AV415" s="65" t="s">
        <v>299</v>
      </c>
      <c r="AW415" s="28">
        <v>12.0</v>
      </c>
      <c r="AX415" s="26" t="str">
        <f t="shared" si="507"/>
        <v>R</v>
      </c>
      <c r="AY415" s="67">
        <v>15.0</v>
      </c>
      <c r="AZ415" s="37" t="str">
        <f t="shared" si="508"/>
        <v>R</v>
      </c>
      <c r="BA415" s="66">
        <v>25.0</v>
      </c>
      <c r="BB415" s="36" t="str">
        <f t="shared" si="509"/>
        <v>S</v>
      </c>
      <c r="BC415" s="39" t="s">
        <v>357</v>
      </c>
      <c r="BD415" s="39" t="s">
        <v>357</v>
      </c>
      <c r="BE415" s="66">
        <v>23.0</v>
      </c>
      <c r="BF415" s="36" t="str">
        <f t="shared" si="510"/>
        <v>S</v>
      </c>
      <c r="BG415" s="68">
        <v>25.0</v>
      </c>
      <c r="BH415" s="41" t="str">
        <f t="shared" si="511"/>
        <v>S</v>
      </c>
      <c r="BI415" s="41"/>
    </row>
    <row r="416">
      <c r="A416" s="51" t="s">
        <v>930</v>
      </c>
      <c r="B416" s="51" t="s">
        <v>444</v>
      </c>
      <c r="C416" s="51" t="s">
        <v>1851</v>
      </c>
      <c r="D416" s="69" t="s">
        <v>705</v>
      </c>
      <c r="E416" s="18" t="s">
        <v>572</v>
      </c>
      <c r="F416" s="18" t="s">
        <v>192</v>
      </c>
      <c r="G416" s="63" t="s">
        <v>1852</v>
      </c>
      <c r="H416" s="42" t="s">
        <v>479</v>
      </c>
      <c r="I416" s="28">
        <v>15.0</v>
      </c>
      <c r="J416" s="26" t="str">
        <f t="shared" si="489"/>
        <v>R</v>
      </c>
      <c r="K416" s="28">
        <v>12.0</v>
      </c>
      <c r="L416" s="26" t="str">
        <f t="shared" si="490"/>
        <v>R</v>
      </c>
      <c r="M416" s="28">
        <v>21.0</v>
      </c>
      <c r="N416" s="26" t="str">
        <f t="shared" si="491"/>
        <v>R</v>
      </c>
      <c r="O416" s="28">
        <v>28.0</v>
      </c>
      <c r="P416" s="26" t="str">
        <f t="shared" si="492"/>
        <v>S</v>
      </c>
      <c r="Q416" s="28">
        <v>17.0</v>
      </c>
      <c r="R416" s="26" t="str">
        <f t="shared" si="493"/>
        <v>R</v>
      </c>
      <c r="S416" s="28">
        <v>11.0</v>
      </c>
      <c r="T416" s="26" t="str">
        <f t="shared" si="494"/>
        <v>R</v>
      </c>
      <c r="U416" s="28">
        <v>12.0</v>
      </c>
      <c r="V416" s="26" t="str">
        <f t="shared" si="495"/>
        <v>R</v>
      </c>
      <c r="W416" s="32" t="s">
        <v>299</v>
      </c>
      <c r="X416" s="65">
        <v>6.0</v>
      </c>
      <c r="Y416" s="33" t="str">
        <f t="shared" si="496"/>
        <v>R</v>
      </c>
      <c r="Z416" s="65">
        <v>11.0</v>
      </c>
      <c r="AA416" s="33" t="str">
        <f t="shared" si="497"/>
        <v>R</v>
      </c>
      <c r="AB416" s="65">
        <v>20.0</v>
      </c>
      <c r="AC416" s="33" t="str">
        <f t="shared" si="498"/>
        <v>I</v>
      </c>
      <c r="AD416" s="65">
        <v>13.0</v>
      </c>
      <c r="AE416" s="33" t="str">
        <f t="shared" si="499"/>
        <v>S</v>
      </c>
      <c r="AF416" s="65">
        <v>15.0</v>
      </c>
      <c r="AG416" s="33" t="str">
        <f t="shared" si="500"/>
        <v>R</v>
      </c>
      <c r="AH416" s="65" t="s">
        <v>299</v>
      </c>
      <c r="AI416" s="66">
        <v>17.0</v>
      </c>
      <c r="AJ416" s="36" t="str">
        <f t="shared" si="501"/>
        <v>R</v>
      </c>
      <c r="AK416" s="66">
        <v>25.0</v>
      </c>
      <c r="AL416" s="36" t="str">
        <f t="shared" si="502"/>
        <v>S</v>
      </c>
      <c r="AM416" s="66">
        <v>15.0</v>
      </c>
      <c r="AN416" s="36" t="str">
        <f t="shared" si="503"/>
        <v>S</v>
      </c>
      <c r="AO416" s="66" t="s">
        <v>299</v>
      </c>
      <c r="AP416" s="67">
        <v>15.0</v>
      </c>
      <c r="AQ416" s="37" t="str">
        <f t="shared" si="504"/>
        <v>S</v>
      </c>
      <c r="AR416" s="65">
        <v>13.0</v>
      </c>
      <c r="AS416" s="33" t="str">
        <f t="shared" si="505"/>
        <v>R</v>
      </c>
      <c r="AT416" s="65">
        <v>10.0</v>
      </c>
      <c r="AU416" s="33" t="str">
        <f t="shared" si="506"/>
        <v>R</v>
      </c>
      <c r="AV416" s="65" t="s">
        <v>299</v>
      </c>
      <c r="AW416" s="28">
        <v>12.0</v>
      </c>
      <c r="AX416" s="26" t="str">
        <f t="shared" si="507"/>
        <v>R</v>
      </c>
      <c r="AY416" s="67">
        <v>15.0</v>
      </c>
      <c r="AZ416" s="37" t="str">
        <f t="shared" si="508"/>
        <v>R</v>
      </c>
      <c r="BA416" s="66">
        <v>25.0</v>
      </c>
      <c r="BB416" s="36" t="str">
        <f t="shared" si="509"/>
        <v>S</v>
      </c>
      <c r="BC416" s="39" t="s">
        <v>357</v>
      </c>
      <c r="BD416" s="39" t="s">
        <v>357</v>
      </c>
      <c r="BE416" s="66">
        <v>23.0</v>
      </c>
      <c r="BF416" s="36" t="str">
        <f t="shared" si="510"/>
        <v>S</v>
      </c>
      <c r="BG416" s="68">
        <v>25.0</v>
      </c>
      <c r="BH416" s="41" t="str">
        <f t="shared" si="511"/>
        <v>S</v>
      </c>
      <c r="BI416" s="41"/>
    </row>
    <row r="417">
      <c r="A417" s="21" t="s">
        <v>935</v>
      </c>
      <c r="B417" s="23">
        <v>193.0</v>
      </c>
      <c r="C417" s="21" t="s">
        <v>1151</v>
      </c>
      <c r="D417" s="69" t="s">
        <v>190</v>
      </c>
      <c r="E417" s="18" t="s">
        <v>190</v>
      </c>
      <c r="F417" s="18" t="s">
        <v>192</v>
      </c>
      <c r="G417" s="63" t="s">
        <v>1153</v>
      </c>
      <c r="H417" s="22" t="s">
        <v>198</v>
      </c>
      <c r="I417" s="28">
        <v>6.0</v>
      </c>
      <c r="J417" s="26" t="str">
        <f t="shared" si="489"/>
        <v>R</v>
      </c>
      <c r="K417" s="28">
        <v>6.0</v>
      </c>
      <c r="L417" s="26" t="str">
        <f t="shared" si="490"/>
        <v>R</v>
      </c>
      <c r="M417" s="28">
        <v>6.0</v>
      </c>
      <c r="N417" s="26" t="str">
        <f t="shared" si="491"/>
        <v>R</v>
      </c>
      <c r="O417" s="28">
        <v>22.0</v>
      </c>
      <c r="P417" s="26" t="str">
        <f t="shared" si="492"/>
        <v>I</v>
      </c>
      <c r="Q417" s="28">
        <v>6.0</v>
      </c>
      <c r="R417" s="26" t="str">
        <f t="shared" si="493"/>
        <v>R</v>
      </c>
      <c r="S417" s="28">
        <v>6.0</v>
      </c>
      <c r="T417" s="26" t="str">
        <f t="shared" si="494"/>
        <v>R</v>
      </c>
      <c r="U417" s="28">
        <v>18.0</v>
      </c>
      <c r="V417" s="26" t="str">
        <f t="shared" si="495"/>
        <v>I</v>
      </c>
      <c r="W417" s="32" t="s">
        <v>299</v>
      </c>
      <c r="X417" s="65">
        <v>6.0</v>
      </c>
      <c r="Y417" s="33" t="str">
        <f t="shared" si="496"/>
        <v>R</v>
      </c>
      <c r="Z417" s="65">
        <v>7.0</v>
      </c>
      <c r="AA417" s="33" t="str">
        <f t="shared" si="497"/>
        <v>R</v>
      </c>
      <c r="AB417" s="65">
        <v>6.0</v>
      </c>
      <c r="AC417" s="33" t="str">
        <f t="shared" si="498"/>
        <v>R</v>
      </c>
      <c r="AD417" s="65">
        <v>12.0</v>
      </c>
      <c r="AE417" s="33" t="str">
        <f t="shared" si="499"/>
        <v>R</v>
      </c>
      <c r="AF417" s="65">
        <v>6.0</v>
      </c>
      <c r="AG417" s="33" t="str">
        <f t="shared" si="500"/>
        <v>R</v>
      </c>
      <c r="AH417" s="65" t="s">
        <v>299</v>
      </c>
      <c r="AI417" s="66">
        <v>6.0</v>
      </c>
      <c r="AJ417" s="36" t="str">
        <f t="shared" si="501"/>
        <v>R</v>
      </c>
      <c r="AK417" s="66">
        <v>6.0</v>
      </c>
      <c r="AL417" s="36" t="str">
        <f t="shared" si="502"/>
        <v>R</v>
      </c>
      <c r="AM417" s="66">
        <v>7.0</v>
      </c>
      <c r="AN417" s="36" t="str">
        <f t="shared" si="503"/>
        <v>R</v>
      </c>
      <c r="AO417" s="66" t="s">
        <v>299</v>
      </c>
      <c r="AP417" s="67">
        <v>6.0</v>
      </c>
      <c r="AQ417" s="37" t="str">
        <f t="shared" si="504"/>
        <v>R</v>
      </c>
      <c r="AR417" s="65">
        <v>12.0</v>
      </c>
      <c r="AS417" s="33" t="str">
        <f t="shared" si="505"/>
        <v>R</v>
      </c>
      <c r="AT417" s="65">
        <v>22.0</v>
      </c>
      <c r="AU417" s="33" t="str">
        <f t="shared" si="506"/>
        <v>S</v>
      </c>
      <c r="AV417" s="65" t="s">
        <v>299</v>
      </c>
      <c r="AW417" s="28">
        <v>6.0</v>
      </c>
      <c r="AX417" s="26" t="str">
        <f t="shared" si="507"/>
        <v>R</v>
      </c>
      <c r="AY417" s="67">
        <v>6.0</v>
      </c>
      <c r="AZ417" s="37" t="str">
        <f t="shared" si="508"/>
        <v>R</v>
      </c>
      <c r="BA417" s="66">
        <v>19.0</v>
      </c>
      <c r="BB417" s="36" t="str">
        <f t="shared" si="509"/>
        <v>R</v>
      </c>
      <c r="BC417" s="39" t="s">
        <v>357</v>
      </c>
      <c r="BD417" s="39" t="s">
        <v>357</v>
      </c>
      <c r="BE417" s="66">
        <v>23.0</v>
      </c>
      <c r="BF417" s="36" t="str">
        <f t="shared" si="510"/>
        <v>S</v>
      </c>
      <c r="BG417" s="68">
        <v>6.0</v>
      </c>
      <c r="BH417" s="41" t="str">
        <f t="shared" si="511"/>
        <v>R</v>
      </c>
      <c r="BI417" s="41"/>
    </row>
    <row r="418">
      <c r="A418" s="21" t="s">
        <v>935</v>
      </c>
      <c r="B418" s="21" t="s">
        <v>444</v>
      </c>
      <c r="C418" s="21" t="s">
        <v>1853</v>
      </c>
      <c r="D418" s="69" t="s">
        <v>190</v>
      </c>
      <c r="E418" s="18" t="s">
        <v>190</v>
      </c>
      <c r="F418" s="18" t="s">
        <v>192</v>
      </c>
      <c r="G418" s="63" t="s">
        <v>1854</v>
      </c>
      <c r="H418" s="22" t="s">
        <v>198</v>
      </c>
      <c r="I418" s="28">
        <v>6.0</v>
      </c>
      <c r="J418" s="26" t="str">
        <f t="shared" si="489"/>
        <v>R</v>
      </c>
      <c r="K418" s="28">
        <v>6.0</v>
      </c>
      <c r="L418" s="26" t="str">
        <f t="shared" si="490"/>
        <v>R</v>
      </c>
      <c r="M418" s="28">
        <v>6.0</v>
      </c>
      <c r="N418" s="26" t="str">
        <f t="shared" si="491"/>
        <v>R</v>
      </c>
      <c r="O418" s="28">
        <v>22.0</v>
      </c>
      <c r="P418" s="26" t="str">
        <f t="shared" si="492"/>
        <v>I</v>
      </c>
      <c r="Q418" s="28">
        <v>6.0</v>
      </c>
      <c r="R418" s="26" t="str">
        <f t="shared" si="493"/>
        <v>R</v>
      </c>
      <c r="S418" s="28">
        <v>6.0</v>
      </c>
      <c r="T418" s="26" t="str">
        <f t="shared" si="494"/>
        <v>R</v>
      </c>
      <c r="U418" s="28">
        <v>18.0</v>
      </c>
      <c r="V418" s="26" t="str">
        <f t="shared" si="495"/>
        <v>I</v>
      </c>
      <c r="W418" s="32" t="s">
        <v>299</v>
      </c>
      <c r="X418" s="65">
        <v>6.0</v>
      </c>
      <c r="Y418" s="33" t="str">
        <f t="shared" si="496"/>
        <v>R</v>
      </c>
      <c r="Z418" s="65">
        <v>7.0</v>
      </c>
      <c r="AA418" s="33" t="str">
        <f t="shared" si="497"/>
        <v>R</v>
      </c>
      <c r="AB418" s="65">
        <v>6.0</v>
      </c>
      <c r="AC418" s="33" t="str">
        <f t="shared" si="498"/>
        <v>R</v>
      </c>
      <c r="AD418" s="65">
        <v>12.0</v>
      </c>
      <c r="AE418" s="33" t="str">
        <f t="shared" si="499"/>
        <v>R</v>
      </c>
      <c r="AF418" s="65">
        <v>6.0</v>
      </c>
      <c r="AG418" s="33" t="str">
        <f t="shared" si="500"/>
        <v>R</v>
      </c>
      <c r="AH418" s="65" t="s">
        <v>299</v>
      </c>
      <c r="AI418" s="66">
        <v>6.0</v>
      </c>
      <c r="AJ418" s="36" t="str">
        <f t="shared" si="501"/>
        <v>R</v>
      </c>
      <c r="AK418" s="66">
        <v>6.0</v>
      </c>
      <c r="AL418" s="36" t="str">
        <f t="shared" si="502"/>
        <v>R</v>
      </c>
      <c r="AM418" s="66">
        <v>7.0</v>
      </c>
      <c r="AN418" s="36" t="str">
        <f t="shared" si="503"/>
        <v>R</v>
      </c>
      <c r="AO418" s="66" t="s">
        <v>299</v>
      </c>
      <c r="AP418" s="67">
        <v>6.0</v>
      </c>
      <c r="AQ418" s="37" t="str">
        <f t="shared" si="504"/>
        <v>R</v>
      </c>
      <c r="AR418" s="65">
        <v>12.0</v>
      </c>
      <c r="AS418" s="33" t="str">
        <f t="shared" si="505"/>
        <v>R</v>
      </c>
      <c r="AT418" s="65">
        <v>22.0</v>
      </c>
      <c r="AU418" s="33" t="str">
        <f t="shared" si="506"/>
        <v>S</v>
      </c>
      <c r="AV418" s="65" t="s">
        <v>299</v>
      </c>
      <c r="AW418" s="28">
        <v>6.0</v>
      </c>
      <c r="AX418" s="26" t="str">
        <f t="shared" si="507"/>
        <v>R</v>
      </c>
      <c r="AY418" s="67">
        <v>6.0</v>
      </c>
      <c r="AZ418" s="37" t="str">
        <f t="shared" si="508"/>
        <v>R</v>
      </c>
      <c r="BA418" s="66">
        <v>19.0</v>
      </c>
      <c r="BB418" s="36" t="str">
        <f t="shared" si="509"/>
        <v>R</v>
      </c>
      <c r="BC418" s="39" t="s">
        <v>357</v>
      </c>
      <c r="BD418" s="39" t="s">
        <v>357</v>
      </c>
      <c r="BE418" s="66">
        <v>23.0</v>
      </c>
      <c r="BF418" s="36" t="str">
        <f t="shared" si="510"/>
        <v>S</v>
      </c>
      <c r="BG418" s="68">
        <v>6.0</v>
      </c>
      <c r="BH418" s="41" t="str">
        <f t="shared" si="511"/>
        <v>R</v>
      </c>
      <c r="BI418" s="41"/>
    </row>
    <row r="419">
      <c r="A419" s="21" t="s">
        <v>935</v>
      </c>
      <c r="B419" s="21" t="s">
        <v>444</v>
      </c>
      <c r="C419" s="21" t="s">
        <v>1855</v>
      </c>
      <c r="D419" s="69" t="s">
        <v>190</v>
      </c>
      <c r="E419" s="18" t="s">
        <v>190</v>
      </c>
      <c r="F419" s="18" t="s">
        <v>192</v>
      </c>
      <c r="G419" s="63" t="s">
        <v>1856</v>
      </c>
      <c r="H419" s="22" t="s">
        <v>198</v>
      </c>
      <c r="I419" s="28">
        <v>6.0</v>
      </c>
      <c r="J419" s="26" t="str">
        <f t="shared" si="489"/>
        <v>R</v>
      </c>
      <c r="K419" s="28">
        <v>6.0</v>
      </c>
      <c r="L419" s="26" t="str">
        <f t="shared" si="490"/>
        <v>R</v>
      </c>
      <c r="M419" s="28">
        <v>6.0</v>
      </c>
      <c r="N419" s="26" t="str">
        <f t="shared" si="491"/>
        <v>R</v>
      </c>
      <c r="O419" s="28">
        <v>22.0</v>
      </c>
      <c r="P419" s="26" t="str">
        <f t="shared" si="492"/>
        <v>I</v>
      </c>
      <c r="Q419" s="28">
        <v>6.0</v>
      </c>
      <c r="R419" s="26" t="str">
        <f t="shared" si="493"/>
        <v>R</v>
      </c>
      <c r="S419" s="28">
        <v>6.0</v>
      </c>
      <c r="T419" s="26" t="str">
        <f t="shared" si="494"/>
        <v>R</v>
      </c>
      <c r="U419" s="28">
        <v>18.0</v>
      </c>
      <c r="V419" s="26" t="str">
        <f t="shared" si="495"/>
        <v>I</v>
      </c>
      <c r="W419" s="32" t="s">
        <v>299</v>
      </c>
      <c r="X419" s="65">
        <v>6.0</v>
      </c>
      <c r="Y419" s="33" t="str">
        <f t="shared" si="496"/>
        <v>R</v>
      </c>
      <c r="Z419" s="65">
        <v>7.0</v>
      </c>
      <c r="AA419" s="33" t="str">
        <f t="shared" si="497"/>
        <v>R</v>
      </c>
      <c r="AB419" s="65">
        <v>6.0</v>
      </c>
      <c r="AC419" s="33" t="str">
        <f t="shared" si="498"/>
        <v>R</v>
      </c>
      <c r="AD419" s="65">
        <v>12.0</v>
      </c>
      <c r="AE419" s="33" t="str">
        <f t="shared" si="499"/>
        <v>R</v>
      </c>
      <c r="AF419" s="65">
        <v>6.0</v>
      </c>
      <c r="AG419" s="33" t="str">
        <f t="shared" si="500"/>
        <v>R</v>
      </c>
      <c r="AH419" s="65" t="s">
        <v>299</v>
      </c>
      <c r="AI419" s="66">
        <v>6.0</v>
      </c>
      <c r="AJ419" s="36" t="str">
        <f t="shared" si="501"/>
        <v>R</v>
      </c>
      <c r="AK419" s="66">
        <v>6.0</v>
      </c>
      <c r="AL419" s="36" t="str">
        <f t="shared" si="502"/>
        <v>R</v>
      </c>
      <c r="AM419" s="66">
        <v>7.0</v>
      </c>
      <c r="AN419" s="36" t="str">
        <f t="shared" si="503"/>
        <v>R</v>
      </c>
      <c r="AO419" s="66" t="s">
        <v>299</v>
      </c>
      <c r="AP419" s="67">
        <v>6.0</v>
      </c>
      <c r="AQ419" s="37" t="str">
        <f t="shared" si="504"/>
        <v>R</v>
      </c>
      <c r="AR419" s="65">
        <v>12.0</v>
      </c>
      <c r="AS419" s="33" t="str">
        <f t="shared" si="505"/>
        <v>R</v>
      </c>
      <c r="AT419" s="65">
        <v>22.0</v>
      </c>
      <c r="AU419" s="33" t="str">
        <f t="shared" si="506"/>
        <v>S</v>
      </c>
      <c r="AV419" s="65" t="s">
        <v>299</v>
      </c>
      <c r="AW419" s="28">
        <v>6.0</v>
      </c>
      <c r="AX419" s="26" t="str">
        <f t="shared" si="507"/>
        <v>R</v>
      </c>
      <c r="AY419" s="67">
        <v>6.0</v>
      </c>
      <c r="AZ419" s="37" t="str">
        <f t="shared" si="508"/>
        <v>R</v>
      </c>
      <c r="BA419" s="66">
        <v>19.0</v>
      </c>
      <c r="BB419" s="36" t="str">
        <f t="shared" si="509"/>
        <v>R</v>
      </c>
      <c r="BC419" s="39" t="s">
        <v>357</v>
      </c>
      <c r="BD419" s="39" t="s">
        <v>357</v>
      </c>
      <c r="BE419" s="66">
        <v>23.0</v>
      </c>
      <c r="BF419" s="36" t="str">
        <f t="shared" si="510"/>
        <v>S</v>
      </c>
      <c r="BG419" s="68">
        <v>6.0</v>
      </c>
      <c r="BH419" s="41" t="str">
        <f t="shared" si="511"/>
        <v>R</v>
      </c>
      <c r="BI419" s="41"/>
    </row>
    <row r="420">
      <c r="A420" s="21" t="s">
        <v>935</v>
      </c>
      <c r="B420" s="23">
        <v>194.0</v>
      </c>
      <c r="C420" s="21" t="s">
        <v>1154</v>
      </c>
      <c r="D420" s="69" t="s">
        <v>190</v>
      </c>
      <c r="E420" s="18" t="s">
        <v>190</v>
      </c>
      <c r="F420" s="18" t="s">
        <v>192</v>
      </c>
      <c r="G420" s="63" t="s">
        <v>1155</v>
      </c>
      <c r="H420" s="42" t="s">
        <v>479</v>
      </c>
      <c r="I420" s="28">
        <v>6.0</v>
      </c>
      <c r="J420" s="26" t="str">
        <f t="shared" si="489"/>
        <v>R</v>
      </c>
      <c r="K420" s="28">
        <v>18.0</v>
      </c>
      <c r="L420" s="26" t="str">
        <f t="shared" si="490"/>
        <v>R</v>
      </c>
      <c r="M420" s="28">
        <v>15.0</v>
      </c>
      <c r="N420" s="26" t="str">
        <f t="shared" si="491"/>
        <v>R</v>
      </c>
      <c r="O420" s="28">
        <v>24.0</v>
      </c>
      <c r="P420" s="26" t="str">
        <f t="shared" si="492"/>
        <v>S</v>
      </c>
      <c r="Q420" s="28">
        <v>12.0</v>
      </c>
      <c r="R420" s="26" t="str">
        <f t="shared" si="493"/>
        <v>R</v>
      </c>
      <c r="S420" s="28">
        <v>15.0</v>
      </c>
      <c r="T420" s="26" t="str">
        <f t="shared" si="494"/>
        <v>R</v>
      </c>
      <c r="U420" s="28">
        <v>6.0</v>
      </c>
      <c r="V420" s="26" t="str">
        <f t="shared" si="495"/>
        <v>R</v>
      </c>
      <c r="W420" s="32" t="s">
        <v>299</v>
      </c>
      <c r="X420" s="65">
        <v>6.0</v>
      </c>
      <c r="Y420" s="33" t="str">
        <f t="shared" si="496"/>
        <v>R</v>
      </c>
      <c r="Z420" s="65">
        <v>9.0</v>
      </c>
      <c r="AA420" s="33" t="str">
        <f t="shared" si="497"/>
        <v>R</v>
      </c>
      <c r="AB420" s="65">
        <v>6.0</v>
      </c>
      <c r="AC420" s="33" t="str">
        <f t="shared" si="498"/>
        <v>R</v>
      </c>
      <c r="AD420" s="65">
        <v>15.0</v>
      </c>
      <c r="AE420" s="33" t="str">
        <f t="shared" si="499"/>
        <v>S</v>
      </c>
      <c r="AF420" s="65">
        <v>13.0</v>
      </c>
      <c r="AG420" s="33" t="str">
        <f t="shared" si="500"/>
        <v>R</v>
      </c>
      <c r="AH420" s="65" t="s">
        <v>299</v>
      </c>
      <c r="AI420" s="66">
        <v>19.0</v>
      </c>
      <c r="AJ420" s="36" t="str">
        <f t="shared" si="501"/>
        <v>R</v>
      </c>
      <c r="AK420" s="66">
        <v>15.0</v>
      </c>
      <c r="AL420" s="36" t="str">
        <f t="shared" si="502"/>
        <v>R</v>
      </c>
      <c r="AM420" s="66">
        <v>15.0</v>
      </c>
      <c r="AN420" s="36" t="str">
        <f t="shared" si="503"/>
        <v>S</v>
      </c>
      <c r="AO420" s="66" t="s">
        <v>299</v>
      </c>
      <c r="AP420" s="67">
        <v>13.0</v>
      </c>
      <c r="AQ420" s="37" t="str">
        <f t="shared" si="504"/>
        <v>I</v>
      </c>
      <c r="AR420" s="65">
        <v>18.0</v>
      </c>
      <c r="AS420" s="33" t="str">
        <f t="shared" si="505"/>
        <v>S</v>
      </c>
      <c r="AT420" s="65">
        <v>18.0</v>
      </c>
      <c r="AU420" s="33" t="str">
        <f t="shared" si="506"/>
        <v>S</v>
      </c>
      <c r="AV420" s="33" t="s">
        <v>300</v>
      </c>
      <c r="AW420" s="28">
        <v>18.0</v>
      </c>
      <c r="AX420" s="26" t="str">
        <f t="shared" si="507"/>
        <v>R</v>
      </c>
      <c r="AY420" s="67">
        <v>14.0</v>
      </c>
      <c r="AZ420" s="37" t="str">
        <f t="shared" si="508"/>
        <v>R</v>
      </c>
      <c r="BA420" s="66">
        <v>14.0</v>
      </c>
      <c r="BB420" s="36" t="str">
        <f t="shared" si="509"/>
        <v>R</v>
      </c>
      <c r="BC420" s="39" t="s">
        <v>357</v>
      </c>
      <c r="BD420" s="39" t="s">
        <v>357</v>
      </c>
      <c r="BE420" s="66">
        <v>18.0</v>
      </c>
      <c r="BF420" s="36" t="str">
        <f t="shared" si="510"/>
        <v>R</v>
      </c>
      <c r="BG420" s="68">
        <v>20.0</v>
      </c>
      <c r="BH420" s="41" t="str">
        <f t="shared" si="511"/>
        <v>S</v>
      </c>
      <c r="BI420" s="41"/>
    </row>
    <row r="421">
      <c r="A421" s="21" t="s">
        <v>935</v>
      </c>
      <c r="B421" s="21" t="s">
        <v>444</v>
      </c>
      <c r="C421" s="21" t="s">
        <v>1857</v>
      </c>
      <c r="D421" s="69" t="s">
        <v>190</v>
      </c>
      <c r="E421" s="18" t="s">
        <v>190</v>
      </c>
      <c r="F421" s="18" t="s">
        <v>192</v>
      </c>
      <c r="G421" s="63" t="s">
        <v>1858</v>
      </c>
      <c r="H421" s="42" t="s">
        <v>479</v>
      </c>
      <c r="I421" s="28">
        <v>6.0</v>
      </c>
      <c r="J421" s="26" t="str">
        <f t="shared" si="489"/>
        <v>R</v>
      </c>
      <c r="K421" s="28">
        <v>18.0</v>
      </c>
      <c r="L421" s="26" t="str">
        <f t="shared" si="490"/>
        <v>R</v>
      </c>
      <c r="M421" s="28">
        <v>15.0</v>
      </c>
      <c r="N421" s="26" t="str">
        <f t="shared" si="491"/>
        <v>R</v>
      </c>
      <c r="O421" s="28">
        <v>23.0</v>
      </c>
      <c r="P421" s="26" t="str">
        <f t="shared" si="492"/>
        <v>S</v>
      </c>
      <c r="Q421" s="28">
        <v>11.0</v>
      </c>
      <c r="R421" s="26" t="str">
        <f t="shared" si="493"/>
        <v>R</v>
      </c>
      <c r="S421" s="28">
        <v>15.0</v>
      </c>
      <c r="T421" s="26" t="str">
        <f t="shared" si="494"/>
        <v>R</v>
      </c>
      <c r="U421" s="28">
        <v>6.0</v>
      </c>
      <c r="V421" s="26" t="str">
        <f t="shared" si="495"/>
        <v>R</v>
      </c>
      <c r="W421" s="32" t="s">
        <v>299</v>
      </c>
      <c r="X421" s="65">
        <v>6.0</v>
      </c>
      <c r="Y421" s="33" t="str">
        <f t="shared" si="496"/>
        <v>R</v>
      </c>
      <c r="Z421" s="65">
        <v>9.0</v>
      </c>
      <c r="AA421" s="33" t="str">
        <f t="shared" si="497"/>
        <v>R</v>
      </c>
      <c r="AB421" s="65">
        <v>6.0</v>
      </c>
      <c r="AC421" s="33" t="str">
        <f t="shared" si="498"/>
        <v>R</v>
      </c>
      <c r="AD421" s="65">
        <v>15.0</v>
      </c>
      <c r="AE421" s="33" t="str">
        <f t="shared" si="499"/>
        <v>S</v>
      </c>
      <c r="AF421" s="65">
        <v>13.0</v>
      </c>
      <c r="AG421" s="33" t="str">
        <f t="shared" si="500"/>
        <v>R</v>
      </c>
      <c r="AH421" s="65" t="s">
        <v>299</v>
      </c>
      <c r="AI421" s="66">
        <v>19.0</v>
      </c>
      <c r="AJ421" s="36" t="str">
        <f t="shared" si="501"/>
        <v>R</v>
      </c>
      <c r="AK421" s="66">
        <v>15.0</v>
      </c>
      <c r="AL421" s="36" t="str">
        <f t="shared" si="502"/>
        <v>R</v>
      </c>
      <c r="AM421" s="66">
        <v>15.0</v>
      </c>
      <c r="AN421" s="36" t="str">
        <f t="shared" si="503"/>
        <v>S</v>
      </c>
      <c r="AO421" s="66" t="s">
        <v>299</v>
      </c>
      <c r="AP421" s="67">
        <v>13.0</v>
      </c>
      <c r="AQ421" s="37" t="str">
        <f t="shared" si="504"/>
        <v>I</v>
      </c>
      <c r="AR421" s="65">
        <v>18.0</v>
      </c>
      <c r="AS421" s="33" t="str">
        <f t="shared" si="505"/>
        <v>S</v>
      </c>
      <c r="AT421" s="65">
        <v>17.0</v>
      </c>
      <c r="AU421" s="33" t="str">
        <f t="shared" si="506"/>
        <v>S</v>
      </c>
      <c r="AV421" s="33" t="s">
        <v>300</v>
      </c>
      <c r="AW421" s="28">
        <v>18.0</v>
      </c>
      <c r="AX421" s="26" t="str">
        <f t="shared" si="507"/>
        <v>R</v>
      </c>
      <c r="AY421" s="67">
        <v>14.0</v>
      </c>
      <c r="AZ421" s="37" t="str">
        <f t="shared" si="508"/>
        <v>R</v>
      </c>
      <c r="BA421" s="66">
        <v>16.0</v>
      </c>
      <c r="BB421" s="36" t="str">
        <f t="shared" si="509"/>
        <v>R</v>
      </c>
      <c r="BC421" s="39" t="s">
        <v>357</v>
      </c>
      <c r="BD421" s="39" t="s">
        <v>357</v>
      </c>
      <c r="BE421" s="66">
        <v>18.0</v>
      </c>
      <c r="BF421" s="36" t="str">
        <f t="shared" si="510"/>
        <v>R</v>
      </c>
      <c r="BG421" s="68">
        <v>20.0</v>
      </c>
      <c r="BH421" s="41" t="str">
        <f t="shared" si="511"/>
        <v>S</v>
      </c>
      <c r="BI421" s="41"/>
    </row>
    <row r="422">
      <c r="A422" s="21" t="s">
        <v>935</v>
      </c>
      <c r="B422" s="21" t="s">
        <v>444</v>
      </c>
      <c r="C422" s="21" t="s">
        <v>1859</v>
      </c>
      <c r="D422" s="69" t="s">
        <v>190</v>
      </c>
      <c r="E422" s="18" t="s">
        <v>190</v>
      </c>
      <c r="F422" s="18" t="s">
        <v>192</v>
      </c>
      <c r="G422" s="63" t="s">
        <v>1860</v>
      </c>
      <c r="H422" s="42" t="s">
        <v>479</v>
      </c>
      <c r="I422" s="28">
        <v>6.0</v>
      </c>
      <c r="J422" s="26" t="str">
        <f t="shared" si="489"/>
        <v>R</v>
      </c>
      <c r="K422" s="28">
        <v>18.0</v>
      </c>
      <c r="L422" s="26" t="str">
        <f t="shared" si="490"/>
        <v>R</v>
      </c>
      <c r="M422" s="28">
        <v>15.0</v>
      </c>
      <c r="N422" s="26" t="str">
        <f t="shared" si="491"/>
        <v>R</v>
      </c>
      <c r="O422" s="28">
        <v>23.0</v>
      </c>
      <c r="P422" s="26" t="str">
        <f t="shared" si="492"/>
        <v>S</v>
      </c>
      <c r="Q422" s="28">
        <v>11.0</v>
      </c>
      <c r="R422" s="26" t="str">
        <f t="shared" si="493"/>
        <v>R</v>
      </c>
      <c r="S422" s="28">
        <v>15.0</v>
      </c>
      <c r="T422" s="26" t="str">
        <f t="shared" si="494"/>
        <v>R</v>
      </c>
      <c r="U422" s="28">
        <v>6.0</v>
      </c>
      <c r="V422" s="26" t="str">
        <f t="shared" si="495"/>
        <v>R</v>
      </c>
      <c r="W422" s="32" t="s">
        <v>299</v>
      </c>
      <c r="X422" s="65">
        <v>6.0</v>
      </c>
      <c r="Y422" s="33" t="str">
        <f t="shared" si="496"/>
        <v>R</v>
      </c>
      <c r="Z422" s="65">
        <v>9.0</v>
      </c>
      <c r="AA422" s="33" t="str">
        <f t="shared" si="497"/>
        <v>R</v>
      </c>
      <c r="AB422" s="65">
        <v>6.0</v>
      </c>
      <c r="AC422" s="33" t="str">
        <f t="shared" si="498"/>
        <v>R</v>
      </c>
      <c r="AD422" s="65">
        <v>15.0</v>
      </c>
      <c r="AE422" s="33" t="str">
        <f t="shared" si="499"/>
        <v>S</v>
      </c>
      <c r="AF422" s="65">
        <v>13.0</v>
      </c>
      <c r="AG422" s="33" t="str">
        <f t="shared" si="500"/>
        <v>R</v>
      </c>
      <c r="AH422" s="65" t="s">
        <v>299</v>
      </c>
      <c r="AI422" s="66">
        <v>19.0</v>
      </c>
      <c r="AJ422" s="36" t="str">
        <f t="shared" si="501"/>
        <v>R</v>
      </c>
      <c r="AK422" s="66">
        <v>15.0</v>
      </c>
      <c r="AL422" s="36" t="str">
        <f t="shared" si="502"/>
        <v>R</v>
      </c>
      <c r="AM422" s="66">
        <v>15.0</v>
      </c>
      <c r="AN422" s="36" t="str">
        <f t="shared" si="503"/>
        <v>S</v>
      </c>
      <c r="AO422" s="66" t="s">
        <v>299</v>
      </c>
      <c r="AP422" s="67">
        <v>13.0</v>
      </c>
      <c r="AQ422" s="37" t="str">
        <f t="shared" si="504"/>
        <v>I</v>
      </c>
      <c r="AR422" s="65">
        <v>18.0</v>
      </c>
      <c r="AS422" s="33" t="str">
        <f t="shared" si="505"/>
        <v>S</v>
      </c>
      <c r="AT422" s="65">
        <v>18.0</v>
      </c>
      <c r="AU422" s="33" t="str">
        <f t="shared" si="506"/>
        <v>S</v>
      </c>
      <c r="AV422" s="33" t="s">
        <v>300</v>
      </c>
      <c r="AW422" s="28">
        <v>18.0</v>
      </c>
      <c r="AX422" s="26" t="str">
        <f t="shared" si="507"/>
        <v>R</v>
      </c>
      <c r="AY422" s="67">
        <v>14.0</v>
      </c>
      <c r="AZ422" s="37" t="str">
        <f t="shared" si="508"/>
        <v>R</v>
      </c>
      <c r="BA422" s="66">
        <v>18.0</v>
      </c>
      <c r="BB422" s="36" t="str">
        <f t="shared" si="509"/>
        <v>R</v>
      </c>
      <c r="BC422" s="39" t="s">
        <v>357</v>
      </c>
      <c r="BD422" s="39" t="s">
        <v>357</v>
      </c>
      <c r="BE422" s="66">
        <v>18.0</v>
      </c>
      <c r="BF422" s="36" t="str">
        <f t="shared" si="510"/>
        <v>R</v>
      </c>
      <c r="BG422" s="68">
        <v>20.0</v>
      </c>
      <c r="BH422" s="41" t="str">
        <f t="shared" si="511"/>
        <v>S</v>
      </c>
      <c r="BI422" s="41"/>
    </row>
    <row r="423">
      <c r="A423" s="51" t="s">
        <v>941</v>
      </c>
      <c r="B423" s="53">
        <v>195.0</v>
      </c>
      <c r="C423" s="51" t="s">
        <v>1641</v>
      </c>
      <c r="D423" s="69" t="s">
        <v>190</v>
      </c>
      <c r="E423" s="18" t="s">
        <v>190</v>
      </c>
      <c r="F423" s="18" t="s">
        <v>192</v>
      </c>
      <c r="G423" s="63" t="s">
        <v>1642</v>
      </c>
      <c r="H423" s="22" t="s">
        <v>198</v>
      </c>
      <c r="I423" s="28">
        <v>6.0</v>
      </c>
      <c r="J423" s="26" t="str">
        <f t="shared" si="489"/>
        <v>R</v>
      </c>
      <c r="K423" s="28">
        <v>14.0</v>
      </c>
      <c r="L423" s="26" t="str">
        <f t="shared" si="490"/>
        <v>R</v>
      </c>
      <c r="M423" s="28">
        <v>6.0</v>
      </c>
      <c r="N423" s="26" t="str">
        <f t="shared" si="491"/>
        <v>R</v>
      </c>
      <c r="O423" s="28">
        <v>25.0</v>
      </c>
      <c r="P423" s="26" t="str">
        <f t="shared" si="492"/>
        <v>S</v>
      </c>
      <c r="Q423" s="28">
        <v>11.0</v>
      </c>
      <c r="R423" s="26" t="str">
        <f t="shared" si="493"/>
        <v>R</v>
      </c>
      <c r="S423" s="28">
        <v>17.0</v>
      </c>
      <c r="T423" s="26" t="str">
        <f t="shared" si="494"/>
        <v>R</v>
      </c>
      <c r="U423" s="28">
        <v>12.0</v>
      </c>
      <c r="V423" s="26" t="str">
        <f t="shared" si="495"/>
        <v>R</v>
      </c>
      <c r="W423" s="32" t="s">
        <v>299</v>
      </c>
      <c r="X423" s="65">
        <v>6.0</v>
      </c>
      <c r="Y423" s="33" t="str">
        <f t="shared" si="496"/>
        <v>R</v>
      </c>
      <c r="Z423" s="65">
        <v>17.0</v>
      </c>
      <c r="AA423" s="33" t="str">
        <f t="shared" si="497"/>
        <v>R</v>
      </c>
      <c r="AB423" s="65">
        <v>6.0</v>
      </c>
      <c r="AC423" s="33" t="str">
        <f t="shared" si="498"/>
        <v>R</v>
      </c>
      <c r="AD423" s="65">
        <v>18.0</v>
      </c>
      <c r="AE423" s="33" t="str">
        <f t="shared" si="499"/>
        <v>S</v>
      </c>
      <c r="AF423" s="65">
        <v>6.0</v>
      </c>
      <c r="AG423" s="33" t="str">
        <f t="shared" si="500"/>
        <v>R</v>
      </c>
      <c r="AH423" s="65" t="s">
        <v>299</v>
      </c>
      <c r="AI423" s="66">
        <v>20.0</v>
      </c>
      <c r="AJ423" s="36" t="str">
        <f t="shared" si="501"/>
        <v>R</v>
      </c>
      <c r="AK423" s="66">
        <v>19.0</v>
      </c>
      <c r="AL423" s="36" t="str">
        <f t="shared" si="502"/>
        <v>I</v>
      </c>
      <c r="AM423" s="66">
        <v>16.0</v>
      </c>
      <c r="AN423" s="36" t="str">
        <f t="shared" si="503"/>
        <v>S</v>
      </c>
      <c r="AO423" s="66" t="s">
        <v>299</v>
      </c>
      <c r="AP423" s="67">
        <v>18.0</v>
      </c>
      <c r="AQ423" s="37" t="str">
        <f t="shared" si="504"/>
        <v>S</v>
      </c>
      <c r="AR423" s="65">
        <v>19.0</v>
      </c>
      <c r="AS423" s="33" t="str">
        <f t="shared" si="505"/>
        <v>S</v>
      </c>
      <c r="AT423" s="65">
        <v>16.0</v>
      </c>
      <c r="AU423" s="33" t="str">
        <f t="shared" si="506"/>
        <v>S</v>
      </c>
      <c r="AV423" s="33" t="s">
        <v>300</v>
      </c>
      <c r="AW423" s="28">
        <v>20.0</v>
      </c>
      <c r="AX423" s="26" t="str">
        <f t="shared" si="507"/>
        <v>S</v>
      </c>
      <c r="AY423" s="67">
        <v>6.0</v>
      </c>
      <c r="AZ423" s="37" t="str">
        <f t="shared" si="508"/>
        <v>R</v>
      </c>
      <c r="BA423" s="66">
        <v>25.0</v>
      </c>
      <c r="BB423" s="36" t="str">
        <f t="shared" si="509"/>
        <v>S</v>
      </c>
      <c r="BC423" s="39" t="s">
        <v>357</v>
      </c>
      <c r="BD423" s="39" t="s">
        <v>357</v>
      </c>
      <c r="BE423" s="66">
        <v>26.0</v>
      </c>
      <c r="BF423" s="36" t="str">
        <f t="shared" si="510"/>
        <v>S</v>
      </c>
      <c r="BG423" s="68">
        <v>18.0</v>
      </c>
      <c r="BH423" s="41" t="str">
        <f t="shared" si="511"/>
        <v>S</v>
      </c>
      <c r="BI423" s="41"/>
    </row>
    <row r="424">
      <c r="A424" s="51" t="s">
        <v>941</v>
      </c>
      <c r="B424" s="51" t="s">
        <v>444</v>
      </c>
      <c r="C424" s="51" t="s">
        <v>1861</v>
      </c>
      <c r="D424" s="69" t="s">
        <v>190</v>
      </c>
      <c r="E424" s="18" t="s">
        <v>190</v>
      </c>
      <c r="F424" s="18" t="s">
        <v>192</v>
      </c>
      <c r="G424" s="63" t="s">
        <v>1862</v>
      </c>
      <c r="H424" s="22" t="s">
        <v>198</v>
      </c>
      <c r="I424" s="28">
        <v>6.0</v>
      </c>
      <c r="J424" s="26" t="str">
        <f t="shared" si="489"/>
        <v>R</v>
      </c>
      <c r="K424" s="28">
        <v>12.0</v>
      </c>
      <c r="L424" s="26" t="str">
        <f t="shared" si="490"/>
        <v>R</v>
      </c>
      <c r="M424" s="28">
        <v>6.0</v>
      </c>
      <c r="N424" s="26" t="str">
        <f t="shared" si="491"/>
        <v>R</v>
      </c>
      <c r="O424" s="28">
        <v>25.0</v>
      </c>
      <c r="P424" s="26" t="str">
        <f t="shared" si="492"/>
        <v>S</v>
      </c>
      <c r="Q424" s="28">
        <v>11.0</v>
      </c>
      <c r="R424" s="26" t="str">
        <f t="shared" si="493"/>
        <v>R</v>
      </c>
      <c r="S424" s="28">
        <v>17.0</v>
      </c>
      <c r="T424" s="26" t="str">
        <f t="shared" si="494"/>
        <v>R</v>
      </c>
      <c r="U424" s="28">
        <v>12.0</v>
      </c>
      <c r="V424" s="26" t="str">
        <f t="shared" si="495"/>
        <v>R</v>
      </c>
      <c r="W424" s="32" t="s">
        <v>299</v>
      </c>
      <c r="X424" s="65">
        <v>6.0</v>
      </c>
      <c r="Y424" s="33" t="str">
        <f t="shared" si="496"/>
        <v>R</v>
      </c>
      <c r="Z424" s="65">
        <v>15.0</v>
      </c>
      <c r="AA424" s="33" t="str">
        <f t="shared" si="497"/>
        <v>R</v>
      </c>
      <c r="AB424" s="65">
        <v>6.0</v>
      </c>
      <c r="AC424" s="33" t="str">
        <f t="shared" si="498"/>
        <v>R</v>
      </c>
      <c r="AD424" s="65">
        <v>18.0</v>
      </c>
      <c r="AE424" s="33" t="str">
        <f t="shared" si="499"/>
        <v>S</v>
      </c>
      <c r="AF424" s="65">
        <v>6.0</v>
      </c>
      <c r="AG424" s="33" t="str">
        <f t="shared" si="500"/>
        <v>R</v>
      </c>
      <c r="AH424" s="65" t="s">
        <v>299</v>
      </c>
      <c r="AI424" s="66">
        <v>20.0</v>
      </c>
      <c r="AJ424" s="36" t="str">
        <f t="shared" si="501"/>
        <v>R</v>
      </c>
      <c r="AK424" s="66">
        <v>19.0</v>
      </c>
      <c r="AL424" s="36" t="str">
        <f t="shared" si="502"/>
        <v>I</v>
      </c>
      <c r="AM424" s="66">
        <v>15.0</v>
      </c>
      <c r="AN424" s="36" t="str">
        <f t="shared" si="503"/>
        <v>S</v>
      </c>
      <c r="AO424" s="66" t="s">
        <v>299</v>
      </c>
      <c r="AP424" s="67">
        <v>18.0</v>
      </c>
      <c r="AQ424" s="37" t="str">
        <f t="shared" si="504"/>
        <v>S</v>
      </c>
      <c r="AR424" s="65">
        <v>18.0</v>
      </c>
      <c r="AS424" s="33" t="str">
        <f t="shared" si="505"/>
        <v>S</v>
      </c>
      <c r="AT424" s="65">
        <v>16.0</v>
      </c>
      <c r="AU424" s="33" t="str">
        <f t="shared" si="506"/>
        <v>S</v>
      </c>
      <c r="AV424" s="33" t="s">
        <v>300</v>
      </c>
      <c r="AW424" s="28">
        <v>22.0</v>
      </c>
      <c r="AX424" s="26" t="str">
        <f t="shared" si="507"/>
        <v>S</v>
      </c>
      <c r="AY424" s="67">
        <v>6.0</v>
      </c>
      <c r="AZ424" s="37" t="str">
        <f t="shared" si="508"/>
        <v>R</v>
      </c>
      <c r="BA424" s="66">
        <v>28.0</v>
      </c>
      <c r="BB424" s="36" t="str">
        <f t="shared" si="509"/>
        <v>S</v>
      </c>
      <c r="BC424" s="39" t="s">
        <v>357</v>
      </c>
      <c r="BD424" s="39" t="s">
        <v>357</v>
      </c>
      <c r="BE424" s="66">
        <v>26.0</v>
      </c>
      <c r="BF424" s="36" t="str">
        <f t="shared" si="510"/>
        <v>S</v>
      </c>
      <c r="BG424" s="68">
        <v>18.0</v>
      </c>
      <c r="BH424" s="41" t="str">
        <f t="shared" si="511"/>
        <v>S</v>
      </c>
      <c r="BI424" s="41"/>
    </row>
    <row r="425">
      <c r="A425" s="51" t="s">
        <v>941</v>
      </c>
      <c r="B425" s="51" t="s">
        <v>444</v>
      </c>
      <c r="C425" s="51" t="s">
        <v>1863</v>
      </c>
      <c r="D425" s="69" t="s">
        <v>190</v>
      </c>
      <c r="E425" s="18" t="s">
        <v>190</v>
      </c>
      <c r="F425" s="18" t="s">
        <v>192</v>
      </c>
      <c r="G425" s="63" t="s">
        <v>1864</v>
      </c>
      <c r="H425" s="22" t="s">
        <v>198</v>
      </c>
      <c r="I425" s="28">
        <v>6.0</v>
      </c>
      <c r="J425" s="26" t="str">
        <f t="shared" si="489"/>
        <v>R</v>
      </c>
      <c r="K425" s="28">
        <v>11.0</v>
      </c>
      <c r="L425" s="26" t="str">
        <f t="shared" si="490"/>
        <v>R</v>
      </c>
      <c r="M425" s="28">
        <v>6.0</v>
      </c>
      <c r="N425" s="26" t="str">
        <f t="shared" si="491"/>
        <v>R</v>
      </c>
      <c r="O425" s="28">
        <v>25.0</v>
      </c>
      <c r="P425" s="26" t="str">
        <f t="shared" si="492"/>
        <v>S</v>
      </c>
      <c r="Q425" s="28">
        <v>11.0</v>
      </c>
      <c r="R425" s="26" t="str">
        <f t="shared" si="493"/>
        <v>R</v>
      </c>
      <c r="S425" s="28">
        <v>17.0</v>
      </c>
      <c r="T425" s="26" t="str">
        <f t="shared" si="494"/>
        <v>R</v>
      </c>
      <c r="U425" s="28">
        <v>12.0</v>
      </c>
      <c r="V425" s="26" t="str">
        <f t="shared" si="495"/>
        <v>R</v>
      </c>
      <c r="W425" s="32" t="s">
        <v>299</v>
      </c>
      <c r="X425" s="65">
        <v>6.0</v>
      </c>
      <c r="Y425" s="33" t="str">
        <f t="shared" si="496"/>
        <v>R</v>
      </c>
      <c r="Z425" s="65">
        <v>17.0</v>
      </c>
      <c r="AA425" s="33" t="str">
        <f t="shared" si="497"/>
        <v>R</v>
      </c>
      <c r="AB425" s="65">
        <v>6.0</v>
      </c>
      <c r="AC425" s="33" t="str">
        <f t="shared" si="498"/>
        <v>R</v>
      </c>
      <c r="AD425" s="65">
        <v>18.0</v>
      </c>
      <c r="AE425" s="33" t="str">
        <f t="shared" si="499"/>
        <v>S</v>
      </c>
      <c r="AF425" s="65">
        <v>6.0</v>
      </c>
      <c r="AG425" s="33" t="str">
        <f t="shared" si="500"/>
        <v>R</v>
      </c>
      <c r="AH425" s="65" t="s">
        <v>299</v>
      </c>
      <c r="AI425" s="66">
        <v>20.0</v>
      </c>
      <c r="AJ425" s="36" t="str">
        <f t="shared" si="501"/>
        <v>R</v>
      </c>
      <c r="AK425" s="66">
        <v>19.0</v>
      </c>
      <c r="AL425" s="36" t="str">
        <f t="shared" si="502"/>
        <v>I</v>
      </c>
      <c r="AM425" s="66">
        <v>16.0</v>
      </c>
      <c r="AN425" s="36" t="str">
        <f t="shared" si="503"/>
        <v>S</v>
      </c>
      <c r="AO425" s="66" t="s">
        <v>299</v>
      </c>
      <c r="AP425" s="67">
        <v>18.0</v>
      </c>
      <c r="AQ425" s="37" t="str">
        <f t="shared" si="504"/>
        <v>S</v>
      </c>
      <c r="AR425" s="65">
        <v>18.0</v>
      </c>
      <c r="AS425" s="33" t="str">
        <f t="shared" si="505"/>
        <v>S</v>
      </c>
      <c r="AT425" s="65">
        <v>16.0</v>
      </c>
      <c r="AU425" s="33" t="str">
        <f t="shared" si="506"/>
        <v>S</v>
      </c>
      <c r="AV425" s="33" t="s">
        <v>300</v>
      </c>
      <c r="AW425" s="28">
        <v>20.0</v>
      </c>
      <c r="AX425" s="26" t="str">
        <f t="shared" si="507"/>
        <v>S</v>
      </c>
      <c r="AY425" s="67">
        <v>6.0</v>
      </c>
      <c r="AZ425" s="37" t="str">
        <f t="shared" si="508"/>
        <v>R</v>
      </c>
      <c r="BA425" s="66">
        <v>25.0</v>
      </c>
      <c r="BB425" s="36" t="str">
        <f t="shared" si="509"/>
        <v>S</v>
      </c>
      <c r="BC425" s="39" t="s">
        <v>357</v>
      </c>
      <c r="BD425" s="39" t="s">
        <v>357</v>
      </c>
      <c r="BE425" s="66">
        <v>26.0</v>
      </c>
      <c r="BF425" s="36" t="str">
        <f t="shared" si="510"/>
        <v>S</v>
      </c>
      <c r="BG425" s="68">
        <v>18.0</v>
      </c>
      <c r="BH425" s="41" t="str">
        <f t="shared" si="511"/>
        <v>S</v>
      </c>
      <c r="BI425" s="41"/>
    </row>
    <row r="426">
      <c r="A426" s="51" t="s">
        <v>941</v>
      </c>
      <c r="B426" s="53">
        <v>196.0</v>
      </c>
      <c r="C426" s="51" t="s">
        <v>1644</v>
      </c>
      <c r="D426" s="69" t="s">
        <v>190</v>
      </c>
      <c r="E426" s="18" t="s">
        <v>190</v>
      </c>
      <c r="F426" s="18" t="s">
        <v>192</v>
      </c>
      <c r="G426" s="63" t="s">
        <v>1645</v>
      </c>
      <c r="H426" s="22" t="s">
        <v>198</v>
      </c>
      <c r="I426" s="28">
        <v>6.0</v>
      </c>
      <c r="J426" s="26" t="str">
        <f t="shared" si="489"/>
        <v>R</v>
      </c>
      <c r="K426" s="28">
        <v>26.0</v>
      </c>
      <c r="L426" s="26" t="str">
        <f t="shared" si="490"/>
        <v>S</v>
      </c>
      <c r="M426" s="28">
        <v>6.0</v>
      </c>
      <c r="N426" s="26" t="str">
        <f t="shared" si="491"/>
        <v>R</v>
      </c>
      <c r="O426" s="28">
        <v>18.0</v>
      </c>
      <c r="P426" s="26" t="str">
        <f t="shared" si="492"/>
        <v>R</v>
      </c>
      <c r="Q426" s="28">
        <v>6.0</v>
      </c>
      <c r="R426" s="26" t="str">
        <f t="shared" si="493"/>
        <v>R</v>
      </c>
      <c r="S426" s="28">
        <v>22.0</v>
      </c>
      <c r="T426" s="26" t="str">
        <f t="shared" si="494"/>
        <v>S</v>
      </c>
      <c r="U426" s="28">
        <v>20.0</v>
      </c>
      <c r="V426" s="26" t="str">
        <f t="shared" si="495"/>
        <v>S</v>
      </c>
      <c r="W426" s="32" t="s">
        <v>299</v>
      </c>
      <c r="X426" s="65">
        <v>9.0</v>
      </c>
      <c r="Y426" s="33" t="str">
        <f t="shared" si="496"/>
        <v>R</v>
      </c>
      <c r="Z426" s="65">
        <v>23.0</v>
      </c>
      <c r="AA426" s="33" t="str">
        <f t="shared" si="497"/>
        <v>S</v>
      </c>
      <c r="AB426" s="65">
        <v>21.0</v>
      </c>
      <c r="AC426" s="33" t="str">
        <f t="shared" si="498"/>
        <v>I</v>
      </c>
      <c r="AD426" s="65">
        <v>12.0</v>
      </c>
      <c r="AE426" s="33" t="str">
        <f t="shared" si="499"/>
        <v>R</v>
      </c>
      <c r="AF426" s="65">
        <v>16.0</v>
      </c>
      <c r="AG426" s="33" t="str">
        <f t="shared" si="500"/>
        <v>R</v>
      </c>
      <c r="AH426" s="65" t="s">
        <v>299</v>
      </c>
      <c r="AI426" s="66">
        <v>7.0</v>
      </c>
      <c r="AJ426" s="36" t="str">
        <f t="shared" si="501"/>
        <v>R</v>
      </c>
      <c r="AK426" s="66">
        <v>11.0</v>
      </c>
      <c r="AL426" s="36" t="str">
        <f t="shared" si="502"/>
        <v>R</v>
      </c>
      <c r="AM426" s="66">
        <v>6.0</v>
      </c>
      <c r="AN426" s="36" t="str">
        <f t="shared" si="503"/>
        <v>R</v>
      </c>
      <c r="AO426" s="66" t="s">
        <v>299</v>
      </c>
      <c r="AP426" s="67">
        <v>6.0</v>
      </c>
      <c r="AQ426" s="37" t="str">
        <f t="shared" si="504"/>
        <v>R</v>
      </c>
      <c r="AR426" s="65">
        <v>16.0</v>
      </c>
      <c r="AS426" s="33" t="str">
        <f t="shared" si="505"/>
        <v>R</v>
      </c>
      <c r="AT426" s="65">
        <v>32.0</v>
      </c>
      <c r="AU426" s="33" t="str">
        <f t="shared" si="506"/>
        <v>S</v>
      </c>
      <c r="AV426" s="65" t="s">
        <v>299</v>
      </c>
      <c r="AW426" s="28">
        <v>6.0</v>
      </c>
      <c r="AX426" s="26" t="str">
        <f t="shared" si="507"/>
        <v>R</v>
      </c>
      <c r="AY426" s="67">
        <v>10.0</v>
      </c>
      <c r="AZ426" s="37" t="str">
        <f t="shared" si="508"/>
        <v>R</v>
      </c>
      <c r="BA426" s="66">
        <v>22.0</v>
      </c>
      <c r="BB426" s="36" t="str">
        <f t="shared" si="509"/>
        <v>R</v>
      </c>
      <c r="BC426" s="39" t="s">
        <v>357</v>
      </c>
      <c r="BD426" s="39" t="s">
        <v>357</v>
      </c>
      <c r="BE426" s="66">
        <v>20.0</v>
      </c>
      <c r="BF426" s="36" t="str">
        <f t="shared" si="510"/>
        <v>I</v>
      </c>
      <c r="BG426" s="68">
        <v>17.0</v>
      </c>
      <c r="BH426" s="41" t="str">
        <f t="shared" si="511"/>
        <v>S</v>
      </c>
      <c r="BI426" s="41"/>
    </row>
    <row r="427">
      <c r="A427" s="51" t="s">
        <v>941</v>
      </c>
      <c r="B427" s="51" t="s">
        <v>444</v>
      </c>
      <c r="C427" s="51" t="s">
        <v>1865</v>
      </c>
      <c r="D427" s="69" t="s">
        <v>190</v>
      </c>
      <c r="E427" s="18" t="s">
        <v>190</v>
      </c>
      <c r="F427" s="18" t="s">
        <v>192</v>
      </c>
      <c r="G427" s="63" t="s">
        <v>1866</v>
      </c>
      <c r="H427" s="22" t="s">
        <v>198</v>
      </c>
      <c r="I427" s="28">
        <v>6.0</v>
      </c>
      <c r="J427" s="26" t="str">
        <f t="shared" si="489"/>
        <v>R</v>
      </c>
      <c r="K427" s="28">
        <v>26.0</v>
      </c>
      <c r="L427" s="26" t="str">
        <f t="shared" si="490"/>
        <v>S</v>
      </c>
      <c r="M427" s="28">
        <v>6.0</v>
      </c>
      <c r="N427" s="26" t="str">
        <f t="shared" si="491"/>
        <v>R</v>
      </c>
      <c r="O427" s="28">
        <v>18.0</v>
      </c>
      <c r="P427" s="26" t="str">
        <f t="shared" si="492"/>
        <v>R</v>
      </c>
      <c r="Q427" s="28">
        <v>6.0</v>
      </c>
      <c r="R427" s="26" t="str">
        <f t="shared" si="493"/>
        <v>R</v>
      </c>
      <c r="S427" s="28">
        <v>22.0</v>
      </c>
      <c r="T427" s="26" t="str">
        <f t="shared" si="494"/>
        <v>S</v>
      </c>
      <c r="U427" s="28">
        <v>21.0</v>
      </c>
      <c r="V427" s="26" t="str">
        <f t="shared" si="495"/>
        <v>S</v>
      </c>
      <c r="W427" s="32" t="s">
        <v>299</v>
      </c>
      <c r="X427" s="65">
        <v>9.0</v>
      </c>
      <c r="Y427" s="33" t="str">
        <f t="shared" si="496"/>
        <v>R</v>
      </c>
      <c r="Z427" s="65">
        <v>23.0</v>
      </c>
      <c r="AA427" s="33" t="str">
        <f t="shared" si="497"/>
        <v>S</v>
      </c>
      <c r="AB427" s="65">
        <v>21.0</v>
      </c>
      <c r="AC427" s="33" t="str">
        <f t="shared" si="498"/>
        <v>I</v>
      </c>
      <c r="AD427" s="65">
        <v>12.0</v>
      </c>
      <c r="AE427" s="33" t="str">
        <f t="shared" si="499"/>
        <v>R</v>
      </c>
      <c r="AF427" s="65">
        <v>16.0</v>
      </c>
      <c r="AG427" s="33" t="str">
        <f t="shared" si="500"/>
        <v>R</v>
      </c>
      <c r="AH427" s="65" t="s">
        <v>299</v>
      </c>
      <c r="AI427" s="66">
        <v>7.0</v>
      </c>
      <c r="AJ427" s="36" t="str">
        <f t="shared" si="501"/>
        <v>R</v>
      </c>
      <c r="AK427" s="66">
        <v>11.0</v>
      </c>
      <c r="AL427" s="36" t="str">
        <f t="shared" si="502"/>
        <v>R</v>
      </c>
      <c r="AM427" s="66">
        <v>6.0</v>
      </c>
      <c r="AN427" s="36" t="str">
        <f t="shared" si="503"/>
        <v>R</v>
      </c>
      <c r="AO427" s="66" t="s">
        <v>299</v>
      </c>
      <c r="AP427" s="67">
        <v>6.0</v>
      </c>
      <c r="AQ427" s="37" t="str">
        <f t="shared" si="504"/>
        <v>R</v>
      </c>
      <c r="AR427" s="65">
        <v>16.0</v>
      </c>
      <c r="AS427" s="33" t="str">
        <f t="shared" si="505"/>
        <v>R</v>
      </c>
      <c r="AT427" s="65">
        <v>32.0</v>
      </c>
      <c r="AU427" s="33" t="str">
        <f t="shared" si="506"/>
        <v>S</v>
      </c>
      <c r="AV427" s="65" t="s">
        <v>299</v>
      </c>
      <c r="AW427" s="28">
        <v>6.0</v>
      </c>
      <c r="AX427" s="26" t="str">
        <f t="shared" si="507"/>
        <v>R</v>
      </c>
      <c r="AY427" s="67">
        <v>10.0</v>
      </c>
      <c r="AZ427" s="37" t="str">
        <f t="shared" si="508"/>
        <v>R</v>
      </c>
      <c r="BA427" s="66">
        <v>18.0</v>
      </c>
      <c r="BB427" s="36" t="str">
        <f t="shared" si="509"/>
        <v>R</v>
      </c>
      <c r="BC427" s="39" t="s">
        <v>357</v>
      </c>
      <c r="BD427" s="39" t="s">
        <v>357</v>
      </c>
      <c r="BE427" s="66">
        <v>20.0</v>
      </c>
      <c r="BF427" s="36" t="str">
        <f t="shared" si="510"/>
        <v>I</v>
      </c>
      <c r="BG427" s="68">
        <v>17.0</v>
      </c>
      <c r="BH427" s="41" t="str">
        <f t="shared" si="511"/>
        <v>S</v>
      </c>
      <c r="BI427" s="41"/>
    </row>
    <row r="428">
      <c r="A428" s="51" t="s">
        <v>941</v>
      </c>
      <c r="B428" s="51" t="s">
        <v>444</v>
      </c>
      <c r="C428" s="51" t="s">
        <v>1867</v>
      </c>
      <c r="D428" s="69" t="s">
        <v>190</v>
      </c>
      <c r="E428" s="18" t="s">
        <v>190</v>
      </c>
      <c r="F428" s="18" t="s">
        <v>192</v>
      </c>
      <c r="G428" s="63" t="s">
        <v>1868</v>
      </c>
      <c r="H428" s="22" t="s">
        <v>198</v>
      </c>
      <c r="I428" s="28">
        <v>6.0</v>
      </c>
      <c r="J428" s="26" t="str">
        <f t="shared" si="489"/>
        <v>R</v>
      </c>
      <c r="K428" s="28">
        <v>26.0</v>
      </c>
      <c r="L428" s="26" t="str">
        <f t="shared" si="490"/>
        <v>S</v>
      </c>
      <c r="M428" s="28">
        <v>6.0</v>
      </c>
      <c r="N428" s="26" t="str">
        <f t="shared" si="491"/>
        <v>R</v>
      </c>
      <c r="O428" s="28">
        <v>18.0</v>
      </c>
      <c r="P428" s="26" t="str">
        <f t="shared" si="492"/>
        <v>R</v>
      </c>
      <c r="Q428" s="28">
        <v>6.0</v>
      </c>
      <c r="R428" s="26" t="str">
        <f t="shared" si="493"/>
        <v>R</v>
      </c>
      <c r="S428" s="28">
        <v>22.0</v>
      </c>
      <c r="T428" s="26" t="str">
        <f t="shared" si="494"/>
        <v>S</v>
      </c>
      <c r="U428" s="28">
        <v>20.0</v>
      </c>
      <c r="V428" s="26" t="str">
        <f t="shared" si="495"/>
        <v>S</v>
      </c>
      <c r="W428" s="32" t="s">
        <v>299</v>
      </c>
      <c r="X428" s="65">
        <v>9.0</v>
      </c>
      <c r="Y428" s="33" t="str">
        <f t="shared" si="496"/>
        <v>R</v>
      </c>
      <c r="Z428" s="65">
        <v>23.0</v>
      </c>
      <c r="AA428" s="33" t="str">
        <f t="shared" si="497"/>
        <v>S</v>
      </c>
      <c r="AB428" s="65">
        <v>21.0</v>
      </c>
      <c r="AC428" s="33" t="str">
        <f t="shared" si="498"/>
        <v>I</v>
      </c>
      <c r="AD428" s="65">
        <v>12.0</v>
      </c>
      <c r="AE428" s="33" t="str">
        <f t="shared" si="499"/>
        <v>R</v>
      </c>
      <c r="AF428" s="65">
        <v>16.0</v>
      </c>
      <c r="AG428" s="33" t="str">
        <f t="shared" si="500"/>
        <v>R</v>
      </c>
      <c r="AH428" s="65" t="s">
        <v>299</v>
      </c>
      <c r="AI428" s="66">
        <v>7.0</v>
      </c>
      <c r="AJ428" s="36" t="str">
        <f t="shared" si="501"/>
        <v>R</v>
      </c>
      <c r="AK428" s="66">
        <v>11.0</v>
      </c>
      <c r="AL428" s="36" t="str">
        <f t="shared" si="502"/>
        <v>R</v>
      </c>
      <c r="AM428" s="66">
        <v>6.0</v>
      </c>
      <c r="AN428" s="36" t="str">
        <f t="shared" si="503"/>
        <v>R</v>
      </c>
      <c r="AO428" s="66" t="s">
        <v>299</v>
      </c>
      <c r="AP428" s="67">
        <v>6.0</v>
      </c>
      <c r="AQ428" s="37" t="str">
        <f t="shared" si="504"/>
        <v>R</v>
      </c>
      <c r="AR428" s="65">
        <v>16.0</v>
      </c>
      <c r="AS428" s="33" t="str">
        <f t="shared" si="505"/>
        <v>R</v>
      </c>
      <c r="AT428" s="65">
        <v>32.0</v>
      </c>
      <c r="AU428" s="33" t="str">
        <f t="shared" si="506"/>
        <v>S</v>
      </c>
      <c r="AV428" s="65" t="s">
        <v>299</v>
      </c>
      <c r="AW428" s="28">
        <v>6.0</v>
      </c>
      <c r="AX428" s="26" t="str">
        <f t="shared" si="507"/>
        <v>R</v>
      </c>
      <c r="AY428" s="67">
        <v>10.0</v>
      </c>
      <c r="AZ428" s="37" t="str">
        <f t="shared" si="508"/>
        <v>R</v>
      </c>
      <c r="BA428" s="66">
        <v>18.0</v>
      </c>
      <c r="BB428" s="36" t="str">
        <f t="shared" si="509"/>
        <v>R</v>
      </c>
      <c r="BC428" s="39" t="s">
        <v>357</v>
      </c>
      <c r="BD428" s="39" t="s">
        <v>357</v>
      </c>
      <c r="BE428" s="66">
        <v>20.0</v>
      </c>
      <c r="BF428" s="36" t="str">
        <f t="shared" si="510"/>
        <v>I</v>
      </c>
      <c r="BG428" s="68">
        <v>17.0</v>
      </c>
      <c r="BH428" s="41" t="str">
        <f t="shared" si="511"/>
        <v>S</v>
      </c>
      <c r="BI428" s="41"/>
    </row>
    <row r="429">
      <c r="A429" s="51" t="s">
        <v>941</v>
      </c>
      <c r="B429" s="53">
        <v>197.0</v>
      </c>
      <c r="C429" s="51" t="s">
        <v>1648</v>
      </c>
      <c r="D429" s="69" t="s">
        <v>190</v>
      </c>
      <c r="E429" s="18" t="s">
        <v>190</v>
      </c>
      <c r="F429" s="18" t="s">
        <v>192</v>
      </c>
      <c r="G429" s="63" t="s">
        <v>1649</v>
      </c>
      <c r="H429" s="22" t="s">
        <v>198</v>
      </c>
      <c r="I429" s="28">
        <v>6.0</v>
      </c>
      <c r="J429" s="26" t="str">
        <f t="shared" si="489"/>
        <v>R</v>
      </c>
      <c r="K429" s="28">
        <v>10.0</v>
      </c>
      <c r="L429" s="26" t="str">
        <f t="shared" si="490"/>
        <v>R</v>
      </c>
      <c r="M429" s="28">
        <v>6.0</v>
      </c>
      <c r="N429" s="26" t="str">
        <f t="shared" si="491"/>
        <v>R</v>
      </c>
      <c r="O429" s="28">
        <v>19.0</v>
      </c>
      <c r="P429" s="26" t="str">
        <f t="shared" si="492"/>
        <v>R</v>
      </c>
      <c r="Q429" s="28">
        <v>6.0</v>
      </c>
      <c r="R429" s="26" t="str">
        <f t="shared" si="493"/>
        <v>R</v>
      </c>
      <c r="S429" s="28">
        <v>22.0</v>
      </c>
      <c r="T429" s="26" t="str">
        <f t="shared" si="494"/>
        <v>S</v>
      </c>
      <c r="U429" s="28">
        <v>21.0</v>
      </c>
      <c r="V429" s="26" t="str">
        <f t="shared" si="495"/>
        <v>S</v>
      </c>
      <c r="W429" s="32" t="s">
        <v>299</v>
      </c>
      <c r="X429" s="65">
        <v>12.0</v>
      </c>
      <c r="Y429" s="33" t="str">
        <f t="shared" si="496"/>
        <v>R</v>
      </c>
      <c r="Z429" s="65">
        <v>10.0</v>
      </c>
      <c r="AA429" s="33" t="str">
        <f t="shared" si="497"/>
        <v>R</v>
      </c>
      <c r="AB429" s="65">
        <v>11.0</v>
      </c>
      <c r="AC429" s="33" t="str">
        <f t="shared" si="498"/>
        <v>R</v>
      </c>
      <c r="AD429" s="65">
        <v>23.0</v>
      </c>
      <c r="AE429" s="33" t="str">
        <f t="shared" si="499"/>
        <v>S</v>
      </c>
      <c r="AF429" s="65">
        <v>18.0</v>
      </c>
      <c r="AG429" s="33" t="str">
        <f t="shared" si="500"/>
        <v>R</v>
      </c>
      <c r="AH429" s="65" t="s">
        <v>299</v>
      </c>
      <c r="AI429" s="66">
        <v>6.0</v>
      </c>
      <c r="AJ429" s="36" t="str">
        <f t="shared" si="501"/>
        <v>R</v>
      </c>
      <c r="AK429" s="66">
        <v>10.0</v>
      </c>
      <c r="AL429" s="36" t="str">
        <f t="shared" si="502"/>
        <v>R</v>
      </c>
      <c r="AM429" s="66">
        <v>10.0</v>
      </c>
      <c r="AN429" s="36" t="str">
        <f t="shared" si="503"/>
        <v>R</v>
      </c>
      <c r="AO429" s="66" t="s">
        <v>299</v>
      </c>
      <c r="AP429" s="67">
        <v>9.0</v>
      </c>
      <c r="AQ429" s="37" t="str">
        <f t="shared" si="504"/>
        <v>R</v>
      </c>
      <c r="AR429" s="65">
        <v>20.0</v>
      </c>
      <c r="AS429" s="33" t="str">
        <f t="shared" si="505"/>
        <v>S</v>
      </c>
      <c r="AT429" s="65">
        <v>18.0</v>
      </c>
      <c r="AU429" s="33" t="str">
        <f t="shared" si="506"/>
        <v>S</v>
      </c>
      <c r="AV429" s="33" t="s">
        <v>300</v>
      </c>
      <c r="AW429" s="28">
        <v>6.0</v>
      </c>
      <c r="AX429" s="26" t="str">
        <f t="shared" si="507"/>
        <v>R</v>
      </c>
      <c r="AY429" s="67">
        <v>15.0</v>
      </c>
      <c r="AZ429" s="37" t="str">
        <f t="shared" si="508"/>
        <v>R</v>
      </c>
      <c r="BA429" s="66">
        <v>26.0</v>
      </c>
      <c r="BB429" s="36" t="str">
        <f t="shared" si="509"/>
        <v>S</v>
      </c>
      <c r="BC429" s="39" t="s">
        <v>357</v>
      </c>
      <c r="BD429" s="39" t="s">
        <v>357</v>
      </c>
      <c r="BE429" s="66">
        <v>21.0</v>
      </c>
      <c r="BF429" s="36" t="str">
        <f t="shared" si="510"/>
        <v>I</v>
      </c>
      <c r="BG429" s="68">
        <v>18.0</v>
      </c>
      <c r="BH429" s="41" t="str">
        <f t="shared" si="511"/>
        <v>S</v>
      </c>
      <c r="BI429" s="41"/>
    </row>
    <row r="430">
      <c r="A430" s="51" t="s">
        <v>941</v>
      </c>
      <c r="B430" s="51" t="s">
        <v>444</v>
      </c>
      <c r="C430" s="51" t="s">
        <v>1869</v>
      </c>
      <c r="D430" s="69" t="s">
        <v>190</v>
      </c>
      <c r="E430" s="18" t="s">
        <v>190</v>
      </c>
      <c r="F430" s="18" t="s">
        <v>192</v>
      </c>
      <c r="G430" s="63" t="s">
        <v>1870</v>
      </c>
      <c r="H430" s="22" t="s">
        <v>198</v>
      </c>
      <c r="I430" s="28">
        <v>6.0</v>
      </c>
      <c r="J430" s="26" t="str">
        <f t="shared" si="489"/>
        <v>R</v>
      </c>
      <c r="K430" s="28">
        <v>11.0</v>
      </c>
      <c r="L430" s="26" t="str">
        <f t="shared" si="490"/>
        <v>R</v>
      </c>
      <c r="M430" s="28">
        <v>6.0</v>
      </c>
      <c r="N430" s="26" t="str">
        <f t="shared" si="491"/>
        <v>R</v>
      </c>
      <c r="O430" s="28">
        <v>19.0</v>
      </c>
      <c r="P430" s="26" t="str">
        <f t="shared" si="492"/>
        <v>R</v>
      </c>
      <c r="Q430" s="28">
        <v>6.0</v>
      </c>
      <c r="R430" s="26" t="str">
        <f t="shared" si="493"/>
        <v>R</v>
      </c>
      <c r="S430" s="28">
        <v>18.0</v>
      </c>
      <c r="T430" s="26" t="str">
        <f t="shared" si="494"/>
        <v>R</v>
      </c>
      <c r="U430" s="28">
        <v>21.0</v>
      </c>
      <c r="V430" s="26" t="str">
        <f t="shared" si="495"/>
        <v>S</v>
      </c>
      <c r="W430" s="32" t="s">
        <v>299</v>
      </c>
      <c r="X430" s="65">
        <v>12.0</v>
      </c>
      <c r="Y430" s="33" t="str">
        <f t="shared" si="496"/>
        <v>R</v>
      </c>
      <c r="Z430" s="65">
        <v>6.0</v>
      </c>
      <c r="AA430" s="33" t="str">
        <f t="shared" si="497"/>
        <v>R</v>
      </c>
      <c r="AB430" s="65">
        <v>6.0</v>
      </c>
      <c r="AC430" s="33" t="str">
        <f t="shared" si="498"/>
        <v>R</v>
      </c>
      <c r="AD430" s="65">
        <v>20.0</v>
      </c>
      <c r="AE430" s="33" t="str">
        <f t="shared" si="499"/>
        <v>S</v>
      </c>
      <c r="AF430" s="65">
        <v>17.0</v>
      </c>
      <c r="AG430" s="33" t="str">
        <f t="shared" si="500"/>
        <v>R</v>
      </c>
      <c r="AH430" s="65" t="s">
        <v>299</v>
      </c>
      <c r="AI430" s="66">
        <v>6.0</v>
      </c>
      <c r="AJ430" s="36" t="str">
        <f t="shared" si="501"/>
        <v>R</v>
      </c>
      <c r="AK430" s="66">
        <v>6.0</v>
      </c>
      <c r="AL430" s="36" t="str">
        <f t="shared" si="502"/>
        <v>R</v>
      </c>
      <c r="AM430" s="66">
        <v>6.0</v>
      </c>
      <c r="AN430" s="36" t="str">
        <f t="shared" si="503"/>
        <v>R</v>
      </c>
      <c r="AO430" s="66" t="s">
        <v>299</v>
      </c>
      <c r="AP430" s="67">
        <v>20.0</v>
      </c>
      <c r="AQ430" s="37" t="str">
        <f t="shared" si="504"/>
        <v>S</v>
      </c>
      <c r="AR430" s="65">
        <v>20.0</v>
      </c>
      <c r="AS430" s="33" t="str">
        <f t="shared" si="505"/>
        <v>S</v>
      </c>
      <c r="AT430" s="65">
        <v>12.0</v>
      </c>
      <c r="AU430" s="33" t="str">
        <f t="shared" si="506"/>
        <v>R</v>
      </c>
      <c r="AV430" s="65" t="s">
        <v>299</v>
      </c>
      <c r="AW430" s="28">
        <v>6.0</v>
      </c>
      <c r="AX430" s="26" t="str">
        <f t="shared" si="507"/>
        <v>R</v>
      </c>
      <c r="AY430" s="67">
        <v>11.0</v>
      </c>
      <c r="AZ430" s="37" t="str">
        <f t="shared" si="508"/>
        <v>R</v>
      </c>
      <c r="BA430" s="66">
        <v>23.0</v>
      </c>
      <c r="BB430" s="36" t="str">
        <f t="shared" si="509"/>
        <v>S</v>
      </c>
      <c r="BC430" s="39" t="s">
        <v>357</v>
      </c>
      <c r="BD430" s="39" t="s">
        <v>357</v>
      </c>
      <c r="BE430" s="66">
        <v>26.0</v>
      </c>
      <c r="BF430" s="36" t="str">
        <f t="shared" si="510"/>
        <v>S</v>
      </c>
      <c r="BG430" s="68">
        <v>6.0</v>
      </c>
      <c r="BH430" s="41" t="str">
        <f t="shared" si="511"/>
        <v>R</v>
      </c>
      <c r="BI430" s="41"/>
    </row>
    <row r="431">
      <c r="A431" s="51" t="s">
        <v>941</v>
      </c>
      <c r="B431" s="51" t="s">
        <v>444</v>
      </c>
      <c r="C431" s="51" t="s">
        <v>1871</v>
      </c>
      <c r="D431" s="69" t="s">
        <v>190</v>
      </c>
      <c r="E431" s="18" t="s">
        <v>190</v>
      </c>
      <c r="F431" s="18" t="s">
        <v>192</v>
      </c>
      <c r="G431" s="63" t="s">
        <v>1872</v>
      </c>
      <c r="H431" s="22" t="s">
        <v>198</v>
      </c>
      <c r="I431" s="28">
        <v>6.0</v>
      </c>
      <c r="J431" s="26" t="str">
        <f t="shared" si="489"/>
        <v>R</v>
      </c>
      <c r="K431" s="28">
        <v>10.0</v>
      </c>
      <c r="L431" s="26" t="str">
        <f t="shared" si="490"/>
        <v>R</v>
      </c>
      <c r="M431" s="28">
        <v>6.0</v>
      </c>
      <c r="N431" s="26" t="str">
        <f t="shared" si="491"/>
        <v>R</v>
      </c>
      <c r="O431" s="28">
        <v>20.0</v>
      </c>
      <c r="P431" s="26" t="str">
        <f t="shared" si="492"/>
        <v>I</v>
      </c>
      <c r="Q431" s="28">
        <v>6.0</v>
      </c>
      <c r="R431" s="26" t="str">
        <f t="shared" si="493"/>
        <v>R</v>
      </c>
      <c r="S431" s="28">
        <v>15.0</v>
      </c>
      <c r="T431" s="26" t="str">
        <f t="shared" si="494"/>
        <v>R</v>
      </c>
      <c r="U431" s="28">
        <v>21.0</v>
      </c>
      <c r="V431" s="26" t="str">
        <f t="shared" si="495"/>
        <v>S</v>
      </c>
      <c r="W431" s="32" t="s">
        <v>299</v>
      </c>
      <c r="X431" s="65">
        <v>10.0</v>
      </c>
      <c r="Y431" s="33" t="str">
        <f t="shared" si="496"/>
        <v>R</v>
      </c>
      <c r="Z431" s="65">
        <v>10.0</v>
      </c>
      <c r="AA431" s="33" t="str">
        <f t="shared" si="497"/>
        <v>R</v>
      </c>
      <c r="AB431" s="65">
        <v>9.0</v>
      </c>
      <c r="AC431" s="33" t="str">
        <f t="shared" si="498"/>
        <v>R</v>
      </c>
      <c r="AD431" s="65">
        <v>21.0</v>
      </c>
      <c r="AE431" s="33" t="str">
        <f t="shared" si="499"/>
        <v>S</v>
      </c>
      <c r="AF431" s="65">
        <v>18.0</v>
      </c>
      <c r="AG431" s="33" t="str">
        <f t="shared" si="500"/>
        <v>R</v>
      </c>
      <c r="AH431" s="65" t="s">
        <v>299</v>
      </c>
      <c r="AI431" s="66">
        <v>9.0</v>
      </c>
      <c r="AJ431" s="36" t="str">
        <f t="shared" si="501"/>
        <v>R</v>
      </c>
      <c r="AK431" s="66">
        <v>14.0</v>
      </c>
      <c r="AL431" s="36" t="str">
        <f t="shared" si="502"/>
        <v>R</v>
      </c>
      <c r="AM431" s="66">
        <v>6.0</v>
      </c>
      <c r="AN431" s="36" t="str">
        <f t="shared" si="503"/>
        <v>R</v>
      </c>
      <c r="AO431" s="66" t="s">
        <v>299</v>
      </c>
      <c r="AP431" s="67">
        <v>18.0</v>
      </c>
      <c r="AQ431" s="37" t="str">
        <f t="shared" si="504"/>
        <v>S</v>
      </c>
      <c r="AR431" s="65">
        <v>18.0</v>
      </c>
      <c r="AS431" s="33" t="str">
        <f t="shared" si="505"/>
        <v>S</v>
      </c>
      <c r="AT431" s="65">
        <v>12.0</v>
      </c>
      <c r="AU431" s="33" t="str">
        <f t="shared" si="506"/>
        <v>R</v>
      </c>
      <c r="AV431" s="65" t="s">
        <v>299</v>
      </c>
      <c r="AW431" s="28">
        <v>9.0</v>
      </c>
      <c r="AX431" s="26" t="str">
        <f t="shared" si="507"/>
        <v>R</v>
      </c>
      <c r="AY431" s="67">
        <v>10.0</v>
      </c>
      <c r="AZ431" s="37" t="str">
        <f t="shared" si="508"/>
        <v>R</v>
      </c>
      <c r="BA431" s="66">
        <v>22.0</v>
      </c>
      <c r="BB431" s="36" t="str">
        <f t="shared" si="509"/>
        <v>R</v>
      </c>
      <c r="BC431" s="39" t="s">
        <v>357</v>
      </c>
      <c r="BD431" s="39" t="s">
        <v>357</v>
      </c>
      <c r="BE431" s="66">
        <v>25.0</v>
      </c>
      <c r="BF431" s="36" t="str">
        <f t="shared" si="510"/>
        <v>S</v>
      </c>
      <c r="BG431" s="68">
        <v>6.0</v>
      </c>
      <c r="BH431" s="41" t="str">
        <f t="shared" si="511"/>
        <v>R</v>
      </c>
      <c r="BI431" s="41"/>
    </row>
    <row r="432">
      <c r="A432" s="51" t="s">
        <v>941</v>
      </c>
      <c r="B432" s="53">
        <v>198.0</v>
      </c>
      <c r="C432" s="51" t="s">
        <v>1650</v>
      </c>
      <c r="D432" s="69" t="s">
        <v>190</v>
      </c>
      <c r="E432" s="18" t="s">
        <v>190</v>
      </c>
      <c r="F432" s="18" t="s">
        <v>192</v>
      </c>
      <c r="G432" s="63" t="s">
        <v>1651</v>
      </c>
      <c r="H432" s="22" t="s">
        <v>198</v>
      </c>
      <c r="I432" s="28">
        <v>6.0</v>
      </c>
      <c r="J432" s="26" t="str">
        <f t="shared" si="489"/>
        <v>R</v>
      </c>
      <c r="K432" s="28">
        <v>18.0</v>
      </c>
      <c r="L432" s="26" t="str">
        <f t="shared" si="490"/>
        <v>R</v>
      </c>
      <c r="M432" s="28">
        <v>6.0</v>
      </c>
      <c r="N432" s="26" t="str">
        <f t="shared" si="491"/>
        <v>R</v>
      </c>
      <c r="O432" s="28">
        <v>22.0</v>
      </c>
      <c r="P432" s="26" t="str">
        <f t="shared" si="492"/>
        <v>I</v>
      </c>
      <c r="Q432" s="28">
        <v>6.0</v>
      </c>
      <c r="R432" s="26" t="str">
        <f t="shared" si="493"/>
        <v>R</v>
      </c>
      <c r="S432" s="28">
        <v>16.0</v>
      </c>
      <c r="T432" s="26" t="str">
        <f t="shared" si="494"/>
        <v>R</v>
      </c>
      <c r="U432" s="28">
        <v>21.0</v>
      </c>
      <c r="V432" s="26" t="str">
        <f t="shared" si="495"/>
        <v>S</v>
      </c>
      <c r="W432" s="32" t="s">
        <v>299</v>
      </c>
      <c r="X432" s="65">
        <v>6.0</v>
      </c>
      <c r="Y432" s="33" t="str">
        <f t="shared" si="496"/>
        <v>R</v>
      </c>
      <c r="Z432" s="65">
        <v>24.0</v>
      </c>
      <c r="AA432" s="33" t="str">
        <f t="shared" si="497"/>
        <v>S</v>
      </c>
      <c r="AB432" s="65">
        <v>6.0</v>
      </c>
      <c r="AC432" s="33" t="str">
        <f t="shared" si="498"/>
        <v>R</v>
      </c>
      <c r="AD432" s="65">
        <v>16.0</v>
      </c>
      <c r="AE432" s="33" t="str">
        <f t="shared" si="499"/>
        <v>S</v>
      </c>
      <c r="AF432" s="65">
        <v>15.0</v>
      </c>
      <c r="AG432" s="33" t="str">
        <f t="shared" si="500"/>
        <v>R</v>
      </c>
      <c r="AH432" s="65" t="s">
        <v>299</v>
      </c>
      <c r="AI432" s="66">
        <v>6.0</v>
      </c>
      <c r="AJ432" s="36" t="str">
        <f t="shared" si="501"/>
        <v>R</v>
      </c>
      <c r="AK432" s="66">
        <v>6.0</v>
      </c>
      <c r="AL432" s="36" t="str">
        <f t="shared" si="502"/>
        <v>R</v>
      </c>
      <c r="AM432" s="66">
        <v>6.0</v>
      </c>
      <c r="AN432" s="36" t="str">
        <f t="shared" si="503"/>
        <v>R</v>
      </c>
      <c r="AO432" s="66" t="s">
        <v>299</v>
      </c>
      <c r="AP432" s="67">
        <v>6.0</v>
      </c>
      <c r="AQ432" s="37" t="str">
        <f t="shared" si="504"/>
        <v>R</v>
      </c>
      <c r="AR432" s="65">
        <v>12.0</v>
      </c>
      <c r="AS432" s="33" t="str">
        <f t="shared" si="505"/>
        <v>R</v>
      </c>
      <c r="AT432" s="65">
        <v>13.0</v>
      </c>
      <c r="AU432" s="33" t="str">
        <f t="shared" si="506"/>
        <v>R</v>
      </c>
      <c r="AV432" s="65" t="s">
        <v>299</v>
      </c>
      <c r="AW432" s="28">
        <v>6.0</v>
      </c>
      <c r="AX432" s="26" t="str">
        <f t="shared" si="507"/>
        <v>R</v>
      </c>
      <c r="AY432" s="67">
        <v>14.0</v>
      </c>
      <c r="AZ432" s="37" t="str">
        <f t="shared" si="508"/>
        <v>R</v>
      </c>
      <c r="BA432" s="66">
        <v>13.0</v>
      </c>
      <c r="BB432" s="36" t="str">
        <f t="shared" si="509"/>
        <v>R</v>
      </c>
      <c r="BC432" s="39" t="s">
        <v>357</v>
      </c>
      <c r="BD432" s="39" t="s">
        <v>357</v>
      </c>
      <c r="BE432" s="66">
        <v>18.0</v>
      </c>
      <c r="BF432" s="36" t="str">
        <f t="shared" si="510"/>
        <v>R</v>
      </c>
      <c r="BG432" s="68">
        <v>16.0</v>
      </c>
      <c r="BH432" s="41" t="str">
        <f t="shared" si="511"/>
        <v>R</v>
      </c>
      <c r="BI432" s="41"/>
    </row>
    <row r="433">
      <c r="A433" s="51" t="s">
        <v>941</v>
      </c>
      <c r="B433" s="51" t="s">
        <v>444</v>
      </c>
      <c r="C433" s="51" t="s">
        <v>1873</v>
      </c>
      <c r="D433" s="69" t="s">
        <v>190</v>
      </c>
      <c r="E433" s="18" t="s">
        <v>190</v>
      </c>
      <c r="F433" s="18" t="s">
        <v>192</v>
      </c>
      <c r="G433" s="63" t="s">
        <v>1874</v>
      </c>
      <c r="H433" s="22" t="s">
        <v>198</v>
      </c>
      <c r="I433" s="28">
        <v>6.0</v>
      </c>
      <c r="J433" s="26" t="str">
        <f t="shared" si="489"/>
        <v>R</v>
      </c>
      <c r="K433" s="28">
        <v>18.0</v>
      </c>
      <c r="L433" s="26" t="str">
        <f t="shared" si="490"/>
        <v>R</v>
      </c>
      <c r="M433" s="28">
        <v>6.0</v>
      </c>
      <c r="N433" s="26" t="str">
        <f t="shared" si="491"/>
        <v>R</v>
      </c>
      <c r="O433" s="28">
        <v>22.0</v>
      </c>
      <c r="P433" s="26" t="str">
        <f t="shared" si="492"/>
        <v>I</v>
      </c>
      <c r="Q433" s="28">
        <v>6.0</v>
      </c>
      <c r="R433" s="26" t="str">
        <f t="shared" si="493"/>
        <v>R</v>
      </c>
      <c r="S433" s="28">
        <v>16.0</v>
      </c>
      <c r="T433" s="26" t="str">
        <f t="shared" si="494"/>
        <v>R</v>
      </c>
      <c r="U433" s="28">
        <v>21.0</v>
      </c>
      <c r="V433" s="26" t="str">
        <f t="shared" si="495"/>
        <v>S</v>
      </c>
      <c r="W433" s="32" t="s">
        <v>299</v>
      </c>
      <c r="X433" s="65">
        <v>6.0</v>
      </c>
      <c r="Y433" s="33" t="str">
        <f t="shared" si="496"/>
        <v>R</v>
      </c>
      <c r="Z433" s="65">
        <v>25.0</v>
      </c>
      <c r="AA433" s="33" t="str">
        <f t="shared" si="497"/>
        <v>S</v>
      </c>
      <c r="AB433" s="65">
        <v>6.0</v>
      </c>
      <c r="AC433" s="33" t="str">
        <f t="shared" si="498"/>
        <v>R</v>
      </c>
      <c r="AD433" s="65">
        <v>16.0</v>
      </c>
      <c r="AE433" s="33" t="str">
        <f t="shared" si="499"/>
        <v>S</v>
      </c>
      <c r="AF433" s="65">
        <v>15.0</v>
      </c>
      <c r="AG433" s="33" t="str">
        <f t="shared" si="500"/>
        <v>R</v>
      </c>
      <c r="AH433" s="65" t="s">
        <v>299</v>
      </c>
      <c r="AI433" s="66">
        <v>6.0</v>
      </c>
      <c r="AJ433" s="36" t="str">
        <f t="shared" si="501"/>
        <v>R</v>
      </c>
      <c r="AK433" s="66">
        <v>6.0</v>
      </c>
      <c r="AL433" s="36" t="str">
        <f t="shared" si="502"/>
        <v>R</v>
      </c>
      <c r="AM433" s="66">
        <v>6.0</v>
      </c>
      <c r="AN433" s="36" t="str">
        <f t="shared" si="503"/>
        <v>R</v>
      </c>
      <c r="AO433" s="66" t="s">
        <v>299</v>
      </c>
      <c r="AP433" s="67">
        <v>6.0</v>
      </c>
      <c r="AQ433" s="37" t="str">
        <f t="shared" si="504"/>
        <v>R</v>
      </c>
      <c r="AR433" s="65">
        <v>13.0</v>
      </c>
      <c r="AS433" s="33" t="str">
        <f t="shared" si="505"/>
        <v>R</v>
      </c>
      <c r="AT433" s="65">
        <v>13.0</v>
      </c>
      <c r="AU433" s="33" t="str">
        <f t="shared" si="506"/>
        <v>R</v>
      </c>
      <c r="AV433" s="65" t="s">
        <v>299</v>
      </c>
      <c r="AW433" s="28">
        <v>6.0</v>
      </c>
      <c r="AX433" s="26" t="str">
        <f t="shared" si="507"/>
        <v>R</v>
      </c>
      <c r="AY433" s="67">
        <v>14.0</v>
      </c>
      <c r="AZ433" s="37" t="str">
        <f t="shared" si="508"/>
        <v>R</v>
      </c>
      <c r="BA433" s="66">
        <v>13.0</v>
      </c>
      <c r="BB433" s="36" t="str">
        <f t="shared" si="509"/>
        <v>R</v>
      </c>
      <c r="BC433" s="39" t="s">
        <v>357</v>
      </c>
      <c r="BD433" s="39" t="s">
        <v>357</v>
      </c>
      <c r="BE433" s="66">
        <v>18.0</v>
      </c>
      <c r="BF433" s="36" t="str">
        <f t="shared" si="510"/>
        <v>R</v>
      </c>
      <c r="BG433" s="68">
        <v>16.0</v>
      </c>
      <c r="BH433" s="41" t="str">
        <f t="shared" si="511"/>
        <v>R</v>
      </c>
      <c r="BI433" s="41"/>
    </row>
    <row r="434">
      <c r="A434" s="51" t="s">
        <v>941</v>
      </c>
      <c r="B434" s="51" t="s">
        <v>444</v>
      </c>
      <c r="C434" s="51" t="s">
        <v>1875</v>
      </c>
      <c r="D434" s="69" t="s">
        <v>190</v>
      </c>
      <c r="E434" s="18" t="s">
        <v>190</v>
      </c>
      <c r="F434" s="18" t="s">
        <v>192</v>
      </c>
      <c r="G434" s="63" t="s">
        <v>1876</v>
      </c>
      <c r="H434" s="22" t="s">
        <v>198</v>
      </c>
      <c r="I434" s="28">
        <v>14.0</v>
      </c>
      <c r="J434" s="26" t="str">
        <f t="shared" si="489"/>
        <v>R</v>
      </c>
      <c r="K434" s="28">
        <v>12.0</v>
      </c>
      <c r="L434" s="26" t="str">
        <f t="shared" si="490"/>
        <v>R</v>
      </c>
      <c r="M434" s="28">
        <v>6.0</v>
      </c>
      <c r="N434" s="26" t="str">
        <f t="shared" si="491"/>
        <v>R</v>
      </c>
      <c r="O434" s="28">
        <v>22.0</v>
      </c>
      <c r="P434" s="26" t="str">
        <f t="shared" si="492"/>
        <v>I</v>
      </c>
      <c r="Q434" s="28">
        <v>6.0</v>
      </c>
      <c r="R434" s="26" t="str">
        <f t="shared" si="493"/>
        <v>R</v>
      </c>
      <c r="S434" s="28">
        <v>15.0</v>
      </c>
      <c r="T434" s="26" t="str">
        <f t="shared" si="494"/>
        <v>R</v>
      </c>
      <c r="U434" s="28">
        <v>25.0</v>
      </c>
      <c r="V434" s="26" t="str">
        <f t="shared" si="495"/>
        <v>S</v>
      </c>
      <c r="W434" s="32" t="s">
        <v>299</v>
      </c>
      <c r="X434" s="65">
        <v>6.0</v>
      </c>
      <c r="Y434" s="33" t="str">
        <f t="shared" si="496"/>
        <v>R</v>
      </c>
      <c r="Z434" s="65">
        <v>21.0</v>
      </c>
      <c r="AA434" s="33" t="str">
        <f t="shared" si="497"/>
        <v>S</v>
      </c>
      <c r="AB434" s="65">
        <v>6.0</v>
      </c>
      <c r="AC434" s="33" t="str">
        <f t="shared" si="498"/>
        <v>R</v>
      </c>
      <c r="AD434" s="65">
        <v>6.0</v>
      </c>
      <c r="AE434" s="33" t="str">
        <f t="shared" si="499"/>
        <v>R</v>
      </c>
      <c r="AF434" s="65">
        <v>6.0</v>
      </c>
      <c r="AG434" s="33" t="str">
        <f t="shared" si="500"/>
        <v>R</v>
      </c>
      <c r="AH434" s="65" t="s">
        <v>299</v>
      </c>
      <c r="AI434" s="66">
        <v>6.0</v>
      </c>
      <c r="AJ434" s="36" t="str">
        <f t="shared" si="501"/>
        <v>R</v>
      </c>
      <c r="AK434" s="66">
        <v>6.0</v>
      </c>
      <c r="AL434" s="36" t="str">
        <f t="shared" si="502"/>
        <v>R</v>
      </c>
      <c r="AM434" s="66">
        <v>6.0</v>
      </c>
      <c r="AN434" s="36" t="str">
        <f t="shared" si="503"/>
        <v>R</v>
      </c>
      <c r="AO434" s="66" t="s">
        <v>299</v>
      </c>
      <c r="AP434" s="67">
        <v>6.0</v>
      </c>
      <c r="AQ434" s="37" t="str">
        <f t="shared" si="504"/>
        <v>R</v>
      </c>
      <c r="AR434" s="65">
        <v>6.0</v>
      </c>
      <c r="AS434" s="33" t="str">
        <f t="shared" si="505"/>
        <v>R</v>
      </c>
      <c r="AT434" s="65">
        <v>6.0</v>
      </c>
      <c r="AU434" s="33" t="str">
        <f t="shared" si="506"/>
        <v>R</v>
      </c>
      <c r="AV434" s="65" t="s">
        <v>299</v>
      </c>
      <c r="AW434" s="28">
        <v>6.0</v>
      </c>
      <c r="AX434" s="26" t="str">
        <f t="shared" si="507"/>
        <v>R</v>
      </c>
      <c r="AY434" s="67">
        <v>6.0</v>
      </c>
      <c r="AZ434" s="37" t="str">
        <f t="shared" si="508"/>
        <v>R</v>
      </c>
      <c r="BA434" s="66">
        <v>22.0</v>
      </c>
      <c r="BB434" s="36" t="str">
        <f t="shared" si="509"/>
        <v>R</v>
      </c>
      <c r="BC434" s="39" t="s">
        <v>357</v>
      </c>
      <c r="BD434" s="39" t="s">
        <v>357</v>
      </c>
      <c r="BE434" s="66">
        <v>6.0</v>
      </c>
      <c r="BF434" s="36" t="str">
        <f t="shared" si="510"/>
        <v>R</v>
      </c>
      <c r="BG434" s="68">
        <v>17.0</v>
      </c>
      <c r="BH434" s="41" t="str">
        <f t="shared" si="511"/>
        <v>S</v>
      </c>
      <c r="BI434" s="41"/>
    </row>
    <row r="435">
      <c r="A435" s="51" t="s">
        <v>941</v>
      </c>
      <c r="B435" s="53">
        <v>199.0</v>
      </c>
      <c r="C435" s="51" t="s">
        <v>1652</v>
      </c>
      <c r="D435" s="69" t="s">
        <v>555</v>
      </c>
      <c r="E435" s="18" t="s">
        <v>103</v>
      </c>
      <c r="F435" s="18" t="s">
        <v>192</v>
      </c>
      <c r="G435" s="63" t="s">
        <v>1653</v>
      </c>
      <c r="H435" s="22" t="s">
        <v>198</v>
      </c>
      <c r="I435" s="28">
        <v>18.0</v>
      </c>
      <c r="J435" s="26" t="str">
        <f t="shared" si="489"/>
        <v>R</v>
      </c>
      <c r="K435" s="28">
        <v>15.0</v>
      </c>
      <c r="L435" s="26" t="str">
        <f t="shared" si="490"/>
        <v>R</v>
      </c>
      <c r="M435" s="28">
        <v>19.0</v>
      </c>
      <c r="N435" s="26" t="str">
        <f t="shared" si="491"/>
        <v>R</v>
      </c>
      <c r="O435" s="28">
        <v>20.0</v>
      </c>
      <c r="P435" s="26" t="str">
        <f t="shared" si="492"/>
        <v>I</v>
      </c>
      <c r="Q435" s="28">
        <v>12.0</v>
      </c>
      <c r="R435" s="26" t="str">
        <f t="shared" si="493"/>
        <v>R</v>
      </c>
      <c r="S435" s="28">
        <v>13.0</v>
      </c>
      <c r="T435" s="26" t="str">
        <f t="shared" si="494"/>
        <v>R</v>
      </c>
      <c r="U435" s="28">
        <v>18.0</v>
      </c>
      <c r="V435" s="26" t="str">
        <f t="shared" si="495"/>
        <v>I</v>
      </c>
      <c r="W435" s="32" t="s">
        <v>299</v>
      </c>
      <c r="X435" s="65">
        <v>11.0</v>
      </c>
      <c r="Y435" s="33" t="str">
        <f t="shared" si="496"/>
        <v>R</v>
      </c>
      <c r="Z435" s="65">
        <v>13.0</v>
      </c>
      <c r="AA435" s="33" t="str">
        <f t="shared" si="497"/>
        <v>R</v>
      </c>
      <c r="AB435" s="65">
        <v>6.0</v>
      </c>
      <c r="AC435" s="33" t="str">
        <f t="shared" si="498"/>
        <v>R</v>
      </c>
      <c r="AD435" s="65">
        <v>6.0</v>
      </c>
      <c r="AE435" s="33" t="str">
        <f t="shared" si="499"/>
        <v>R</v>
      </c>
      <c r="AF435" s="65">
        <v>6.0</v>
      </c>
      <c r="AG435" s="33" t="str">
        <f t="shared" si="500"/>
        <v>R</v>
      </c>
      <c r="AH435" s="65" t="s">
        <v>299</v>
      </c>
      <c r="AI435" s="66">
        <v>13.0</v>
      </c>
      <c r="AJ435" s="36" t="str">
        <f t="shared" si="501"/>
        <v>R</v>
      </c>
      <c r="AK435" s="66">
        <v>13.0</v>
      </c>
      <c r="AL435" s="36" t="str">
        <f t="shared" si="502"/>
        <v>R</v>
      </c>
      <c r="AM435" s="66">
        <v>6.0</v>
      </c>
      <c r="AN435" s="36" t="str">
        <f t="shared" si="503"/>
        <v>R</v>
      </c>
      <c r="AO435" s="66" t="s">
        <v>299</v>
      </c>
      <c r="AP435" s="67">
        <v>6.0</v>
      </c>
      <c r="AQ435" s="37" t="str">
        <f t="shared" si="504"/>
        <v>R</v>
      </c>
      <c r="AR435" s="65">
        <v>10.0</v>
      </c>
      <c r="AS435" s="33" t="str">
        <f t="shared" si="505"/>
        <v>R</v>
      </c>
      <c r="AT435" s="65">
        <v>11.0</v>
      </c>
      <c r="AU435" s="33" t="str">
        <f t="shared" si="506"/>
        <v>R</v>
      </c>
      <c r="AV435" s="65" t="s">
        <v>299</v>
      </c>
      <c r="AW435" s="28">
        <v>17.0</v>
      </c>
      <c r="AX435" s="26" t="str">
        <f t="shared" si="507"/>
        <v>R</v>
      </c>
      <c r="AY435" s="67">
        <v>6.0</v>
      </c>
      <c r="AZ435" s="37" t="str">
        <f t="shared" si="508"/>
        <v>R</v>
      </c>
      <c r="BA435" s="66">
        <v>14.0</v>
      </c>
      <c r="BB435" s="36" t="str">
        <f t="shared" si="509"/>
        <v>R</v>
      </c>
      <c r="BC435" s="39" t="s">
        <v>357</v>
      </c>
      <c r="BD435" s="39" t="s">
        <v>357</v>
      </c>
      <c r="BE435" s="66">
        <v>19.0</v>
      </c>
      <c r="BF435" s="36" t="str">
        <f t="shared" si="510"/>
        <v>I</v>
      </c>
      <c r="BG435" s="68">
        <v>15.0</v>
      </c>
      <c r="BH435" s="41" t="str">
        <f t="shared" si="511"/>
        <v>R</v>
      </c>
      <c r="BI435" s="41"/>
    </row>
    <row r="436">
      <c r="A436" s="51" t="s">
        <v>941</v>
      </c>
      <c r="B436" s="51" t="s">
        <v>444</v>
      </c>
      <c r="C436" s="51" t="s">
        <v>1877</v>
      </c>
      <c r="D436" s="69" t="s">
        <v>555</v>
      </c>
      <c r="E436" s="18" t="s">
        <v>103</v>
      </c>
      <c r="F436" s="18" t="s">
        <v>192</v>
      </c>
      <c r="G436" s="63" t="s">
        <v>1878</v>
      </c>
      <c r="H436" s="22" t="s">
        <v>198</v>
      </c>
      <c r="I436" s="28">
        <v>18.0</v>
      </c>
      <c r="J436" s="26" t="str">
        <f t="shared" si="489"/>
        <v>R</v>
      </c>
      <c r="K436" s="28">
        <v>15.0</v>
      </c>
      <c r="L436" s="26" t="str">
        <f t="shared" si="490"/>
        <v>R</v>
      </c>
      <c r="M436" s="28">
        <v>19.0</v>
      </c>
      <c r="N436" s="26" t="str">
        <f t="shared" si="491"/>
        <v>R</v>
      </c>
      <c r="O436" s="28">
        <v>20.0</v>
      </c>
      <c r="P436" s="26" t="str">
        <f t="shared" si="492"/>
        <v>I</v>
      </c>
      <c r="Q436" s="28">
        <v>12.0</v>
      </c>
      <c r="R436" s="26" t="str">
        <f t="shared" si="493"/>
        <v>R</v>
      </c>
      <c r="S436" s="28">
        <v>13.0</v>
      </c>
      <c r="T436" s="26" t="str">
        <f t="shared" si="494"/>
        <v>R</v>
      </c>
      <c r="U436" s="28">
        <v>18.0</v>
      </c>
      <c r="V436" s="26" t="str">
        <f t="shared" si="495"/>
        <v>I</v>
      </c>
      <c r="W436" s="32" t="s">
        <v>299</v>
      </c>
      <c r="X436" s="65">
        <v>11.0</v>
      </c>
      <c r="Y436" s="33" t="str">
        <f t="shared" si="496"/>
        <v>R</v>
      </c>
      <c r="Z436" s="65">
        <v>13.0</v>
      </c>
      <c r="AA436" s="33" t="str">
        <f t="shared" si="497"/>
        <v>R</v>
      </c>
      <c r="AB436" s="65">
        <v>6.0</v>
      </c>
      <c r="AC436" s="33" t="str">
        <f t="shared" si="498"/>
        <v>R</v>
      </c>
      <c r="AD436" s="65">
        <v>6.0</v>
      </c>
      <c r="AE436" s="33" t="str">
        <f t="shared" si="499"/>
        <v>R</v>
      </c>
      <c r="AF436" s="65">
        <v>6.0</v>
      </c>
      <c r="AG436" s="33" t="str">
        <f t="shared" si="500"/>
        <v>R</v>
      </c>
      <c r="AH436" s="65" t="s">
        <v>299</v>
      </c>
      <c r="AI436" s="66">
        <v>13.0</v>
      </c>
      <c r="AJ436" s="36" t="str">
        <f t="shared" si="501"/>
        <v>R</v>
      </c>
      <c r="AK436" s="66">
        <v>13.0</v>
      </c>
      <c r="AL436" s="36" t="str">
        <f t="shared" si="502"/>
        <v>R</v>
      </c>
      <c r="AM436" s="66">
        <v>6.0</v>
      </c>
      <c r="AN436" s="36" t="str">
        <f t="shared" si="503"/>
        <v>R</v>
      </c>
      <c r="AO436" s="66" t="s">
        <v>299</v>
      </c>
      <c r="AP436" s="67">
        <v>6.0</v>
      </c>
      <c r="AQ436" s="37" t="str">
        <f t="shared" si="504"/>
        <v>R</v>
      </c>
      <c r="AR436" s="65">
        <v>10.0</v>
      </c>
      <c r="AS436" s="33" t="str">
        <f t="shared" si="505"/>
        <v>R</v>
      </c>
      <c r="AT436" s="65">
        <v>11.0</v>
      </c>
      <c r="AU436" s="33" t="str">
        <f t="shared" si="506"/>
        <v>R</v>
      </c>
      <c r="AV436" s="65" t="s">
        <v>299</v>
      </c>
      <c r="AW436" s="28">
        <v>17.0</v>
      </c>
      <c r="AX436" s="26" t="str">
        <f t="shared" si="507"/>
        <v>R</v>
      </c>
      <c r="AY436" s="67">
        <v>6.0</v>
      </c>
      <c r="AZ436" s="37" t="str">
        <f t="shared" si="508"/>
        <v>R</v>
      </c>
      <c r="BA436" s="66">
        <v>14.0</v>
      </c>
      <c r="BB436" s="36" t="str">
        <f t="shared" si="509"/>
        <v>R</v>
      </c>
      <c r="BC436" s="39" t="s">
        <v>357</v>
      </c>
      <c r="BD436" s="39" t="s">
        <v>357</v>
      </c>
      <c r="BE436" s="66">
        <v>21.0</v>
      </c>
      <c r="BF436" s="36" t="str">
        <f t="shared" si="510"/>
        <v>I</v>
      </c>
      <c r="BG436" s="68">
        <v>15.0</v>
      </c>
      <c r="BH436" s="41" t="str">
        <f t="shared" si="511"/>
        <v>R</v>
      </c>
      <c r="BI436" s="41"/>
    </row>
    <row r="437">
      <c r="A437" s="51" t="s">
        <v>941</v>
      </c>
      <c r="B437" s="51" t="s">
        <v>444</v>
      </c>
      <c r="C437" s="51" t="s">
        <v>1879</v>
      </c>
      <c r="D437" s="69" t="s">
        <v>555</v>
      </c>
      <c r="E437" s="18" t="s">
        <v>103</v>
      </c>
      <c r="F437" s="18" t="s">
        <v>192</v>
      </c>
      <c r="G437" s="63" t="s">
        <v>1880</v>
      </c>
      <c r="H437" s="22" t="s">
        <v>198</v>
      </c>
      <c r="I437" s="28">
        <v>18.0</v>
      </c>
      <c r="J437" s="26" t="str">
        <f t="shared" si="489"/>
        <v>R</v>
      </c>
      <c r="K437" s="28">
        <v>15.0</v>
      </c>
      <c r="L437" s="26" t="str">
        <f t="shared" si="490"/>
        <v>R</v>
      </c>
      <c r="M437" s="28">
        <v>19.0</v>
      </c>
      <c r="N437" s="26" t="str">
        <f t="shared" si="491"/>
        <v>R</v>
      </c>
      <c r="O437" s="28">
        <v>20.0</v>
      </c>
      <c r="P437" s="26" t="str">
        <f t="shared" si="492"/>
        <v>I</v>
      </c>
      <c r="Q437" s="28">
        <v>12.0</v>
      </c>
      <c r="R437" s="26" t="str">
        <f t="shared" si="493"/>
        <v>R</v>
      </c>
      <c r="S437" s="28">
        <v>13.0</v>
      </c>
      <c r="T437" s="26" t="str">
        <f t="shared" si="494"/>
        <v>R</v>
      </c>
      <c r="U437" s="28">
        <v>18.0</v>
      </c>
      <c r="V437" s="26" t="str">
        <f t="shared" si="495"/>
        <v>I</v>
      </c>
      <c r="W437" s="32" t="s">
        <v>299</v>
      </c>
      <c r="X437" s="65">
        <v>11.0</v>
      </c>
      <c r="Y437" s="33" t="str">
        <f t="shared" si="496"/>
        <v>R</v>
      </c>
      <c r="Z437" s="65">
        <v>13.0</v>
      </c>
      <c r="AA437" s="33" t="str">
        <f t="shared" si="497"/>
        <v>R</v>
      </c>
      <c r="AB437" s="65">
        <v>6.0</v>
      </c>
      <c r="AC437" s="33" t="str">
        <f t="shared" si="498"/>
        <v>R</v>
      </c>
      <c r="AD437" s="65">
        <v>6.0</v>
      </c>
      <c r="AE437" s="33" t="str">
        <f t="shared" si="499"/>
        <v>R</v>
      </c>
      <c r="AF437" s="65">
        <v>6.0</v>
      </c>
      <c r="AG437" s="33" t="str">
        <f t="shared" si="500"/>
        <v>R</v>
      </c>
      <c r="AH437" s="65" t="s">
        <v>299</v>
      </c>
      <c r="AI437" s="66">
        <v>13.0</v>
      </c>
      <c r="AJ437" s="36" t="str">
        <f t="shared" si="501"/>
        <v>R</v>
      </c>
      <c r="AK437" s="66">
        <v>13.0</v>
      </c>
      <c r="AL437" s="36" t="str">
        <f t="shared" si="502"/>
        <v>R</v>
      </c>
      <c r="AM437" s="66">
        <v>6.0</v>
      </c>
      <c r="AN437" s="36" t="str">
        <f t="shared" si="503"/>
        <v>R</v>
      </c>
      <c r="AO437" s="66" t="s">
        <v>299</v>
      </c>
      <c r="AP437" s="67">
        <v>6.0</v>
      </c>
      <c r="AQ437" s="37" t="str">
        <f t="shared" si="504"/>
        <v>R</v>
      </c>
      <c r="AR437" s="65">
        <v>10.0</v>
      </c>
      <c r="AS437" s="33" t="str">
        <f t="shared" si="505"/>
        <v>R</v>
      </c>
      <c r="AT437" s="65">
        <v>11.0</v>
      </c>
      <c r="AU437" s="33" t="str">
        <f t="shared" si="506"/>
        <v>R</v>
      </c>
      <c r="AV437" s="65" t="s">
        <v>299</v>
      </c>
      <c r="AW437" s="28">
        <v>17.0</v>
      </c>
      <c r="AX437" s="26" t="str">
        <f t="shared" si="507"/>
        <v>R</v>
      </c>
      <c r="AY437" s="67">
        <v>6.0</v>
      </c>
      <c r="AZ437" s="37" t="str">
        <f t="shared" si="508"/>
        <v>R</v>
      </c>
      <c r="BA437" s="66">
        <v>12.0</v>
      </c>
      <c r="BB437" s="36" t="str">
        <f t="shared" si="509"/>
        <v>R</v>
      </c>
      <c r="BC437" s="39" t="s">
        <v>357</v>
      </c>
      <c r="BD437" s="39" t="s">
        <v>357</v>
      </c>
      <c r="BE437" s="66">
        <v>21.0</v>
      </c>
      <c r="BF437" s="36" t="str">
        <f t="shared" si="510"/>
        <v>I</v>
      </c>
      <c r="BG437" s="68">
        <v>15.0</v>
      </c>
      <c r="BH437" s="41" t="str">
        <f t="shared" si="511"/>
        <v>R</v>
      </c>
      <c r="BI437" s="41"/>
    </row>
    <row r="438">
      <c r="A438" s="21" t="s">
        <v>588</v>
      </c>
      <c r="B438" s="23">
        <v>200.0</v>
      </c>
      <c r="C438" s="21" t="s">
        <v>997</v>
      </c>
      <c r="D438" s="69" t="s">
        <v>190</v>
      </c>
      <c r="E438" s="18" t="s">
        <v>190</v>
      </c>
      <c r="F438" s="18" t="s">
        <v>192</v>
      </c>
      <c r="G438" s="63" t="s">
        <v>998</v>
      </c>
      <c r="H438" s="22" t="s">
        <v>198</v>
      </c>
      <c r="I438" s="28">
        <v>6.0</v>
      </c>
      <c r="J438" s="26" t="str">
        <f t="shared" si="489"/>
        <v>R</v>
      </c>
      <c r="K438" s="28">
        <v>19.0</v>
      </c>
      <c r="L438" s="26" t="str">
        <f t="shared" si="490"/>
        <v>S</v>
      </c>
      <c r="M438" s="28">
        <v>6.0</v>
      </c>
      <c r="N438" s="26" t="str">
        <f t="shared" si="491"/>
        <v>R</v>
      </c>
      <c r="O438" s="28">
        <v>22.0</v>
      </c>
      <c r="P438" s="26" t="str">
        <f t="shared" si="492"/>
        <v>I</v>
      </c>
      <c r="Q438" s="28">
        <v>6.0</v>
      </c>
      <c r="R438" s="26" t="str">
        <f t="shared" si="493"/>
        <v>R</v>
      </c>
      <c r="S438" s="28">
        <v>15.0</v>
      </c>
      <c r="T438" s="26" t="str">
        <f t="shared" si="494"/>
        <v>R</v>
      </c>
      <c r="U438" s="28">
        <v>18.0</v>
      </c>
      <c r="V438" s="26" t="str">
        <f t="shared" si="495"/>
        <v>I</v>
      </c>
      <c r="W438" s="32" t="s">
        <v>299</v>
      </c>
      <c r="X438" s="65">
        <v>11.0</v>
      </c>
      <c r="Y438" s="33" t="str">
        <f t="shared" si="496"/>
        <v>R</v>
      </c>
      <c r="Z438" s="65">
        <v>19.0</v>
      </c>
      <c r="AA438" s="33" t="str">
        <f t="shared" si="497"/>
        <v>S</v>
      </c>
      <c r="AB438" s="65">
        <v>15.0</v>
      </c>
      <c r="AC438" s="33" t="str">
        <f t="shared" si="498"/>
        <v>R</v>
      </c>
      <c r="AD438" s="65">
        <v>18.0</v>
      </c>
      <c r="AE438" s="33" t="str">
        <f t="shared" si="499"/>
        <v>S</v>
      </c>
      <c r="AF438" s="65">
        <v>16.0</v>
      </c>
      <c r="AG438" s="33" t="str">
        <f t="shared" si="500"/>
        <v>R</v>
      </c>
      <c r="AH438" s="65" t="s">
        <v>299</v>
      </c>
      <c r="AI438" s="66">
        <v>17.0</v>
      </c>
      <c r="AJ438" s="36" t="str">
        <f t="shared" si="501"/>
        <v>R</v>
      </c>
      <c r="AK438" s="66">
        <v>17.0</v>
      </c>
      <c r="AL438" s="36" t="str">
        <f t="shared" si="502"/>
        <v>R</v>
      </c>
      <c r="AM438" s="66">
        <v>15.0</v>
      </c>
      <c r="AN438" s="36" t="str">
        <f t="shared" si="503"/>
        <v>S</v>
      </c>
      <c r="AO438" s="66" t="s">
        <v>299</v>
      </c>
      <c r="AP438" s="67">
        <v>6.0</v>
      </c>
      <c r="AQ438" s="37" t="str">
        <f t="shared" si="504"/>
        <v>R</v>
      </c>
      <c r="AR438" s="65">
        <v>16.0</v>
      </c>
      <c r="AS438" s="33" t="str">
        <f t="shared" si="505"/>
        <v>R</v>
      </c>
      <c r="AT438" s="65">
        <v>15.0</v>
      </c>
      <c r="AU438" s="33" t="str">
        <f t="shared" si="506"/>
        <v>R</v>
      </c>
      <c r="AV438" s="65" t="s">
        <v>299</v>
      </c>
      <c r="AW438" s="28">
        <v>9.0</v>
      </c>
      <c r="AX438" s="26" t="str">
        <f t="shared" si="507"/>
        <v>R</v>
      </c>
      <c r="AY438" s="67">
        <v>10.0</v>
      </c>
      <c r="AZ438" s="37" t="str">
        <f t="shared" si="508"/>
        <v>R</v>
      </c>
      <c r="BA438" s="66">
        <v>21.0</v>
      </c>
      <c r="BB438" s="36" t="str">
        <f t="shared" si="509"/>
        <v>R</v>
      </c>
      <c r="BC438" s="39" t="s">
        <v>357</v>
      </c>
      <c r="BD438" s="39" t="s">
        <v>357</v>
      </c>
      <c r="BE438" s="66">
        <v>20.0</v>
      </c>
      <c r="BF438" s="36" t="str">
        <f t="shared" si="510"/>
        <v>I</v>
      </c>
      <c r="BG438" s="68">
        <v>12.0</v>
      </c>
      <c r="BH438" s="41" t="str">
        <f t="shared" si="511"/>
        <v>R</v>
      </c>
      <c r="BI438" s="41"/>
    </row>
    <row r="439">
      <c r="A439" s="21" t="s">
        <v>588</v>
      </c>
      <c r="B439" s="21" t="s">
        <v>444</v>
      </c>
      <c r="C439" s="21" t="s">
        <v>1881</v>
      </c>
      <c r="D439" s="69" t="s">
        <v>190</v>
      </c>
      <c r="E439" s="18" t="s">
        <v>190</v>
      </c>
      <c r="F439" s="18" t="s">
        <v>192</v>
      </c>
      <c r="G439" s="63" t="s">
        <v>1882</v>
      </c>
      <c r="H439" s="22" t="s">
        <v>198</v>
      </c>
      <c r="I439" s="28">
        <v>6.0</v>
      </c>
      <c r="J439" s="26" t="str">
        <f t="shared" si="489"/>
        <v>R</v>
      </c>
      <c r="K439" s="28">
        <v>20.0</v>
      </c>
      <c r="L439" s="26" t="str">
        <f t="shared" si="490"/>
        <v>S</v>
      </c>
      <c r="M439" s="28">
        <v>6.0</v>
      </c>
      <c r="N439" s="26" t="str">
        <f t="shared" si="491"/>
        <v>R</v>
      </c>
      <c r="O439" s="28">
        <v>22.0</v>
      </c>
      <c r="P439" s="26" t="str">
        <f t="shared" si="492"/>
        <v>I</v>
      </c>
      <c r="Q439" s="28">
        <v>6.0</v>
      </c>
      <c r="R439" s="26" t="str">
        <f t="shared" si="493"/>
        <v>R</v>
      </c>
      <c r="S439" s="28">
        <v>15.0</v>
      </c>
      <c r="T439" s="26" t="str">
        <f t="shared" si="494"/>
        <v>R</v>
      </c>
      <c r="U439" s="28">
        <v>18.0</v>
      </c>
      <c r="V439" s="26" t="str">
        <f t="shared" si="495"/>
        <v>I</v>
      </c>
      <c r="W439" s="32" t="s">
        <v>299</v>
      </c>
      <c r="X439" s="65">
        <v>10.0</v>
      </c>
      <c r="Y439" s="33" t="str">
        <f t="shared" si="496"/>
        <v>R</v>
      </c>
      <c r="Z439" s="65">
        <v>20.0</v>
      </c>
      <c r="AA439" s="33" t="str">
        <f t="shared" si="497"/>
        <v>S</v>
      </c>
      <c r="AB439" s="65">
        <v>14.0</v>
      </c>
      <c r="AC439" s="33" t="str">
        <f t="shared" si="498"/>
        <v>R</v>
      </c>
      <c r="AD439" s="65">
        <v>18.0</v>
      </c>
      <c r="AE439" s="33" t="str">
        <f t="shared" si="499"/>
        <v>S</v>
      </c>
      <c r="AF439" s="65">
        <v>17.0</v>
      </c>
      <c r="AG439" s="33" t="str">
        <f t="shared" si="500"/>
        <v>R</v>
      </c>
      <c r="AH439" s="65" t="s">
        <v>299</v>
      </c>
      <c r="AI439" s="66">
        <v>17.0</v>
      </c>
      <c r="AJ439" s="36" t="str">
        <f t="shared" si="501"/>
        <v>R</v>
      </c>
      <c r="AK439" s="66">
        <v>15.0</v>
      </c>
      <c r="AL439" s="36" t="str">
        <f t="shared" si="502"/>
        <v>R</v>
      </c>
      <c r="AM439" s="66">
        <v>15.0</v>
      </c>
      <c r="AN439" s="36" t="str">
        <f t="shared" si="503"/>
        <v>S</v>
      </c>
      <c r="AO439" s="66" t="s">
        <v>299</v>
      </c>
      <c r="AP439" s="67">
        <v>6.0</v>
      </c>
      <c r="AQ439" s="37" t="str">
        <f t="shared" si="504"/>
        <v>R</v>
      </c>
      <c r="AR439" s="65">
        <v>17.0</v>
      </c>
      <c r="AS439" s="33" t="str">
        <f t="shared" si="505"/>
        <v>R</v>
      </c>
      <c r="AT439" s="65">
        <v>15.0</v>
      </c>
      <c r="AU439" s="33" t="str">
        <f t="shared" si="506"/>
        <v>R</v>
      </c>
      <c r="AV439" s="65" t="s">
        <v>299</v>
      </c>
      <c r="AW439" s="28">
        <v>9.0</v>
      </c>
      <c r="AX439" s="26" t="str">
        <f t="shared" si="507"/>
        <v>R</v>
      </c>
      <c r="AY439" s="67">
        <v>11.0</v>
      </c>
      <c r="AZ439" s="37" t="str">
        <f t="shared" si="508"/>
        <v>R</v>
      </c>
      <c r="BA439" s="66">
        <v>18.0</v>
      </c>
      <c r="BB439" s="36" t="str">
        <f t="shared" si="509"/>
        <v>R</v>
      </c>
      <c r="BC439" s="39" t="s">
        <v>357</v>
      </c>
      <c r="BD439" s="39" t="s">
        <v>357</v>
      </c>
      <c r="BE439" s="66">
        <v>19.0</v>
      </c>
      <c r="BF439" s="36" t="str">
        <f t="shared" si="510"/>
        <v>I</v>
      </c>
      <c r="BG439" s="68">
        <v>12.0</v>
      </c>
      <c r="BH439" s="41" t="str">
        <f t="shared" si="511"/>
        <v>R</v>
      </c>
      <c r="BI439" s="41"/>
    </row>
    <row r="440">
      <c r="A440" s="21" t="s">
        <v>588</v>
      </c>
      <c r="B440" s="21" t="s">
        <v>444</v>
      </c>
      <c r="C440" s="21" t="s">
        <v>1883</v>
      </c>
      <c r="D440" s="69" t="s">
        <v>190</v>
      </c>
      <c r="E440" s="18" t="s">
        <v>190</v>
      </c>
      <c r="F440" s="18" t="s">
        <v>192</v>
      </c>
      <c r="G440" s="63" t="s">
        <v>1884</v>
      </c>
      <c r="H440" s="22" t="s">
        <v>198</v>
      </c>
      <c r="I440" s="28">
        <v>6.0</v>
      </c>
      <c r="J440" s="26" t="str">
        <f t="shared" si="489"/>
        <v>R</v>
      </c>
      <c r="K440" s="28">
        <v>24.0</v>
      </c>
      <c r="L440" s="26" t="str">
        <f t="shared" si="490"/>
        <v>S</v>
      </c>
      <c r="M440" s="28">
        <v>6.0</v>
      </c>
      <c r="N440" s="26" t="str">
        <f t="shared" si="491"/>
        <v>R</v>
      </c>
      <c r="O440" s="28">
        <v>22.0</v>
      </c>
      <c r="P440" s="26" t="str">
        <f t="shared" si="492"/>
        <v>I</v>
      </c>
      <c r="Q440" s="28">
        <v>6.0</v>
      </c>
      <c r="R440" s="26" t="str">
        <f t="shared" si="493"/>
        <v>R</v>
      </c>
      <c r="S440" s="28">
        <v>15.0</v>
      </c>
      <c r="T440" s="26" t="str">
        <f t="shared" si="494"/>
        <v>R</v>
      </c>
      <c r="U440" s="28">
        <v>18.0</v>
      </c>
      <c r="V440" s="26" t="str">
        <f t="shared" si="495"/>
        <v>I</v>
      </c>
      <c r="W440" s="32" t="s">
        <v>299</v>
      </c>
      <c r="X440" s="65">
        <v>10.0</v>
      </c>
      <c r="Y440" s="33" t="str">
        <f t="shared" si="496"/>
        <v>R</v>
      </c>
      <c r="Z440" s="65">
        <v>19.0</v>
      </c>
      <c r="AA440" s="33" t="str">
        <f t="shared" si="497"/>
        <v>S</v>
      </c>
      <c r="AB440" s="65">
        <v>15.0</v>
      </c>
      <c r="AC440" s="33" t="str">
        <f t="shared" si="498"/>
        <v>R</v>
      </c>
      <c r="AD440" s="65">
        <v>18.0</v>
      </c>
      <c r="AE440" s="33" t="str">
        <f t="shared" si="499"/>
        <v>S</v>
      </c>
      <c r="AF440" s="65">
        <v>16.0</v>
      </c>
      <c r="AG440" s="33" t="str">
        <f t="shared" si="500"/>
        <v>R</v>
      </c>
      <c r="AH440" s="65" t="s">
        <v>299</v>
      </c>
      <c r="AI440" s="66">
        <v>17.0</v>
      </c>
      <c r="AJ440" s="36" t="str">
        <f t="shared" si="501"/>
        <v>R</v>
      </c>
      <c r="AK440" s="66">
        <v>15.0</v>
      </c>
      <c r="AL440" s="36" t="str">
        <f t="shared" si="502"/>
        <v>R</v>
      </c>
      <c r="AM440" s="66">
        <v>16.0</v>
      </c>
      <c r="AN440" s="36" t="str">
        <f t="shared" si="503"/>
        <v>S</v>
      </c>
      <c r="AO440" s="66" t="s">
        <v>299</v>
      </c>
      <c r="AP440" s="67">
        <v>6.0</v>
      </c>
      <c r="AQ440" s="37" t="str">
        <f t="shared" si="504"/>
        <v>R</v>
      </c>
      <c r="AR440" s="65">
        <v>15.0</v>
      </c>
      <c r="AS440" s="33" t="str">
        <f t="shared" si="505"/>
        <v>R</v>
      </c>
      <c r="AT440" s="65">
        <v>15.0</v>
      </c>
      <c r="AU440" s="33" t="str">
        <f t="shared" si="506"/>
        <v>R</v>
      </c>
      <c r="AV440" s="65" t="s">
        <v>299</v>
      </c>
      <c r="AW440" s="28">
        <v>9.0</v>
      </c>
      <c r="AX440" s="26" t="str">
        <f t="shared" si="507"/>
        <v>R</v>
      </c>
      <c r="AY440" s="67">
        <v>11.0</v>
      </c>
      <c r="AZ440" s="37" t="str">
        <f t="shared" si="508"/>
        <v>R</v>
      </c>
      <c r="BA440" s="66">
        <v>16.0</v>
      </c>
      <c r="BB440" s="36" t="str">
        <f t="shared" si="509"/>
        <v>R</v>
      </c>
      <c r="BC440" s="39" t="s">
        <v>357</v>
      </c>
      <c r="BD440" s="39" t="s">
        <v>357</v>
      </c>
      <c r="BE440" s="66">
        <v>19.0</v>
      </c>
      <c r="BF440" s="36" t="str">
        <f t="shared" si="510"/>
        <v>I</v>
      </c>
      <c r="BG440" s="68">
        <v>12.0</v>
      </c>
      <c r="BH440" s="41" t="str">
        <f t="shared" si="511"/>
        <v>R</v>
      </c>
      <c r="BI440" s="41"/>
    </row>
    <row r="441">
      <c r="A441" s="21" t="s">
        <v>588</v>
      </c>
      <c r="B441" s="23">
        <v>201.0</v>
      </c>
      <c r="C441" s="21" t="s">
        <v>1000</v>
      </c>
      <c r="D441" s="69" t="s">
        <v>571</v>
      </c>
      <c r="E441" s="18" t="s">
        <v>572</v>
      </c>
      <c r="F441" s="18" t="s">
        <v>192</v>
      </c>
      <c r="G441" s="63" t="s">
        <v>1001</v>
      </c>
      <c r="H441" s="22" t="s">
        <v>198</v>
      </c>
      <c r="I441" s="28">
        <v>6.0</v>
      </c>
      <c r="J441" s="26" t="str">
        <f t="shared" si="489"/>
        <v>R</v>
      </c>
      <c r="K441" s="28">
        <v>18.0</v>
      </c>
      <c r="L441" s="26" t="str">
        <f t="shared" si="490"/>
        <v>R</v>
      </c>
      <c r="M441" s="28">
        <v>6.0</v>
      </c>
      <c r="N441" s="26" t="str">
        <f t="shared" si="491"/>
        <v>R</v>
      </c>
      <c r="O441" s="28">
        <v>20.0</v>
      </c>
      <c r="P441" s="26" t="str">
        <f t="shared" si="492"/>
        <v>I</v>
      </c>
      <c r="Q441" s="28">
        <v>6.0</v>
      </c>
      <c r="R441" s="26" t="str">
        <f t="shared" si="493"/>
        <v>R</v>
      </c>
      <c r="S441" s="28">
        <v>22.0</v>
      </c>
      <c r="T441" s="26" t="str">
        <f t="shared" si="494"/>
        <v>S</v>
      </c>
      <c r="U441" s="28">
        <v>17.0</v>
      </c>
      <c r="V441" s="26" t="str">
        <f t="shared" si="495"/>
        <v>I</v>
      </c>
      <c r="W441" s="32" t="s">
        <v>299</v>
      </c>
      <c r="X441" s="65">
        <v>9.0</v>
      </c>
      <c r="Y441" s="33" t="str">
        <f t="shared" si="496"/>
        <v>R</v>
      </c>
      <c r="Z441" s="65">
        <v>26.0</v>
      </c>
      <c r="AA441" s="33" t="str">
        <f t="shared" si="497"/>
        <v>S</v>
      </c>
      <c r="AB441" s="65">
        <v>6.0</v>
      </c>
      <c r="AC441" s="33" t="str">
        <f t="shared" si="498"/>
        <v>R</v>
      </c>
      <c r="AD441" s="65">
        <v>15.0</v>
      </c>
      <c r="AE441" s="33" t="str">
        <f t="shared" si="499"/>
        <v>S</v>
      </c>
      <c r="AF441" s="65">
        <v>6.0</v>
      </c>
      <c r="AG441" s="33" t="str">
        <f t="shared" si="500"/>
        <v>R</v>
      </c>
      <c r="AH441" s="65" t="s">
        <v>299</v>
      </c>
      <c r="AI441" s="66">
        <v>6.0</v>
      </c>
      <c r="AJ441" s="36" t="str">
        <f t="shared" si="501"/>
        <v>R</v>
      </c>
      <c r="AK441" s="66">
        <v>10.0</v>
      </c>
      <c r="AL441" s="36" t="str">
        <f t="shared" si="502"/>
        <v>R</v>
      </c>
      <c r="AM441" s="66">
        <v>6.0</v>
      </c>
      <c r="AN441" s="36" t="str">
        <f t="shared" si="503"/>
        <v>R</v>
      </c>
      <c r="AO441" s="66" t="s">
        <v>299</v>
      </c>
      <c r="AP441" s="67">
        <v>6.0</v>
      </c>
      <c r="AQ441" s="37" t="str">
        <f t="shared" si="504"/>
        <v>R</v>
      </c>
      <c r="AR441" s="65">
        <v>18.0</v>
      </c>
      <c r="AS441" s="33" t="str">
        <f t="shared" si="505"/>
        <v>S</v>
      </c>
      <c r="AT441" s="65">
        <v>12.0</v>
      </c>
      <c r="AU441" s="33" t="str">
        <f t="shared" si="506"/>
        <v>R</v>
      </c>
      <c r="AV441" s="65" t="s">
        <v>299</v>
      </c>
      <c r="AW441" s="28">
        <v>6.0</v>
      </c>
      <c r="AX441" s="26" t="str">
        <f t="shared" si="507"/>
        <v>R</v>
      </c>
      <c r="AY441" s="67">
        <v>11.0</v>
      </c>
      <c r="AZ441" s="37" t="str">
        <f t="shared" si="508"/>
        <v>R</v>
      </c>
      <c r="BA441" s="66">
        <v>19.0</v>
      </c>
      <c r="BB441" s="36" t="str">
        <f t="shared" si="509"/>
        <v>R</v>
      </c>
      <c r="BC441" s="39" t="s">
        <v>357</v>
      </c>
      <c r="BD441" s="39" t="s">
        <v>357</v>
      </c>
      <c r="BE441" s="66">
        <v>13.0</v>
      </c>
      <c r="BF441" s="36" t="str">
        <f t="shared" si="510"/>
        <v>R</v>
      </c>
      <c r="BG441" s="68">
        <v>6.0</v>
      </c>
      <c r="BH441" s="41" t="str">
        <f t="shared" si="511"/>
        <v>R</v>
      </c>
      <c r="BI441" s="41"/>
    </row>
    <row r="442">
      <c r="A442" s="21" t="s">
        <v>588</v>
      </c>
      <c r="B442" s="21" t="s">
        <v>444</v>
      </c>
      <c r="C442" s="21" t="s">
        <v>1885</v>
      </c>
      <c r="D442" s="69" t="s">
        <v>571</v>
      </c>
      <c r="E442" s="18" t="s">
        <v>572</v>
      </c>
      <c r="F442" s="18" t="s">
        <v>192</v>
      </c>
      <c r="G442" s="63" t="s">
        <v>1886</v>
      </c>
      <c r="H442" s="22" t="s">
        <v>198</v>
      </c>
      <c r="I442" s="28">
        <v>6.0</v>
      </c>
      <c r="J442" s="26" t="str">
        <f t="shared" si="489"/>
        <v>R</v>
      </c>
      <c r="K442" s="28">
        <v>18.0</v>
      </c>
      <c r="L442" s="26" t="str">
        <f t="shared" si="490"/>
        <v>R</v>
      </c>
      <c r="M442" s="28">
        <v>6.0</v>
      </c>
      <c r="N442" s="26" t="str">
        <f t="shared" si="491"/>
        <v>R</v>
      </c>
      <c r="O442" s="28">
        <v>20.0</v>
      </c>
      <c r="P442" s="26" t="str">
        <f t="shared" si="492"/>
        <v>I</v>
      </c>
      <c r="Q442" s="28">
        <v>6.0</v>
      </c>
      <c r="R442" s="26" t="str">
        <f t="shared" si="493"/>
        <v>R</v>
      </c>
      <c r="S442" s="28">
        <v>22.0</v>
      </c>
      <c r="T442" s="26" t="str">
        <f t="shared" si="494"/>
        <v>S</v>
      </c>
      <c r="U442" s="28">
        <v>17.0</v>
      </c>
      <c r="V442" s="26" t="str">
        <f t="shared" si="495"/>
        <v>I</v>
      </c>
      <c r="W442" s="32" t="s">
        <v>299</v>
      </c>
      <c r="X442" s="65">
        <v>9.0</v>
      </c>
      <c r="Y442" s="33" t="str">
        <f t="shared" si="496"/>
        <v>R</v>
      </c>
      <c r="Z442" s="65">
        <v>26.0</v>
      </c>
      <c r="AA442" s="33" t="str">
        <f t="shared" si="497"/>
        <v>S</v>
      </c>
      <c r="AB442" s="65">
        <v>6.0</v>
      </c>
      <c r="AC442" s="33" t="str">
        <f t="shared" si="498"/>
        <v>R</v>
      </c>
      <c r="AD442" s="65">
        <v>15.0</v>
      </c>
      <c r="AE442" s="33" t="str">
        <f t="shared" si="499"/>
        <v>S</v>
      </c>
      <c r="AF442" s="65">
        <v>6.0</v>
      </c>
      <c r="AG442" s="33" t="str">
        <f t="shared" si="500"/>
        <v>R</v>
      </c>
      <c r="AH442" s="65" t="s">
        <v>299</v>
      </c>
      <c r="AI442" s="66">
        <v>6.0</v>
      </c>
      <c r="AJ442" s="36" t="str">
        <f t="shared" si="501"/>
        <v>R</v>
      </c>
      <c r="AK442" s="66">
        <v>10.0</v>
      </c>
      <c r="AL442" s="36" t="str">
        <f t="shared" si="502"/>
        <v>R</v>
      </c>
      <c r="AM442" s="66">
        <v>6.0</v>
      </c>
      <c r="AN442" s="36" t="str">
        <f t="shared" si="503"/>
        <v>R</v>
      </c>
      <c r="AO442" s="66" t="s">
        <v>299</v>
      </c>
      <c r="AP442" s="67">
        <v>6.0</v>
      </c>
      <c r="AQ442" s="37" t="str">
        <f t="shared" si="504"/>
        <v>R</v>
      </c>
      <c r="AR442" s="65">
        <v>18.0</v>
      </c>
      <c r="AS442" s="33" t="str">
        <f t="shared" si="505"/>
        <v>S</v>
      </c>
      <c r="AT442" s="65">
        <v>12.0</v>
      </c>
      <c r="AU442" s="33" t="str">
        <f t="shared" si="506"/>
        <v>R</v>
      </c>
      <c r="AV442" s="65" t="s">
        <v>299</v>
      </c>
      <c r="AW442" s="28">
        <v>6.0</v>
      </c>
      <c r="AX442" s="26" t="str">
        <f t="shared" si="507"/>
        <v>R</v>
      </c>
      <c r="AY442" s="67">
        <v>11.0</v>
      </c>
      <c r="AZ442" s="37" t="str">
        <f t="shared" si="508"/>
        <v>R</v>
      </c>
      <c r="BA442" s="66">
        <v>21.0</v>
      </c>
      <c r="BB442" s="36" t="str">
        <f t="shared" si="509"/>
        <v>R</v>
      </c>
      <c r="BC442" s="39" t="s">
        <v>357</v>
      </c>
      <c r="BD442" s="39" t="s">
        <v>357</v>
      </c>
      <c r="BE442" s="66">
        <v>11.0</v>
      </c>
      <c r="BF442" s="36" t="str">
        <f t="shared" si="510"/>
        <v>R</v>
      </c>
      <c r="BG442" s="68">
        <v>6.0</v>
      </c>
      <c r="BH442" s="41" t="str">
        <f t="shared" si="511"/>
        <v>R</v>
      </c>
      <c r="BI442" s="41"/>
    </row>
    <row r="443">
      <c r="A443" s="21" t="s">
        <v>588</v>
      </c>
      <c r="B443" s="21" t="s">
        <v>444</v>
      </c>
      <c r="C443" s="21" t="s">
        <v>1887</v>
      </c>
      <c r="D443" s="69" t="s">
        <v>571</v>
      </c>
      <c r="E443" s="18" t="s">
        <v>572</v>
      </c>
      <c r="F443" s="18" t="s">
        <v>192</v>
      </c>
      <c r="G443" s="63" t="s">
        <v>1888</v>
      </c>
      <c r="H443" s="22" t="s">
        <v>198</v>
      </c>
      <c r="I443" s="28">
        <v>6.0</v>
      </c>
      <c r="J443" s="26" t="str">
        <f t="shared" si="489"/>
        <v>R</v>
      </c>
      <c r="K443" s="28">
        <v>18.0</v>
      </c>
      <c r="L443" s="26" t="str">
        <f t="shared" si="490"/>
        <v>R</v>
      </c>
      <c r="M443" s="28">
        <v>6.0</v>
      </c>
      <c r="N443" s="26" t="str">
        <f t="shared" si="491"/>
        <v>R</v>
      </c>
      <c r="O443" s="28">
        <v>20.0</v>
      </c>
      <c r="P443" s="26" t="str">
        <f t="shared" si="492"/>
        <v>I</v>
      </c>
      <c r="Q443" s="28">
        <v>6.0</v>
      </c>
      <c r="R443" s="26" t="str">
        <f t="shared" si="493"/>
        <v>R</v>
      </c>
      <c r="S443" s="28">
        <v>22.0</v>
      </c>
      <c r="T443" s="26" t="str">
        <f t="shared" si="494"/>
        <v>S</v>
      </c>
      <c r="U443" s="28">
        <v>17.0</v>
      </c>
      <c r="V443" s="26" t="str">
        <f t="shared" si="495"/>
        <v>I</v>
      </c>
      <c r="W443" s="32" t="s">
        <v>299</v>
      </c>
      <c r="X443" s="65">
        <v>9.0</v>
      </c>
      <c r="Y443" s="33" t="str">
        <f t="shared" si="496"/>
        <v>R</v>
      </c>
      <c r="Z443" s="65">
        <v>26.0</v>
      </c>
      <c r="AA443" s="33" t="str">
        <f t="shared" si="497"/>
        <v>S</v>
      </c>
      <c r="AB443" s="65">
        <v>6.0</v>
      </c>
      <c r="AC443" s="33" t="str">
        <f t="shared" si="498"/>
        <v>R</v>
      </c>
      <c r="AD443" s="65">
        <v>15.0</v>
      </c>
      <c r="AE443" s="33" t="str">
        <f t="shared" si="499"/>
        <v>S</v>
      </c>
      <c r="AF443" s="65">
        <v>6.0</v>
      </c>
      <c r="AG443" s="33" t="str">
        <f t="shared" si="500"/>
        <v>R</v>
      </c>
      <c r="AH443" s="65" t="s">
        <v>299</v>
      </c>
      <c r="AI443" s="66">
        <v>6.0</v>
      </c>
      <c r="AJ443" s="36" t="str">
        <f t="shared" si="501"/>
        <v>R</v>
      </c>
      <c r="AK443" s="66">
        <v>10.0</v>
      </c>
      <c r="AL443" s="36" t="str">
        <f t="shared" si="502"/>
        <v>R</v>
      </c>
      <c r="AM443" s="66">
        <v>6.0</v>
      </c>
      <c r="AN443" s="36" t="str">
        <f t="shared" si="503"/>
        <v>R</v>
      </c>
      <c r="AO443" s="66" t="s">
        <v>299</v>
      </c>
      <c r="AP443" s="67">
        <v>6.0</v>
      </c>
      <c r="AQ443" s="37" t="str">
        <f t="shared" si="504"/>
        <v>R</v>
      </c>
      <c r="AR443" s="65">
        <v>18.0</v>
      </c>
      <c r="AS443" s="33" t="str">
        <f t="shared" si="505"/>
        <v>S</v>
      </c>
      <c r="AT443" s="65">
        <v>12.0</v>
      </c>
      <c r="AU443" s="33" t="str">
        <f t="shared" si="506"/>
        <v>R</v>
      </c>
      <c r="AV443" s="65" t="s">
        <v>299</v>
      </c>
      <c r="AW443" s="28">
        <v>6.0</v>
      </c>
      <c r="AX443" s="26" t="str">
        <f t="shared" si="507"/>
        <v>R</v>
      </c>
      <c r="AY443" s="67">
        <v>11.0</v>
      </c>
      <c r="AZ443" s="37" t="str">
        <f t="shared" si="508"/>
        <v>R</v>
      </c>
      <c r="BA443" s="66">
        <v>21.0</v>
      </c>
      <c r="BB443" s="36" t="str">
        <f t="shared" si="509"/>
        <v>R</v>
      </c>
      <c r="BC443" s="39" t="s">
        <v>357</v>
      </c>
      <c r="BD443" s="39" t="s">
        <v>357</v>
      </c>
      <c r="BE443" s="66">
        <v>13.0</v>
      </c>
      <c r="BF443" s="36" t="str">
        <f t="shared" si="510"/>
        <v>R</v>
      </c>
      <c r="BG443" s="68">
        <v>6.0</v>
      </c>
      <c r="BH443" s="41" t="str">
        <f t="shared" si="511"/>
        <v>R</v>
      </c>
      <c r="BI443" s="41"/>
    </row>
    <row r="444">
      <c r="A444" s="21" t="s">
        <v>588</v>
      </c>
      <c r="B444" s="23">
        <v>202.0</v>
      </c>
      <c r="C444" s="21" t="s">
        <v>1004</v>
      </c>
      <c r="D444" s="69" t="s">
        <v>705</v>
      </c>
      <c r="E444" s="18" t="s">
        <v>572</v>
      </c>
      <c r="F444" s="18" t="s">
        <v>192</v>
      </c>
      <c r="G444" s="63" t="s">
        <v>1005</v>
      </c>
      <c r="H444" s="22" t="s">
        <v>198</v>
      </c>
      <c r="I444" s="28">
        <v>6.0</v>
      </c>
      <c r="J444" s="26" t="str">
        <f t="shared" si="489"/>
        <v>R</v>
      </c>
      <c r="K444" s="28">
        <v>25.0</v>
      </c>
      <c r="L444" s="26" t="str">
        <f t="shared" si="490"/>
        <v>S</v>
      </c>
      <c r="M444" s="28">
        <v>17.0</v>
      </c>
      <c r="N444" s="26" t="str">
        <f t="shared" si="491"/>
        <v>R</v>
      </c>
      <c r="O444" s="28">
        <v>25.0</v>
      </c>
      <c r="P444" s="26" t="str">
        <f t="shared" si="492"/>
        <v>S</v>
      </c>
      <c r="Q444" s="28">
        <v>21.0</v>
      </c>
      <c r="R444" s="26" t="str">
        <f t="shared" si="493"/>
        <v>S</v>
      </c>
      <c r="S444" s="28">
        <v>20.0</v>
      </c>
      <c r="T444" s="26" t="str">
        <f t="shared" si="494"/>
        <v>S</v>
      </c>
      <c r="U444" s="28">
        <v>19.0</v>
      </c>
      <c r="V444" s="26" t="str">
        <f t="shared" si="495"/>
        <v>I</v>
      </c>
      <c r="W444" s="32" t="s">
        <v>299</v>
      </c>
      <c r="X444" s="65">
        <v>14.0</v>
      </c>
      <c r="Y444" s="33" t="str">
        <f t="shared" si="496"/>
        <v>R</v>
      </c>
      <c r="Z444" s="65">
        <v>19.0</v>
      </c>
      <c r="AA444" s="33" t="str">
        <f t="shared" si="497"/>
        <v>S</v>
      </c>
      <c r="AB444" s="65">
        <v>27.0</v>
      </c>
      <c r="AC444" s="33" t="str">
        <f t="shared" si="498"/>
        <v>S</v>
      </c>
      <c r="AD444" s="65">
        <v>32.0</v>
      </c>
      <c r="AE444" s="33" t="str">
        <f t="shared" si="499"/>
        <v>S</v>
      </c>
      <c r="AF444" s="65">
        <v>20.0</v>
      </c>
      <c r="AG444" s="33" t="str">
        <f t="shared" si="500"/>
        <v>R</v>
      </c>
      <c r="AH444" s="65" t="s">
        <v>299</v>
      </c>
      <c r="AI444" s="66">
        <v>23.0</v>
      </c>
      <c r="AJ444" s="36" t="str">
        <f t="shared" si="501"/>
        <v>I</v>
      </c>
      <c r="AK444" s="66">
        <v>23.0</v>
      </c>
      <c r="AL444" s="36" t="str">
        <f t="shared" si="502"/>
        <v>S</v>
      </c>
      <c r="AM444" s="66">
        <v>15.0</v>
      </c>
      <c r="AN444" s="36" t="str">
        <f t="shared" si="503"/>
        <v>S</v>
      </c>
      <c r="AO444" s="66" t="s">
        <v>299</v>
      </c>
      <c r="AP444" s="67">
        <v>19.0</v>
      </c>
      <c r="AQ444" s="37" t="str">
        <f t="shared" si="504"/>
        <v>S</v>
      </c>
      <c r="AR444" s="65">
        <v>18.0</v>
      </c>
      <c r="AS444" s="33" t="str">
        <f t="shared" si="505"/>
        <v>S</v>
      </c>
      <c r="AT444" s="65">
        <v>19.0</v>
      </c>
      <c r="AU444" s="33" t="str">
        <f t="shared" si="506"/>
        <v>S</v>
      </c>
      <c r="AV444" s="33" t="s">
        <v>300</v>
      </c>
      <c r="AW444" s="28">
        <v>18.0</v>
      </c>
      <c r="AX444" s="26" t="str">
        <f t="shared" si="507"/>
        <v>R</v>
      </c>
      <c r="AY444" s="67">
        <v>30.0</v>
      </c>
      <c r="AZ444" s="37" t="str">
        <f t="shared" si="508"/>
        <v>S</v>
      </c>
      <c r="BA444" s="66">
        <v>26.0</v>
      </c>
      <c r="BB444" s="36" t="str">
        <f t="shared" si="509"/>
        <v>S</v>
      </c>
      <c r="BC444" s="39" t="s">
        <v>357</v>
      </c>
      <c r="BD444" s="39" t="s">
        <v>357</v>
      </c>
      <c r="BE444" s="66">
        <v>35.0</v>
      </c>
      <c r="BF444" s="36" t="str">
        <f t="shared" si="510"/>
        <v>S</v>
      </c>
      <c r="BG444" s="68">
        <v>22.0</v>
      </c>
      <c r="BH444" s="41" t="str">
        <f t="shared" si="511"/>
        <v>S</v>
      </c>
      <c r="BI444" s="41"/>
    </row>
    <row r="445">
      <c r="A445" s="21" t="s">
        <v>588</v>
      </c>
      <c r="B445" s="21" t="s">
        <v>444</v>
      </c>
      <c r="C445" s="21" t="s">
        <v>1889</v>
      </c>
      <c r="D445" s="69" t="s">
        <v>705</v>
      </c>
      <c r="E445" s="18" t="s">
        <v>572</v>
      </c>
      <c r="F445" s="18" t="s">
        <v>192</v>
      </c>
      <c r="G445" s="63" t="s">
        <v>1890</v>
      </c>
      <c r="H445" s="22" t="s">
        <v>198</v>
      </c>
      <c r="I445" s="28">
        <v>6.0</v>
      </c>
      <c r="J445" s="26" t="str">
        <f t="shared" si="489"/>
        <v>R</v>
      </c>
      <c r="K445" s="28">
        <v>27.0</v>
      </c>
      <c r="L445" s="26" t="str">
        <f t="shared" si="490"/>
        <v>S</v>
      </c>
      <c r="M445" s="28">
        <v>17.0</v>
      </c>
      <c r="N445" s="26" t="str">
        <f t="shared" si="491"/>
        <v>R</v>
      </c>
      <c r="O445" s="28">
        <v>25.0</v>
      </c>
      <c r="P445" s="26" t="str">
        <f t="shared" si="492"/>
        <v>S</v>
      </c>
      <c r="Q445" s="28">
        <v>21.0</v>
      </c>
      <c r="R445" s="26" t="str">
        <f t="shared" si="493"/>
        <v>S</v>
      </c>
      <c r="S445" s="28">
        <v>20.0</v>
      </c>
      <c r="T445" s="26" t="str">
        <f t="shared" si="494"/>
        <v>S</v>
      </c>
      <c r="U445" s="28">
        <v>19.0</v>
      </c>
      <c r="V445" s="26" t="str">
        <f t="shared" si="495"/>
        <v>I</v>
      </c>
      <c r="W445" s="32" t="s">
        <v>299</v>
      </c>
      <c r="X445" s="65">
        <v>12.0</v>
      </c>
      <c r="Y445" s="33" t="str">
        <f t="shared" si="496"/>
        <v>R</v>
      </c>
      <c r="Z445" s="65">
        <v>18.0</v>
      </c>
      <c r="AA445" s="33" t="str">
        <f t="shared" si="497"/>
        <v>S</v>
      </c>
      <c r="AB445" s="65">
        <v>26.0</v>
      </c>
      <c r="AC445" s="33" t="str">
        <f t="shared" si="498"/>
        <v>S</v>
      </c>
      <c r="AD445" s="65">
        <v>32.0</v>
      </c>
      <c r="AE445" s="33" t="str">
        <f t="shared" si="499"/>
        <v>S</v>
      </c>
      <c r="AF445" s="65">
        <v>22.0</v>
      </c>
      <c r="AG445" s="33" t="str">
        <f t="shared" si="500"/>
        <v>R</v>
      </c>
      <c r="AH445" s="65" t="s">
        <v>299</v>
      </c>
      <c r="AI445" s="66">
        <v>23.0</v>
      </c>
      <c r="AJ445" s="36" t="str">
        <f t="shared" si="501"/>
        <v>I</v>
      </c>
      <c r="AK445" s="66">
        <v>23.0</v>
      </c>
      <c r="AL445" s="36" t="str">
        <f t="shared" si="502"/>
        <v>S</v>
      </c>
      <c r="AM445" s="66">
        <v>14.0</v>
      </c>
      <c r="AN445" s="36" t="str">
        <f t="shared" si="503"/>
        <v>S</v>
      </c>
      <c r="AO445" s="66" t="s">
        <v>299</v>
      </c>
      <c r="AP445" s="67">
        <v>19.0</v>
      </c>
      <c r="AQ445" s="37" t="str">
        <f t="shared" si="504"/>
        <v>S</v>
      </c>
      <c r="AR445" s="65">
        <v>18.0</v>
      </c>
      <c r="AS445" s="33" t="str">
        <f t="shared" si="505"/>
        <v>S</v>
      </c>
      <c r="AT445" s="65">
        <v>19.0</v>
      </c>
      <c r="AU445" s="33" t="str">
        <f t="shared" si="506"/>
        <v>S</v>
      </c>
      <c r="AV445" s="33" t="s">
        <v>300</v>
      </c>
      <c r="AW445" s="28">
        <v>19.0</v>
      </c>
      <c r="AX445" s="26" t="str">
        <f t="shared" si="507"/>
        <v>R</v>
      </c>
      <c r="AY445" s="67">
        <v>30.0</v>
      </c>
      <c r="AZ445" s="37" t="str">
        <f t="shared" si="508"/>
        <v>S</v>
      </c>
      <c r="BA445" s="66">
        <v>25.0</v>
      </c>
      <c r="BB445" s="36" t="str">
        <f t="shared" si="509"/>
        <v>S</v>
      </c>
      <c r="BC445" s="39" t="s">
        <v>357</v>
      </c>
      <c r="BD445" s="39" t="s">
        <v>357</v>
      </c>
      <c r="BE445" s="66">
        <v>35.0</v>
      </c>
      <c r="BF445" s="36" t="str">
        <f t="shared" si="510"/>
        <v>S</v>
      </c>
      <c r="BG445" s="68">
        <v>22.0</v>
      </c>
      <c r="BH445" s="41" t="str">
        <f t="shared" si="511"/>
        <v>S</v>
      </c>
      <c r="BI445" s="41"/>
    </row>
    <row r="446">
      <c r="A446" s="21" t="s">
        <v>588</v>
      </c>
      <c r="B446" s="21" t="s">
        <v>444</v>
      </c>
      <c r="C446" s="21" t="s">
        <v>1891</v>
      </c>
      <c r="D446" s="69" t="s">
        <v>705</v>
      </c>
      <c r="E446" s="18" t="s">
        <v>572</v>
      </c>
      <c r="F446" s="18" t="s">
        <v>192</v>
      </c>
      <c r="G446" s="63" t="s">
        <v>1892</v>
      </c>
      <c r="H446" s="22" t="s">
        <v>198</v>
      </c>
      <c r="I446" s="28">
        <v>6.0</v>
      </c>
      <c r="J446" s="26" t="str">
        <f t="shared" si="489"/>
        <v>R</v>
      </c>
      <c r="K446" s="28">
        <v>25.0</v>
      </c>
      <c r="L446" s="26" t="str">
        <f t="shared" si="490"/>
        <v>S</v>
      </c>
      <c r="M446" s="28">
        <v>17.0</v>
      </c>
      <c r="N446" s="26" t="str">
        <f t="shared" si="491"/>
        <v>R</v>
      </c>
      <c r="O446" s="28">
        <v>25.0</v>
      </c>
      <c r="P446" s="26" t="str">
        <f t="shared" si="492"/>
        <v>S</v>
      </c>
      <c r="Q446" s="28">
        <v>21.0</v>
      </c>
      <c r="R446" s="26" t="str">
        <f t="shared" si="493"/>
        <v>S</v>
      </c>
      <c r="S446" s="28">
        <v>20.0</v>
      </c>
      <c r="T446" s="26" t="str">
        <f t="shared" si="494"/>
        <v>S</v>
      </c>
      <c r="U446" s="28">
        <v>19.0</v>
      </c>
      <c r="V446" s="26" t="str">
        <f t="shared" si="495"/>
        <v>I</v>
      </c>
      <c r="W446" s="32" t="s">
        <v>299</v>
      </c>
      <c r="X446" s="65">
        <v>13.0</v>
      </c>
      <c r="Y446" s="33" t="str">
        <f t="shared" si="496"/>
        <v>R</v>
      </c>
      <c r="Z446" s="65">
        <v>19.0</v>
      </c>
      <c r="AA446" s="33" t="str">
        <f t="shared" si="497"/>
        <v>S</v>
      </c>
      <c r="AB446" s="65">
        <v>28.0</v>
      </c>
      <c r="AC446" s="33" t="str">
        <f t="shared" si="498"/>
        <v>S</v>
      </c>
      <c r="AD446" s="65">
        <v>32.0</v>
      </c>
      <c r="AE446" s="33" t="str">
        <f t="shared" si="499"/>
        <v>S</v>
      </c>
      <c r="AF446" s="65">
        <v>23.0</v>
      </c>
      <c r="AG446" s="33" t="str">
        <f t="shared" si="500"/>
        <v>R</v>
      </c>
      <c r="AH446" s="65" t="s">
        <v>299</v>
      </c>
      <c r="AI446" s="66">
        <v>23.0</v>
      </c>
      <c r="AJ446" s="36" t="str">
        <f t="shared" si="501"/>
        <v>I</v>
      </c>
      <c r="AK446" s="66">
        <v>23.0</v>
      </c>
      <c r="AL446" s="36" t="str">
        <f t="shared" si="502"/>
        <v>S</v>
      </c>
      <c r="AM446" s="66">
        <v>15.0</v>
      </c>
      <c r="AN446" s="36" t="str">
        <f t="shared" si="503"/>
        <v>S</v>
      </c>
      <c r="AO446" s="66" t="s">
        <v>299</v>
      </c>
      <c r="AP446" s="67">
        <v>19.0</v>
      </c>
      <c r="AQ446" s="37" t="str">
        <f t="shared" si="504"/>
        <v>S</v>
      </c>
      <c r="AR446" s="65">
        <v>21.0</v>
      </c>
      <c r="AS446" s="33" t="str">
        <f t="shared" si="505"/>
        <v>S</v>
      </c>
      <c r="AT446" s="65">
        <v>19.0</v>
      </c>
      <c r="AU446" s="33" t="str">
        <f t="shared" si="506"/>
        <v>S</v>
      </c>
      <c r="AV446" s="33" t="s">
        <v>300</v>
      </c>
      <c r="AW446" s="28">
        <v>19.0</v>
      </c>
      <c r="AX446" s="26" t="str">
        <f t="shared" si="507"/>
        <v>R</v>
      </c>
      <c r="AY446" s="67">
        <v>30.0</v>
      </c>
      <c r="AZ446" s="37" t="str">
        <f t="shared" si="508"/>
        <v>S</v>
      </c>
      <c r="BA446" s="66">
        <v>26.0</v>
      </c>
      <c r="BB446" s="36" t="str">
        <f t="shared" si="509"/>
        <v>S</v>
      </c>
      <c r="BC446" s="39" t="s">
        <v>357</v>
      </c>
      <c r="BD446" s="39" t="s">
        <v>357</v>
      </c>
      <c r="BE446" s="66">
        <v>35.0</v>
      </c>
      <c r="BF446" s="36" t="str">
        <f t="shared" si="510"/>
        <v>S</v>
      </c>
      <c r="BG446" s="68">
        <v>22.0</v>
      </c>
      <c r="BH446" s="41" t="str">
        <f t="shared" si="511"/>
        <v>S</v>
      </c>
      <c r="BI446" s="41"/>
    </row>
    <row r="447">
      <c r="A447" s="21" t="s">
        <v>588</v>
      </c>
      <c r="B447" s="23">
        <v>203.0</v>
      </c>
      <c r="C447" s="21" t="s">
        <v>1008</v>
      </c>
      <c r="D447" s="69" t="s">
        <v>1009</v>
      </c>
      <c r="E447" s="18" t="s">
        <v>103</v>
      </c>
      <c r="F447" s="18" t="s">
        <v>192</v>
      </c>
      <c r="G447" s="63" t="s">
        <v>1010</v>
      </c>
      <c r="H447" s="22" t="s">
        <v>198</v>
      </c>
      <c r="I447" s="28">
        <v>9.0</v>
      </c>
      <c r="J447" s="26" t="str">
        <f t="shared" si="489"/>
        <v>R</v>
      </c>
      <c r="K447" s="28">
        <v>27.0</v>
      </c>
      <c r="L447" s="26" t="str">
        <f t="shared" si="490"/>
        <v>S</v>
      </c>
      <c r="M447" s="28">
        <v>21.0</v>
      </c>
      <c r="N447" s="26" t="str">
        <f t="shared" si="491"/>
        <v>R</v>
      </c>
      <c r="O447" s="28">
        <v>22.0</v>
      </c>
      <c r="P447" s="26" t="str">
        <f t="shared" si="492"/>
        <v>I</v>
      </c>
      <c r="Q447" s="28">
        <v>22.0</v>
      </c>
      <c r="R447" s="26" t="str">
        <f t="shared" si="493"/>
        <v>S</v>
      </c>
      <c r="S447" s="28">
        <v>21.0</v>
      </c>
      <c r="T447" s="26" t="str">
        <f t="shared" si="494"/>
        <v>S</v>
      </c>
      <c r="U447" s="28">
        <v>13.0</v>
      </c>
      <c r="V447" s="26" t="str">
        <f t="shared" si="495"/>
        <v>R</v>
      </c>
      <c r="W447" s="32" t="s">
        <v>299</v>
      </c>
      <c r="X447" s="65">
        <v>26.0</v>
      </c>
      <c r="Y447" s="33" t="str">
        <f t="shared" si="496"/>
        <v>S</v>
      </c>
      <c r="Z447" s="65">
        <v>24.0</v>
      </c>
      <c r="AA447" s="33" t="str">
        <f t="shared" si="497"/>
        <v>S</v>
      </c>
      <c r="AB447" s="65">
        <v>22.0</v>
      </c>
      <c r="AC447" s="33" t="str">
        <f t="shared" si="498"/>
        <v>S</v>
      </c>
      <c r="AD447" s="65">
        <v>21.0</v>
      </c>
      <c r="AE447" s="33" t="str">
        <f t="shared" si="499"/>
        <v>S</v>
      </c>
      <c r="AF447" s="65">
        <v>28.0</v>
      </c>
      <c r="AG447" s="33" t="str">
        <f t="shared" si="500"/>
        <v>S</v>
      </c>
      <c r="AH447" s="33" t="s">
        <v>300</v>
      </c>
      <c r="AI447" s="66">
        <v>28.0</v>
      </c>
      <c r="AJ447" s="36" t="str">
        <f t="shared" si="501"/>
        <v>S</v>
      </c>
      <c r="AK447" s="66">
        <v>25.0</v>
      </c>
      <c r="AL447" s="36" t="str">
        <f t="shared" si="502"/>
        <v>S</v>
      </c>
      <c r="AM447" s="66">
        <v>23.0</v>
      </c>
      <c r="AN447" s="36" t="str">
        <f t="shared" si="503"/>
        <v>S</v>
      </c>
      <c r="AO447" s="36" t="s">
        <v>300</v>
      </c>
      <c r="AP447" s="67">
        <v>26.0</v>
      </c>
      <c r="AQ447" s="37" t="str">
        <f t="shared" si="504"/>
        <v>S</v>
      </c>
      <c r="AR447" s="65">
        <v>19.0</v>
      </c>
      <c r="AS447" s="33" t="str">
        <f t="shared" si="505"/>
        <v>S</v>
      </c>
      <c r="AT447" s="65">
        <v>18.0</v>
      </c>
      <c r="AU447" s="33" t="str">
        <f t="shared" si="506"/>
        <v>S</v>
      </c>
      <c r="AV447" s="33" t="s">
        <v>300</v>
      </c>
      <c r="AW447" s="28">
        <v>21.0</v>
      </c>
      <c r="AX447" s="26" t="str">
        <f t="shared" si="507"/>
        <v>S</v>
      </c>
      <c r="AY447" s="67">
        <v>28.0</v>
      </c>
      <c r="AZ447" s="37" t="str">
        <f t="shared" si="508"/>
        <v>S</v>
      </c>
      <c r="BA447" s="66">
        <v>27.0</v>
      </c>
      <c r="BB447" s="36" t="str">
        <f t="shared" si="509"/>
        <v>S</v>
      </c>
      <c r="BC447" s="39" t="s">
        <v>357</v>
      </c>
      <c r="BD447" s="39" t="s">
        <v>357</v>
      </c>
      <c r="BE447" s="66">
        <v>31.0</v>
      </c>
      <c r="BF447" s="36" t="str">
        <f t="shared" si="510"/>
        <v>S</v>
      </c>
      <c r="BG447" s="68">
        <v>22.0</v>
      </c>
      <c r="BH447" s="41" t="str">
        <f t="shared" si="511"/>
        <v>S</v>
      </c>
      <c r="BI447" s="41"/>
    </row>
    <row r="448">
      <c r="A448" s="21" t="s">
        <v>588</v>
      </c>
      <c r="B448" s="21" t="s">
        <v>444</v>
      </c>
      <c r="C448" s="21" t="s">
        <v>1893</v>
      </c>
      <c r="D448" s="69" t="s">
        <v>1009</v>
      </c>
      <c r="E448" s="18" t="s">
        <v>103</v>
      </c>
      <c r="F448" s="18" t="s">
        <v>192</v>
      </c>
      <c r="G448" s="63" t="s">
        <v>1894</v>
      </c>
      <c r="H448" s="22" t="s">
        <v>198</v>
      </c>
      <c r="I448" s="28">
        <v>9.0</v>
      </c>
      <c r="J448" s="26" t="str">
        <f t="shared" si="489"/>
        <v>R</v>
      </c>
      <c r="K448" s="28">
        <v>22.0</v>
      </c>
      <c r="L448" s="26" t="str">
        <f t="shared" si="490"/>
        <v>S</v>
      </c>
      <c r="M448" s="28">
        <v>21.0</v>
      </c>
      <c r="N448" s="26" t="str">
        <f t="shared" si="491"/>
        <v>R</v>
      </c>
      <c r="O448" s="28">
        <v>22.0</v>
      </c>
      <c r="P448" s="26" t="str">
        <f t="shared" si="492"/>
        <v>I</v>
      </c>
      <c r="Q448" s="28">
        <v>22.0</v>
      </c>
      <c r="R448" s="26" t="str">
        <f t="shared" si="493"/>
        <v>S</v>
      </c>
      <c r="S448" s="28">
        <v>21.0</v>
      </c>
      <c r="T448" s="26" t="str">
        <f t="shared" si="494"/>
        <v>S</v>
      </c>
      <c r="U448" s="28">
        <v>13.0</v>
      </c>
      <c r="V448" s="26" t="str">
        <f t="shared" si="495"/>
        <v>R</v>
      </c>
      <c r="W448" s="32" t="s">
        <v>299</v>
      </c>
      <c r="X448" s="65">
        <v>22.0</v>
      </c>
      <c r="Y448" s="33" t="str">
        <f t="shared" si="496"/>
        <v>S</v>
      </c>
      <c r="Z448" s="65">
        <v>25.0</v>
      </c>
      <c r="AA448" s="33" t="str">
        <f t="shared" si="497"/>
        <v>S</v>
      </c>
      <c r="AB448" s="65">
        <v>23.0</v>
      </c>
      <c r="AC448" s="33" t="str">
        <f t="shared" si="498"/>
        <v>S</v>
      </c>
      <c r="AD448" s="65">
        <v>21.0</v>
      </c>
      <c r="AE448" s="33" t="str">
        <f t="shared" si="499"/>
        <v>S</v>
      </c>
      <c r="AF448" s="65">
        <v>29.0</v>
      </c>
      <c r="AG448" s="33" t="str">
        <f t="shared" si="500"/>
        <v>S</v>
      </c>
      <c r="AH448" s="33" t="s">
        <v>300</v>
      </c>
      <c r="AI448" s="66">
        <v>28.0</v>
      </c>
      <c r="AJ448" s="36" t="str">
        <f t="shared" si="501"/>
        <v>S</v>
      </c>
      <c r="AK448" s="66">
        <v>25.0</v>
      </c>
      <c r="AL448" s="36" t="str">
        <f t="shared" si="502"/>
        <v>S</v>
      </c>
      <c r="AM448" s="66">
        <v>22.0</v>
      </c>
      <c r="AN448" s="36" t="str">
        <f t="shared" si="503"/>
        <v>S</v>
      </c>
      <c r="AO448" s="36" t="s">
        <v>300</v>
      </c>
      <c r="AP448" s="67">
        <v>26.0</v>
      </c>
      <c r="AQ448" s="37" t="str">
        <f t="shared" si="504"/>
        <v>S</v>
      </c>
      <c r="AR448" s="65">
        <v>19.0</v>
      </c>
      <c r="AS448" s="33" t="str">
        <f t="shared" si="505"/>
        <v>S</v>
      </c>
      <c r="AT448" s="65">
        <v>18.0</v>
      </c>
      <c r="AU448" s="33" t="str">
        <f t="shared" si="506"/>
        <v>S</v>
      </c>
      <c r="AV448" s="33" t="s">
        <v>300</v>
      </c>
      <c r="AW448" s="28">
        <v>22.0</v>
      </c>
      <c r="AX448" s="26" t="str">
        <f t="shared" si="507"/>
        <v>S</v>
      </c>
      <c r="AY448" s="67">
        <v>28.0</v>
      </c>
      <c r="AZ448" s="37" t="str">
        <f t="shared" si="508"/>
        <v>S</v>
      </c>
      <c r="BA448" s="66">
        <v>25.0</v>
      </c>
      <c r="BB448" s="36" t="str">
        <f t="shared" si="509"/>
        <v>S</v>
      </c>
      <c r="BC448" s="39" t="s">
        <v>357</v>
      </c>
      <c r="BD448" s="39" t="s">
        <v>357</v>
      </c>
      <c r="BE448" s="66">
        <v>31.0</v>
      </c>
      <c r="BF448" s="36" t="str">
        <f t="shared" si="510"/>
        <v>S</v>
      </c>
      <c r="BG448" s="68">
        <v>22.0</v>
      </c>
      <c r="BH448" s="41" t="str">
        <f t="shared" si="511"/>
        <v>S</v>
      </c>
      <c r="BI448" s="41"/>
    </row>
    <row r="449">
      <c r="A449" s="21" t="s">
        <v>588</v>
      </c>
      <c r="B449" s="21" t="s">
        <v>444</v>
      </c>
      <c r="C449" s="21" t="s">
        <v>1895</v>
      </c>
      <c r="D449" s="69" t="s">
        <v>1009</v>
      </c>
      <c r="E449" s="18" t="s">
        <v>103</v>
      </c>
      <c r="F449" s="18" t="s">
        <v>192</v>
      </c>
      <c r="G449" s="63" t="s">
        <v>1896</v>
      </c>
      <c r="H449" s="22" t="s">
        <v>198</v>
      </c>
      <c r="I449" s="28">
        <v>10.0</v>
      </c>
      <c r="J449" s="26" t="str">
        <f t="shared" si="489"/>
        <v>R</v>
      </c>
      <c r="K449" s="28">
        <v>23.0</v>
      </c>
      <c r="L449" s="26" t="str">
        <f t="shared" si="490"/>
        <v>S</v>
      </c>
      <c r="M449" s="28">
        <v>21.0</v>
      </c>
      <c r="N449" s="26" t="str">
        <f t="shared" si="491"/>
        <v>R</v>
      </c>
      <c r="O449" s="28">
        <v>22.0</v>
      </c>
      <c r="P449" s="26" t="str">
        <f t="shared" si="492"/>
        <v>I</v>
      </c>
      <c r="Q449" s="28">
        <v>22.0</v>
      </c>
      <c r="R449" s="26" t="str">
        <f t="shared" si="493"/>
        <v>S</v>
      </c>
      <c r="S449" s="28">
        <v>21.0</v>
      </c>
      <c r="T449" s="26" t="str">
        <f t="shared" si="494"/>
        <v>S</v>
      </c>
      <c r="U449" s="28">
        <v>13.0</v>
      </c>
      <c r="V449" s="26" t="str">
        <f t="shared" si="495"/>
        <v>R</v>
      </c>
      <c r="W449" s="32" t="s">
        <v>299</v>
      </c>
      <c r="X449" s="65">
        <v>24.0</v>
      </c>
      <c r="Y449" s="33" t="str">
        <f t="shared" si="496"/>
        <v>S</v>
      </c>
      <c r="Z449" s="65">
        <v>24.0</v>
      </c>
      <c r="AA449" s="33" t="str">
        <f t="shared" si="497"/>
        <v>S</v>
      </c>
      <c r="AB449" s="65">
        <v>24.0</v>
      </c>
      <c r="AC449" s="33" t="str">
        <f t="shared" si="498"/>
        <v>S</v>
      </c>
      <c r="AD449" s="65">
        <v>21.0</v>
      </c>
      <c r="AE449" s="33" t="str">
        <f t="shared" si="499"/>
        <v>S</v>
      </c>
      <c r="AF449" s="65">
        <v>28.0</v>
      </c>
      <c r="AG449" s="33" t="str">
        <f t="shared" si="500"/>
        <v>S</v>
      </c>
      <c r="AH449" s="33" t="s">
        <v>300</v>
      </c>
      <c r="AI449" s="66">
        <v>28.0</v>
      </c>
      <c r="AJ449" s="36" t="str">
        <f t="shared" si="501"/>
        <v>S</v>
      </c>
      <c r="AK449" s="66">
        <v>25.0</v>
      </c>
      <c r="AL449" s="36" t="str">
        <f t="shared" si="502"/>
        <v>S</v>
      </c>
      <c r="AM449" s="66">
        <v>23.0</v>
      </c>
      <c r="AN449" s="36" t="str">
        <f t="shared" si="503"/>
        <v>S</v>
      </c>
      <c r="AO449" s="36" t="s">
        <v>300</v>
      </c>
      <c r="AP449" s="67">
        <v>26.0</v>
      </c>
      <c r="AQ449" s="37" t="str">
        <f t="shared" si="504"/>
        <v>S</v>
      </c>
      <c r="AR449" s="65">
        <v>19.0</v>
      </c>
      <c r="AS449" s="33" t="str">
        <f t="shared" si="505"/>
        <v>S</v>
      </c>
      <c r="AT449" s="65">
        <v>18.0</v>
      </c>
      <c r="AU449" s="33" t="str">
        <f t="shared" si="506"/>
        <v>S</v>
      </c>
      <c r="AV449" s="33" t="s">
        <v>300</v>
      </c>
      <c r="AW449" s="28">
        <v>23.0</v>
      </c>
      <c r="AX449" s="26" t="str">
        <f t="shared" si="507"/>
        <v>S</v>
      </c>
      <c r="AY449" s="67">
        <v>28.0</v>
      </c>
      <c r="AZ449" s="37" t="str">
        <f t="shared" si="508"/>
        <v>S</v>
      </c>
      <c r="BA449" s="66">
        <v>25.0</v>
      </c>
      <c r="BB449" s="36" t="str">
        <f t="shared" si="509"/>
        <v>S</v>
      </c>
      <c r="BC449" s="39" t="s">
        <v>357</v>
      </c>
      <c r="BD449" s="39" t="s">
        <v>357</v>
      </c>
      <c r="BE449" s="66">
        <v>31.0</v>
      </c>
      <c r="BF449" s="36" t="str">
        <f t="shared" si="510"/>
        <v>S</v>
      </c>
      <c r="BG449" s="68">
        <v>22.0</v>
      </c>
      <c r="BH449" s="41" t="str">
        <f t="shared" si="511"/>
        <v>S</v>
      </c>
      <c r="BI449" s="41"/>
    </row>
    <row r="450">
      <c r="A450" s="51" t="s">
        <v>962</v>
      </c>
      <c r="B450" s="53">
        <v>204.0</v>
      </c>
      <c r="C450" s="51" t="s">
        <v>1654</v>
      </c>
      <c r="D450" s="69" t="s">
        <v>190</v>
      </c>
      <c r="E450" s="18" t="s">
        <v>190</v>
      </c>
      <c r="F450" s="18" t="s">
        <v>192</v>
      </c>
      <c r="G450" s="63" t="s">
        <v>1655</v>
      </c>
      <c r="H450" s="22" t="s">
        <v>198</v>
      </c>
      <c r="I450" s="28">
        <v>6.0</v>
      </c>
      <c r="J450" s="26" t="str">
        <f t="shared" si="489"/>
        <v>R</v>
      </c>
      <c r="K450" s="28">
        <v>19.0</v>
      </c>
      <c r="L450" s="26" t="str">
        <f t="shared" si="490"/>
        <v>S</v>
      </c>
      <c r="M450" s="28">
        <v>6.0</v>
      </c>
      <c r="N450" s="26" t="str">
        <f t="shared" si="491"/>
        <v>R</v>
      </c>
      <c r="O450" s="28">
        <v>22.0</v>
      </c>
      <c r="P450" s="26" t="str">
        <f t="shared" si="492"/>
        <v>I</v>
      </c>
      <c r="Q450" s="28">
        <v>6.0</v>
      </c>
      <c r="R450" s="26" t="str">
        <f t="shared" si="493"/>
        <v>R</v>
      </c>
      <c r="S450" s="28">
        <v>16.0</v>
      </c>
      <c r="T450" s="26" t="str">
        <f t="shared" si="494"/>
        <v>R</v>
      </c>
      <c r="U450" s="28">
        <v>21.0</v>
      </c>
      <c r="V450" s="26" t="str">
        <f t="shared" si="495"/>
        <v>S</v>
      </c>
      <c r="W450" s="32" t="s">
        <v>299</v>
      </c>
      <c r="X450" s="65">
        <v>6.0</v>
      </c>
      <c r="Y450" s="33" t="str">
        <f t="shared" si="496"/>
        <v>R</v>
      </c>
      <c r="Z450" s="65">
        <v>25.0</v>
      </c>
      <c r="AA450" s="33" t="str">
        <f t="shared" si="497"/>
        <v>S</v>
      </c>
      <c r="AB450" s="65">
        <v>6.0</v>
      </c>
      <c r="AC450" s="33" t="str">
        <f t="shared" si="498"/>
        <v>R</v>
      </c>
      <c r="AD450" s="65">
        <v>16.0</v>
      </c>
      <c r="AE450" s="33" t="str">
        <f t="shared" si="499"/>
        <v>S</v>
      </c>
      <c r="AF450" s="65">
        <v>15.0</v>
      </c>
      <c r="AG450" s="33" t="str">
        <f t="shared" si="500"/>
        <v>R</v>
      </c>
      <c r="AH450" s="65" t="s">
        <v>299</v>
      </c>
      <c r="AI450" s="66">
        <v>6.0</v>
      </c>
      <c r="AJ450" s="36" t="str">
        <f t="shared" si="501"/>
        <v>R</v>
      </c>
      <c r="AK450" s="66">
        <v>6.0</v>
      </c>
      <c r="AL450" s="36" t="str">
        <f t="shared" si="502"/>
        <v>R</v>
      </c>
      <c r="AM450" s="66">
        <v>6.0</v>
      </c>
      <c r="AN450" s="36" t="str">
        <f t="shared" si="503"/>
        <v>R</v>
      </c>
      <c r="AO450" s="66" t="s">
        <v>299</v>
      </c>
      <c r="AP450" s="67">
        <v>6.0</v>
      </c>
      <c r="AQ450" s="37" t="str">
        <f t="shared" si="504"/>
        <v>R</v>
      </c>
      <c r="AR450" s="65">
        <v>13.0</v>
      </c>
      <c r="AS450" s="33" t="str">
        <f t="shared" si="505"/>
        <v>R</v>
      </c>
      <c r="AT450" s="65">
        <v>13.0</v>
      </c>
      <c r="AU450" s="33" t="str">
        <f t="shared" si="506"/>
        <v>R</v>
      </c>
      <c r="AV450" s="65" t="s">
        <v>299</v>
      </c>
      <c r="AW450" s="28">
        <v>6.0</v>
      </c>
      <c r="AX450" s="26" t="str">
        <f t="shared" si="507"/>
        <v>R</v>
      </c>
      <c r="AY450" s="67">
        <v>14.0</v>
      </c>
      <c r="AZ450" s="37" t="str">
        <f t="shared" si="508"/>
        <v>R</v>
      </c>
      <c r="BA450" s="66">
        <v>13.0</v>
      </c>
      <c r="BB450" s="36" t="str">
        <f t="shared" si="509"/>
        <v>R</v>
      </c>
      <c r="BC450" s="39" t="s">
        <v>357</v>
      </c>
      <c r="BD450" s="39" t="s">
        <v>357</v>
      </c>
      <c r="BE450" s="66">
        <v>18.0</v>
      </c>
      <c r="BF450" s="36" t="str">
        <f t="shared" si="510"/>
        <v>R</v>
      </c>
      <c r="BG450" s="68">
        <v>16.0</v>
      </c>
      <c r="BH450" s="41" t="str">
        <f t="shared" si="511"/>
        <v>R</v>
      </c>
      <c r="BI450" s="41"/>
    </row>
    <row r="451">
      <c r="A451" s="51" t="s">
        <v>962</v>
      </c>
      <c r="B451" s="51" t="s">
        <v>444</v>
      </c>
      <c r="C451" s="51" t="s">
        <v>1897</v>
      </c>
      <c r="D451" s="69" t="s">
        <v>190</v>
      </c>
      <c r="E451" s="18" t="s">
        <v>190</v>
      </c>
      <c r="F451" s="18" t="s">
        <v>192</v>
      </c>
      <c r="G451" s="63" t="s">
        <v>1898</v>
      </c>
      <c r="H451" s="22" t="s">
        <v>198</v>
      </c>
      <c r="I451" s="28">
        <v>6.0</v>
      </c>
      <c r="J451" s="26" t="str">
        <f t="shared" si="489"/>
        <v>R</v>
      </c>
      <c r="K451" s="28">
        <v>18.0</v>
      </c>
      <c r="L451" s="26" t="str">
        <f t="shared" si="490"/>
        <v>R</v>
      </c>
      <c r="M451" s="28">
        <v>6.0</v>
      </c>
      <c r="N451" s="26" t="str">
        <f t="shared" si="491"/>
        <v>R</v>
      </c>
      <c r="O451" s="28">
        <v>22.0</v>
      </c>
      <c r="P451" s="26" t="str">
        <f t="shared" si="492"/>
        <v>I</v>
      </c>
      <c r="Q451" s="28">
        <v>6.0</v>
      </c>
      <c r="R451" s="26" t="str">
        <f t="shared" si="493"/>
        <v>R</v>
      </c>
      <c r="S451" s="28">
        <v>16.0</v>
      </c>
      <c r="T451" s="26" t="str">
        <f t="shared" si="494"/>
        <v>R</v>
      </c>
      <c r="U451" s="28">
        <v>21.0</v>
      </c>
      <c r="V451" s="26" t="str">
        <f t="shared" si="495"/>
        <v>S</v>
      </c>
      <c r="W451" s="32" t="s">
        <v>299</v>
      </c>
      <c r="X451" s="65">
        <v>6.0</v>
      </c>
      <c r="Y451" s="33" t="str">
        <f t="shared" si="496"/>
        <v>R</v>
      </c>
      <c r="Z451" s="65">
        <v>24.0</v>
      </c>
      <c r="AA451" s="33" t="str">
        <f t="shared" si="497"/>
        <v>S</v>
      </c>
      <c r="AB451" s="65">
        <v>6.0</v>
      </c>
      <c r="AC451" s="33" t="str">
        <f t="shared" si="498"/>
        <v>R</v>
      </c>
      <c r="AD451" s="65">
        <v>16.0</v>
      </c>
      <c r="AE451" s="33" t="str">
        <f t="shared" si="499"/>
        <v>S</v>
      </c>
      <c r="AF451" s="65">
        <v>15.0</v>
      </c>
      <c r="AG451" s="33" t="str">
        <f t="shared" si="500"/>
        <v>R</v>
      </c>
      <c r="AH451" s="65" t="s">
        <v>299</v>
      </c>
      <c r="AI451" s="66">
        <v>6.0</v>
      </c>
      <c r="AJ451" s="36" t="str">
        <f t="shared" si="501"/>
        <v>R</v>
      </c>
      <c r="AK451" s="66">
        <v>6.0</v>
      </c>
      <c r="AL451" s="36" t="str">
        <f t="shared" si="502"/>
        <v>R</v>
      </c>
      <c r="AM451" s="66">
        <v>6.0</v>
      </c>
      <c r="AN451" s="36" t="str">
        <f t="shared" si="503"/>
        <v>R</v>
      </c>
      <c r="AO451" s="66" t="s">
        <v>299</v>
      </c>
      <c r="AP451" s="67">
        <v>6.0</v>
      </c>
      <c r="AQ451" s="37" t="str">
        <f t="shared" si="504"/>
        <v>R</v>
      </c>
      <c r="AR451" s="65">
        <v>12.0</v>
      </c>
      <c r="AS451" s="33" t="str">
        <f t="shared" si="505"/>
        <v>R</v>
      </c>
      <c r="AT451" s="65">
        <v>13.0</v>
      </c>
      <c r="AU451" s="33" t="str">
        <f t="shared" si="506"/>
        <v>R</v>
      </c>
      <c r="AV451" s="65" t="s">
        <v>299</v>
      </c>
      <c r="AW451" s="28">
        <v>6.0</v>
      </c>
      <c r="AX451" s="26" t="str">
        <f t="shared" si="507"/>
        <v>R</v>
      </c>
      <c r="AY451" s="67">
        <v>14.0</v>
      </c>
      <c r="AZ451" s="37" t="str">
        <f t="shared" si="508"/>
        <v>R</v>
      </c>
      <c r="BA451" s="66">
        <v>13.0</v>
      </c>
      <c r="BB451" s="36" t="str">
        <f t="shared" si="509"/>
        <v>R</v>
      </c>
      <c r="BC451" s="39" t="s">
        <v>357</v>
      </c>
      <c r="BD451" s="39" t="s">
        <v>357</v>
      </c>
      <c r="BE451" s="66">
        <v>18.0</v>
      </c>
      <c r="BF451" s="36" t="str">
        <f t="shared" si="510"/>
        <v>R</v>
      </c>
      <c r="BG451" s="68">
        <v>16.0</v>
      </c>
      <c r="BH451" s="41" t="str">
        <f t="shared" si="511"/>
        <v>R</v>
      </c>
      <c r="BI451" s="41"/>
    </row>
    <row r="452">
      <c r="A452" s="51" t="s">
        <v>962</v>
      </c>
      <c r="B452" s="51" t="s">
        <v>444</v>
      </c>
      <c r="C452" s="51" t="s">
        <v>1899</v>
      </c>
      <c r="D452" s="69" t="s">
        <v>190</v>
      </c>
      <c r="E452" s="18" t="s">
        <v>190</v>
      </c>
      <c r="F452" s="18" t="s">
        <v>192</v>
      </c>
      <c r="G452" s="63" t="s">
        <v>1900</v>
      </c>
      <c r="H452" s="22" t="s">
        <v>198</v>
      </c>
      <c r="I452" s="28">
        <v>6.0</v>
      </c>
      <c r="J452" s="26" t="str">
        <f t="shared" si="489"/>
        <v>R</v>
      </c>
      <c r="K452" s="28">
        <v>18.0</v>
      </c>
      <c r="L452" s="26" t="str">
        <f t="shared" si="490"/>
        <v>R</v>
      </c>
      <c r="M452" s="28">
        <v>6.0</v>
      </c>
      <c r="N452" s="26" t="str">
        <f t="shared" si="491"/>
        <v>R</v>
      </c>
      <c r="O452" s="28">
        <v>22.0</v>
      </c>
      <c r="P452" s="26" t="str">
        <f t="shared" si="492"/>
        <v>I</v>
      </c>
      <c r="Q452" s="28">
        <v>6.0</v>
      </c>
      <c r="R452" s="26" t="str">
        <f t="shared" si="493"/>
        <v>R</v>
      </c>
      <c r="S452" s="28">
        <v>16.0</v>
      </c>
      <c r="T452" s="26" t="str">
        <f t="shared" si="494"/>
        <v>R</v>
      </c>
      <c r="U452" s="28">
        <v>21.0</v>
      </c>
      <c r="V452" s="26" t="str">
        <f t="shared" si="495"/>
        <v>S</v>
      </c>
      <c r="W452" s="32" t="s">
        <v>299</v>
      </c>
      <c r="X452" s="65">
        <v>6.0</v>
      </c>
      <c r="Y452" s="33" t="str">
        <f t="shared" si="496"/>
        <v>R</v>
      </c>
      <c r="Z452" s="65">
        <v>25.0</v>
      </c>
      <c r="AA452" s="33" t="str">
        <f t="shared" si="497"/>
        <v>S</v>
      </c>
      <c r="AB452" s="65">
        <v>6.0</v>
      </c>
      <c r="AC452" s="33" t="str">
        <f t="shared" si="498"/>
        <v>R</v>
      </c>
      <c r="AD452" s="65">
        <v>16.0</v>
      </c>
      <c r="AE452" s="33" t="str">
        <f t="shared" si="499"/>
        <v>S</v>
      </c>
      <c r="AF452" s="65">
        <v>15.0</v>
      </c>
      <c r="AG452" s="33" t="str">
        <f t="shared" si="500"/>
        <v>R</v>
      </c>
      <c r="AH452" s="65" t="s">
        <v>299</v>
      </c>
      <c r="AI452" s="66">
        <v>6.0</v>
      </c>
      <c r="AJ452" s="36" t="str">
        <f t="shared" si="501"/>
        <v>R</v>
      </c>
      <c r="AK452" s="66">
        <v>6.0</v>
      </c>
      <c r="AL452" s="36" t="str">
        <f t="shared" si="502"/>
        <v>R</v>
      </c>
      <c r="AM452" s="66">
        <v>6.0</v>
      </c>
      <c r="AN452" s="36" t="str">
        <f t="shared" si="503"/>
        <v>R</v>
      </c>
      <c r="AO452" s="66" t="s">
        <v>299</v>
      </c>
      <c r="AP452" s="67">
        <v>6.0</v>
      </c>
      <c r="AQ452" s="37" t="str">
        <f t="shared" si="504"/>
        <v>R</v>
      </c>
      <c r="AR452" s="65">
        <v>13.0</v>
      </c>
      <c r="AS452" s="33" t="str">
        <f t="shared" si="505"/>
        <v>R</v>
      </c>
      <c r="AT452" s="65">
        <v>13.0</v>
      </c>
      <c r="AU452" s="33" t="str">
        <f t="shared" si="506"/>
        <v>R</v>
      </c>
      <c r="AV452" s="65" t="s">
        <v>299</v>
      </c>
      <c r="AW452" s="28">
        <v>6.0</v>
      </c>
      <c r="AX452" s="26" t="str">
        <f t="shared" si="507"/>
        <v>R</v>
      </c>
      <c r="AY452" s="67">
        <v>14.0</v>
      </c>
      <c r="AZ452" s="37" t="str">
        <f t="shared" si="508"/>
        <v>R</v>
      </c>
      <c r="BA452" s="66">
        <v>13.0</v>
      </c>
      <c r="BB452" s="36" t="str">
        <f t="shared" si="509"/>
        <v>R</v>
      </c>
      <c r="BC452" s="39" t="s">
        <v>357</v>
      </c>
      <c r="BD452" s="39" t="s">
        <v>357</v>
      </c>
      <c r="BE452" s="66">
        <v>18.0</v>
      </c>
      <c r="BF452" s="36" t="str">
        <f t="shared" si="510"/>
        <v>R</v>
      </c>
      <c r="BG452" s="68">
        <v>16.0</v>
      </c>
      <c r="BH452" s="41" t="str">
        <f t="shared" si="511"/>
        <v>R</v>
      </c>
      <c r="BI452" s="41"/>
    </row>
    <row r="453">
      <c r="A453" s="51" t="s">
        <v>962</v>
      </c>
      <c r="B453" s="53">
        <v>205.0</v>
      </c>
      <c r="C453" s="51" t="s">
        <v>1658</v>
      </c>
      <c r="D453" s="69" t="s">
        <v>571</v>
      </c>
      <c r="E453" s="18" t="s">
        <v>572</v>
      </c>
      <c r="F453" s="18" t="s">
        <v>192</v>
      </c>
      <c r="G453" s="63" t="s">
        <v>1659</v>
      </c>
      <c r="H453" s="22" t="s">
        <v>198</v>
      </c>
      <c r="I453" s="28">
        <v>14.0</v>
      </c>
      <c r="J453" s="26" t="str">
        <f t="shared" si="489"/>
        <v>R</v>
      </c>
      <c r="K453" s="28">
        <v>12.0</v>
      </c>
      <c r="L453" s="26" t="str">
        <f t="shared" si="490"/>
        <v>R</v>
      </c>
      <c r="M453" s="28">
        <v>6.0</v>
      </c>
      <c r="N453" s="26" t="str">
        <f t="shared" si="491"/>
        <v>R</v>
      </c>
      <c r="O453" s="28">
        <v>22.0</v>
      </c>
      <c r="P453" s="26" t="str">
        <f t="shared" si="492"/>
        <v>I</v>
      </c>
      <c r="Q453" s="28">
        <v>6.0</v>
      </c>
      <c r="R453" s="26" t="str">
        <f t="shared" si="493"/>
        <v>R</v>
      </c>
      <c r="S453" s="28">
        <v>15.0</v>
      </c>
      <c r="T453" s="26" t="str">
        <f t="shared" si="494"/>
        <v>R</v>
      </c>
      <c r="U453" s="28">
        <v>25.0</v>
      </c>
      <c r="V453" s="26" t="str">
        <f t="shared" si="495"/>
        <v>S</v>
      </c>
      <c r="W453" s="32" t="s">
        <v>299</v>
      </c>
      <c r="X453" s="65">
        <v>6.0</v>
      </c>
      <c r="Y453" s="33" t="str">
        <f t="shared" si="496"/>
        <v>R</v>
      </c>
      <c r="Z453" s="65">
        <v>21.0</v>
      </c>
      <c r="AA453" s="33" t="str">
        <f t="shared" si="497"/>
        <v>S</v>
      </c>
      <c r="AB453" s="65">
        <v>6.0</v>
      </c>
      <c r="AC453" s="33" t="str">
        <f t="shared" si="498"/>
        <v>R</v>
      </c>
      <c r="AD453" s="65">
        <v>6.0</v>
      </c>
      <c r="AE453" s="33" t="str">
        <f t="shared" si="499"/>
        <v>R</v>
      </c>
      <c r="AF453" s="65">
        <v>6.0</v>
      </c>
      <c r="AG453" s="33" t="str">
        <f t="shared" si="500"/>
        <v>R</v>
      </c>
      <c r="AH453" s="65" t="s">
        <v>299</v>
      </c>
      <c r="AI453" s="66">
        <v>6.0</v>
      </c>
      <c r="AJ453" s="36" t="str">
        <f t="shared" si="501"/>
        <v>R</v>
      </c>
      <c r="AK453" s="66">
        <v>6.0</v>
      </c>
      <c r="AL453" s="36" t="str">
        <f t="shared" si="502"/>
        <v>R</v>
      </c>
      <c r="AM453" s="66">
        <v>6.0</v>
      </c>
      <c r="AN453" s="36" t="str">
        <f t="shared" si="503"/>
        <v>R</v>
      </c>
      <c r="AO453" s="66" t="s">
        <v>299</v>
      </c>
      <c r="AP453" s="67">
        <v>6.0</v>
      </c>
      <c r="AQ453" s="37" t="str">
        <f t="shared" si="504"/>
        <v>R</v>
      </c>
      <c r="AR453" s="65">
        <v>6.0</v>
      </c>
      <c r="AS453" s="33" t="str">
        <f t="shared" si="505"/>
        <v>R</v>
      </c>
      <c r="AT453" s="65">
        <v>6.0</v>
      </c>
      <c r="AU453" s="33" t="str">
        <f t="shared" si="506"/>
        <v>R</v>
      </c>
      <c r="AV453" s="65" t="s">
        <v>299</v>
      </c>
      <c r="AW453" s="28">
        <v>6.0</v>
      </c>
      <c r="AX453" s="26" t="str">
        <f t="shared" si="507"/>
        <v>R</v>
      </c>
      <c r="AY453" s="67">
        <v>6.0</v>
      </c>
      <c r="AZ453" s="37" t="str">
        <f t="shared" si="508"/>
        <v>R</v>
      </c>
      <c r="BA453" s="66">
        <v>22.0</v>
      </c>
      <c r="BB453" s="36" t="str">
        <f t="shared" si="509"/>
        <v>R</v>
      </c>
      <c r="BC453" s="39" t="s">
        <v>357</v>
      </c>
      <c r="BD453" s="39" t="s">
        <v>357</v>
      </c>
      <c r="BE453" s="66">
        <v>6.0</v>
      </c>
      <c r="BF453" s="36" t="str">
        <f t="shared" si="510"/>
        <v>R</v>
      </c>
      <c r="BG453" s="68">
        <v>17.0</v>
      </c>
      <c r="BH453" s="41" t="str">
        <f t="shared" si="511"/>
        <v>S</v>
      </c>
      <c r="BI453" s="41"/>
    </row>
    <row r="454">
      <c r="A454" s="51" t="s">
        <v>962</v>
      </c>
      <c r="B454" s="51" t="s">
        <v>444</v>
      </c>
      <c r="C454" s="51" t="s">
        <v>1901</v>
      </c>
      <c r="D454" s="69" t="s">
        <v>571</v>
      </c>
      <c r="E454" s="18" t="s">
        <v>572</v>
      </c>
      <c r="F454" s="18" t="s">
        <v>192</v>
      </c>
      <c r="G454" s="63" t="s">
        <v>1902</v>
      </c>
      <c r="H454" s="22" t="s">
        <v>198</v>
      </c>
      <c r="I454" s="28">
        <v>14.0</v>
      </c>
      <c r="J454" s="26" t="str">
        <f t="shared" si="489"/>
        <v>R</v>
      </c>
      <c r="K454" s="28">
        <v>12.0</v>
      </c>
      <c r="L454" s="26" t="str">
        <f t="shared" si="490"/>
        <v>R</v>
      </c>
      <c r="M454" s="28">
        <v>6.0</v>
      </c>
      <c r="N454" s="26" t="str">
        <f t="shared" si="491"/>
        <v>R</v>
      </c>
      <c r="O454" s="28">
        <v>22.0</v>
      </c>
      <c r="P454" s="26" t="str">
        <f t="shared" si="492"/>
        <v>I</v>
      </c>
      <c r="Q454" s="28">
        <v>6.0</v>
      </c>
      <c r="R454" s="26" t="str">
        <f t="shared" si="493"/>
        <v>R</v>
      </c>
      <c r="S454" s="28">
        <v>15.0</v>
      </c>
      <c r="T454" s="26" t="str">
        <f t="shared" si="494"/>
        <v>R</v>
      </c>
      <c r="U454" s="28">
        <v>25.0</v>
      </c>
      <c r="V454" s="26" t="str">
        <f t="shared" si="495"/>
        <v>S</v>
      </c>
      <c r="W454" s="32" t="s">
        <v>299</v>
      </c>
      <c r="X454" s="65">
        <v>6.0</v>
      </c>
      <c r="Y454" s="33" t="str">
        <f t="shared" si="496"/>
        <v>R</v>
      </c>
      <c r="Z454" s="65">
        <v>21.0</v>
      </c>
      <c r="AA454" s="33" t="str">
        <f t="shared" si="497"/>
        <v>S</v>
      </c>
      <c r="AB454" s="65">
        <v>6.0</v>
      </c>
      <c r="AC454" s="33" t="str">
        <f t="shared" si="498"/>
        <v>R</v>
      </c>
      <c r="AD454" s="65">
        <v>6.0</v>
      </c>
      <c r="AE454" s="33" t="str">
        <f t="shared" si="499"/>
        <v>R</v>
      </c>
      <c r="AF454" s="65">
        <v>6.0</v>
      </c>
      <c r="AG454" s="33" t="str">
        <f t="shared" si="500"/>
        <v>R</v>
      </c>
      <c r="AH454" s="65" t="s">
        <v>299</v>
      </c>
      <c r="AI454" s="66">
        <v>6.0</v>
      </c>
      <c r="AJ454" s="36" t="str">
        <f t="shared" si="501"/>
        <v>R</v>
      </c>
      <c r="AK454" s="66">
        <v>6.0</v>
      </c>
      <c r="AL454" s="36" t="str">
        <f t="shared" si="502"/>
        <v>R</v>
      </c>
      <c r="AM454" s="66">
        <v>6.0</v>
      </c>
      <c r="AN454" s="36" t="str">
        <f t="shared" si="503"/>
        <v>R</v>
      </c>
      <c r="AO454" s="66" t="s">
        <v>299</v>
      </c>
      <c r="AP454" s="67">
        <v>6.0</v>
      </c>
      <c r="AQ454" s="37" t="str">
        <f t="shared" si="504"/>
        <v>R</v>
      </c>
      <c r="AR454" s="65">
        <v>6.0</v>
      </c>
      <c r="AS454" s="33" t="str">
        <f t="shared" si="505"/>
        <v>R</v>
      </c>
      <c r="AT454" s="65">
        <v>6.0</v>
      </c>
      <c r="AU454" s="33" t="str">
        <f t="shared" si="506"/>
        <v>R</v>
      </c>
      <c r="AV454" s="65" t="s">
        <v>299</v>
      </c>
      <c r="AW454" s="28">
        <v>6.0</v>
      </c>
      <c r="AX454" s="26" t="str">
        <f t="shared" si="507"/>
        <v>R</v>
      </c>
      <c r="AY454" s="67">
        <v>6.0</v>
      </c>
      <c r="AZ454" s="37" t="str">
        <f t="shared" si="508"/>
        <v>R</v>
      </c>
      <c r="BA454" s="66">
        <v>22.0</v>
      </c>
      <c r="BB454" s="36" t="str">
        <f t="shared" si="509"/>
        <v>R</v>
      </c>
      <c r="BC454" s="39" t="s">
        <v>357</v>
      </c>
      <c r="BD454" s="39" t="s">
        <v>357</v>
      </c>
      <c r="BE454" s="66">
        <v>6.0</v>
      </c>
      <c r="BF454" s="36" t="str">
        <f t="shared" si="510"/>
        <v>R</v>
      </c>
      <c r="BG454" s="68">
        <v>17.0</v>
      </c>
      <c r="BH454" s="41" t="str">
        <f t="shared" si="511"/>
        <v>S</v>
      </c>
      <c r="BI454" s="41"/>
    </row>
    <row r="455">
      <c r="A455" s="51" t="s">
        <v>962</v>
      </c>
      <c r="B455" s="51" t="s">
        <v>444</v>
      </c>
      <c r="C455" s="51" t="s">
        <v>1903</v>
      </c>
      <c r="D455" s="69" t="s">
        <v>571</v>
      </c>
      <c r="E455" s="18" t="s">
        <v>572</v>
      </c>
      <c r="F455" s="18" t="s">
        <v>192</v>
      </c>
      <c r="G455" s="63" t="s">
        <v>1904</v>
      </c>
      <c r="H455" s="22" t="s">
        <v>198</v>
      </c>
      <c r="I455" s="28">
        <v>14.0</v>
      </c>
      <c r="J455" s="26" t="str">
        <f t="shared" si="489"/>
        <v>R</v>
      </c>
      <c r="K455" s="28">
        <v>12.0</v>
      </c>
      <c r="L455" s="26" t="str">
        <f t="shared" si="490"/>
        <v>R</v>
      </c>
      <c r="M455" s="28">
        <v>6.0</v>
      </c>
      <c r="N455" s="26" t="str">
        <f t="shared" si="491"/>
        <v>R</v>
      </c>
      <c r="O455" s="28">
        <v>22.0</v>
      </c>
      <c r="P455" s="26" t="str">
        <f t="shared" si="492"/>
        <v>I</v>
      </c>
      <c r="Q455" s="28">
        <v>6.0</v>
      </c>
      <c r="R455" s="26" t="str">
        <f t="shared" si="493"/>
        <v>R</v>
      </c>
      <c r="S455" s="28">
        <v>15.0</v>
      </c>
      <c r="T455" s="26" t="str">
        <f t="shared" si="494"/>
        <v>R</v>
      </c>
      <c r="U455" s="28">
        <v>25.0</v>
      </c>
      <c r="V455" s="26" t="str">
        <f t="shared" si="495"/>
        <v>S</v>
      </c>
      <c r="W455" s="32" t="s">
        <v>299</v>
      </c>
      <c r="X455" s="65">
        <v>6.0</v>
      </c>
      <c r="Y455" s="33" t="str">
        <f t="shared" si="496"/>
        <v>R</v>
      </c>
      <c r="Z455" s="65">
        <v>21.0</v>
      </c>
      <c r="AA455" s="33" t="str">
        <f t="shared" si="497"/>
        <v>S</v>
      </c>
      <c r="AB455" s="65">
        <v>6.0</v>
      </c>
      <c r="AC455" s="33" t="str">
        <f t="shared" si="498"/>
        <v>R</v>
      </c>
      <c r="AD455" s="65">
        <v>6.0</v>
      </c>
      <c r="AE455" s="33" t="str">
        <f t="shared" si="499"/>
        <v>R</v>
      </c>
      <c r="AF455" s="65">
        <v>6.0</v>
      </c>
      <c r="AG455" s="33" t="str">
        <f t="shared" si="500"/>
        <v>R</v>
      </c>
      <c r="AH455" s="65" t="s">
        <v>299</v>
      </c>
      <c r="AI455" s="66">
        <v>6.0</v>
      </c>
      <c r="AJ455" s="36" t="str">
        <f t="shared" si="501"/>
        <v>R</v>
      </c>
      <c r="AK455" s="66">
        <v>6.0</v>
      </c>
      <c r="AL455" s="36" t="str">
        <f t="shared" si="502"/>
        <v>R</v>
      </c>
      <c r="AM455" s="66">
        <v>6.0</v>
      </c>
      <c r="AN455" s="36" t="str">
        <f t="shared" si="503"/>
        <v>R</v>
      </c>
      <c r="AO455" s="66" t="s">
        <v>299</v>
      </c>
      <c r="AP455" s="67">
        <v>6.0</v>
      </c>
      <c r="AQ455" s="37" t="str">
        <f t="shared" si="504"/>
        <v>R</v>
      </c>
      <c r="AR455" s="65">
        <v>6.0</v>
      </c>
      <c r="AS455" s="33" t="str">
        <f t="shared" si="505"/>
        <v>R</v>
      </c>
      <c r="AT455" s="65">
        <v>6.0</v>
      </c>
      <c r="AU455" s="33" t="str">
        <f t="shared" si="506"/>
        <v>R</v>
      </c>
      <c r="AV455" s="65" t="s">
        <v>299</v>
      </c>
      <c r="AW455" s="28">
        <v>6.0</v>
      </c>
      <c r="AX455" s="26" t="str">
        <f t="shared" si="507"/>
        <v>R</v>
      </c>
      <c r="AY455" s="67">
        <v>6.0</v>
      </c>
      <c r="AZ455" s="37" t="str">
        <f t="shared" si="508"/>
        <v>R</v>
      </c>
      <c r="BA455" s="66">
        <v>22.0</v>
      </c>
      <c r="BB455" s="36" t="str">
        <f t="shared" si="509"/>
        <v>R</v>
      </c>
      <c r="BC455" s="39" t="s">
        <v>357</v>
      </c>
      <c r="BD455" s="39" t="s">
        <v>357</v>
      </c>
      <c r="BE455" s="66">
        <v>6.0</v>
      </c>
      <c r="BF455" s="36" t="str">
        <f t="shared" si="510"/>
        <v>R</v>
      </c>
      <c r="BG455" s="68">
        <v>17.0</v>
      </c>
      <c r="BH455" s="41" t="str">
        <f t="shared" si="511"/>
        <v>S</v>
      </c>
      <c r="BI455" s="41"/>
    </row>
    <row r="456">
      <c r="A456" s="21" t="s">
        <v>966</v>
      </c>
      <c r="B456" s="23">
        <v>206.0</v>
      </c>
      <c r="C456" s="21" t="s">
        <v>1661</v>
      </c>
      <c r="D456" s="69" t="s">
        <v>190</v>
      </c>
      <c r="E456" s="18" t="s">
        <v>190</v>
      </c>
      <c r="F456" s="18" t="s">
        <v>192</v>
      </c>
      <c r="G456" s="63" t="s">
        <v>1662</v>
      </c>
      <c r="H456" s="42" t="s">
        <v>479</v>
      </c>
      <c r="I456" s="28">
        <v>6.0</v>
      </c>
      <c r="J456" s="26" t="str">
        <f t="shared" si="489"/>
        <v>R</v>
      </c>
      <c r="K456" s="28">
        <v>19.0</v>
      </c>
      <c r="L456" s="26" t="str">
        <f t="shared" si="490"/>
        <v>S</v>
      </c>
      <c r="M456" s="28">
        <v>6.0</v>
      </c>
      <c r="N456" s="26" t="str">
        <f t="shared" si="491"/>
        <v>R</v>
      </c>
      <c r="O456" s="28">
        <v>22.0</v>
      </c>
      <c r="P456" s="26" t="str">
        <f t="shared" si="492"/>
        <v>I</v>
      </c>
      <c r="Q456" s="28">
        <v>6.0</v>
      </c>
      <c r="R456" s="26" t="str">
        <f t="shared" si="493"/>
        <v>R</v>
      </c>
      <c r="S456" s="28">
        <v>16.0</v>
      </c>
      <c r="T456" s="26" t="str">
        <f t="shared" si="494"/>
        <v>R</v>
      </c>
      <c r="U456" s="28">
        <v>21.0</v>
      </c>
      <c r="V456" s="26" t="str">
        <f t="shared" si="495"/>
        <v>S</v>
      </c>
      <c r="W456" s="32" t="s">
        <v>299</v>
      </c>
      <c r="X456" s="65">
        <v>6.0</v>
      </c>
      <c r="Y456" s="33" t="str">
        <f t="shared" si="496"/>
        <v>R</v>
      </c>
      <c r="Z456" s="65">
        <v>25.0</v>
      </c>
      <c r="AA456" s="33" t="str">
        <f t="shared" si="497"/>
        <v>S</v>
      </c>
      <c r="AB456" s="65">
        <v>6.0</v>
      </c>
      <c r="AC456" s="33" t="str">
        <f t="shared" si="498"/>
        <v>R</v>
      </c>
      <c r="AD456" s="65">
        <v>16.0</v>
      </c>
      <c r="AE456" s="33" t="str">
        <f t="shared" si="499"/>
        <v>S</v>
      </c>
      <c r="AF456" s="65">
        <v>15.0</v>
      </c>
      <c r="AG456" s="33" t="str">
        <f t="shared" si="500"/>
        <v>R</v>
      </c>
      <c r="AH456" s="65" t="s">
        <v>299</v>
      </c>
      <c r="AI456" s="66">
        <v>6.0</v>
      </c>
      <c r="AJ456" s="36" t="str">
        <f t="shared" si="501"/>
        <v>R</v>
      </c>
      <c r="AK456" s="66">
        <v>6.0</v>
      </c>
      <c r="AL456" s="36" t="str">
        <f t="shared" si="502"/>
        <v>R</v>
      </c>
      <c r="AM456" s="66">
        <v>6.0</v>
      </c>
      <c r="AN456" s="36" t="str">
        <f t="shared" si="503"/>
        <v>R</v>
      </c>
      <c r="AO456" s="66" t="s">
        <v>299</v>
      </c>
      <c r="AP456" s="67">
        <v>6.0</v>
      </c>
      <c r="AQ456" s="37" t="str">
        <f t="shared" si="504"/>
        <v>R</v>
      </c>
      <c r="AR456" s="65">
        <v>13.0</v>
      </c>
      <c r="AS456" s="33" t="str">
        <f t="shared" si="505"/>
        <v>R</v>
      </c>
      <c r="AT456" s="65">
        <v>13.0</v>
      </c>
      <c r="AU456" s="33" t="str">
        <f t="shared" si="506"/>
        <v>R</v>
      </c>
      <c r="AV456" s="65" t="s">
        <v>299</v>
      </c>
      <c r="AW456" s="28">
        <v>6.0</v>
      </c>
      <c r="AX456" s="26" t="str">
        <f t="shared" si="507"/>
        <v>R</v>
      </c>
      <c r="AY456" s="67">
        <v>14.0</v>
      </c>
      <c r="AZ456" s="37" t="str">
        <f t="shared" si="508"/>
        <v>R</v>
      </c>
      <c r="BA456" s="66">
        <v>23.0</v>
      </c>
      <c r="BB456" s="36" t="str">
        <f t="shared" si="509"/>
        <v>S</v>
      </c>
      <c r="BC456" s="39" t="s">
        <v>357</v>
      </c>
      <c r="BD456" s="39" t="s">
        <v>357</v>
      </c>
      <c r="BE456" s="66">
        <v>18.0</v>
      </c>
      <c r="BF456" s="36" t="str">
        <f t="shared" si="510"/>
        <v>R</v>
      </c>
      <c r="BG456" s="68">
        <v>16.0</v>
      </c>
      <c r="BH456" s="41" t="str">
        <f t="shared" si="511"/>
        <v>R</v>
      </c>
      <c r="BI456" s="41"/>
    </row>
    <row r="457">
      <c r="A457" s="21" t="s">
        <v>966</v>
      </c>
      <c r="B457" s="21" t="s">
        <v>444</v>
      </c>
      <c r="C457" s="21" t="s">
        <v>1905</v>
      </c>
      <c r="D457" s="69" t="s">
        <v>190</v>
      </c>
      <c r="E457" s="18" t="s">
        <v>190</v>
      </c>
      <c r="F457" s="18" t="s">
        <v>192</v>
      </c>
      <c r="G457" s="63" t="s">
        <v>1906</v>
      </c>
      <c r="H457" s="42" t="s">
        <v>479</v>
      </c>
      <c r="I457" s="28">
        <v>6.0</v>
      </c>
      <c r="J457" s="26" t="str">
        <f t="shared" si="489"/>
        <v>R</v>
      </c>
      <c r="K457" s="28">
        <v>19.0</v>
      </c>
      <c r="L457" s="26" t="str">
        <f t="shared" si="490"/>
        <v>S</v>
      </c>
      <c r="M457" s="28">
        <v>6.0</v>
      </c>
      <c r="N457" s="26" t="str">
        <f t="shared" si="491"/>
        <v>R</v>
      </c>
      <c r="O457" s="28">
        <v>22.0</v>
      </c>
      <c r="P457" s="26" t="str">
        <f t="shared" si="492"/>
        <v>I</v>
      </c>
      <c r="Q457" s="28">
        <v>6.0</v>
      </c>
      <c r="R457" s="26" t="str">
        <f t="shared" si="493"/>
        <v>R</v>
      </c>
      <c r="S457" s="28">
        <v>16.0</v>
      </c>
      <c r="T457" s="26" t="str">
        <f t="shared" si="494"/>
        <v>R</v>
      </c>
      <c r="U457" s="28">
        <v>21.0</v>
      </c>
      <c r="V457" s="26" t="str">
        <f t="shared" si="495"/>
        <v>S</v>
      </c>
      <c r="W457" s="32" t="s">
        <v>299</v>
      </c>
      <c r="X457" s="65">
        <v>6.0</v>
      </c>
      <c r="Y457" s="33" t="str">
        <f t="shared" si="496"/>
        <v>R</v>
      </c>
      <c r="Z457" s="65">
        <v>25.0</v>
      </c>
      <c r="AA457" s="33" t="str">
        <f t="shared" si="497"/>
        <v>S</v>
      </c>
      <c r="AB457" s="65">
        <v>6.0</v>
      </c>
      <c r="AC457" s="33" t="str">
        <f t="shared" si="498"/>
        <v>R</v>
      </c>
      <c r="AD457" s="65">
        <v>16.0</v>
      </c>
      <c r="AE457" s="33" t="str">
        <f t="shared" si="499"/>
        <v>S</v>
      </c>
      <c r="AF457" s="65">
        <v>15.0</v>
      </c>
      <c r="AG457" s="33" t="str">
        <f t="shared" si="500"/>
        <v>R</v>
      </c>
      <c r="AH457" s="65" t="s">
        <v>299</v>
      </c>
      <c r="AI457" s="66">
        <v>6.0</v>
      </c>
      <c r="AJ457" s="36" t="str">
        <f t="shared" si="501"/>
        <v>R</v>
      </c>
      <c r="AK457" s="66">
        <v>6.0</v>
      </c>
      <c r="AL457" s="36" t="str">
        <f t="shared" si="502"/>
        <v>R</v>
      </c>
      <c r="AM457" s="66">
        <v>6.0</v>
      </c>
      <c r="AN457" s="36" t="str">
        <f t="shared" si="503"/>
        <v>R</v>
      </c>
      <c r="AO457" s="66" t="s">
        <v>299</v>
      </c>
      <c r="AP457" s="67">
        <v>6.0</v>
      </c>
      <c r="AQ457" s="37" t="str">
        <f t="shared" si="504"/>
        <v>R</v>
      </c>
      <c r="AR457" s="65">
        <v>13.0</v>
      </c>
      <c r="AS457" s="33" t="str">
        <f t="shared" si="505"/>
        <v>R</v>
      </c>
      <c r="AT457" s="65">
        <v>13.0</v>
      </c>
      <c r="AU457" s="33" t="str">
        <f t="shared" si="506"/>
        <v>R</v>
      </c>
      <c r="AV457" s="65" t="s">
        <v>299</v>
      </c>
      <c r="AW457" s="28">
        <v>6.0</v>
      </c>
      <c r="AX457" s="26" t="str">
        <f t="shared" si="507"/>
        <v>R</v>
      </c>
      <c r="AY457" s="67">
        <v>14.0</v>
      </c>
      <c r="AZ457" s="37" t="str">
        <f t="shared" si="508"/>
        <v>R</v>
      </c>
      <c r="BA457" s="66">
        <v>23.0</v>
      </c>
      <c r="BB457" s="36" t="str">
        <f t="shared" si="509"/>
        <v>S</v>
      </c>
      <c r="BC457" s="39" t="s">
        <v>357</v>
      </c>
      <c r="BD457" s="39" t="s">
        <v>357</v>
      </c>
      <c r="BE457" s="66">
        <v>18.0</v>
      </c>
      <c r="BF457" s="36" t="str">
        <f t="shared" si="510"/>
        <v>R</v>
      </c>
      <c r="BG457" s="68">
        <v>16.0</v>
      </c>
      <c r="BH457" s="41" t="str">
        <f t="shared" si="511"/>
        <v>R</v>
      </c>
      <c r="BI457" s="41"/>
    </row>
    <row r="458">
      <c r="A458" s="21" t="s">
        <v>966</v>
      </c>
      <c r="B458" s="21" t="s">
        <v>444</v>
      </c>
      <c r="C458" s="21" t="s">
        <v>1907</v>
      </c>
      <c r="D458" s="69" t="s">
        <v>190</v>
      </c>
      <c r="E458" s="18" t="s">
        <v>190</v>
      </c>
      <c r="F458" s="18" t="s">
        <v>192</v>
      </c>
      <c r="G458" s="63" t="s">
        <v>1908</v>
      </c>
      <c r="H458" s="42" t="s">
        <v>479</v>
      </c>
      <c r="I458" s="28">
        <v>6.0</v>
      </c>
      <c r="J458" s="26" t="str">
        <f t="shared" si="489"/>
        <v>R</v>
      </c>
      <c r="K458" s="28">
        <v>19.0</v>
      </c>
      <c r="L458" s="26" t="str">
        <f t="shared" si="490"/>
        <v>S</v>
      </c>
      <c r="M458" s="28">
        <v>6.0</v>
      </c>
      <c r="N458" s="26" t="str">
        <f t="shared" si="491"/>
        <v>R</v>
      </c>
      <c r="O458" s="28">
        <v>22.0</v>
      </c>
      <c r="P458" s="26" t="str">
        <f t="shared" si="492"/>
        <v>I</v>
      </c>
      <c r="Q458" s="28">
        <v>6.0</v>
      </c>
      <c r="R458" s="26" t="str">
        <f t="shared" si="493"/>
        <v>R</v>
      </c>
      <c r="S458" s="28">
        <v>16.0</v>
      </c>
      <c r="T458" s="26" t="str">
        <f t="shared" si="494"/>
        <v>R</v>
      </c>
      <c r="U458" s="28">
        <v>21.0</v>
      </c>
      <c r="V458" s="26" t="str">
        <f t="shared" si="495"/>
        <v>S</v>
      </c>
      <c r="W458" s="32" t="s">
        <v>299</v>
      </c>
      <c r="X458" s="65">
        <v>6.0</v>
      </c>
      <c r="Y458" s="33" t="str">
        <f t="shared" si="496"/>
        <v>R</v>
      </c>
      <c r="Z458" s="65">
        <v>25.0</v>
      </c>
      <c r="AA458" s="33" t="str">
        <f t="shared" si="497"/>
        <v>S</v>
      </c>
      <c r="AB458" s="65">
        <v>6.0</v>
      </c>
      <c r="AC458" s="33" t="str">
        <f t="shared" si="498"/>
        <v>R</v>
      </c>
      <c r="AD458" s="65">
        <v>16.0</v>
      </c>
      <c r="AE458" s="33" t="str">
        <f t="shared" si="499"/>
        <v>S</v>
      </c>
      <c r="AF458" s="65">
        <v>15.0</v>
      </c>
      <c r="AG458" s="33" t="str">
        <f t="shared" si="500"/>
        <v>R</v>
      </c>
      <c r="AH458" s="65" t="s">
        <v>299</v>
      </c>
      <c r="AI458" s="66">
        <v>6.0</v>
      </c>
      <c r="AJ458" s="36" t="str">
        <f t="shared" si="501"/>
        <v>R</v>
      </c>
      <c r="AK458" s="66">
        <v>6.0</v>
      </c>
      <c r="AL458" s="36" t="str">
        <f t="shared" si="502"/>
        <v>R</v>
      </c>
      <c r="AM458" s="66">
        <v>6.0</v>
      </c>
      <c r="AN458" s="36" t="str">
        <f t="shared" si="503"/>
        <v>R</v>
      </c>
      <c r="AO458" s="66" t="s">
        <v>299</v>
      </c>
      <c r="AP458" s="67">
        <v>6.0</v>
      </c>
      <c r="AQ458" s="37" t="str">
        <f t="shared" si="504"/>
        <v>R</v>
      </c>
      <c r="AR458" s="65">
        <v>13.0</v>
      </c>
      <c r="AS458" s="33" t="str">
        <f t="shared" si="505"/>
        <v>R</v>
      </c>
      <c r="AT458" s="65">
        <v>13.0</v>
      </c>
      <c r="AU458" s="33" t="str">
        <f t="shared" si="506"/>
        <v>R</v>
      </c>
      <c r="AV458" s="65" t="s">
        <v>299</v>
      </c>
      <c r="AW458" s="28">
        <v>6.0</v>
      </c>
      <c r="AX458" s="26" t="str">
        <f t="shared" si="507"/>
        <v>R</v>
      </c>
      <c r="AY458" s="67">
        <v>14.0</v>
      </c>
      <c r="AZ458" s="37" t="str">
        <f t="shared" si="508"/>
        <v>R</v>
      </c>
      <c r="BA458" s="66">
        <v>23.0</v>
      </c>
      <c r="BB458" s="36" t="str">
        <f t="shared" si="509"/>
        <v>S</v>
      </c>
      <c r="BC458" s="39" t="s">
        <v>357</v>
      </c>
      <c r="BD458" s="39" t="s">
        <v>357</v>
      </c>
      <c r="BE458" s="66">
        <v>18.0</v>
      </c>
      <c r="BF458" s="36" t="str">
        <f t="shared" si="510"/>
        <v>R</v>
      </c>
      <c r="BG458" s="68">
        <v>16.0</v>
      </c>
      <c r="BH458" s="41" t="str">
        <f t="shared" si="511"/>
        <v>R</v>
      </c>
      <c r="BI458" s="41"/>
    </row>
    <row r="459">
      <c r="A459" s="21" t="s">
        <v>966</v>
      </c>
      <c r="B459" s="23">
        <v>207.0</v>
      </c>
      <c r="C459" s="21" t="s">
        <v>1664</v>
      </c>
      <c r="D459" s="69" t="s">
        <v>705</v>
      </c>
      <c r="E459" s="18" t="s">
        <v>572</v>
      </c>
      <c r="F459" s="18" t="s">
        <v>192</v>
      </c>
      <c r="G459" s="63" t="s">
        <v>1665</v>
      </c>
      <c r="H459" s="42" t="s">
        <v>479</v>
      </c>
      <c r="I459" s="28">
        <v>15.0</v>
      </c>
      <c r="J459" s="26" t="str">
        <f t="shared" si="489"/>
        <v>R</v>
      </c>
      <c r="K459" s="28">
        <v>18.0</v>
      </c>
      <c r="L459" s="26" t="str">
        <f t="shared" si="490"/>
        <v>R</v>
      </c>
      <c r="M459" s="28">
        <v>17.0</v>
      </c>
      <c r="N459" s="26" t="str">
        <f t="shared" si="491"/>
        <v>R</v>
      </c>
      <c r="O459" s="28">
        <v>14.0</v>
      </c>
      <c r="P459" s="26" t="str">
        <f t="shared" si="492"/>
        <v>R</v>
      </c>
      <c r="Q459" s="28">
        <v>16.0</v>
      </c>
      <c r="R459" s="26" t="str">
        <f t="shared" si="493"/>
        <v>R</v>
      </c>
      <c r="S459" s="28">
        <v>17.0</v>
      </c>
      <c r="T459" s="26" t="str">
        <f t="shared" si="494"/>
        <v>R</v>
      </c>
      <c r="U459" s="28">
        <v>6.0</v>
      </c>
      <c r="V459" s="26" t="str">
        <f t="shared" si="495"/>
        <v>R</v>
      </c>
      <c r="W459" s="32" t="s">
        <v>299</v>
      </c>
      <c r="X459" s="65">
        <v>6.0</v>
      </c>
      <c r="Y459" s="33" t="str">
        <f t="shared" si="496"/>
        <v>R</v>
      </c>
      <c r="Z459" s="65">
        <v>6.0</v>
      </c>
      <c r="AA459" s="33" t="str">
        <f t="shared" si="497"/>
        <v>R</v>
      </c>
      <c r="AB459" s="65">
        <v>6.0</v>
      </c>
      <c r="AC459" s="33" t="str">
        <f t="shared" si="498"/>
        <v>R</v>
      </c>
      <c r="AD459" s="65">
        <v>6.0</v>
      </c>
      <c r="AE459" s="33" t="str">
        <f t="shared" si="499"/>
        <v>R</v>
      </c>
      <c r="AF459" s="65">
        <v>6.0</v>
      </c>
      <c r="AG459" s="33" t="str">
        <f t="shared" si="500"/>
        <v>R</v>
      </c>
      <c r="AH459" s="65" t="s">
        <v>299</v>
      </c>
      <c r="AI459" s="66">
        <v>6.0</v>
      </c>
      <c r="AJ459" s="36" t="str">
        <f t="shared" si="501"/>
        <v>R</v>
      </c>
      <c r="AK459" s="66">
        <v>12.0</v>
      </c>
      <c r="AL459" s="36" t="str">
        <f t="shared" si="502"/>
        <v>R</v>
      </c>
      <c r="AM459" s="66">
        <v>6.0</v>
      </c>
      <c r="AN459" s="36" t="str">
        <f t="shared" si="503"/>
        <v>R</v>
      </c>
      <c r="AO459" s="66" t="s">
        <v>299</v>
      </c>
      <c r="AP459" s="67">
        <v>6.0</v>
      </c>
      <c r="AQ459" s="37" t="str">
        <f t="shared" si="504"/>
        <v>R</v>
      </c>
      <c r="AR459" s="65">
        <v>6.0</v>
      </c>
      <c r="AS459" s="33" t="str">
        <f t="shared" si="505"/>
        <v>R</v>
      </c>
      <c r="AT459" s="65">
        <v>6.0</v>
      </c>
      <c r="AU459" s="33" t="str">
        <f t="shared" si="506"/>
        <v>R</v>
      </c>
      <c r="AV459" s="65" t="s">
        <v>299</v>
      </c>
      <c r="AW459" s="28">
        <v>15.0</v>
      </c>
      <c r="AX459" s="26" t="str">
        <f t="shared" si="507"/>
        <v>R</v>
      </c>
      <c r="AY459" s="67">
        <v>6.0</v>
      </c>
      <c r="AZ459" s="37" t="str">
        <f t="shared" si="508"/>
        <v>R</v>
      </c>
      <c r="BA459" s="66">
        <v>12.0</v>
      </c>
      <c r="BB459" s="36" t="str">
        <f t="shared" si="509"/>
        <v>R</v>
      </c>
      <c r="BC459" s="39" t="s">
        <v>357</v>
      </c>
      <c r="BD459" s="39" t="s">
        <v>357</v>
      </c>
      <c r="BE459" s="66">
        <v>20.0</v>
      </c>
      <c r="BF459" s="36" t="str">
        <f t="shared" si="510"/>
        <v>I</v>
      </c>
      <c r="BG459" s="68">
        <v>11.0</v>
      </c>
      <c r="BH459" s="41" t="str">
        <f t="shared" si="511"/>
        <v>R</v>
      </c>
      <c r="BI459" s="41"/>
    </row>
    <row r="460">
      <c r="A460" s="21" t="s">
        <v>966</v>
      </c>
      <c r="B460" s="21" t="s">
        <v>444</v>
      </c>
      <c r="C460" s="21" t="s">
        <v>1909</v>
      </c>
      <c r="D460" s="69" t="s">
        <v>705</v>
      </c>
      <c r="E460" s="18" t="s">
        <v>572</v>
      </c>
      <c r="F460" s="18" t="s">
        <v>192</v>
      </c>
      <c r="G460" s="63" t="s">
        <v>1910</v>
      </c>
      <c r="H460" s="42" t="s">
        <v>479</v>
      </c>
      <c r="I460" s="28">
        <v>15.0</v>
      </c>
      <c r="J460" s="26" t="str">
        <f t="shared" si="489"/>
        <v>R</v>
      </c>
      <c r="K460" s="28">
        <v>18.0</v>
      </c>
      <c r="L460" s="26" t="str">
        <f t="shared" si="490"/>
        <v>R</v>
      </c>
      <c r="M460" s="28">
        <v>17.0</v>
      </c>
      <c r="N460" s="26" t="str">
        <f t="shared" si="491"/>
        <v>R</v>
      </c>
      <c r="O460" s="28">
        <v>14.0</v>
      </c>
      <c r="P460" s="26" t="str">
        <f t="shared" si="492"/>
        <v>R</v>
      </c>
      <c r="Q460" s="28">
        <v>16.0</v>
      </c>
      <c r="R460" s="26" t="str">
        <f t="shared" si="493"/>
        <v>R</v>
      </c>
      <c r="S460" s="28">
        <v>17.0</v>
      </c>
      <c r="T460" s="26" t="str">
        <f t="shared" si="494"/>
        <v>R</v>
      </c>
      <c r="U460" s="28">
        <v>6.0</v>
      </c>
      <c r="V460" s="26" t="str">
        <f t="shared" si="495"/>
        <v>R</v>
      </c>
      <c r="W460" s="32" t="s">
        <v>299</v>
      </c>
      <c r="X460" s="65">
        <v>6.0</v>
      </c>
      <c r="Y460" s="33" t="str">
        <f t="shared" si="496"/>
        <v>R</v>
      </c>
      <c r="Z460" s="65">
        <v>6.0</v>
      </c>
      <c r="AA460" s="33" t="str">
        <f t="shared" si="497"/>
        <v>R</v>
      </c>
      <c r="AB460" s="65">
        <v>6.0</v>
      </c>
      <c r="AC460" s="33" t="str">
        <f t="shared" si="498"/>
        <v>R</v>
      </c>
      <c r="AD460" s="65">
        <v>6.0</v>
      </c>
      <c r="AE460" s="33" t="str">
        <f t="shared" si="499"/>
        <v>R</v>
      </c>
      <c r="AF460" s="65">
        <v>6.0</v>
      </c>
      <c r="AG460" s="33" t="str">
        <f t="shared" si="500"/>
        <v>R</v>
      </c>
      <c r="AH460" s="65" t="s">
        <v>299</v>
      </c>
      <c r="AI460" s="66">
        <v>6.0</v>
      </c>
      <c r="AJ460" s="36" t="str">
        <f t="shared" si="501"/>
        <v>R</v>
      </c>
      <c r="AK460" s="66">
        <v>12.0</v>
      </c>
      <c r="AL460" s="36" t="str">
        <f t="shared" si="502"/>
        <v>R</v>
      </c>
      <c r="AM460" s="66">
        <v>6.0</v>
      </c>
      <c r="AN460" s="36" t="str">
        <f t="shared" si="503"/>
        <v>R</v>
      </c>
      <c r="AO460" s="66" t="s">
        <v>299</v>
      </c>
      <c r="AP460" s="67">
        <v>6.0</v>
      </c>
      <c r="AQ460" s="37" t="str">
        <f t="shared" si="504"/>
        <v>R</v>
      </c>
      <c r="AR460" s="65">
        <v>6.0</v>
      </c>
      <c r="AS460" s="33" t="str">
        <f t="shared" si="505"/>
        <v>R</v>
      </c>
      <c r="AT460" s="65">
        <v>6.0</v>
      </c>
      <c r="AU460" s="33" t="str">
        <f t="shared" si="506"/>
        <v>R</v>
      </c>
      <c r="AV460" s="65" t="s">
        <v>299</v>
      </c>
      <c r="AW460" s="28">
        <v>15.0</v>
      </c>
      <c r="AX460" s="26" t="str">
        <f t="shared" si="507"/>
        <v>R</v>
      </c>
      <c r="AY460" s="67">
        <v>6.0</v>
      </c>
      <c r="AZ460" s="37" t="str">
        <f t="shared" si="508"/>
        <v>R</v>
      </c>
      <c r="BA460" s="66">
        <v>12.0</v>
      </c>
      <c r="BB460" s="36" t="str">
        <f t="shared" si="509"/>
        <v>R</v>
      </c>
      <c r="BC460" s="39" t="s">
        <v>357</v>
      </c>
      <c r="BD460" s="39" t="s">
        <v>357</v>
      </c>
      <c r="BE460" s="66">
        <v>20.0</v>
      </c>
      <c r="BF460" s="36" t="str">
        <f t="shared" si="510"/>
        <v>I</v>
      </c>
      <c r="BG460" s="68">
        <v>11.0</v>
      </c>
      <c r="BH460" s="41" t="str">
        <f t="shared" si="511"/>
        <v>R</v>
      </c>
      <c r="BI460" s="41"/>
    </row>
    <row r="461">
      <c r="A461" s="21" t="s">
        <v>966</v>
      </c>
      <c r="B461" s="21" t="s">
        <v>444</v>
      </c>
      <c r="C461" s="21" t="s">
        <v>1911</v>
      </c>
      <c r="D461" s="69" t="s">
        <v>705</v>
      </c>
      <c r="E461" s="18" t="s">
        <v>572</v>
      </c>
      <c r="F461" s="18" t="s">
        <v>192</v>
      </c>
      <c r="G461" s="63" t="s">
        <v>1912</v>
      </c>
      <c r="H461" s="42" t="s">
        <v>479</v>
      </c>
      <c r="I461" s="28">
        <v>15.0</v>
      </c>
      <c r="J461" s="26" t="str">
        <f t="shared" si="489"/>
        <v>R</v>
      </c>
      <c r="K461" s="28">
        <v>18.0</v>
      </c>
      <c r="L461" s="26" t="str">
        <f t="shared" si="490"/>
        <v>R</v>
      </c>
      <c r="M461" s="28">
        <v>17.0</v>
      </c>
      <c r="N461" s="26" t="str">
        <f t="shared" si="491"/>
        <v>R</v>
      </c>
      <c r="O461" s="28">
        <v>14.0</v>
      </c>
      <c r="P461" s="26" t="str">
        <f t="shared" si="492"/>
        <v>R</v>
      </c>
      <c r="Q461" s="28">
        <v>16.0</v>
      </c>
      <c r="R461" s="26" t="str">
        <f t="shared" si="493"/>
        <v>R</v>
      </c>
      <c r="S461" s="28">
        <v>17.0</v>
      </c>
      <c r="T461" s="26" t="str">
        <f t="shared" si="494"/>
        <v>R</v>
      </c>
      <c r="U461" s="28">
        <v>6.0</v>
      </c>
      <c r="V461" s="26" t="str">
        <f t="shared" si="495"/>
        <v>R</v>
      </c>
      <c r="W461" s="32" t="s">
        <v>299</v>
      </c>
      <c r="X461" s="65">
        <v>6.0</v>
      </c>
      <c r="Y461" s="33" t="str">
        <f t="shared" si="496"/>
        <v>R</v>
      </c>
      <c r="Z461" s="65">
        <v>6.0</v>
      </c>
      <c r="AA461" s="33" t="str">
        <f t="shared" si="497"/>
        <v>R</v>
      </c>
      <c r="AB461" s="65">
        <v>6.0</v>
      </c>
      <c r="AC461" s="33" t="str">
        <f t="shared" si="498"/>
        <v>R</v>
      </c>
      <c r="AD461" s="65">
        <v>6.0</v>
      </c>
      <c r="AE461" s="33" t="str">
        <f t="shared" si="499"/>
        <v>R</v>
      </c>
      <c r="AF461" s="65">
        <v>6.0</v>
      </c>
      <c r="AG461" s="33" t="str">
        <f t="shared" si="500"/>
        <v>R</v>
      </c>
      <c r="AH461" s="65" t="s">
        <v>299</v>
      </c>
      <c r="AI461" s="66">
        <v>6.0</v>
      </c>
      <c r="AJ461" s="36" t="str">
        <f t="shared" si="501"/>
        <v>R</v>
      </c>
      <c r="AK461" s="66">
        <v>12.0</v>
      </c>
      <c r="AL461" s="36" t="str">
        <f t="shared" si="502"/>
        <v>R</v>
      </c>
      <c r="AM461" s="66">
        <v>6.0</v>
      </c>
      <c r="AN461" s="36" t="str">
        <f t="shared" si="503"/>
        <v>R</v>
      </c>
      <c r="AO461" s="66" t="s">
        <v>299</v>
      </c>
      <c r="AP461" s="67">
        <v>6.0</v>
      </c>
      <c r="AQ461" s="37" t="str">
        <f t="shared" si="504"/>
        <v>R</v>
      </c>
      <c r="AR461" s="65">
        <v>6.0</v>
      </c>
      <c r="AS461" s="33" t="str">
        <f t="shared" si="505"/>
        <v>R</v>
      </c>
      <c r="AT461" s="65">
        <v>6.0</v>
      </c>
      <c r="AU461" s="33" t="str">
        <f t="shared" si="506"/>
        <v>R</v>
      </c>
      <c r="AV461" s="65" t="s">
        <v>299</v>
      </c>
      <c r="AW461" s="28">
        <v>15.0</v>
      </c>
      <c r="AX461" s="26" t="str">
        <f t="shared" si="507"/>
        <v>R</v>
      </c>
      <c r="AY461" s="67">
        <v>6.0</v>
      </c>
      <c r="AZ461" s="37" t="str">
        <f t="shared" si="508"/>
        <v>R</v>
      </c>
      <c r="BA461" s="66">
        <v>12.0</v>
      </c>
      <c r="BB461" s="36" t="str">
        <f t="shared" si="509"/>
        <v>R</v>
      </c>
      <c r="BC461" s="39" t="s">
        <v>357</v>
      </c>
      <c r="BD461" s="39" t="s">
        <v>357</v>
      </c>
      <c r="BE461" s="66">
        <v>20.0</v>
      </c>
      <c r="BF461" s="36" t="str">
        <f t="shared" si="510"/>
        <v>I</v>
      </c>
      <c r="BG461" s="68">
        <v>11.0</v>
      </c>
      <c r="BH461" s="41" t="str">
        <f t="shared" si="511"/>
        <v>R</v>
      </c>
      <c r="BI461" s="41"/>
    </row>
    <row r="462">
      <c r="A462" s="21" t="s">
        <v>966</v>
      </c>
      <c r="B462" s="23">
        <v>208.0</v>
      </c>
      <c r="C462" s="21" t="s">
        <v>1666</v>
      </c>
      <c r="D462" s="69" t="s">
        <v>1206</v>
      </c>
      <c r="E462" s="18" t="s">
        <v>103</v>
      </c>
      <c r="F462" s="18" t="s">
        <v>192</v>
      </c>
      <c r="G462" s="63" t="s">
        <v>1667</v>
      </c>
      <c r="H462" s="52" t="s">
        <v>581</v>
      </c>
      <c r="I462" s="28">
        <v>6.0</v>
      </c>
      <c r="J462" s="26" t="str">
        <f t="shared" si="489"/>
        <v>R</v>
      </c>
      <c r="K462" s="28">
        <v>17.0</v>
      </c>
      <c r="L462" s="26" t="str">
        <f t="shared" si="490"/>
        <v>R</v>
      </c>
      <c r="M462" s="28">
        <v>6.0</v>
      </c>
      <c r="N462" s="26" t="str">
        <f t="shared" si="491"/>
        <v>R</v>
      </c>
      <c r="O462" s="28">
        <v>23.0</v>
      </c>
      <c r="P462" s="26" t="str">
        <f t="shared" si="492"/>
        <v>S</v>
      </c>
      <c r="Q462" s="28">
        <v>6.0</v>
      </c>
      <c r="R462" s="26" t="str">
        <f t="shared" si="493"/>
        <v>R</v>
      </c>
      <c r="S462" s="28">
        <v>17.0</v>
      </c>
      <c r="T462" s="26" t="str">
        <f t="shared" si="494"/>
        <v>R</v>
      </c>
      <c r="U462" s="28">
        <v>19.0</v>
      </c>
      <c r="V462" s="26" t="str">
        <f t="shared" si="495"/>
        <v>I</v>
      </c>
      <c r="W462" s="32" t="s">
        <v>299</v>
      </c>
      <c r="X462" s="65">
        <v>6.0</v>
      </c>
      <c r="Y462" s="33" t="str">
        <f t="shared" si="496"/>
        <v>R</v>
      </c>
      <c r="Z462" s="65">
        <v>15.0</v>
      </c>
      <c r="AA462" s="33" t="str">
        <f t="shared" si="497"/>
        <v>R</v>
      </c>
      <c r="AB462" s="65">
        <v>6.0</v>
      </c>
      <c r="AC462" s="33" t="str">
        <f t="shared" si="498"/>
        <v>R</v>
      </c>
      <c r="AD462" s="65">
        <v>15.0</v>
      </c>
      <c r="AE462" s="33" t="str">
        <f t="shared" si="499"/>
        <v>S</v>
      </c>
      <c r="AF462" s="65">
        <v>6.0</v>
      </c>
      <c r="AG462" s="33" t="str">
        <f t="shared" si="500"/>
        <v>R</v>
      </c>
      <c r="AH462" s="65" t="s">
        <v>299</v>
      </c>
      <c r="AI462" s="66">
        <v>6.0</v>
      </c>
      <c r="AJ462" s="36" t="str">
        <f t="shared" si="501"/>
        <v>R</v>
      </c>
      <c r="AK462" s="66">
        <v>6.0</v>
      </c>
      <c r="AL462" s="36" t="str">
        <f t="shared" si="502"/>
        <v>R</v>
      </c>
      <c r="AM462" s="66">
        <v>6.0</v>
      </c>
      <c r="AN462" s="36" t="str">
        <f t="shared" si="503"/>
        <v>R</v>
      </c>
      <c r="AO462" s="66" t="s">
        <v>299</v>
      </c>
      <c r="AP462" s="67">
        <v>6.0</v>
      </c>
      <c r="AQ462" s="37" t="str">
        <f t="shared" si="504"/>
        <v>R</v>
      </c>
      <c r="AR462" s="65">
        <v>14.0</v>
      </c>
      <c r="AS462" s="33" t="str">
        <f t="shared" si="505"/>
        <v>R</v>
      </c>
      <c r="AT462" s="65">
        <v>13.0</v>
      </c>
      <c r="AU462" s="33" t="str">
        <f t="shared" si="506"/>
        <v>R</v>
      </c>
      <c r="AV462" s="65" t="s">
        <v>299</v>
      </c>
      <c r="AW462" s="28">
        <v>6.0</v>
      </c>
      <c r="AX462" s="26" t="str">
        <f t="shared" si="507"/>
        <v>R</v>
      </c>
      <c r="AY462" s="67">
        <v>12.0</v>
      </c>
      <c r="AZ462" s="37" t="str">
        <f t="shared" si="508"/>
        <v>R</v>
      </c>
      <c r="BA462" s="66">
        <v>22.0</v>
      </c>
      <c r="BB462" s="36" t="str">
        <f t="shared" si="509"/>
        <v>R</v>
      </c>
      <c r="BC462" s="39" t="s">
        <v>357</v>
      </c>
      <c r="BD462" s="39" t="s">
        <v>357</v>
      </c>
      <c r="BE462" s="66">
        <v>21.0</v>
      </c>
      <c r="BF462" s="36" t="str">
        <f t="shared" si="510"/>
        <v>I</v>
      </c>
      <c r="BG462" s="68">
        <v>16.0</v>
      </c>
      <c r="BH462" s="41" t="str">
        <f t="shared" si="511"/>
        <v>R</v>
      </c>
      <c r="BI462" s="41"/>
    </row>
    <row r="463">
      <c r="A463" s="21" t="s">
        <v>966</v>
      </c>
      <c r="B463" s="21" t="s">
        <v>444</v>
      </c>
      <c r="C463" s="21" t="s">
        <v>1913</v>
      </c>
      <c r="D463" s="69" t="s">
        <v>1206</v>
      </c>
      <c r="E463" s="18" t="s">
        <v>103</v>
      </c>
      <c r="F463" s="18" t="s">
        <v>192</v>
      </c>
      <c r="G463" s="63" t="s">
        <v>1914</v>
      </c>
      <c r="H463" s="52" t="s">
        <v>581</v>
      </c>
      <c r="I463" s="28">
        <v>6.0</v>
      </c>
      <c r="J463" s="26" t="str">
        <f t="shared" si="489"/>
        <v>R</v>
      </c>
      <c r="K463" s="28">
        <v>17.0</v>
      </c>
      <c r="L463" s="26" t="str">
        <f t="shared" si="490"/>
        <v>R</v>
      </c>
      <c r="M463" s="28">
        <v>6.0</v>
      </c>
      <c r="N463" s="26" t="str">
        <f t="shared" si="491"/>
        <v>R</v>
      </c>
      <c r="O463" s="28">
        <v>23.0</v>
      </c>
      <c r="P463" s="26" t="str">
        <f t="shared" si="492"/>
        <v>S</v>
      </c>
      <c r="Q463" s="28">
        <v>6.0</v>
      </c>
      <c r="R463" s="26" t="str">
        <f t="shared" si="493"/>
        <v>R</v>
      </c>
      <c r="S463" s="28">
        <v>17.0</v>
      </c>
      <c r="T463" s="26" t="str">
        <f t="shared" si="494"/>
        <v>R</v>
      </c>
      <c r="U463" s="28">
        <v>19.0</v>
      </c>
      <c r="V463" s="26" t="str">
        <f t="shared" si="495"/>
        <v>I</v>
      </c>
      <c r="W463" s="32" t="s">
        <v>299</v>
      </c>
      <c r="X463" s="65">
        <v>6.0</v>
      </c>
      <c r="Y463" s="33" t="str">
        <f t="shared" si="496"/>
        <v>R</v>
      </c>
      <c r="Z463" s="65">
        <v>15.0</v>
      </c>
      <c r="AA463" s="33" t="str">
        <f t="shared" si="497"/>
        <v>R</v>
      </c>
      <c r="AB463" s="65">
        <v>6.0</v>
      </c>
      <c r="AC463" s="33" t="str">
        <f t="shared" si="498"/>
        <v>R</v>
      </c>
      <c r="AD463" s="65">
        <v>15.0</v>
      </c>
      <c r="AE463" s="33" t="str">
        <f t="shared" si="499"/>
        <v>S</v>
      </c>
      <c r="AF463" s="65">
        <v>6.0</v>
      </c>
      <c r="AG463" s="33" t="str">
        <f t="shared" si="500"/>
        <v>R</v>
      </c>
      <c r="AH463" s="65" t="s">
        <v>299</v>
      </c>
      <c r="AI463" s="66">
        <v>6.0</v>
      </c>
      <c r="AJ463" s="36" t="str">
        <f t="shared" si="501"/>
        <v>R</v>
      </c>
      <c r="AK463" s="66">
        <v>6.0</v>
      </c>
      <c r="AL463" s="36" t="str">
        <f t="shared" si="502"/>
        <v>R</v>
      </c>
      <c r="AM463" s="66">
        <v>6.0</v>
      </c>
      <c r="AN463" s="36" t="str">
        <f t="shared" si="503"/>
        <v>R</v>
      </c>
      <c r="AO463" s="66" t="s">
        <v>299</v>
      </c>
      <c r="AP463" s="67">
        <v>6.0</v>
      </c>
      <c r="AQ463" s="37" t="str">
        <f t="shared" si="504"/>
        <v>R</v>
      </c>
      <c r="AR463" s="65">
        <v>14.0</v>
      </c>
      <c r="AS463" s="33" t="str">
        <f t="shared" si="505"/>
        <v>R</v>
      </c>
      <c r="AT463" s="65">
        <v>13.0</v>
      </c>
      <c r="AU463" s="33" t="str">
        <f t="shared" si="506"/>
        <v>R</v>
      </c>
      <c r="AV463" s="65" t="s">
        <v>299</v>
      </c>
      <c r="AW463" s="28">
        <v>6.0</v>
      </c>
      <c r="AX463" s="26" t="str">
        <f t="shared" si="507"/>
        <v>R</v>
      </c>
      <c r="AY463" s="67">
        <v>12.0</v>
      </c>
      <c r="AZ463" s="37" t="str">
        <f t="shared" si="508"/>
        <v>R</v>
      </c>
      <c r="BA463" s="66">
        <v>22.0</v>
      </c>
      <c r="BB463" s="36" t="str">
        <f t="shared" si="509"/>
        <v>R</v>
      </c>
      <c r="BC463" s="39" t="s">
        <v>357</v>
      </c>
      <c r="BD463" s="39" t="s">
        <v>357</v>
      </c>
      <c r="BE463" s="66">
        <v>21.0</v>
      </c>
      <c r="BF463" s="36" t="str">
        <f t="shared" si="510"/>
        <v>I</v>
      </c>
      <c r="BG463" s="68">
        <v>16.0</v>
      </c>
      <c r="BH463" s="41" t="str">
        <f t="shared" si="511"/>
        <v>R</v>
      </c>
      <c r="BI463" s="41"/>
    </row>
    <row r="464">
      <c r="A464" s="21" t="s">
        <v>966</v>
      </c>
      <c r="B464" s="21" t="s">
        <v>444</v>
      </c>
      <c r="C464" s="21" t="s">
        <v>1915</v>
      </c>
      <c r="D464" s="69" t="s">
        <v>1206</v>
      </c>
      <c r="E464" s="18" t="s">
        <v>103</v>
      </c>
      <c r="F464" s="18" t="s">
        <v>192</v>
      </c>
      <c r="G464" s="63" t="s">
        <v>1916</v>
      </c>
      <c r="H464" s="52" t="s">
        <v>581</v>
      </c>
      <c r="I464" s="28">
        <v>6.0</v>
      </c>
      <c r="J464" s="26" t="str">
        <f t="shared" si="489"/>
        <v>R</v>
      </c>
      <c r="K464" s="28">
        <v>17.0</v>
      </c>
      <c r="L464" s="26" t="str">
        <f t="shared" si="490"/>
        <v>R</v>
      </c>
      <c r="M464" s="28">
        <v>6.0</v>
      </c>
      <c r="N464" s="26" t="str">
        <f t="shared" si="491"/>
        <v>R</v>
      </c>
      <c r="O464" s="28">
        <v>23.0</v>
      </c>
      <c r="P464" s="26" t="str">
        <f t="shared" si="492"/>
        <v>S</v>
      </c>
      <c r="Q464" s="28">
        <v>6.0</v>
      </c>
      <c r="R464" s="26" t="str">
        <f t="shared" si="493"/>
        <v>R</v>
      </c>
      <c r="S464" s="28">
        <v>17.0</v>
      </c>
      <c r="T464" s="26" t="str">
        <f t="shared" si="494"/>
        <v>R</v>
      </c>
      <c r="U464" s="28">
        <v>19.0</v>
      </c>
      <c r="V464" s="26" t="str">
        <f t="shared" si="495"/>
        <v>I</v>
      </c>
      <c r="W464" s="32" t="s">
        <v>299</v>
      </c>
      <c r="X464" s="65">
        <v>6.0</v>
      </c>
      <c r="Y464" s="33" t="str">
        <f t="shared" si="496"/>
        <v>R</v>
      </c>
      <c r="Z464" s="65">
        <v>15.0</v>
      </c>
      <c r="AA464" s="33" t="str">
        <f t="shared" si="497"/>
        <v>R</v>
      </c>
      <c r="AB464" s="65">
        <v>6.0</v>
      </c>
      <c r="AC464" s="33" t="str">
        <f t="shared" si="498"/>
        <v>R</v>
      </c>
      <c r="AD464" s="65">
        <v>15.0</v>
      </c>
      <c r="AE464" s="33" t="str">
        <f t="shared" si="499"/>
        <v>S</v>
      </c>
      <c r="AF464" s="65">
        <v>6.0</v>
      </c>
      <c r="AG464" s="33" t="str">
        <f t="shared" si="500"/>
        <v>R</v>
      </c>
      <c r="AH464" s="65" t="s">
        <v>299</v>
      </c>
      <c r="AI464" s="66">
        <v>6.0</v>
      </c>
      <c r="AJ464" s="36" t="str">
        <f t="shared" si="501"/>
        <v>R</v>
      </c>
      <c r="AK464" s="66">
        <v>6.0</v>
      </c>
      <c r="AL464" s="36" t="str">
        <f t="shared" si="502"/>
        <v>R</v>
      </c>
      <c r="AM464" s="66">
        <v>6.0</v>
      </c>
      <c r="AN464" s="36" t="str">
        <f t="shared" si="503"/>
        <v>R</v>
      </c>
      <c r="AO464" s="66" t="s">
        <v>299</v>
      </c>
      <c r="AP464" s="67">
        <v>6.0</v>
      </c>
      <c r="AQ464" s="37" t="str">
        <f t="shared" si="504"/>
        <v>R</v>
      </c>
      <c r="AR464" s="65">
        <v>14.0</v>
      </c>
      <c r="AS464" s="33" t="str">
        <f t="shared" si="505"/>
        <v>R</v>
      </c>
      <c r="AT464" s="65">
        <v>13.0</v>
      </c>
      <c r="AU464" s="33" t="str">
        <f t="shared" si="506"/>
        <v>R</v>
      </c>
      <c r="AV464" s="65" t="s">
        <v>299</v>
      </c>
      <c r="AW464" s="28">
        <v>6.0</v>
      </c>
      <c r="AX464" s="26" t="str">
        <f t="shared" si="507"/>
        <v>R</v>
      </c>
      <c r="AY464" s="67">
        <v>12.0</v>
      </c>
      <c r="AZ464" s="37" t="str">
        <f t="shared" si="508"/>
        <v>R</v>
      </c>
      <c r="BA464" s="66">
        <v>22.0</v>
      </c>
      <c r="BB464" s="36" t="str">
        <f t="shared" si="509"/>
        <v>R</v>
      </c>
      <c r="BC464" s="39" t="s">
        <v>357</v>
      </c>
      <c r="BD464" s="39" t="s">
        <v>357</v>
      </c>
      <c r="BE464" s="66">
        <v>21.0</v>
      </c>
      <c r="BF464" s="36" t="str">
        <f t="shared" si="510"/>
        <v>I</v>
      </c>
      <c r="BG464" s="68">
        <v>16.0</v>
      </c>
      <c r="BH464" s="41" t="str">
        <f t="shared" si="511"/>
        <v>R</v>
      </c>
      <c r="BI464" s="41"/>
    </row>
    <row r="465">
      <c r="A465" s="21" t="s">
        <v>966</v>
      </c>
      <c r="B465" s="23">
        <v>209.0</v>
      </c>
      <c r="C465" s="21" t="s">
        <v>1668</v>
      </c>
      <c r="D465" s="69" t="s">
        <v>956</v>
      </c>
      <c r="E465" s="18" t="s">
        <v>103</v>
      </c>
      <c r="F465" s="18" t="s">
        <v>192</v>
      </c>
      <c r="G465" s="63" t="s">
        <v>1669</v>
      </c>
      <c r="H465" s="22" t="s">
        <v>198</v>
      </c>
      <c r="I465" s="28">
        <v>6.0</v>
      </c>
      <c r="J465" s="26" t="str">
        <f t="shared" si="489"/>
        <v>R</v>
      </c>
      <c r="K465" s="28">
        <v>16.0</v>
      </c>
      <c r="L465" s="26" t="str">
        <f t="shared" si="490"/>
        <v>R</v>
      </c>
      <c r="M465" s="28">
        <v>6.0</v>
      </c>
      <c r="N465" s="26" t="str">
        <f t="shared" si="491"/>
        <v>R</v>
      </c>
      <c r="O465" s="28">
        <v>22.0</v>
      </c>
      <c r="P465" s="26" t="str">
        <f t="shared" si="492"/>
        <v>I</v>
      </c>
      <c r="Q465" s="28">
        <v>6.0</v>
      </c>
      <c r="R465" s="26" t="str">
        <f t="shared" si="493"/>
        <v>R</v>
      </c>
      <c r="S465" s="28">
        <v>17.0</v>
      </c>
      <c r="T465" s="26" t="str">
        <f t="shared" si="494"/>
        <v>R</v>
      </c>
      <c r="U465" s="28">
        <v>18.0</v>
      </c>
      <c r="V465" s="26" t="str">
        <f t="shared" si="495"/>
        <v>I</v>
      </c>
      <c r="W465" s="32" t="s">
        <v>299</v>
      </c>
      <c r="X465" s="65">
        <v>6.0</v>
      </c>
      <c r="Y465" s="33" t="str">
        <f t="shared" si="496"/>
        <v>R</v>
      </c>
      <c r="Z465" s="65">
        <v>24.0</v>
      </c>
      <c r="AA465" s="33" t="str">
        <f t="shared" si="497"/>
        <v>S</v>
      </c>
      <c r="AB465" s="65">
        <v>6.0</v>
      </c>
      <c r="AC465" s="33" t="str">
        <f t="shared" si="498"/>
        <v>R</v>
      </c>
      <c r="AD465" s="65">
        <v>18.0</v>
      </c>
      <c r="AE465" s="33" t="str">
        <f t="shared" si="499"/>
        <v>S</v>
      </c>
      <c r="AF465" s="65">
        <v>6.0</v>
      </c>
      <c r="AG465" s="33" t="str">
        <f t="shared" si="500"/>
        <v>R</v>
      </c>
      <c r="AH465" s="65" t="s">
        <v>299</v>
      </c>
      <c r="AI465" s="66">
        <v>11.0</v>
      </c>
      <c r="AJ465" s="36" t="str">
        <f t="shared" si="501"/>
        <v>R</v>
      </c>
      <c r="AK465" s="66">
        <v>13.0</v>
      </c>
      <c r="AL465" s="36" t="str">
        <f t="shared" si="502"/>
        <v>R</v>
      </c>
      <c r="AM465" s="66">
        <v>16.0</v>
      </c>
      <c r="AN465" s="36" t="str">
        <f t="shared" si="503"/>
        <v>S</v>
      </c>
      <c r="AO465" s="66" t="s">
        <v>299</v>
      </c>
      <c r="AP465" s="67">
        <v>6.0</v>
      </c>
      <c r="AQ465" s="37" t="str">
        <f t="shared" si="504"/>
        <v>R</v>
      </c>
      <c r="AR465" s="65">
        <v>14.0</v>
      </c>
      <c r="AS465" s="33" t="str">
        <f t="shared" si="505"/>
        <v>R</v>
      </c>
      <c r="AT465" s="65">
        <v>14.0</v>
      </c>
      <c r="AU465" s="33" t="str">
        <f t="shared" si="506"/>
        <v>R</v>
      </c>
      <c r="AV465" s="65" t="s">
        <v>299</v>
      </c>
      <c r="AW465" s="28">
        <v>6.0</v>
      </c>
      <c r="AX465" s="26" t="str">
        <f t="shared" si="507"/>
        <v>R</v>
      </c>
      <c r="AY465" s="67">
        <v>16.0</v>
      </c>
      <c r="AZ465" s="37" t="str">
        <f t="shared" si="508"/>
        <v>R</v>
      </c>
      <c r="BA465" s="66">
        <v>12.0</v>
      </c>
      <c r="BB465" s="36" t="str">
        <f t="shared" si="509"/>
        <v>R</v>
      </c>
      <c r="BC465" s="39" t="s">
        <v>357</v>
      </c>
      <c r="BD465" s="39" t="s">
        <v>357</v>
      </c>
      <c r="BE465" s="66">
        <v>21.0</v>
      </c>
      <c r="BF465" s="36" t="str">
        <f t="shared" si="510"/>
        <v>I</v>
      </c>
      <c r="BG465" s="68">
        <v>15.0</v>
      </c>
      <c r="BH465" s="41" t="str">
        <f t="shared" si="511"/>
        <v>R</v>
      </c>
      <c r="BI465" s="41"/>
    </row>
    <row r="466">
      <c r="A466" s="21" t="s">
        <v>966</v>
      </c>
      <c r="B466" s="21" t="s">
        <v>444</v>
      </c>
      <c r="C466" s="21" t="s">
        <v>1917</v>
      </c>
      <c r="D466" s="69" t="s">
        <v>956</v>
      </c>
      <c r="E466" s="18" t="s">
        <v>103</v>
      </c>
      <c r="F466" s="18" t="s">
        <v>192</v>
      </c>
      <c r="G466" s="63" t="s">
        <v>1918</v>
      </c>
      <c r="H466" s="22" t="s">
        <v>198</v>
      </c>
      <c r="I466" s="28">
        <v>6.0</v>
      </c>
      <c r="J466" s="26" t="str">
        <f t="shared" si="489"/>
        <v>R</v>
      </c>
      <c r="K466" s="28">
        <v>16.0</v>
      </c>
      <c r="L466" s="26" t="str">
        <f t="shared" si="490"/>
        <v>R</v>
      </c>
      <c r="M466" s="28">
        <v>6.0</v>
      </c>
      <c r="N466" s="26" t="str">
        <f t="shared" si="491"/>
        <v>R</v>
      </c>
      <c r="O466" s="28">
        <v>22.0</v>
      </c>
      <c r="P466" s="26" t="str">
        <f t="shared" si="492"/>
        <v>I</v>
      </c>
      <c r="Q466" s="28">
        <v>6.0</v>
      </c>
      <c r="R466" s="26" t="str">
        <f t="shared" si="493"/>
        <v>R</v>
      </c>
      <c r="S466" s="28">
        <v>15.0</v>
      </c>
      <c r="T466" s="26" t="str">
        <f t="shared" si="494"/>
        <v>R</v>
      </c>
      <c r="U466" s="28">
        <v>18.0</v>
      </c>
      <c r="V466" s="26" t="str">
        <f t="shared" si="495"/>
        <v>I</v>
      </c>
      <c r="W466" s="32" t="s">
        <v>299</v>
      </c>
      <c r="X466" s="65">
        <v>6.0</v>
      </c>
      <c r="Y466" s="33" t="str">
        <f t="shared" si="496"/>
        <v>R</v>
      </c>
      <c r="Z466" s="65">
        <v>24.0</v>
      </c>
      <c r="AA466" s="33" t="str">
        <f t="shared" si="497"/>
        <v>S</v>
      </c>
      <c r="AB466" s="65">
        <v>6.0</v>
      </c>
      <c r="AC466" s="33" t="str">
        <f t="shared" si="498"/>
        <v>R</v>
      </c>
      <c r="AD466" s="65">
        <v>18.0</v>
      </c>
      <c r="AE466" s="33" t="str">
        <f t="shared" si="499"/>
        <v>S</v>
      </c>
      <c r="AF466" s="65">
        <v>6.0</v>
      </c>
      <c r="AG466" s="33" t="str">
        <f t="shared" si="500"/>
        <v>R</v>
      </c>
      <c r="AH466" s="65" t="s">
        <v>299</v>
      </c>
      <c r="AI466" s="66">
        <v>11.0</v>
      </c>
      <c r="AJ466" s="36" t="str">
        <f t="shared" si="501"/>
        <v>R</v>
      </c>
      <c r="AK466" s="66">
        <v>12.0</v>
      </c>
      <c r="AL466" s="36" t="str">
        <f t="shared" si="502"/>
        <v>R</v>
      </c>
      <c r="AM466" s="66">
        <v>16.0</v>
      </c>
      <c r="AN466" s="36" t="str">
        <f t="shared" si="503"/>
        <v>S</v>
      </c>
      <c r="AO466" s="66" t="s">
        <v>299</v>
      </c>
      <c r="AP466" s="67">
        <v>6.0</v>
      </c>
      <c r="AQ466" s="37" t="str">
        <f t="shared" si="504"/>
        <v>R</v>
      </c>
      <c r="AR466" s="65">
        <v>14.0</v>
      </c>
      <c r="AS466" s="33" t="str">
        <f t="shared" si="505"/>
        <v>R</v>
      </c>
      <c r="AT466" s="65">
        <v>14.0</v>
      </c>
      <c r="AU466" s="33" t="str">
        <f t="shared" si="506"/>
        <v>R</v>
      </c>
      <c r="AV466" s="65" t="s">
        <v>299</v>
      </c>
      <c r="AW466" s="28">
        <v>6.0</v>
      </c>
      <c r="AX466" s="26" t="str">
        <f t="shared" si="507"/>
        <v>R</v>
      </c>
      <c r="AY466" s="67">
        <v>16.0</v>
      </c>
      <c r="AZ466" s="37" t="str">
        <f t="shared" si="508"/>
        <v>R</v>
      </c>
      <c r="BA466" s="66">
        <v>20.0</v>
      </c>
      <c r="BB466" s="36" t="str">
        <f t="shared" si="509"/>
        <v>R</v>
      </c>
      <c r="BC466" s="39" t="s">
        <v>357</v>
      </c>
      <c r="BD466" s="39" t="s">
        <v>357</v>
      </c>
      <c r="BE466" s="66">
        <v>21.0</v>
      </c>
      <c r="BF466" s="36" t="str">
        <f t="shared" si="510"/>
        <v>I</v>
      </c>
      <c r="BG466" s="68">
        <v>14.0</v>
      </c>
      <c r="BH466" s="41" t="str">
        <f t="shared" si="511"/>
        <v>R</v>
      </c>
      <c r="BI466" s="41"/>
    </row>
    <row r="467">
      <c r="A467" s="21" t="s">
        <v>966</v>
      </c>
      <c r="B467" s="21" t="s">
        <v>444</v>
      </c>
      <c r="C467" s="21" t="s">
        <v>1919</v>
      </c>
      <c r="D467" s="69" t="s">
        <v>956</v>
      </c>
      <c r="E467" s="18" t="s">
        <v>103</v>
      </c>
      <c r="F467" s="18" t="s">
        <v>192</v>
      </c>
      <c r="G467" s="63" t="s">
        <v>1920</v>
      </c>
      <c r="H467" s="22" t="s">
        <v>198</v>
      </c>
      <c r="I467" s="28">
        <v>6.0</v>
      </c>
      <c r="J467" s="26" t="str">
        <f t="shared" si="489"/>
        <v>R</v>
      </c>
      <c r="K467" s="28">
        <v>16.0</v>
      </c>
      <c r="L467" s="26" t="str">
        <f t="shared" si="490"/>
        <v>R</v>
      </c>
      <c r="M467" s="28">
        <v>6.0</v>
      </c>
      <c r="N467" s="26" t="str">
        <f t="shared" si="491"/>
        <v>R</v>
      </c>
      <c r="O467" s="28">
        <v>22.0</v>
      </c>
      <c r="P467" s="26" t="str">
        <f t="shared" si="492"/>
        <v>I</v>
      </c>
      <c r="Q467" s="28">
        <v>6.0</v>
      </c>
      <c r="R467" s="26" t="str">
        <f t="shared" si="493"/>
        <v>R</v>
      </c>
      <c r="S467" s="28">
        <v>15.0</v>
      </c>
      <c r="T467" s="26" t="str">
        <f t="shared" si="494"/>
        <v>R</v>
      </c>
      <c r="U467" s="28">
        <v>18.0</v>
      </c>
      <c r="V467" s="26" t="str">
        <f t="shared" si="495"/>
        <v>I</v>
      </c>
      <c r="W467" s="32" t="s">
        <v>299</v>
      </c>
      <c r="X467" s="65">
        <v>6.0</v>
      </c>
      <c r="Y467" s="33" t="str">
        <f t="shared" si="496"/>
        <v>R</v>
      </c>
      <c r="Z467" s="65">
        <v>24.0</v>
      </c>
      <c r="AA467" s="33" t="str">
        <f t="shared" si="497"/>
        <v>S</v>
      </c>
      <c r="AB467" s="65">
        <v>6.0</v>
      </c>
      <c r="AC467" s="33" t="str">
        <f t="shared" si="498"/>
        <v>R</v>
      </c>
      <c r="AD467" s="65">
        <v>18.0</v>
      </c>
      <c r="AE467" s="33" t="str">
        <f t="shared" si="499"/>
        <v>S</v>
      </c>
      <c r="AF467" s="65">
        <v>6.0</v>
      </c>
      <c r="AG467" s="33" t="str">
        <f t="shared" si="500"/>
        <v>R</v>
      </c>
      <c r="AH467" s="65" t="s">
        <v>299</v>
      </c>
      <c r="AI467" s="66">
        <v>11.0</v>
      </c>
      <c r="AJ467" s="36" t="str">
        <f t="shared" si="501"/>
        <v>R</v>
      </c>
      <c r="AK467" s="66">
        <v>13.0</v>
      </c>
      <c r="AL467" s="36" t="str">
        <f t="shared" si="502"/>
        <v>R</v>
      </c>
      <c r="AM467" s="66">
        <v>16.0</v>
      </c>
      <c r="AN467" s="36" t="str">
        <f t="shared" si="503"/>
        <v>S</v>
      </c>
      <c r="AO467" s="66" t="s">
        <v>299</v>
      </c>
      <c r="AP467" s="67">
        <v>6.0</v>
      </c>
      <c r="AQ467" s="37" t="str">
        <f t="shared" si="504"/>
        <v>R</v>
      </c>
      <c r="AR467" s="65">
        <v>14.0</v>
      </c>
      <c r="AS467" s="33" t="str">
        <f t="shared" si="505"/>
        <v>R</v>
      </c>
      <c r="AT467" s="65">
        <v>14.0</v>
      </c>
      <c r="AU467" s="33" t="str">
        <f t="shared" si="506"/>
        <v>R</v>
      </c>
      <c r="AV467" s="65" t="s">
        <v>299</v>
      </c>
      <c r="AW467" s="28">
        <v>6.0</v>
      </c>
      <c r="AX467" s="26" t="str">
        <f t="shared" si="507"/>
        <v>R</v>
      </c>
      <c r="AY467" s="67">
        <v>16.0</v>
      </c>
      <c r="AZ467" s="37" t="str">
        <f t="shared" si="508"/>
        <v>R</v>
      </c>
      <c r="BA467" s="66">
        <v>15.0</v>
      </c>
      <c r="BB467" s="36" t="str">
        <f t="shared" si="509"/>
        <v>R</v>
      </c>
      <c r="BC467" s="39" t="s">
        <v>357</v>
      </c>
      <c r="BD467" s="39" t="s">
        <v>357</v>
      </c>
      <c r="BE467" s="66">
        <v>21.0</v>
      </c>
      <c r="BF467" s="36" t="str">
        <f t="shared" si="510"/>
        <v>I</v>
      </c>
      <c r="BG467" s="68">
        <v>15.0</v>
      </c>
      <c r="BH467" s="41" t="str">
        <f t="shared" si="511"/>
        <v>R</v>
      </c>
      <c r="BI467" s="41"/>
    </row>
    <row r="468">
      <c r="A468" s="51" t="s">
        <v>970</v>
      </c>
      <c r="B468" s="53">
        <v>210.0</v>
      </c>
      <c r="C468" s="51" t="s">
        <v>1672</v>
      </c>
      <c r="D468" s="69" t="s">
        <v>190</v>
      </c>
      <c r="E468" s="18" t="s">
        <v>190</v>
      </c>
      <c r="F468" s="18" t="s">
        <v>192</v>
      </c>
      <c r="G468" s="63" t="s">
        <v>1673</v>
      </c>
      <c r="H468" s="22" t="s">
        <v>198</v>
      </c>
      <c r="I468" s="28">
        <v>6.0</v>
      </c>
      <c r="J468" s="26" t="str">
        <f t="shared" si="489"/>
        <v>R</v>
      </c>
      <c r="K468" s="28">
        <v>17.0</v>
      </c>
      <c r="L468" s="26" t="str">
        <f t="shared" si="490"/>
        <v>R</v>
      </c>
      <c r="M468" s="28">
        <v>6.0</v>
      </c>
      <c r="N468" s="26" t="str">
        <f t="shared" si="491"/>
        <v>R</v>
      </c>
      <c r="O468" s="28">
        <v>28.0</v>
      </c>
      <c r="P468" s="26" t="str">
        <f t="shared" si="492"/>
        <v>S</v>
      </c>
      <c r="Q468" s="28">
        <v>6.0</v>
      </c>
      <c r="R468" s="26" t="str">
        <f t="shared" si="493"/>
        <v>R</v>
      </c>
      <c r="S468" s="28">
        <v>14.0</v>
      </c>
      <c r="T468" s="26" t="str">
        <f t="shared" si="494"/>
        <v>R</v>
      </c>
      <c r="U468" s="28">
        <v>21.0</v>
      </c>
      <c r="V468" s="26" t="str">
        <f t="shared" si="495"/>
        <v>S</v>
      </c>
      <c r="W468" s="32" t="s">
        <v>299</v>
      </c>
      <c r="X468" s="65">
        <v>10.0</v>
      </c>
      <c r="Y468" s="33" t="str">
        <f t="shared" si="496"/>
        <v>R</v>
      </c>
      <c r="Z468" s="65">
        <v>20.0</v>
      </c>
      <c r="AA468" s="33" t="str">
        <f t="shared" si="497"/>
        <v>S</v>
      </c>
      <c r="AB468" s="65">
        <v>8.0</v>
      </c>
      <c r="AC468" s="33" t="str">
        <f t="shared" si="498"/>
        <v>R</v>
      </c>
      <c r="AD468" s="65">
        <v>23.0</v>
      </c>
      <c r="AE468" s="33" t="str">
        <f t="shared" si="499"/>
        <v>S</v>
      </c>
      <c r="AF468" s="65">
        <v>14.0</v>
      </c>
      <c r="AG468" s="33" t="str">
        <f t="shared" si="500"/>
        <v>R</v>
      </c>
      <c r="AH468" s="65" t="s">
        <v>299</v>
      </c>
      <c r="AI468" s="66">
        <v>6.0</v>
      </c>
      <c r="AJ468" s="36" t="str">
        <f t="shared" si="501"/>
        <v>R</v>
      </c>
      <c r="AK468" s="66">
        <v>9.0</v>
      </c>
      <c r="AL468" s="36" t="str">
        <f t="shared" si="502"/>
        <v>R</v>
      </c>
      <c r="AM468" s="66">
        <v>6.0</v>
      </c>
      <c r="AN468" s="36" t="str">
        <f t="shared" si="503"/>
        <v>R</v>
      </c>
      <c r="AO468" s="66" t="s">
        <v>299</v>
      </c>
      <c r="AP468" s="67">
        <v>6.0</v>
      </c>
      <c r="AQ468" s="37" t="str">
        <f t="shared" si="504"/>
        <v>R</v>
      </c>
      <c r="AR468" s="65">
        <v>18.0</v>
      </c>
      <c r="AS468" s="33" t="str">
        <f t="shared" si="505"/>
        <v>S</v>
      </c>
      <c r="AT468" s="65">
        <v>6.0</v>
      </c>
      <c r="AU468" s="33" t="str">
        <f t="shared" si="506"/>
        <v>R</v>
      </c>
      <c r="AV468" s="65" t="s">
        <v>299</v>
      </c>
      <c r="AW468" s="28">
        <v>6.0</v>
      </c>
      <c r="AX468" s="26" t="str">
        <f t="shared" si="507"/>
        <v>R</v>
      </c>
      <c r="AY468" s="67">
        <v>14.0</v>
      </c>
      <c r="AZ468" s="37" t="str">
        <f t="shared" si="508"/>
        <v>R</v>
      </c>
      <c r="BA468" s="66">
        <v>26.0</v>
      </c>
      <c r="BB468" s="36" t="str">
        <f t="shared" si="509"/>
        <v>S</v>
      </c>
      <c r="BC468" s="39" t="s">
        <v>357</v>
      </c>
      <c r="BD468" s="39" t="s">
        <v>357</v>
      </c>
      <c r="BE468" s="66">
        <v>29.0</v>
      </c>
      <c r="BF468" s="36" t="str">
        <f t="shared" si="510"/>
        <v>S</v>
      </c>
      <c r="BG468" s="68">
        <v>20.0</v>
      </c>
      <c r="BH468" s="41" t="str">
        <f t="shared" si="511"/>
        <v>S</v>
      </c>
      <c r="BI468" s="41"/>
    </row>
    <row r="469">
      <c r="A469" s="51" t="s">
        <v>970</v>
      </c>
      <c r="B469" s="51" t="s">
        <v>444</v>
      </c>
      <c r="C469" s="51" t="s">
        <v>1921</v>
      </c>
      <c r="D469" s="69" t="s">
        <v>190</v>
      </c>
      <c r="E469" s="18" t="s">
        <v>190</v>
      </c>
      <c r="F469" s="18" t="s">
        <v>192</v>
      </c>
      <c r="G469" s="63" t="s">
        <v>1922</v>
      </c>
      <c r="H469" s="22" t="s">
        <v>198</v>
      </c>
      <c r="I469" s="28">
        <v>9.0</v>
      </c>
      <c r="J469" s="26" t="str">
        <f t="shared" si="489"/>
        <v>R</v>
      </c>
      <c r="K469" s="28">
        <v>16.0</v>
      </c>
      <c r="L469" s="26" t="str">
        <f t="shared" si="490"/>
        <v>R</v>
      </c>
      <c r="M469" s="28">
        <v>6.0</v>
      </c>
      <c r="N469" s="26" t="str">
        <f t="shared" si="491"/>
        <v>R</v>
      </c>
      <c r="O469" s="28">
        <v>28.0</v>
      </c>
      <c r="P469" s="26" t="str">
        <f t="shared" si="492"/>
        <v>S</v>
      </c>
      <c r="Q469" s="28">
        <v>6.0</v>
      </c>
      <c r="R469" s="26" t="str">
        <f t="shared" si="493"/>
        <v>R</v>
      </c>
      <c r="S469" s="28">
        <v>16.0</v>
      </c>
      <c r="T469" s="26" t="str">
        <f t="shared" si="494"/>
        <v>R</v>
      </c>
      <c r="U469" s="28">
        <v>21.0</v>
      </c>
      <c r="V469" s="26" t="str">
        <f t="shared" si="495"/>
        <v>S</v>
      </c>
      <c r="W469" s="32" t="s">
        <v>299</v>
      </c>
      <c r="X469" s="65">
        <v>10.0</v>
      </c>
      <c r="Y469" s="33" t="str">
        <f t="shared" si="496"/>
        <v>R</v>
      </c>
      <c r="Z469" s="65">
        <v>21.0</v>
      </c>
      <c r="AA469" s="33" t="str">
        <f t="shared" si="497"/>
        <v>S</v>
      </c>
      <c r="AB469" s="65">
        <v>9.0</v>
      </c>
      <c r="AC469" s="33" t="str">
        <f t="shared" si="498"/>
        <v>R</v>
      </c>
      <c r="AD469" s="65">
        <v>22.0</v>
      </c>
      <c r="AE469" s="33" t="str">
        <f t="shared" si="499"/>
        <v>S</v>
      </c>
      <c r="AF469" s="65">
        <v>14.0</v>
      </c>
      <c r="AG469" s="33" t="str">
        <f t="shared" si="500"/>
        <v>R</v>
      </c>
      <c r="AH469" s="65" t="s">
        <v>299</v>
      </c>
      <c r="AI469" s="66">
        <v>12.0</v>
      </c>
      <c r="AJ469" s="36" t="str">
        <f t="shared" si="501"/>
        <v>R</v>
      </c>
      <c r="AK469" s="66">
        <v>6.0</v>
      </c>
      <c r="AL469" s="36" t="str">
        <f t="shared" si="502"/>
        <v>R</v>
      </c>
      <c r="AM469" s="66">
        <v>9.0</v>
      </c>
      <c r="AN469" s="36" t="str">
        <f t="shared" si="503"/>
        <v>R</v>
      </c>
      <c r="AO469" s="66" t="s">
        <v>299</v>
      </c>
      <c r="AP469" s="67">
        <v>9.0</v>
      </c>
      <c r="AQ469" s="37" t="str">
        <f t="shared" si="504"/>
        <v>R</v>
      </c>
      <c r="AR469" s="65">
        <v>18.0</v>
      </c>
      <c r="AS469" s="33" t="str">
        <f t="shared" si="505"/>
        <v>S</v>
      </c>
      <c r="AT469" s="65">
        <v>6.0</v>
      </c>
      <c r="AU469" s="33" t="str">
        <f t="shared" si="506"/>
        <v>R</v>
      </c>
      <c r="AV469" s="65" t="s">
        <v>299</v>
      </c>
      <c r="AW469" s="28">
        <v>6.0</v>
      </c>
      <c r="AX469" s="26" t="str">
        <f t="shared" si="507"/>
        <v>R</v>
      </c>
      <c r="AY469" s="67">
        <v>15.0</v>
      </c>
      <c r="AZ469" s="37" t="str">
        <f t="shared" si="508"/>
        <v>R</v>
      </c>
      <c r="BA469" s="66">
        <v>25.0</v>
      </c>
      <c r="BB469" s="36" t="str">
        <f t="shared" si="509"/>
        <v>S</v>
      </c>
      <c r="BC469" s="39" t="s">
        <v>357</v>
      </c>
      <c r="BD469" s="39" t="s">
        <v>357</v>
      </c>
      <c r="BE469" s="66">
        <v>28.0</v>
      </c>
      <c r="BF469" s="36" t="str">
        <f t="shared" si="510"/>
        <v>S</v>
      </c>
      <c r="BG469" s="68">
        <v>20.0</v>
      </c>
      <c r="BH469" s="41" t="str">
        <f t="shared" si="511"/>
        <v>S</v>
      </c>
      <c r="BI469" s="41"/>
    </row>
    <row r="470">
      <c r="A470" s="51" t="s">
        <v>970</v>
      </c>
      <c r="B470" s="51" t="s">
        <v>444</v>
      </c>
      <c r="C470" s="51" t="s">
        <v>1923</v>
      </c>
      <c r="D470" s="69" t="s">
        <v>190</v>
      </c>
      <c r="E470" s="18" t="s">
        <v>190</v>
      </c>
      <c r="F470" s="18" t="s">
        <v>192</v>
      </c>
      <c r="G470" s="63" t="s">
        <v>1924</v>
      </c>
      <c r="H470" s="22" t="s">
        <v>198</v>
      </c>
      <c r="I470" s="28">
        <v>9.0</v>
      </c>
      <c r="J470" s="26" t="str">
        <f t="shared" si="489"/>
        <v>R</v>
      </c>
      <c r="K470" s="28">
        <v>17.0</v>
      </c>
      <c r="L470" s="26" t="str">
        <f t="shared" si="490"/>
        <v>R</v>
      </c>
      <c r="M470" s="28">
        <v>6.0</v>
      </c>
      <c r="N470" s="26" t="str">
        <f t="shared" si="491"/>
        <v>R</v>
      </c>
      <c r="O470" s="28">
        <v>28.0</v>
      </c>
      <c r="P470" s="26" t="str">
        <f t="shared" si="492"/>
        <v>S</v>
      </c>
      <c r="Q470" s="28">
        <v>6.0</v>
      </c>
      <c r="R470" s="26" t="str">
        <f t="shared" si="493"/>
        <v>R</v>
      </c>
      <c r="S470" s="28">
        <v>11.0</v>
      </c>
      <c r="T470" s="26" t="str">
        <f t="shared" si="494"/>
        <v>R</v>
      </c>
      <c r="U470" s="28">
        <v>21.0</v>
      </c>
      <c r="V470" s="26" t="str">
        <f t="shared" si="495"/>
        <v>S</v>
      </c>
      <c r="W470" s="32" t="s">
        <v>299</v>
      </c>
      <c r="X470" s="65">
        <v>11.0</v>
      </c>
      <c r="Y470" s="33" t="str">
        <f t="shared" si="496"/>
        <v>R</v>
      </c>
      <c r="Z470" s="65">
        <v>19.0</v>
      </c>
      <c r="AA470" s="33" t="str">
        <f t="shared" si="497"/>
        <v>S</v>
      </c>
      <c r="AB470" s="65">
        <v>6.0</v>
      </c>
      <c r="AC470" s="33" t="str">
        <f t="shared" si="498"/>
        <v>R</v>
      </c>
      <c r="AD470" s="65">
        <v>23.0</v>
      </c>
      <c r="AE470" s="33" t="str">
        <f t="shared" si="499"/>
        <v>S</v>
      </c>
      <c r="AF470" s="65">
        <v>14.0</v>
      </c>
      <c r="AG470" s="33" t="str">
        <f t="shared" si="500"/>
        <v>R</v>
      </c>
      <c r="AH470" s="65" t="s">
        <v>299</v>
      </c>
      <c r="AI470" s="66">
        <v>9.0</v>
      </c>
      <c r="AJ470" s="36" t="str">
        <f t="shared" si="501"/>
        <v>R</v>
      </c>
      <c r="AK470" s="66">
        <v>11.0</v>
      </c>
      <c r="AL470" s="36" t="str">
        <f t="shared" si="502"/>
        <v>R</v>
      </c>
      <c r="AM470" s="66">
        <v>9.0</v>
      </c>
      <c r="AN470" s="36" t="str">
        <f t="shared" si="503"/>
        <v>R</v>
      </c>
      <c r="AO470" s="66" t="s">
        <v>299</v>
      </c>
      <c r="AP470" s="67">
        <v>6.0</v>
      </c>
      <c r="AQ470" s="37" t="str">
        <f t="shared" si="504"/>
        <v>R</v>
      </c>
      <c r="AR470" s="65">
        <v>18.0</v>
      </c>
      <c r="AS470" s="33" t="str">
        <f t="shared" si="505"/>
        <v>S</v>
      </c>
      <c r="AT470" s="65">
        <v>9.0</v>
      </c>
      <c r="AU470" s="33" t="str">
        <f t="shared" si="506"/>
        <v>R</v>
      </c>
      <c r="AV470" s="65" t="s">
        <v>299</v>
      </c>
      <c r="AW470" s="28">
        <v>6.0</v>
      </c>
      <c r="AX470" s="26" t="str">
        <f t="shared" si="507"/>
        <v>R</v>
      </c>
      <c r="AY470" s="67">
        <v>12.0</v>
      </c>
      <c r="AZ470" s="37" t="str">
        <f t="shared" si="508"/>
        <v>R</v>
      </c>
      <c r="BA470" s="66">
        <v>25.0</v>
      </c>
      <c r="BB470" s="36" t="str">
        <f t="shared" si="509"/>
        <v>S</v>
      </c>
      <c r="BC470" s="39" t="s">
        <v>357</v>
      </c>
      <c r="BD470" s="39" t="s">
        <v>357</v>
      </c>
      <c r="BE470" s="66">
        <v>26.0</v>
      </c>
      <c r="BF470" s="36" t="str">
        <f t="shared" si="510"/>
        <v>S</v>
      </c>
      <c r="BG470" s="68">
        <v>19.0</v>
      </c>
      <c r="BH470" s="41" t="str">
        <f t="shared" si="511"/>
        <v>S</v>
      </c>
      <c r="BI470" s="41"/>
    </row>
    <row r="471">
      <c r="A471" s="51" t="s">
        <v>970</v>
      </c>
      <c r="B471" s="53">
        <v>211.0</v>
      </c>
      <c r="C471" s="51" t="s">
        <v>1674</v>
      </c>
      <c r="D471" s="69" t="s">
        <v>571</v>
      </c>
      <c r="E471" s="18" t="s">
        <v>572</v>
      </c>
      <c r="F471" s="18" t="s">
        <v>192</v>
      </c>
      <c r="G471" s="63" t="s">
        <v>1675</v>
      </c>
      <c r="H471" s="22" t="s">
        <v>198</v>
      </c>
      <c r="I471" s="28">
        <v>6.0</v>
      </c>
      <c r="J471" s="26" t="str">
        <f t="shared" si="489"/>
        <v>R</v>
      </c>
      <c r="K471" s="28">
        <v>18.0</v>
      </c>
      <c r="L471" s="26" t="str">
        <f t="shared" si="490"/>
        <v>R</v>
      </c>
      <c r="M471" s="28">
        <v>6.0</v>
      </c>
      <c r="N471" s="26" t="str">
        <f t="shared" si="491"/>
        <v>R</v>
      </c>
      <c r="O471" s="28">
        <v>20.0</v>
      </c>
      <c r="P471" s="26" t="str">
        <f t="shared" si="492"/>
        <v>I</v>
      </c>
      <c r="Q471" s="28">
        <v>6.0</v>
      </c>
      <c r="R471" s="26" t="str">
        <f t="shared" si="493"/>
        <v>R</v>
      </c>
      <c r="S471" s="28">
        <v>20.0</v>
      </c>
      <c r="T471" s="26" t="str">
        <f t="shared" si="494"/>
        <v>S</v>
      </c>
      <c r="U471" s="28">
        <v>15.0</v>
      </c>
      <c r="V471" s="26" t="str">
        <f t="shared" si="495"/>
        <v>R</v>
      </c>
      <c r="W471" s="32" t="s">
        <v>299</v>
      </c>
      <c r="X471" s="65">
        <v>6.0</v>
      </c>
      <c r="Y471" s="33" t="str">
        <f t="shared" si="496"/>
        <v>R</v>
      </c>
      <c r="Z471" s="65">
        <v>19.0</v>
      </c>
      <c r="AA471" s="33" t="str">
        <f t="shared" si="497"/>
        <v>S</v>
      </c>
      <c r="AB471" s="65">
        <v>6.0</v>
      </c>
      <c r="AC471" s="33" t="str">
        <f t="shared" si="498"/>
        <v>R</v>
      </c>
      <c r="AD471" s="65">
        <v>21.0</v>
      </c>
      <c r="AE471" s="33" t="str">
        <f t="shared" si="499"/>
        <v>S</v>
      </c>
      <c r="AF471" s="65">
        <v>6.0</v>
      </c>
      <c r="AG471" s="33" t="str">
        <f t="shared" si="500"/>
        <v>R</v>
      </c>
      <c r="AH471" s="65" t="s">
        <v>299</v>
      </c>
      <c r="AI471" s="66">
        <v>6.0</v>
      </c>
      <c r="AJ471" s="36" t="str">
        <f t="shared" si="501"/>
        <v>R</v>
      </c>
      <c r="AK471" s="66">
        <v>6.0</v>
      </c>
      <c r="AL471" s="36" t="str">
        <f t="shared" si="502"/>
        <v>R</v>
      </c>
      <c r="AM471" s="66">
        <v>6.0</v>
      </c>
      <c r="AN471" s="36" t="str">
        <f t="shared" si="503"/>
        <v>R</v>
      </c>
      <c r="AO471" s="66" t="s">
        <v>299</v>
      </c>
      <c r="AP471" s="67">
        <v>6.0</v>
      </c>
      <c r="AQ471" s="37" t="str">
        <f t="shared" si="504"/>
        <v>R</v>
      </c>
      <c r="AR471" s="65">
        <v>20.0</v>
      </c>
      <c r="AS471" s="33" t="str">
        <f t="shared" si="505"/>
        <v>S</v>
      </c>
      <c r="AT471" s="65">
        <v>19.0</v>
      </c>
      <c r="AU471" s="33" t="str">
        <f t="shared" si="506"/>
        <v>S</v>
      </c>
      <c r="AV471" s="33" t="s">
        <v>300</v>
      </c>
      <c r="AW471" s="28">
        <v>6.0</v>
      </c>
      <c r="AX471" s="26" t="str">
        <f t="shared" si="507"/>
        <v>R</v>
      </c>
      <c r="AY471" s="67">
        <v>15.0</v>
      </c>
      <c r="AZ471" s="37" t="str">
        <f t="shared" si="508"/>
        <v>R</v>
      </c>
      <c r="BA471" s="66">
        <v>27.0</v>
      </c>
      <c r="BB471" s="36" t="str">
        <f t="shared" si="509"/>
        <v>S</v>
      </c>
      <c r="BC471" s="39" t="s">
        <v>357</v>
      </c>
      <c r="BD471" s="39" t="s">
        <v>357</v>
      </c>
      <c r="BE471" s="66">
        <v>27.0</v>
      </c>
      <c r="BF471" s="36" t="str">
        <f t="shared" si="510"/>
        <v>S</v>
      </c>
      <c r="BG471" s="68">
        <v>21.0</v>
      </c>
      <c r="BH471" s="41" t="str">
        <f t="shared" si="511"/>
        <v>S</v>
      </c>
      <c r="BI471" s="41"/>
    </row>
    <row r="472">
      <c r="A472" s="51" t="s">
        <v>970</v>
      </c>
      <c r="B472" s="51" t="s">
        <v>444</v>
      </c>
      <c r="C472" s="51" t="s">
        <v>1925</v>
      </c>
      <c r="D472" s="69" t="s">
        <v>571</v>
      </c>
      <c r="E472" s="18" t="s">
        <v>572</v>
      </c>
      <c r="F472" s="18" t="s">
        <v>192</v>
      </c>
      <c r="G472" s="63" t="s">
        <v>1926</v>
      </c>
      <c r="H472" s="22" t="s">
        <v>198</v>
      </c>
      <c r="I472" s="28">
        <v>6.0</v>
      </c>
      <c r="J472" s="26" t="str">
        <f t="shared" si="489"/>
        <v>R</v>
      </c>
      <c r="K472" s="28">
        <v>16.0</v>
      </c>
      <c r="L472" s="26" t="str">
        <f t="shared" si="490"/>
        <v>R</v>
      </c>
      <c r="M472" s="28">
        <v>6.0</v>
      </c>
      <c r="N472" s="26" t="str">
        <f t="shared" si="491"/>
        <v>R</v>
      </c>
      <c r="O472" s="28">
        <v>20.0</v>
      </c>
      <c r="P472" s="26" t="str">
        <f t="shared" si="492"/>
        <v>I</v>
      </c>
      <c r="Q472" s="28">
        <v>6.0</v>
      </c>
      <c r="R472" s="26" t="str">
        <f t="shared" si="493"/>
        <v>R</v>
      </c>
      <c r="S472" s="28">
        <v>21.0</v>
      </c>
      <c r="T472" s="26" t="str">
        <f t="shared" si="494"/>
        <v>S</v>
      </c>
      <c r="U472" s="28">
        <v>15.0</v>
      </c>
      <c r="V472" s="26" t="str">
        <f t="shared" si="495"/>
        <v>R</v>
      </c>
      <c r="W472" s="32" t="s">
        <v>299</v>
      </c>
      <c r="X472" s="65">
        <v>6.0</v>
      </c>
      <c r="Y472" s="33" t="str">
        <f t="shared" si="496"/>
        <v>R</v>
      </c>
      <c r="Z472" s="65">
        <v>18.0</v>
      </c>
      <c r="AA472" s="33" t="str">
        <f t="shared" si="497"/>
        <v>S</v>
      </c>
      <c r="AB472" s="65">
        <v>6.0</v>
      </c>
      <c r="AC472" s="33" t="str">
        <f t="shared" si="498"/>
        <v>R</v>
      </c>
      <c r="AD472" s="65">
        <v>20.0</v>
      </c>
      <c r="AE472" s="33" t="str">
        <f t="shared" si="499"/>
        <v>S</v>
      </c>
      <c r="AF472" s="65">
        <v>9.0</v>
      </c>
      <c r="AG472" s="33" t="str">
        <f t="shared" si="500"/>
        <v>R</v>
      </c>
      <c r="AH472" s="65" t="s">
        <v>299</v>
      </c>
      <c r="AI472" s="66">
        <v>6.0</v>
      </c>
      <c r="AJ472" s="36" t="str">
        <f t="shared" si="501"/>
        <v>R</v>
      </c>
      <c r="AK472" s="66">
        <v>9.0</v>
      </c>
      <c r="AL472" s="36" t="str">
        <f t="shared" si="502"/>
        <v>R</v>
      </c>
      <c r="AM472" s="66">
        <v>6.0</v>
      </c>
      <c r="AN472" s="36" t="str">
        <f t="shared" si="503"/>
        <v>R</v>
      </c>
      <c r="AO472" s="66" t="s">
        <v>299</v>
      </c>
      <c r="AP472" s="67">
        <v>9.0</v>
      </c>
      <c r="AQ472" s="37" t="str">
        <f t="shared" si="504"/>
        <v>R</v>
      </c>
      <c r="AR472" s="65">
        <v>21.0</v>
      </c>
      <c r="AS472" s="33" t="str">
        <f t="shared" si="505"/>
        <v>S</v>
      </c>
      <c r="AT472" s="65">
        <v>19.0</v>
      </c>
      <c r="AU472" s="33" t="str">
        <f t="shared" si="506"/>
        <v>S</v>
      </c>
      <c r="AV472" s="33" t="s">
        <v>300</v>
      </c>
      <c r="AW472" s="28">
        <v>6.0</v>
      </c>
      <c r="AX472" s="26" t="str">
        <f t="shared" si="507"/>
        <v>R</v>
      </c>
      <c r="AY472" s="67">
        <v>14.0</v>
      </c>
      <c r="AZ472" s="37" t="str">
        <f t="shared" si="508"/>
        <v>R</v>
      </c>
      <c r="BA472" s="66">
        <v>27.0</v>
      </c>
      <c r="BB472" s="36" t="str">
        <f t="shared" si="509"/>
        <v>S</v>
      </c>
      <c r="BC472" s="39" t="s">
        <v>357</v>
      </c>
      <c r="BD472" s="39" t="s">
        <v>357</v>
      </c>
      <c r="BE472" s="66">
        <v>25.0</v>
      </c>
      <c r="BF472" s="36" t="str">
        <f t="shared" si="510"/>
        <v>S</v>
      </c>
      <c r="BG472" s="68">
        <v>21.0</v>
      </c>
      <c r="BH472" s="41" t="str">
        <f t="shared" si="511"/>
        <v>S</v>
      </c>
      <c r="BI472" s="41"/>
    </row>
    <row r="473">
      <c r="A473" s="51" t="s">
        <v>970</v>
      </c>
      <c r="B473" s="51" t="s">
        <v>444</v>
      </c>
      <c r="C473" s="51" t="s">
        <v>1927</v>
      </c>
      <c r="D473" s="69" t="s">
        <v>571</v>
      </c>
      <c r="E473" s="18" t="s">
        <v>572</v>
      </c>
      <c r="F473" s="18" t="s">
        <v>192</v>
      </c>
      <c r="G473" s="63" t="s">
        <v>1928</v>
      </c>
      <c r="H473" s="22" t="s">
        <v>198</v>
      </c>
      <c r="I473" s="28">
        <v>6.0</v>
      </c>
      <c r="J473" s="26" t="str">
        <f t="shared" si="489"/>
        <v>R</v>
      </c>
      <c r="K473" s="28">
        <v>16.0</v>
      </c>
      <c r="L473" s="26" t="str">
        <f t="shared" si="490"/>
        <v>R</v>
      </c>
      <c r="M473" s="28">
        <v>6.0</v>
      </c>
      <c r="N473" s="26" t="str">
        <f t="shared" si="491"/>
        <v>R</v>
      </c>
      <c r="O473" s="28">
        <v>20.0</v>
      </c>
      <c r="P473" s="26" t="str">
        <f t="shared" si="492"/>
        <v>I</v>
      </c>
      <c r="Q473" s="28">
        <v>6.0</v>
      </c>
      <c r="R473" s="26" t="str">
        <f t="shared" si="493"/>
        <v>R</v>
      </c>
      <c r="S473" s="28">
        <v>20.0</v>
      </c>
      <c r="T473" s="26" t="str">
        <f t="shared" si="494"/>
        <v>S</v>
      </c>
      <c r="U473" s="28">
        <v>15.0</v>
      </c>
      <c r="V473" s="26" t="str">
        <f t="shared" si="495"/>
        <v>R</v>
      </c>
      <c r="W473" s="32" t="s">
        <v>299</v>
      </c>
      <c r="X473" s="65">
        <v>6.0</v>
      </c>
      <c r="Y473" s="33" t="str">
        <f t="shared" si="496"/>
        <v>R</v>
      </c>
      <c r="Z473" s="65">
        <v>19.0</v>
      </c>
      <c r="AA473" s="33" t="str">
        <f t="shared" si="497"/>
        <v>S</v>
      </c>
      <c r="AB473" s="65">
        <v>6.0</v>
      </c>
      <c r="AC473" s="33" t="str">
        <f t="shared" si="498"/>
        <v>R</v>
      </c>
      <c r="AD473" s="65">
        <v>21.0</v>
      </c>
      <c r="AE473" s="33" t="str">
        <f t="shared" si="499"/>
        <v>S</v>
      </c>
      <c r="AF473" s="65">
        <v>9.0</v>
      </c>
      <c r="AG473" s="33" t="str">
        <f t="shared" si="500"/>
        <v>R</v>
      </c>
      <c r="AH473" s="65" t="s">
        <v>299</v>
      </c>
      <c r="AI473" s="66">
        <v>6.0</v>
      </c>
      <c r="AJ473" s="36" t="str">
        <f t="shared" si="501"/>
        <v>R</v>
      </c>
      <c r="AK473" s="66">
        <v>9.0</v>
      </c>
      <c r="AL473" s="36" t="str">
        <f t="shared" si="502"/>
        <v>R</v>
      </c>
      <c r="AM473" s="66">
        <v>6.0</v>
      </c>
      <c r="AN473" s="36" t="str">
        <f t="shared" si="503"/>
        <v>R</v>
      </c>
      <c r="AO473" s="66" t="s">
        <v>299</v>
      </c>
      <c r="AP473" s="67">
        <v>9.0</v>
      </c>
      <c r="AQ473" s="37" t="str">
        <f t="shared" si="504"/>
        <v>R</v>
      </c>
      <c r="AR473" s="65">
        <v>20.0</v>
      </c>
      <c r="AS473" s="33" t="str">
        <f t="shared" si="505"/>
        <v>S</v>
      </c>
      <c r="AT473" s="65">
        <v>19.0</v>
      </c>
      <c r="AU473" s="33" t="str">
        <f t="shared" si="506"/>
        <v>S</v>
      </c>
      <c r="AV473" s="33" t="s">
        <v>300</v>
      </c>
      <c r="AW473" s="28">
        <v>6.0</v>
      </c>
      <c r="AX473" s="26" t="str">
        <f t="shared" si="507"/>
        <v>R</v>
      </c>
      <c r="AY473" s="67">
        <v>15.0</v>
      </c>
      <c r="AZ473" s="37" t="str">
        <f t="shared" si="508"/>
        <v>R</v>
      </c>
      <c r="BA473" s="66">
        <v>27.0</v>
      </c>
      <c r="BB473" s="36" t="str">
        <f t="shared" si="509"/>
        <v>S</v>
      </c>
      <c r="BC473" s="39" t="s">
        <v>357</v>
      </c>
      <c r="BD473" s="39" t="s">
        <v>357</v>
      </c>
      <c r="BE473" s="66">
        <v>25.0</v>
      </c>
      <c r="BF473" s="36" t="str">
        <f t="shared" si="510"/>
        <v>S</v>
      </c>
      <c r="BG473" s="68">
        <v>21.0</v>
      </c>
      <c r="BH473" s="41" t="str">
        <f t="shared" si="511"/>
        <v>S</v>
      </c>
      <c r="BI473" s="41"/>
    </row>
    <row r="474">
      <c r="A474" s="21" t="s">
        <v>603</v>
      </c>
      <c r="B474" s="23">
        <v>212.0</v>
      </c>
      <c r="C474" s="21" t="s">
        <v>1014</v>
      </c>
      <c r="D474" s="69" t="s">
        <v>571</v>
      </c>
      <c r="E474" s="18" t="s">
        <v>572</v>
      </c>
      <c r="F474" s="18" t="s">
        <v>192</v>
      </c>
      <c r="G474" s="63" t="s">
        <v>1015</v>
      </c>
      <c r="H474" s="22" t="s">
        <v>198</v>
      </c>
      <c r="I474" s="28">
        <v>6.0</v>
      </c>
      <c r="J474" s="26" t="str">
        <f t="shared" si="489"/>
        <v>R</v>
      </c>
      <c r="K474" s="28">
        <v>19.0</v>
      </c>
      <c r="L474" s="26" t="str">
        <f t="shared" si="490"/>
        <v>S</v>
      </c>
      <c r="M474" s="28">
        <v>9.0</v>
      </c>
      <c r="N474" s="26" t="str">
        <f t="shared" si="491"/>
        <v>R</v>
      </c>
      <c r="O474" s="28">
        <v>24.0</v>
      </c>
      <c r="P474" s="26" t="str">
        <f t="shared" si="492"/>
        <v>S</v>
      </c>
      <c r="Q474" s="28">
        <v>18.0</v>
      </c>
      <c r="R474" s="26" t="str">
        <f t="shared" si="493"/>
        <v>R</v>
      </c>
      <c r="S474" s="28">
        <v>21.0</v>
      </c>
      <c r="T474" s="26" t="str">
        <f t="shared" si="494"/>
        <v>S</v>
      </c>
      <c r="U474" s="28">
        <v>18.0</v>
      </c>
      <c r="V474" s="26" t="str">
        <f t="shared" si="495"/>
        <v>I</v>
      </c>
      <c r="W474" s="32" t="s">
        <v>299</v>
      </c>
      <c r="X474" s="65">
        <v>18.0</v>
      </c>
      <c r="Y474" s="33" t="str">
        <f t="shared" si="496"/>
        <v>I</v>
      </c>
      <c r="Z474" s="65">
        <v>20.0</v>
      </c>
      <c r="AA474" s="33" t="str">
        <f t="shared" si="497"/>
        <v>S</v>
      </c>
      <c r="AB474" s="65">
        <v>20.0</v>
      </c>
      <c r="AC474" s="33" t="str">
        <f t="shared" si="498"/>
        <v>I</v>
      </c>
      <c r="AD474" s="65">
        <v>17.0</v>
      </c>
      <c r="AE474" s="33" t="str">
        <f t="shared" si="499"/>
        <v>S</v>
      </c>
      <c r="AF474" s="65">
        <v>16.0</v>
      </c>
      <c r="AG474" s="33" t="str">
        <f t="shared" si="500"/>
        <v>R</v>
      </c>
      <c r="AH474" s="65" t="s">
        <v>299</v>
      </c>
      <c r="AI474" s="66">
        <v>16.0</v>
      </c>
      <c r="AJ474" s="36" t="str">
        <f t="shared" si="501"/>
        <v>R</v>
      </c>
      <c r="AK474" s="66">
        <v>11.0</v>
      </c>
      <c r="AL474" s="36" t="str">
        <f t="shared" si="502"/>
        <v>R</v>
      </c>
      <c r="AM474" s="66">
        <v>12.0</v>
      </c>
      <c r="AN474" s="36" t="str">
        <f t="shared" si="503"/>
        <v>R</v>
      </c>
      <c r="AO474" s="66" t="s">
        <v>299</v>
      </c>
      <c r="AP474" s="67">
        <v>6.0</v>
      </c>
      <c r="AQ474" s="37" t="str">
        <f t="shared" si="504"/>
        <v>R</v>
      </c>
      <c r="AR474" s="65">
        <v>18.0</v>
      </c>
      <c r="AS474" s="33" t="str">
        <f t="shared" si="505"/>
        <v>S</v>
      </c>
      <c r="AT474" s="65">
        <v>17.0</v>
      </c>
      <c r="AU474" s="33" t="str">
        <f t="shared" si="506"/>
        <v>S</v>
      </c>
      <c r="AV474" s="33" t="s">
        <v>300</v>
      </c>
      <c r="AW474" s="28">
        <v>11.0</v>
      </c>
      <c r="AX474" s="26" t="str">
        <f t="shared" si="507"/>
        <v>R</v>
      </c>
      <c r="AY474" s="67">
        <v>14.0</v>
      </c>
      <c r="AZ474" s="37" t="str">
        <f t="shared" si="508"/>
        <v>R</v>
      </c>
      <c r="BA474" s="66">
        <v>18.0</v>
      </c>
      <c r="BB474" s="36" t="str">
        <f t="shared" si="509"/>
        <v>R</v>
      </c>
      <c r="BC474" s="39" t="s">
        <v>357</v>
      </c>
      <c r="BD474" s="39" t="s">
        <v>357</v>
      </c>
      <c r="BE474" s="66">
        <v>20.0</v>
      </c>
      <c r="BF474" s="36" t="str">
        <f t="shared" si="510"/>
        <v>I</v>
      </c>
      <c r="BG474" s="68">
        <v>17.0</v>
      </c>
      <c r="BH474" s="41" t="str">
        <f t="shared" si="511"/>
        <v>S</v>
      </c>
      <c r="BI474" s="41"/>
    </row>
    <row r="475">
      <c r="A475" s="21" t="s">
        <v>603</v>
      </c>
      <c r="B475" s="21" t="s">
        <v>444</v>
      </c>
      <c r="C475" s="21" t="s">
        <v>1929</v>
      </c>
      <c r="D475" s="69" t="s">
        <v>571</v>
      </c>
      <c r="E475" s="18" t="s">
        <v>572</v>
      </c>
      <c r="F475" s="18" t="s">
        <v>192</v>
      </c>
      <c r="G475" s="63" t="s">
        <v>1930</v>
      </c>
      <c r="H475" s="22" t="s">
        <v>198</v>
      </c>
      <c r="I475" s="28">
        <v>6.0</v>
      </c>
      <c r="J475" s="26" t="str">
        <f t="shared" si="489"/>
        <v>R</v>
      </c>
      <c r="K475" s="28">
        <v>19.0</v>
      </c>
      <c r="L475" s="26" t="str">
        <f t="shared" si="490"/>
        <v>S</v>
      </c>
      <c r="M475" s="28">
        <v>6.0</v>
      </c>
      <c r="N475" s="26" t="str">
        <f t="shared" si="491"/>
        <v>R</v>
      </c>
      <c r="O475" s="28">
        <v>23.0</v>
      </c>
      <c r="P475" s="26" t="str">
        <f t="shared" si="492"/>
        <v>S</v>
      </c>
      <c r="Q475" s="28">
        <v>17.0</v>
      </c>
      <c r="R475" s="26" t="str">
        <f t="shared" si="493"/>
        <v>R</v>
      </c>
      <c r="S475" s="28">
        <v>20.0</v>
      </c>
      <c r="T475" s="26" t="str">
        <f t="shared" si="494"/>
        <v>S</v>
      </c>
      <c r="U475" s="28">
        <v>19.0</v>
      </c>
      <c r="V475" s="26" t="str">
        <f t="shared" si="495"/>
        <v>I</v>
      </c>
      <c r="W475" s="32" t="s">
        <v>299</v>
      </c>
      <c r="X475" s="65">
        <v>18.0</v>
      </c>
      <c r="Y475" s="33" t="str">
        <f t="shared" si="496"/>
        <v>I</v>
      </c>
      <c r="Z475" s="65">
        <v>21.0</v>
      </c>
      <c r="AA475" s="33" t="str">
        <f t="shared" si="497"/>
        <v>S</v>
      </c>
      <c r="AB475" s="65">
        <v>20.0</v>
      </c>
      <c r="AC475" s="33" t="str">
        <f t="shared" si="498"/>
        <v>I</v>
      </c>
      <c r="AD475" s="65">
        <v>16.0</v>
      </c>
      <c r="AE475" s="33" t="str">
        <f t="shared" si="499"/>
        <v>S</v>
      </c>
      <c r="AF475" s="65">
        <v>16.0</v>
      </c>
      <c r="AG475" s="33" t="str">
        <f t="shared" si="500"/>
        <v>R</v>
      </c>
      <c r="AH475" s="65" t="s">
        <v>299</v>
      </c>
      <c r="AI475" s="66">
        <v>16.0</v>
      </c>
      <c r="AJ475" s="36" t="str">
        <f t="shared" si="501"/>
        <v>R</v>
      </c>
      <c r="AK475" s="66">
        <v>11.0</v>
      </c>
      <c r="AL475" s="36" t="str">
        <f t="shared" si="502"/>
        <v>R</v>
      </c>
      <c r="AM475" s="66">
        <v>11.0</v>
      </c>
      <c r="AN475" s="36" t="str">
        <f t="shared" si="503"/>
        <v>R</v>
      </c>
      <c r="AO475" s="66" t="s">
        <v>299</v>
      </c>
      <c r="AP475" s="67">
        <v>9.0</v>
      </c>
      <c r="AQ475" s="37" t="str">
        <f t="shared" si="504"/>
        <v>R</v>
      </c>
      <c r="AR475" s="65">
        <v>16.0</v>
      </c>
      <c r="AS475" s="33" t="str">
        <f t="shared" si="505"/>
        <v>R</v>
      </c>
      <c r="AT475" s="65">
        <v>17.0</v>
      </c>
      <c r="AU475" s="33" t="str">
        <f t="shared" si="506"/>
        <v>S</v>
      </c>
      <c r="AV475" s="65" t="s">
        <v>299</v>
      </c>
      <c r="AW475" s="28">
        <v>10.0</v>
      </c>
      <c r="AX475" s="26" t="str">
        <f t="shared" si="507"/>
        <v>R</v>
      </c>
      <c r="AY475" s="67">
        <v>14.0</v>
      </c>
      <c r="AZ475" s="37" t="str">
        <f t="shared" si="508"/>
        <v>R</v>
      </c>
      <c r="BA475" s="66">
        <v>18.0</v>
      </c>
      <c r="BB475" s="36" t="str">
        <f t="shared" si="509"/>
        <v>R</v>
      </c>
      <c r="BC475" s="39" t="s">
        <v>357</v>
      </c>
      <c r="BD475" s="39" t="s">
        <v>357</v>
      </c>
      <c r="BE475" s="66">
        <v>19.0</v>
      </c>
      <c r="BF475" s="36" t="str">
        <f t="shared" si="510"/>
        <v>I</v>
      </c>
      <c r="BG475" s="68">
        <v>17.0</v>
      </c>
      <c r="BH475" s="41" t="str">
        <f t="shared" si="511"/>
        <v>S</v>
      </c>
      <c r="BI475" s="41"/>
    </row>
    <row r="476">
      <c r="A476" s="21" t="s">
        <v>603</v>
      </c>
      <c r="B476" s="21" t="s">
        <v>444</v>
      </c>
      <c r="C476" s="21" t="s">
        <v>1931</v>
      </c>
      <c r="D476" s="69" t="s">
        <v>571</v>
      </c>
      <c r="E476" s="18" t="s">
        <v>572</v>
      </c>
      <c r="F476" s="18" t="s">
        <v>192</v>
      </c>
      <c r="G476" s="63" t="s">
        <v>1932</v>
      </c>
      <c r="H476" s="22" t="s">
        <v>198</v>
      </c>
      <c r="I476" s="28">
        <v>6.0</v>
      </c>
      <c r="J476" s="26" t="str">
        <f t="shared" si="489"/>
        <v>R</v>
      </c>
      <c r="K476" s="28">
        <v>19.0</v>
      </c>
      <c r="L476" s="26" t="str">
        <f t="shared" si="490"/>
        <v>S</v>
      </c>
      <c r="M476" s="28">
        <v>6.0</v>
      </c>
      <c r="N476" s="26" t="str">
        <f t="shared" si="491"/>
        <v>R</v>
      </c>
      <c r="O476" s="28">
        <v>23.0</v>
      </c>
      <c r="P476" s="26" t="str">
        <f t="shared" si="492"/>
        <v>S</v>
      </c>
      <c r="Q476" s="28">
        <v>17.0</v>
      </c>
      <c r="R476" s="26" t="str">
        <f t="shared" si="493"/>
        <v>R</v>
      </c>
      <c r="S476" s="28">
        <v>20.0</v>
      </c>
      <c r="T476" s="26" t="str">
        <f t="shared" si="494"/>
        <v>S</v>
      </c>
      <c r="U476" s="28">
        <v>19.0</v>
      </c>
      <c r="V476" s="26" t="str">
        <f t="shared" si="495"/>
        <v>I</v>
      </c>
      <c r="W476" s="32" t="s">
        <v>299</v>
      </c>
      <c r="X476" s="65">
        <v>14.0</v>
      </c>
      <c r="Y476" s="33" t="str">
        <f t="shared" si="496"/>
        <v>R</v>
      </c>
      <c r="Z476" s="65">
        <v>22.0</v>
      </c>
      <c r="AA476" s="33" t="str">
        <f t="shared" si="497"/>
        <v>S</v>
      </c>
      <c r="AB476" s="65">
        <v>21.0</v>
      </c>
      <c r="AC476" s="33" t="str">
        <f t="shared" si="498"/>
        <v>I</v>
      </c>
      <c r="AD476" s="65">
        <v>16.0</v>
      </c>
      <c r="AE476" s="33" t="str">
        <f t="shared" si="499"/>
        <v>S</v>
      </c>
      <c r="AF476" s="65">
        <v>16.0</v>
      </c>
      <c r="AG476" s="33" t="str">
        <f t="shared" si="500"/>
        <v>R</v>
      </c>
      <c r="AH476" s="65" t="s">
        <v>299</v>
      </c>
      <c r="AI476" s="66">
        <v>16.0</v>
      </c>
      <c r="AJ476" s="36" t="str">
        <f t="shared" si="501"/>
        <v>R</v>
      </c>
      <c r="AK476" s="66">
        <v>11.0</v>
      </c>
      <c r="AL476" s="36" t="str">
        <f t="shared" si="502"/>
        <v>R</v>
      </c>
      <c r="AM476" s="66">
        <v>11.0</v>
      </c>
      <c r="AN476" s="36" t="str">
        <f t="shared" si="503"/>
        <v>R</v>
      </c>
      <c r="AO476" s="66" t="s">
        <v>299</v>
      </c>
      <c r="AP476" s="67">
        <v>9.0</v>
      </c>
      <c r="AQ476" s="37" t="str">
        <f t="shared" si="504"/>
        <v>R</v>
      </c>
      <c r="AR476" s="65">
        <v>19.0</v>
      </c>
      <c r="AS476" s="33" t="str">
        <f t="shared" si="505"/>
        <v>S</v>
      </c>
      <c r="AT476" s="65">
        <v>17.0</v>
      </c>
      <c r="AU476" s="33" t="str">
        <f t="shared" si="506"/>
        <v>S</v>
      </c>
      <c r="AV476" s="33" t="s">
        <v>300</v>
      </c>
      <c r="AW476" s="28">
        <v>11.0</v>
      </c>
      <c r="AX476" s="26" t="str">
        <f t="shared" si="507"/>
        <v>R</v>
      </c>
      <c r="AY476" s="67">
        <v>16.0</v>
      </c>
      <c r="AZ476" s="37" t="str">
        <f t="shared" si="508"/>
        <v>R</v>
      </c>
      <c r="BA476" s="66">
        <v>18.0</v>
      </c>
      <c r="BB476" s="36" t="str">
        <f t="shared" si="509"/>
        <v>R</v>
      </c>
      <c r="BC476" s="39" t="s">
        <v>357</v>
      </c>
      <c r="BD476" s="39" t="s">
        <v>357</v>
      </c>
      <c r="BE476" s="66">
        <v>19.0</v>
      </c>
      <c r="BF476" s="36" t="str">
        <f t="shared" si="510"/>
        <v>I</v>
      </c>
      <c r="BG476" s="68">
        <v>17.0</v>
      </c>
      <c r="BH476" s="41" t="str">
        <f t="shared" si="511"/>
        <v>S</v>
      </c>
      <c r="BI476" s="41"/>
    </row>
    <row r="477">
      <c r="A477" s="51" t="s">
        <v>618</v>
      </c>
      <c r="B477" s="53">
        <v>213.0</v>
      </c>
      <c r="C477" s="51" t="s">
        <v>1020</v>
      </c>
      <c r="D477" s="69" t="s">
        <v>190</v>
      </c>
      <c r="E477" s="18" t="s">
        <v>190</v>
      </c>
      <c r="F477" s="18" t="s">
        <v>192</v>
      </c>
      <c r="G477" s="63" t="s">
        <v>1021</v>
      </c>
      <c r="H477" s="42" t="s">
        <v>479</v>
      </c>
      <c r="I477" s="28">
        <v>6.0</v>
      </c>
      <c r="J477" s="26" t="str">
        <f t="shared" si="489"/>
        <v>R</v>
      </c>
      <c r="K477" s="28">
        <v>16.0</v>
      </c>
      <c r="L477" s="26" t="str">
        <f t="shared" si="490"/>
        <v>R</v>
      </c>
      <c r="M477" s="28">
        <v>10.0</v>
      </c>
      <c r="N477" s="26" t="str">
        <f t="shared" si="491"/>
        <v>R</v>
      </c>
      <c r="O477" s="28">
        <v>22.0</v>
      </c>
      <c r="P477" s="26" t="str">
        <f t="shared" si="492"/>
        <v>I</v>
      </c>
      <c r="Q477" s="28">
        <v>20.0</v>
      </c>
      <c r="R477" s="26" t="str">
        <f t="shared" si="493"/>
        <v>S</v>
      </c>
      <c r="S477" s="28">
        <v>21.0</v>
      </c>
      <c r="T477" s="26" t="str">
        <f t="shared" si="494"/>
        <v>S</v>
      </c>
      <c r="U477" s="28">
        <v>17.0</v>
      </c>
      <c r="V477" s="26" t="str">
        <f t="shared" si="495"/>
        <v>I</v>
      </c>
      <c r="W477" s="32" t="s">
        <v>299</v>
      </c>
      <c r="X477" s="65">
        <v>14.0</v>
      </c>
      <c r="Y477" s="33" t="str">
        <f t="shared" si="496"/>
        <v>R</v>
      </c>
      <c r="Z477" s="65">
        <v>20.0</v>
      </c>
      <c r="AA477" s="33" t="str">
        <f t="shared" si="497"/>
        <v>S</v>
      </c>
      <c r="AB477" s="65">
        <v>23.0</v>
      </c>
      <c r="AC477" s="33" t="str">
        <f t="shared" si="498"/>
        <v>S</v>
      </c>
      <c r="AD477" s="65">
        <v>15.0</v>
      </c>
      <c r="AE477" s="33" t="str">
        <f t="shared" si="499"/>
        <v>S</v>
      </c>
      <c r="AF477" s="65">
        <v>18.0</v>
      </c>
      <c r="AG477" s="33" t="str">
        <f t="shared" si="500"/>
        <v>R</v>
      </c>
      <c r="AH477" s="65" t="s">
        <v>299</v>
      </c>
      <c r="AI477" s="66">
        <v>11.0</v>
      </c>
      <c r="AJ477" s="36" t="str">
        <f t="shared" si="501"/>
        <v>R</v>
      </c>
      <c r="AK477" s="66">
        <v>10.0</v>
      </c>
      <c r="AL477" s="36" t="str">
        <f t="shared" si="502"/>
        <v>R</v>
      </c>
      <c r="AM477" s="66">
        <v>6.0</v>
      </c>
      <c r="AN477" s="36" t="str">
        <f t="shared" si="503"/>
        <v>R</v>
      </c>
      <c r="AO477" s="66" t="s">
        <v>299</v>
      </c>
      <c r="AP477" s="67">
        <v>10.0</v>
      </c>
      <c r="AQ477" s="37" t="str">
        <f t="shared" si="504"/>
        <v>R</v>
      </c>
      <c r="AR477" s="65">
        <v>19.0</v>
      </c>
      <c r="AS477" s="33" t="str">
        <f t="shared" si="505"/>
        <v>S</v>
      </c>
      <c r="AT477" s="65">
        <v>18.0</v>
      </c>
      <c r="AU477" s="33" t="str">
        <f t="shared" si="506"/>
        <v>S</v>
      </c>
      <c r="AV477" s="33" t="s">
        <v>300</v>
      </c>
      <c r="AW477" s="28">
        <v>12.0</v>
      </c>
      <c r="AX477" s="26" t="str">
        <f t="shared" si="507"/>
        <v>R</v>
      </c>
      <c r="AY477" s="67">
        <v>12.0</v>
      </c>
      <c r="AZ477" s="37" t="str">
        <f t="shared" si="508"/>
        <v>R</v>
      </c>
      <c r="BA477" s="66">
        <v>14.0</v>
      </c>
      <c r="BB477" s="36" t="str">
        <f t="shared" si="509"/>
        <v>R</v>
      </c>
      <c r="BC477" s="39" t="s">
        <v>357</v>
      </c>
      <c r="BD477" s="39" t="s">
        <v>357</v>
      </c>
      <c r="BE477" s="66">
        <v>16.0</v>
      </c>
      <c r="BF477" s="36" t="str">
        <f t="shared" si="510"/>
        <v>R</v>
      </c>
      <c r="BG477" s="68">
        <v>20.0</v>
      </c>
      <c r="BH477" s="41" t="str">
        <f t="shared" si="511"/>
        <v>S</v>
      </c>
      <c r="BI477" s="41"/>
    </row>
    <row r="478">
      <c r="A478" s="51" t="s">
        <v>618</v>
      </c>
      <c r="B478" s="51" t="s">
        <v>444</v>
      </c>
      <c r="C478" s="51" t="s">
        <v>1933</v>
      </c>
      <c r="D478" s="69" t="s">
        <v>190</v>
      </c>
      <c r="E478" s="18" t="s">
        <v>190</v>
      </c>
      <c r="F478" s="18" t="s">
        <v>192</v>
      </c>
      <c r="G478" s="63" t="s">
        <v>1934</v>
      </c>
      <c r="H478" s="42" t="s">
        <v>479</v>
      </c>
      <c r="I478" s="28">
        <v>6.0</v>
      </c>
      <c r="J478" s="26" t="str">
        <f t="shared" si="489"/>
        <v>R</v>
      </c>
      <c r="K478" s="28">
        <v>16.0</v>
      </c>
      <c r="L478" s="26" t="str">
        <f t="shared" si="490"/>
        <v>R</v>
      </c>
      <c r="M478" s="28">
        <v>11.0</v>
      </c>
      <c r="N478" s="26" t="str">
        <f t="shared" si="491"/>
        <v>R</v>
      </c>
      <c r="O478" s="28">
        <v>22.0</v>
      </c>
      <c r="P478" s="26" t="str">
        <f t="shared" si="492"/>
        <v>I</v>
      </c>
      <c r="Q478" s="28">
        <v>20.0</v>
      </c>
      <c r="R478" s="26" t="str">
        <f t="shared" si="493"/>
        <v>S</v>
      </c>
      <c r="S478" s="28">
        <v>21.0</v>
      </c>
      <c r="T478" s="26" t="str">
        <f t="shared" si="494"/>
        <v>S</v>
      </c>
      <c r="U478" s="28">
        <v>17.0</v>
      </c>
      <c r="V478" s="26" t="str">
        <f t="shared" si="495"/>
        <v>I</v>
      </c>
      <c r="W478" s="32" t="s">
        <v>299</v>
      </c>
      <c r="X478" s="65">
        <v>14.0</v>
      </c>
      <c r="Y478" s="33" t="str">
        <f t="shared" si="496"/>
        <v>R</v>
      </c>
      <c r="Z478" s="65">
        <v>19.0</v>
      </c>
      <c r="AA478" s="33" t="str">
        <f t="shared" si="497"/>
        <v>S</v>
      </c>
      <c r="AB478" s="65">
        <v>23.0</v>
      </c>
      <c r="AC478" s="33" t="str">
        <f t="shared" si="498"/>
        <v>S</v>
      </c>
      <c r="AD478" s="65">
        <v>14.0</v>
      </c>
      <c r="AE478" s="33" t="str">
        <f t="shared" si="499"/>
        <v>S</v>
      </c>
      <c r="AF478" s="65">
        <v>18.0</v>
      </c>
      <c r="AG478" s="33" t="str">
        <f t="shared" si="500"/>
        <v>R</v>
      </c>
      <c r="AH478" s="65" t="s">
        <v>299</v>
      </c>
      <c r="AI478" s="66">
        <v>11.0</v>
      </c>
      <c r="AJ478" s="36" t="str">
        <f t="shared" si="501"/>
        <v>R</v>
      </c>
      <c r="AK478" s="66">
        <v>9.0</v>
      </c>
      <c r="AL478" s="36" t="str">
        <f t="shared" si="502"/>
        <v>R</v>
      </c>
      <c r="AM478" s="66">
        <v>6.0</v>
      </c>
      <c r="AN478" s="36" t="str">
        <f t="shared" si="503"/>
        <v>R</v>
      </c>
      <c r="AO478" s="66" t="s">
        <v>299</v>
      </c>
      <c r="AP478" s="67">
        <v>10.0</v>
      </c>
      <c r="AQ478" s="37" t="str">
        <f t="shared" si="504"/>
        <v>R</v>
      </c>
      <c r="AR478" s="65">
        <v>19.0</v>
      </c>
      <c r="AS478" s="33" t="str">
        <f t="shared" si="505"/>
        <v>S</v>
      </c>
      <c r="AT478" s="65">
        <v>18.0</v>
      </c>
      <c r="AU478" s="33" t="str">
        <f t="shared" si="506"/>
        <v>S</v>
      </c>
      <c r="AV478" s="33" t="s">
        <v>300</v>
      </c>
      <c r="AW478" s="28">
        <v>11.0</v>
      </c>
      <c r="AX478" s="26" t="str">
        <f t="shared" si="507"/>
        <v>R</v>
      </c>
      <c r="AY478" s="67">
        <v>12.0</v>
      </c>
      <c r="AZ478" s="37" t="str">
        <f t="shared" si="508"/>
        <v>R</v>
      </c>
      <c r="BA478" s="66">
        <v>16.0</v>
      </c>
      <c r="BB478" s="36" t="str">
        <f t="shared" si="509"/>
        <v>R</v>
      </c>
      <c r="BC478" s="39" t="s">
        <v>357</v>
      </c>
      <c r="BD478" s="39" t="s">
        <v>357</v>
      </c>
      <c r="BE478" s="66">
        <v>18.0</v>
      </c>
      <c r="BF478" s="36" t="str">
        <f t="shared" si="510"/>
        <v>R</v>
      </c>
      <c r="BG478" s="68">
        <v>20.0</v>
      </c>
      <c r="BH478" s="41" t="str">
        <f t="shared" si="511"/>
        <v>S</v>
      </c>
      <c r="BI478" s="41"/>
    </row>
    <row r="479">
      <c r="A479" s="51" t="s">
        <v>618</v>
      </c>
      <c r="B479" s="51" t="s">
        <v>444</v>
      </c>
      <c r="C479" s="51" t="s">
        <v>1935</v>
      </c>
      <c r="D479" s="69" t="s">
        <v>190</v>
      </c>
      <c r="E479" s="18" t="s">
        <v>190</v>
      </c>
      <c r="F479" s="18" t="s">
        <v>192</v>
      </c>
      <c r="G479" s="63" t="s">
        <v>1936</v>
      </c>
      <c r="H479" s="42" t="s">
        <v>479</v>
      </c>
      <c r="I479" s="28">
        <v>6.0</v>
      </c>
      <c r="J479" s="26" t="str">
        <f t="shared" si="489"/>
        <v>R</v>
      </c>
      <c r="K479" s="28">
        <v>16.0</v>
      </c>
      <c r="L479" s="26" t="str">
        <f t="shared" si="490"/>
        <v>R</v>
      </c>
      <c r="M479" s="28">
        <v>9.0</v>
      </c>
      <c r="N479" s="26" t="str">
        <f t="shared" si="491"/>
        <v>R</v>
      </c>
      <c r="O479" s="28">
        <v>24.0</v>
      </c>
      <c r="P479" s="26" t="str">
        <f t="shared" si="492"/>
        <v>S</v>
      </c>
      <c r="Q479" s="28">
        <v>18.0</v>
      </c>
      <c r="R479" s="26" t="str">
        <f t="shared" si="493"/>
        <v>R</v>
      </c>
      <c r="S479" s="28">
        <v>19.0</v>
      </c>
      <c r="T479" s="26" t="str">
        <f t="shared" si="494"/>
        <v>R</v>
      </c>
      <c r="U479" s="28">
        <v>15.0</v>
      </c>
      <c r="V479" s="26" t="str">
        <f t="shared" si="495"/>
        <v>R</v>
      </c>
      <c r="W479" s="32" t="s">
        <v>299</v>
      </c>
      <c r="X479" s="65">
        <v>19.0</v>
      </c>
      <c r="Y479" s="33" t="str">
        <f t="shared" si="496"/>
        <v>I</v>
      </c>
      <c r="Z479" s="65">
        <v>19.0</v>
      </c>
      <c r="AA479" s="33" t="str">
        <f t="shared" si="497"/>
        <v>S</v>
      </c>
      <c r="AB479" s="65">
        <v>23.0</v>
      </c>
      <c r="AC479" s="33" t="str">
        <f t="shared" si="498"/>
        <v>S</v>
      </c>
      <c r="AD479" s="65">
        <v>17.0</v>
      </c>
      <c r="AE479" s="33" t="str">
        <f t="shared" si="499"/>
        <v>S</v>
      </c>
      <c r="AF479" s="65">
        <v>18.0</v>
      </c>
      <c r="AG479" s="33" t="str">
        <f t="shared" si="500"/>
        <v>R</v>
      </c>
      <c r="AH479" s="65" t="s">
        <v>299</v>
      </c>
      <c r="AI479" s="66">
        <v>11.0</v>
      </c>
      <c r="AJ479" s="36" t="str">
        <f t="shared" si="501"/>
        <v>R</v>
      </c>
      <c r="AK479" s="66">
        <v>10.0</v>
      </c>
      <c r="AL479" s="36" t="str">
        <f t="shared" si="502"/>
        <v>R</v>
      </c>
      <c r="AM479" s="66">
        <v>6.0</v>
      </c>
      <c r="AN479" s="36" t="str">
        <f t="shared" si="503"/>
        <v>R</v>
      </c>
      <c r="AO479" s="66" t="s">
        <v>299</v>
      </c>
      <c r="AP479" s="67">
        <v>10.0</v>
      </c>
      <c r="AQ479" s="37" t="str">
        <f t="shared" si="504"/>
        <v>R</v>
      </c>
      <c r="AR479" s="65">
        <v>18.0</v>
      </c>
      <c r="AS479" s="33" t="str">
        <f t="shared" si="505"/>
        <v>S</v>
      </c>
      <c r="AT479" s="65">
        <v>18.0</v>
      </c>
      <c r="AU479" s="33" t="str">
        <f t="shared" si="506"/>
        <v>S</v>
      </c>
      <c r="AV479" s="33" t="s">
        <v>300</v>
      </c>
      <c r="AW479" s="28">
        <v>9.0</v>
      </c>
      <c r="AX479" s="26" t="str">
        <f t="shared" si="507"/>
        <v>R</v>
      </c>
      <c r="AY479" s="67">
        <v>16.0</v>
      </c>
      <c r="AZ479" s="37" t="str">
        <f t="shared" si="508"/>
        <v>R</v>
      </c>
      <c r="BA479" s="66">
        <v>16.0</v>
      </c>
      <c r="BB479" s="36" t="str">
        <f t="shared" si="509"/>
        <v>R</v>
      </c>
      <c r="BC479" s="39" t="s">
        <v>357</v>
      </c>
      <c r="BD479" s="39" t="s">
        <v>357</v>
      </c>
      <c r="BE479" s="66">
        <v>16.0</v>
      </c>
      <c r="BF479" s="36" t="str">
        <f t="shared" si="510"/>
        <v>R</v>
      </c>
      <c r="BG479" s="68">
        <v>20.0</v>
      </c>
      <c r="BH479" s="41" t="str">
        <f t="shared" si="511"/>
        <v>S</v>
      </c>
      <c r="BI479" s="41"/>
    </row>
    <row r="480">
      <c r="A480" s="51" t="s">
        <v>618</v>
      </c>
      <c r="B480" s="53">
        <v>214.0</v>
      </c>
      <c r="C480" s="51" t="s">
        <v>1022</v>
      </c>
      <c r="D480" s="69" t="s">
        <v>190</v>
      </c>
      <c r="E480" s="18" t="s">
        <v>190</v>
      </c>
      <c r="F480" s="18" t="s">
        <v>192</v>
      </c>
      <c r="G480" s="63" t="s">
        <v>1023</v>
      </c>
      <c r="H480" s="42" t="s">
        <v>479</v>
      </c>
      <c r="I480" s="28">
        <v>6.0</v>
      </c>
      <c r="J480" s="26" t="str">
        <f t="shared" si="489"/>
        <v>R</v>
      </c>
      <c r="K480" s="28">
        <v>20.0</v>
      </c>
      <c r="L480" s="26" t="str">
        <f t="shared" si="490"/>
        <v>S</v>
      </c>
      <c r="M480" s="28">
        <v>6.0</v>
      </c>
      <c r="N480" s="26" t="str">
        <f t="shared" si="491"/>
        <v>R</v>
      </c>
      <c r="O480" s="28">
        <v>25.0</v>
      </c>
      <c r="P480" s="26" t="str">
        <f t="shared" si="492"/>
        <v>S</v>
      </c>
      <c r="Q480" s="28">
        <v>19.0</v>
      </c>
      <c r="R480" s="26" t="str">
        <f t="shared" si="493"/>
        <v>R</v>
      </c>
      <c r="S480" s="28">
        <v>17.0</v>
      </c>
      <c r="T480" s="26" t="str">
        <f t="shared" si="494"/>
        <v>R</v>
      </c>
      <c r="U480" s="28">
        <v>18.0</v>
      </c>
      <c r="V480" s="26" t="str">
        <f t="shared" si="495"/>
        <v>I</v>
      </c>
      <c r="W480" s="32" t="s">
        <v>299</v>
      </c>
      <c r="X480" s="65">
        <v>19.0</v>
      </c>
      <c r="Y480" s="33" t="str">
        <f t="shared" si="496"/>
        <v>I</v>
      </c>
      <c r="Z480" s="65">
        <v>20.0</v>
      </c>
      <c r="AA480" s="33" t="str">
        <f t="shared" si="497"/>
        <v>S</v>
      </c>
      <c r="AB480" s="65">
        <v>18.0</v>
      </c>
      <c r="AC480" s="33" t="str">
        <f t="shared" si="498"/>
        <v>R</v>
      </c>
      <c r="AD480" s="65">
        <v>17.0</v>
      </c>
      <c r="AE480" s="33" t="str">
        <f t="shared" si="499"/>
        <v>S</v>
      </c>
      <c r="AF480" s="65">
        <v>20.0</v>
      </c>
      <c r="AG480" s="33" t="str">
        <f t="shared" si="500"/>
        <v>R</v>
      </c>
      <c r="AH480" s="65" t="s">
        <v>299</v>
      </c>
      <c r="AI480" s="66">
        <v>9.0</v>
      </c>
      <c r="AJ480" s="36" t="str">
        <f t="shared" si="501"/>
        <v>R</v>
      </c>
      <c r="AK480" s="66">
        <v>6.0</v>
      </c>
      <c r="AL480" s="36" t="str">
        <f t="shared" si="502"/>
        <v>R</v>
      </c>
      <c r="AM480" s="66">
        <v>10.0</v>
      </c>
      <c r="AN480" s="36" t="str">
        <f t="shared" si="503"/>
        <v>R</v>
      </c>
      <c r="AO480" s="66" t="s">
        <v>299</v>
      </c>
      <c r="AP480" s="67">
        <v>11.0</v>
      </c>
      <c r="AQ480" s="37" t="str">
        <f t="shared" si="504"/>
        <v>I</v>
      </c>
      <c r="AR480" s="65">
        <v>18.0</v>
      </c>
      <c r="AS480" s="33" t="str">
        <f t="shared" si="505"/>
        <v>S</v>
      </c>
      <c r="AT480" s="65">
        <v>21.0</v>
      </c>
      <c r="AU480" s="33" t="str">
        <f t="shared" si="506"/>
        <v>S</v>
      </c>
      <c r="AV480" s="33" t="s">
        <v>300</v>
      </c>
      <c r="AW480" s="28">
        <v>9.0</v>
      </c>
      <c r="AX480" s="26" t="str">
        <f t="shared" si="507"/>
        <v>R</v>
      </c>
      <c r="AY480" s="67">
        <v>18.0</v>
      </c>
      <c r="AZ480" s="37" t="str">
        <f t="shared" si="508"/>
        <v>R</v>
      </c>
      <c r="BA480" s="66">
        <v>18.0</v>
      </c>
      <c r="BB480" s="36" t="str">
        <f t="shared" si="509"/>
        <v>R</v>
      </c>
      <c r="BC480" s="39" t="s">
        <v>357</v>
      </c>
      <c r="BD480" s="39" t="s">
        <v>357</v>
      </c>
      <c r="BE480" s="66">
        <v>21.0</v>
      </c>
      <c r="BF480" s="36" t="str">
        <f t="shared" si="510"/>
        <v>I</v>
      </c>
      <c r="BG480" s="68">
        <v>22.0</v>
      </c>
      <c r="BH480" s="41" t="str">
        <f t="shared" si="511"/>
        <v>S</v>
      </c>
      <c r="BI480" s="41"/>
    </row>
    <row r="481">
      <c r="A481" s="51" t="s">
        <v>618</v>
      </c>
      <c r="B481" s="51" t="s">
        <v>444</v>
      </c>
      <c r="C481" s="51" t="s">
        <v>1937</v>
      </c>
      <c r="D481" s="69" t="s">
        <v>190</v>
      </c>
      <c r="E481" s="18" t="s">
        <v>190</v>
      </c>
      <c r="F481" s="18" t="s">
        <v>192</v>
      </c>
      <c r="G481" s="63" t="s">
        <v>1938</v>
      </c>
      <c r="H481" s="42" t="s">
        <v>479</v>
      </c>
      <c r="I481" s="28">
        <v>6.0</v>
      </c>
      <c r="J481" s="26" t="str">
        <f t="shared" si="489"/>
        <v>R</v>
      </c>
      <c r="K481" s="28">
        <v>20.0</v>
      </c>
      <c r="L481" s="26" t="str">
        <f t="shared" si="490"/>
        <v>S</v>
      </c>
      <c r="M481" s="28">
        <v>11.0</v>
      </c>
      <c r="N481" s="26" t="str">
        <f t="shared" si="491"/>
        <v>R</v>
      </c>
      <c r="O481" s="28">
        <v>24.0</v>
      </c>
      <c r="P481" s="26" t="str">
        <f t="shared" si="492"/>
        <v>S</v>
      </c>
      <c r="Q481" s="28">
        <v>19.0</v>
      </c>
      <c r="R481" s="26" t="str">
        <f t="shared" si="493"/>
        <v>R</v>
      </c>
      <c r="S481" s="28">
        <v>17.0</v>
      </c>
      <c r="T481" s="26" t="str">
        <f t="shared" si="494"/>
        <v>R</v>
      </c>
      <c r="U481" s="28">
        <v>16.0</v>
      </c>
      <c r="V481" s="26" t="str">
        <f t="shared" si="495"/>
        <v>R</v>
      </c>
      <c r="W481" s="32" t="s">
        <v>299</v>
      </c>
      <c r="X481" s="65">
        <v>19.0</v>
      </c>
      <c r="Y481" s="33" t="str">
        <f t="shared" si="496"/>
        <v>I</v>
      </c>
      <c r="Z481" s="65">
        <v>21.0</v>
      </c>
      <c r="AA481" s="33" t="str">
        <f t="shared" si="497"/>
        <v>S</v>
      </c>
      <c r="AB481" s="65">
        <v>18.0</v>
      </c>
      <c r="AC481" s="33" t="str">
        <f t="shared" si="498"/>
        <v>R</v>
      </c>
      <c r="AD481" s="65">
        <v>21.0</v>
      </c>
      <c r="AE481" s="33" t="str">
        <f t="shared" si="499"/>
        <v>S</v>
      </c>
      <c r="AF481" s="65">
        <v>20.0</v>
      </c>
      <c r="AG481" s="33" t="str">
        <f t="shared" si="500"/>
        <v>R</v>
      </c>
      <c r="AH481" s="65" t="s">
        <v>299</v>
      </c>
      <c r="AI481" s="66">
        <v>9.0</v>
      </c>
      <c r="AJ481" s="36" t="str">
        <f t="shared" si="501"/>
        <v>R</v>
      </c>
      <c r="AK481" s="66">
        <v>6.0</v>
      </c>
      <c r="AL481" s="36" t="str">
        <f t="shared" si="502"/>
        <v>R</v>
      </c>
      <c r="AM481" s="66">
        <v>9.0</v>
      </c>
      <c r="AN481" s="36" t="str">
        <f t="shared" si="503"/>
        <v>R</v>
      </c>
      <c r="AO481" s="66" t="s">
        <v>299</v>
      </c>
      <c r="AP481" s="67">
        <v>6.0</v>
      </c>
      <c r="AQ481" s="37" t="str">
        <f t="shared" si="504"/>
        <v>R</v>
      </c>
      <c r="AR481" s="65">
        <v>18.0</v>
      </c>
      <c r="AS481" s="33" t="str">
        <f t="shared" si="505"/>
        <v>S</v>
      </c>
      <c r="AT481" s="65">
        <v>21.0</v>
      </c>
      <c r="AU481" s="33" t="str">
        <f t="shared" si="506"/>
        <v>S</v>
      </c>
      <c r="AV481" s="33" t="s">
        <v>300</v>
      </c>
      <c r="AW481" s="28">
        <v>10.0</v>
      </c>
      <c r="AX481" s="26" t="str">
        <f t="shared" si="507"/>
        <v>R</v>
      </c>
      <c r="AY481" s="67">
        <v>18.0</v>
      </c>
      <c r="AZ481" s="37" t="str">
        <f t="shared" si="508"/>
        <v>R</v>
      </c>
      <c r="BA481" s="66">
        <v>16.0</v>
      </c>
      <c r="BB481" s="36" t="str">
        <f t="shared" si="509"/>
        <v>R</v>
      </c>
      <c r="BC481" s="39" t="s">
        <v>357</v>
      </c>
      <c r="BD481" s="39" t="s">
        <v>357</v>
      </c>
      <c r="BE481" s="66">
        <v>19.0</v>
      </c>
      <c r="BF481" s="36" t="str">
        <f t="shared" si="510"/>
        <v>I</v>
      </c>
      <c r="BG481" s="68">
        <v>22.0</v>
      </c>
      <c r="BH481" s="41" t="str">
        <f t="shared" si="511"/>
        <v>S</v>
      </c>
      <c r="BI481" s="41"/>
    </row>
    <row r="482">
      <c r="A482" s="51" t="s">
        <v>618</v>
      </c>
      <c r="B482" s="51" t="s">
        <v>444</v>
      </c>
      <c r="C482" s="51" t="s">
        <v>1939</v>
      </c>
      <c r="D482" s="69" t="s">
        <v>190</v>
      </c>
      <c r="E482" s="18" t="s">
        <v>190</v>
      </c>
      <c r="F482" s="18" t="s">
        <v>192</v>
      </c>
      <c r="G482" s="63" t="s">
        <v>1940</v>
      </c>
      <c r="H482" s="42" t="s">
        <v>479</v>
      </c>
      <c r="I482" s="28">
        <v>6.0</v>
      </c>
      <c r="J482" s="26" t="str">
        <f t="shared" si="489"/>
        <v>R</v>
      </c>
      <c r="K482" s="28">
        <v>20.0</v>
      </c>
      <c r="L482" s="26" t="str">
        <f t="shared" si="490"/>
        <v>S</v>
      </c>
      <c r="M482" s="28">
        <v>13.0</v>
      </c>
      <c r="N482" s="26" t="str">
        <f t="shared" si="491"/>
        <v>R</v>
      </c>
      <c r="O482" s="28">
        <v>23.0</v>
      </c>
      <c r="P482" s="26" t="str">
        <f t="shared" si="492"/>
        <v>S</v>
      </c>
      <c r="Q482" s="28">
        <v>16.0</v>
      </c>
      <c r="R482" s="26" t="str">
        <f t="shared" si="493"/>
        <v>R</v>
      </c>
      <c r="S482" s="28">
        <v>21.0</v>
      </c>
      <c r="T482" s="26" t="str">
        <f t="shared" si="494"/>
        <v>S</v>
      </c>
      <c r="U482" s="28">
        <v>16.0</v>
      </c>
      <c r="V482" s="26" t="str">
        <f t="shared" si="495"/>
        <v>R</v>
      </c>
      <c r="W482" s="32" t="s">
        <v>299</v>
      </c>
      <c r="X482" s="65">
        <v>22.0</v>
      </c>
      <c r="Y482" s="33" t="str">
        <f t="shared" si="496"/>
        <v>S</v>
      </c>
      <c r="Z482" s="65">
        <v>21.0</v>
      </c>
      <c r="AA482" s="33" t="str">
        <f t="shared" si="497"/>
        <v>S</v>
      </c>
      <c r="AB482" s="65">
        <v>18.0</v>
      </c>
      <c r="AC482" s="33" t="str">
        <f t="shared" si="498"/>
        <v>R</v>
      </c>
      <c r="AD482" s="65">
        <v>20.0</v>
      </c>
      <c r="AE482" s="33" t="str">
        <f t="shared" si="499"/>
        <v>S</v>
      </c>
      <c r="AF482" s="65">
        <v>20.0</v>
      </c>
      <c r="AG482" s="33" t="str">
        <f t="shared" si="500"/>
        <v>R</v>
      </c>
      <c r="AH482" s="65" t="s">
        <v>299</v>
      </c>
      <c r="AI482" s="66">
        <v>9.0</v>
      </c>
      <c r="AJ482" s="36" t="str">
        <f t="shared" si="501"/>
        <v>R</v>
      </c>
      <c r="AK482" s="66">
        <v>6.0</v>
      </c>
      <c r="AL482" s="36" t="str">
        <f t="shared" si="502"/>
        <v>R</v>
      </c>
      <c r="AM482" s="66">
        <v>9.0</v>
      </c>
      <c r="AN482" s="36" t="str">
        <f t="shared" si="503"/>
        <v>R</v>
      </c>
      <c r="AO482" s="66" t="s">
        <v>299</v>
      </c>
      <c r="AP482" s="67">
        <v>9.0</v>
      </c>
      <c r="AQ482" s="37" t="str">
        <f t="shared" si="504"/>
        <v>R</v>
      </c>
      <c r="AR482" s="65">
        <v>20.0</v>
      </c>
      <c r="AS482" s="33" t="str">
        <f t="shared" si="505"/>
        <v>S</v>
      </c>
      <c r="AT482" s="65">
        <v>21.0</v>
      </c>
      <c r="AU482" s="33" t="str">
        <f t="shared" si="506"/>
        <v>S</v>
      </c>
      <c r="AV482" s="33" t="s">
        <v>300</v>
      </c>
      <c r="AW482" s="28">
        <v>13.0</v>
      </c>
      <c r="AX482" s="26" t="str">
        <f t="shared" si="507"/>
        <v>R</v>
      </c>
      <c r="AY482" s="67">
        <v>18.0</v>
      </c>
      <c r="AZ482" s="37" t="str">
        <f t="shared" si="508"/>
        <v>R</v>
      </c>
      <c r="BA482" s="66">
        <v>17.0</v>
      </c>
      <c r="BB482" s="36" t="str">
        <f t="shared" si="509"/>
        <v>R</v>
      </c>
      <c r="BC482" s="39" t="s">
        <v>357</v>
      </c>
      <c r="BD482" s="39" t="s">
        <v>357</v>
      </c>
      <c r="BE482" s="66">
        <v>20.0</v>
      </c>
      <c r="BF482" s="36" t="str">
        <f t="shared" si="510"/>
        <v>I</v>
      </c>
      <c r="BG482" s="68">
        <v>22.0</v>
      </c>
      <c r="BH482" s="41" t="str">
        <f t="shared" si="511"/>
        <v>S</v>
      </c>
      <c r="BI482" s="41"/>
    </row>
    <row r="483">
      <c r="A483" s="51" t="s">
        <v>618</v>
      </c>
      <c r="B483" s="53">
        <v>215.0</v>
      </c>
      <c r="C483" s="51" t="s">
        <v>1024</v>
      </c>
      <c r="D483" s="69" t="s">
        <v>571</v>
      </c>
      <c r="E483" s="18" t="s">
        <v>572</v>
      </c>
      <c r="F483" s="18" t="s">
        <v>192</v>
      </c>
      <c r="G483" s="63" t="s">
        <v>1025</v>
      </c>
      <c r="H483" s="42" t="s">
        <v>479</v>
      </c>
      <c r="I483" s="28">
        <v>6.0</v>
      </c>
      <c r="J483" s="26" t="str">
        <f t="shared" si="489"/>
        <v>R</v>
      </c>
      <c r="K483" s="28">
        <v>18.0</v>
      </c>
      <c r="L483" s="26" t="str">
        <f t="shared" si="490"/>
        <v>R</v>
      </c>
      <c r="M483" s="28">
        <v>10.0</v>
      </c>
      <c r="N483" s="26" t="str">
        <f t="shared" si="491"/>
        <v>R</v>
      </c>
      <c r="O483" s="28">
        <v>22.0</v>
      </c>
      <c r="P483" s="26" t="str">
        <f t="shared" si="492"/>
        <v>I</v>
      </c>
      <c r="Q483" s="28">
        <v>16.0</v>
      </c>
      <c r="R483" s="26" t="str">
        <f t="shared" si="493"/>
        <v>R</v>
      </c>
      <c r="S483" s="28">
        <v>22.0</v>
      </c>
      <c r="T483" s="26" t="str">
        <f t="shared" si="494"/>
        <v>S</v>
      </c>
      <c r="U483" s="28">
        <v>20.0</v>
      </c>
      <c r="V483" s="26" t="str">
        <f t="shared" si="495"/>
        <v>S</v>
      </c>
      <c r="W483" s="32" t="s">
        <v>299</v>
      </c>
      <c r="X483" s="65">
        <v>22.0</v>
      </c>
      <c r="Y483" s="33" t="str">
        <f t="shared" si="496"/>
        <v>S</v>
      </c>
      <c r="Z483" s="65">
        <v>21.0</v>
      </c>
      <c r="AA483" s="33" t="str">
        <f t="shared" si="497"/>
        <v>S</v>
      </c>
      <c r="AB483" s="65">
        <v>21.0</v>
      </c>
      <c r="AC483" s="33" t="str">
        <f t="shared" si="498"/>
        <v>I</v>
      </c>
      <c r="AD483" s="65">
        <v>19.0</v>
      </c>
      <c r="AE483" s="33" t="str">
        <f t="shared" si="499"/>
        <v>S</v>
      </c>
      <c r="AF483" s="65">
        <v>19.0</v>
      </c>
      <c r="AG483" s="33" t="str">
        <f t="shared" si="500"/>
        <v>R</v>
      </c>
      <c r="AH483" s="65" t="s">
        <v>299</v>
      </c>
      <c r="AI483" s="66">
        <v>6.0</v>
      </c>
      <c r="AJ483" s="36" t="str">
        <f t="shared" si="501"/>
        <v>R</v>
      </c>
      <c r="AK483" s="66">
        <v>12.0</v>
      </c>
      <c r="AL483" s="36" t="str">
        <f t="shared" si="502"/>
        <v>R</v>
      </c>
      <c r="AM483" s="66">
        <v>11.0</v>
      </c>
      <c r="AN483" s="36" t="str">
        <f t="shared" si="503"/>
        <v>R</v>
      </c>
      <c r="AO483" s="66" t="s">
        <v>299</v>
      </c>
      <c r="AP483" s="67">
        <v>12.0</v>
      </c>
      <c r="AQ483" s="37" t="str">
        <f t="shared" si="504"/>
        <v>I</v>
      </c>
      <c r="AR483" s="65">
        <v>18.0</v>
      </c>
      <c r="AS483" s="33" t="str">
        <f t="shared" si="505"/>
        <v>S</v>
      </c>
      <c r="AT483" s="65">
        <v>19.0</v>
      </c>
      <c r="AU483" s="33" t="str">
        <f t="shared" si="506"/>
        <v>S</v>
      </c>
      <c r="AV483" s="33" t="s">
        <v>300</v>
      </c>
      <c r="AW483" s="28">
        <v>13.0</v>
      </c>
      <c r="AX483" s="26" t="str">
        <f t="shared" si="507"/>
        <v>R</v>
      </c>
      <c r="AY483" s="67">
        <v>20.0</v>
      </c>
      <c r="AZ483" s="37" t="str">
        <f t="shared" si="508"/>
        <v>R</v>
      </c>
      <c r="BA483" s="66">
        <v>21.0</v>
      </c>
      <c r="BB483" s="36" t="str">
        <f t="shared" si="509"/>
        <v>R</v>
      </c>
      <c r="BC483" s="39" t="s">
        <v>357</v>
      </c>
      <c r="BD483" s="39" t="s">
        <v>357</v>
      </c>
      <c r="BE483" s="66">
        <v>18.0</v>
      </c>
      <c r="BF483" s="36" t="str">
        <f t="shared" si="510"/>
        <v>R</v>
      </c>
      <c r="BG483" s="68">
        <v>15.0</v>
      </c>
      <c r="BH483" s="41" t="str">
        <f t="shared" si="511"/>
        <v>R</v>
      </c>
      <c r="BI483" s="41"/>
    </row>
    <row r="484">
      <c r="A484" s="51" t="s">
        <v>618</v>
      </c>
      <c r="B484" s="51" t="s">
        <v>444</v>
      </c>
      <c r="C484" s="51" t="s">
        <v>1941</v>
      </c>
      <c r="D484" s="69" t="s">
        <v>571</v>
      </c>
      <c r="E484" s="18" t="s">
        <v>572</v>
      </c>
      <c r="F484" s="18" t="s">
        <v>192</v>
      </c>
      <c r="G484" s="63" t="s">
        <v>1942</v>
      </c>
      <c r="H484" s="42" t="s">
        <v>479</v>
      </c>
      <c r="I484" s="28">
        <v>6.0</v>
      </c>
      <c r="J484" s="26" t="str">
        <f t="shared" si="489"/>
        <v>R</v>
      </c>
      <c r="K484" s="28">
        <v>19.0</v>
      </c>
      <c r="L484" s="26" t="str">
        <f t="shared" si="490"/>
        <v>S</v>
      </c>
      <c r="M484" s="28">
        <v>9.0</v>
      </c>
      <c r="N484" s="26" t="str">
        <f t="shared" si="491"/>
        <v>R</v>
      </c>
      <c r="O484" s="28">
        <v>22.0</v>
      </c>
      <c r="P484" s="26" t="str">
        <f t="shared" si="492"/>
        <v>I</v>
      </c>
      <c r="Q484" s="28">
        <v>19.0</v>
      </c>
      <c r="R484" s="26" t="str">
        <f t="shared" si="493"/>
        <v>R</v>
      </c>
      <c r="S484" s="28">
        <v>22.0</v>
      </c>
      <c r="T484" s="26" t="str">
        <f t="shared" si="494"/>
        <v>S</v>
      </c>
      <c r="U484" s="28">
        <v>20.0</v>
      </c>
      <c r="V484" s="26" t="str">
        <f t="shared" si="495"/>
        <v>S</v>
      </c>
      <c r="W484" s="32" t="s">
        <v>299</v>
      </c>
      <c r="X484" s="65">
        <v>22.0</v>
      </c>
      <c r="Y484" s="33" t="str">
        <f t="shared" si="496"/>
        <v>S</v>
      </c>
      <c r="Z484" s="65">
        <v>19.0</v>
      </c>
      <c r="AA484" s="33" t="str">
        <f t="shared" si="497"/>
        <v>S</v>
      </c>
      <c r="AB484" s="65">
        <v>21.0</v>
      </c>
      <c r="AC484" s="33" t="str">
        <f t="shared" si="498"/>
        <v>I</v>
      </c>
      <c r="AD484" s="65">
        <v>17.0</v>
      </c>
      <c r="AE484" s="33" t="str">
        <f t="shared" si="499"/>
        <v>S</v>
      </c>
      <c r="AF484" s="65">
        <v>19.0</v>
      </c>
      <c r="AG484" s="33" t="str">
        <f t="shared" si="500"/>
        <v>R</v>
      </c>
      <c r="AH484" s="65" t="s">
        <v>299</v>
      </c>
      <c r="AI484" s="66">
        <v>13.0</v>
      </c>
      <c r="AJ484" s="36" t="str">
        <f t="shared" si="501"/>
        <v>R</v>
      </c>
      <c r="AK484" s="66">
        <v>12.0</v>
      </c>
      <c r="AL484" s="36" t="str">
        <f t="shared" si="502"/>
        <v>R</v>
      </c>
      <c r="AM484" s="66">
        <v>12.0</v>
      </c>
      <c r="AN484" s="36" t="str">
        <f t="shared" si="503"/>
        <v>R</v>
      </c>
      <c r="AO484" s="66" t="s">
        <v>299</v>
      </c>
      <c r="AP484" s="67">
        <v>12.0</v>
      </c>
      <c r="AQ484" s="37" t="str">
        <f t="shared" si="504"/>
        <v>I</v>
      </c>
      <c r="AR484" s="65">
        <v>20.0</v>
      </c>
      <c r="AS484" s="33" t="str">
        <f t="shared" si="505"/>
        <v>S</v>
      </c>
      <c r="AT484" s="65">
        <v>19.0</v>
      </c>
      <c r="AU484" s="33" t="str">
        <f t="shared" si="506"/>
        <v>S</v>
      </c>
      <c r="AV484" s="33" t="s">
        <v>300</v>
      </c>
      <c r="AW484" s="28">
        <v>11.0</v>
      </c>
      <c r="AX484" s="26" t="str">
        <f t="shared" si="507"/>
        <v>R</v>
      </c>
      <c r="AY484" s="67">
        <v>20.0</v>
      </c>
      <c r="AZ484" s="37" t="str">
        <f t="shared" si="508"/>
        <v>R</v>
      </c>
      <c r="BA484" s="66">
        <v>20.0</v>
      </c>
      <c r="BB484" s="36" t="str">
        <f t="shared" si="509"/>
        <v>R</v>
      </c>
      <c r="BC484" s="39" t="s">
        <v>357</v>
      </c>
      <c r="BD484" s="39" t="s">
        <v>357</v>
      </c>
      <c r="BE484" s="66">
        <v>18.0</v>
      </c>
      <c r="BF484" s="36" t="str">
        <f t="shared" si="510"/>
        <v>R</v>
      </c>
      <c r="BG484" s="68">
        <v>15.0</v>
      </c>
      <c r="BH484" s="41" t="str">
        <f t="shared" si="511"/>
        <v>R</v>
      </c>
      <c r="BI484" s="41"/>
    </row>
    <row r="485">
      <c r="A485" s="51" t="s">
        <v>618</v>
      </c>
      <c r="B485" s="51" t="s">
        <v>444</v>
      </c>
      <c r="C485" s="51" t="s">
        <v>1943</v>
      </c>
      <c r="D485" s="69" t="s">
        <v>571</v>
      </c>
      <c r="E485" s="18" t="s">
        <v>572</v>
      </c>
      <c r="F485" s="18" t="s">
        <v>192</v>
      </c>
      <c r="G485" s="63" t="s">
        <v>1944</v>
      </c>
      <c r="H485" s="42" t="s">
        <v>479</v>
      </c>
      <c r="I485" s="28">
        <v>6.0</v>
      </c>
      <c r="J485" s="26" t="str">
        <f t="shared" si="489"/>
        <v>R</v>
      </c>
      <c r="K485" s="28">
        <v>19.0</v>
      </c>
      <c r="L485" s="26" t="str">
        <f t="shared" si="490"/>
        <v>S</v>
      </c>
      <c r="M485" s="28">
        <v>9.0</v>
      </c>
      <c r="N485" s="26" t="str">
        <f t="shared" si="491"/>
        <v>R</v>
      </c>
      <c r="O485" s="28">
        <v>24.0</v>
      </c>
      <c r="P485" s="26" t="str">
        <f t="shared" si="492"/>
        <v>S</v>
      </c>
      <c r="Q485" s="28">
        <v>21.0</v>
      </c>
      <c r="R485" s="26" t="str">
        <f t="shared" si="493"/>
        <v>S</v>
      </c>
      <c r="S485" s="28">
        <v>22.0</v>
      </c>
      <c r="T485" s="26" t="str">
        <f t="shared" si="494"/>
        <v>S</v>
      </c>
      <c r="U485" s="28">
        <v>18.0</v>
      </c>
      <c r="V485" s="26" t="str">
        <f t="shared" si="495"/>
        <v>I</v>
      </c>
      <c r="W485" s="32" t="s">
        <v>299</v>
      </c>
      <c r="X485" s="65">
        <v>21.0</v>
      </c>
      <c r="Y485" s="33" t="str">
        <f t="shared" si="496"/>
        <v>S</v>
      </c>
      <c r="Z485" s="65">
        <v>20.0</v>
      </c>
      <c r="AA485" s="33" t="str">
        <f t="shared" si="497"/>
        <v>S</v>
      </c>
      <c r="AB485" s="65">
        <v>21.0</v>
      </c>
      <c r="AC485" s="33" t="str">
        <f t="shared" si="498"/>
        <v>I</v>
      </c>
      <c r="AD485" s="65">
        <v>17.0</v>
      </c>
      <c r="AE485" s="33" t="str">
        <f t="shared" si="499"/>
        <v>S</v>
      </c>
      <c r="AF485" s="65">
        <v>19.0</v>
      </c>
      <c r="AG485" s="33" t="str">
        <f t="shared" si="500"/>
        <v>R</v>
      </c>
      <c r="AH485" s="65" t="s">
        <v>299</v>
      </c>
      <c r="AI485" s="66">
        <v>13.0</v>
      </c>
      <c r="AJ485" s="36" t="str">
        <f t="shared" si="501"/>
        <v>R</v>
      </c>
      <c r="AK485" s="66">
        <v>12.0</v>
      </c>
      <c r="AL485" s="36" t="str">
        <f t="shared" si="502"/>
        <v>R</v>
      </c>
      <c r="AM485" s="66">
        <v>12.0</v>
      </c>
      <c r="AN485" s="36" t="str">
        <f t="shared" si="503"/>
        <v>R</v>
      </c>
      <c r="AO485" s="66" t="s">
        <v>299</v>
      </c>
      <c r="AP485" s="67">
        <v>12.0</v>
      </c>
      <c r="AQ485" s="37" t="str">
        <f t="shared" si="504"/>
        <v>I</v>
      </c>
      <c r="AR485" s="65">
        <v>18.0</v>
      </c>
      <c r="AS485" s="33" t="str">
        <f t="shared" si="505"/>
        <v>S</v>
      </c>
      <c r="AT485" s="65">
        <v>19.0</v>
      </c>
      <c r="AU485" s="33" t="str">
        <f t="shared" si="506"/>
        <v>S</v>
      </c>
      <c r="AV485" s="33" t="s">
        <v>300</v>
      </c>
      <c r="AW485" s="28">
        <v>11.0</v>
      </c>
      <c r="AX485" s="26" t="str">
        <f t="shared" si="507"/>
        <v>R</v>
      </c>
      <c r="AY485" s="67">
        <v>20.0</v>
      </c>
      <c r="AZ485" s="37" t="str">
        <f t="shared" si="508"/>
        <v>R</v>
      </c>
      <c r="BA485" s="66">
        <v>21.0</v>
      </c>
      <c r="BB485" s="36" t="str">
        <f t="shared" si="509"/>
        <v>R</v>
      </c>
      <c r="BC485" s="39" t="s">
        <v>357</v>
      </c>
      <c r="BD485" s="39" t="s">
        <v>357</v>
      </c>
      <c r="BE485" s="66">
        <v>20.0</v>
      </c>
      <c r="BF485" s="36" t="str">
        <f t="shared" si="510"/>
        <v>I</v>
      </c>
      <c r="BG485" s="68">
        <v>15.0</v>
      </c>
      <c r="BH485" s="41" t="str">
        <f t="shared" si="511"/>
        <v>R</v>
      </c>
      <c r="BI485" s="41"/>
    </row>
    <row r="486">
      <c r="A486" s="21" t="s">
        <v>981</v>
      </c>
      <c r="B486" s="23">
        <v>216.0</v>
      </c>
      <c r="C486" s="21" t="s">
        <v>1678</v>
      </c>
      <c r="D486" s="69" t="s">
        <v>190</v>
      </c>
      <c r="E486" s="18" t="s">
        <v>190</v>
      </c>
      <c r="F486" s="18" t="s">
        <v>192</v>
      </c>
      <c r="G486" s="63" t="s">
        <v>1679</v>
      </c>
      <c r="H486" s="22" t="s">
        <v>198</v>
      </c>
      <c r="I486" s="28">
        <v>6.0</v>
      </c>
      <c r="J486" s="26" t="str">
        <f t="shared" si="489"/>
        <v>R</v>
      </c>
      <c r="K486" s="28">
        <v>20.0</v>
      </c>
      <c r="L486" s="26" t="str">
        <f t="shared" si="490"/>
        <v>S</v>
      </c>
      <c r="M486" s="28">
        <v>6.0</v>
      </c>
      <c r="N486" s="26" t="str">
        <f t="shared" si="491"/>
        <v>R</v>
      </c>
      <c r="O486" s="28">
        <v>22.0</v>
      </c>
      <c r="P486" s="26" t="str">
        <f t="shared" si="492"/>
        <v>I</v>
      </c>
      <c r="Q486" s="28">
        <v>6.0</v>
      </c>
      <c r="R486" s="26" t="str">
        <f t="shared" si="493"/>
        <v>R</v>
      </c>
      <c r="S486" s="28">
        <v>20.0</v>
      </c>
      <c r="T486" s="26" t="str">
        <f t="shared" si="494"/>
        <v>S</v>
      </c>
      <c r="U486" s="28">
        <v>16.0</v>
      </c>
      <c r="V486" s="26" t="str">
        <f t="shared" si="495"/>
        <v>R</v>
      </c>
      <c r="W486" s="32" t="s">
        <v>299</v>
      </c>
      <c r="X486" s="65">
        <v>6.0</v>
      </c>
      <c r="Y486" s="33" t="str">
        <f t="shared" si="496"/>
        <v>R</v>
      </c>
      <c r="Z486" s="65">
        <v>26.0</v>
      </c>
      <c r="AA486" s="33" t="str">
        <f t="shared" si="497"/>
        <v>S</v>
      </c>
      <c r="AB486" s="65">
        <v>6.0</v>
      </c>
      <c r="AC486" s="33" t="str">
        <f t="shared" si="498"/>
        <v>R</v>
      </c>
      <c r="AD486" s="65">
        <v>22.0</v>
      </c>
      <c r="AE486" s="33" t="str">
        <f t="shared" si="499"/>
        <v>S</v>
      </c>
      <c r="AF486" s="65">
        <v>6.0</v>
      </c>
      <c r="AG486" s="33" t="str">
        <f t="shared" si="500"/>
        <v>R</v>
      </c>
      <c r="AH486" s="65" t="s">
        <v>299</v>
      </c>
      <c r="AI486" s="66">
        <v>6.0</v>
      </c>
      <c r="AJ486" s="36" t="str">
        <f t="shared" si="501"/>
        <v>R</v>
      </c>
      <c r="AK486" s="66">
        <v>11.0</v>
      </c>
      <c r="AL486" s="36" t="str">
        <f t="shared" si="502"/>
        <v>R</v>
      </c>
      <c r="AM486" s="66">
        <v>6.0</v>
      </c>
      <c r="AN486" s="36" t="str">
        <f t="shared" si="503"/>
        <v>R</v>
      </c>
      <c r="AO486" s="66" t="s">
        <v>299</v>
      </c>
      <c r="AP486" s="67">
        <v>10.0</v>
      </c>
      <c r="AQ486" s="37" t="str">
        <f t="shared" si="504"/>
        <v>R</v>
      </c>
      <c r="AR486" s="65">
        <v>18.0</v>
      </c>
      <c r="AS486" s="33" t="str">
        <f t="shared" si="505"/>
        <v>S</v>
      </c>
      <c r="AT486" s="65">
        <v>14.0</v>
      </c>
      <c r="AU486" s="33" t="str">
        <f t="shared" si="506"/>
        <v>R</v>
      </c>
      <c r="AV486" s="65" t="s">
        <v>299</v>
      </c>
      <c r="AW486" s="28">
        <v>6.0</v>
      </c>
      <c r="AX486" s="26" t="str">
        <f t="shared" si="507"/>
        <v>R</v>
      </c>
      <c r="AY486" s="67">
        <v>11.0</v>
      </c>
      <c r="AZ486" s="37" t="str">
        <f t="shared" si="508"/>
        <v>R</v>
      </c>
      <c r="BA486" s="66">
        <v>26.0</v>
      </c>
      <c r="BB486" s="36" t="str">
        <f t="shared" si="509"/>
        <v>S</v>
      </c>
      <c r="BC486" s="39" t="s">
        <v>357</v>
      </c>
      <c r="BD486" s="39" t="s">
        <v>357</v>
      </c>
      <c r="BE486" s="66">
        <v>27.0</v>
      </c>
      <c r="BF486" s="36" t="str">
        <f t="shared" si="510"/>
        <v>S</v>
      </c>
      <c r="BG486" s="68">
        <v>6.0</v>
      </c>
      <c r="BH486" s="41" t="str">
        <f t="shared" si="511"/>
        <v>R</v>
      </c>
      <c r="BI486" s="41"/>
    </row>
    <row r="487">
      <c r="A487" s="21" t="s">
        <v>981</v>
      </c>
      <c r="B487" s="21" t="s">
        <v>444</v>
      </c>
      <c r="C487" s="21" t="s">
        <v>1945</v>
      </c>
      <c r="D487" s="69" t="s">
        <v>190</v>
      </c>
      <c r="E487" s="18" t="s">
        <v>190</v>
      </c>
      <c r="F487" s="18" t="s">
        <v>192</v>
      </c>
      <c r="G487" s="63" t="s">
        <v>1946</v>
      </c>
      <c r="H487" s="22" t="s">
        <v>198</v>
      </c>
      <c r="I487" s="28">
        <v>6.0</v>
      </c>
      <c r="J487" s="26" t="str">
        <f t="shared" si="489"/>
        <v>R</v>
      </c>
      <c r="K487" s="28">
        <v>21.0</v>
      </c>
      <c r="L487" s="26" t="str">
        <f t="shared" si="490"/>
        <v>S</v>
      </c>
      <c r="M487" s="28">
        <v>6.0</v>
      </c>
      <c r="N487" s="26" t="str">
        <f t="shared" si="491"/>
        <v>R</v>
      </c>
      <c r="O487" s="28">
        <v>22.0</v>
      </c>
      <c r="P487" s="26" t="str">
        <f t="shared" si="492"/>
        <v>I</v>
      </c>
      <c r="Q487" s="28">
        <v>6.0</v>
      </c>
      <c r="R487" s="26" t="str">
        <f t="shared" si="493"/>
        <v>R</v>
      </c>
      <c r="S487" s="28">
        <v>21.0</v>
      </c>
      <c r="T487" s="26" t="str">
        <f t="shared" si="494"/>
        <v>S</v>
      </c>
      <c r="U487" s="28">
        <v>16.0</v>
      </c>
      <c r="V487" s="26" t="str">
        <f t="shared" si="495"/>
        <v>R</v>
      </c>
      <c r="W487" s="32" t="s">
        <v>299</v>
      </c>
      <c r="X487" s="65">
        <v>6.0</v>
      </c>
      <c r="Y487" s="33" t="str">
        <f t="shared" si="496"/>
        <v>R</v>
      </c>
      <c r="Z487" s="65">
        <v>25.0</v>
      </c>
      <c r="AA487" s="33" t="str">
        <f t="shared" si="497"/>
        <v>S</v>
      </c>
      <c r="AB487" s="65">
        <v>6.0</v>
      </c>
      <c r="AC487" s="33" t="str">
        <f t="shared" si="498"/>
        <v>R</v>
      </c>
      <c r="AD487" s="65">
        <v>21.0</v>
      </c>
      <c r="AE487" s="33" t="str">
        <f t="shared" si="499"/>
        <v>S</v>
      </c>
      <c r="AF487" s="65">
        <v>6.0</v>
      </c>
      <c r="AG487" s="33" t="str">
        <f t="shared" si="500"/>
        <v>R</v>
      </c>
      <c r="AH487" s="65" t="s">
        <v>299</v>
      </c>
      <c r="AI487" s="66">
        <v>6.0</v>
      </c>
      <c r="AJ487" s="36" t="str">
        <f t="shared" si="501"/>
        <v>R</v>
      </c>
      <c r="AK487" s="66">
        <v>11.0</v>
      </c>
      <c r="AL487" s="36" t="str">
        <f t="shared" si="502"/>
        <v>R</v>
      </c>
      <c r="AM487" s="66">
        <v>6.0</v>
      </c>
      <c r="AN487" s="36" t="str">
        <f t="shared" si="503"/>
        <v>R</v>
      </c>
      <c r="AO487" s="66" t="s">
        <v>299</v>
      </c>
      <c r="AP487" s="67">
        <v>10.0</v>
      </c>
      <c r="AQ487" s="37" t="str">
        <f t="shared" si="504"/>
        <v>R</v>
      </c>
      <c r="AR487" s="65">
        <v>18.0</v>
      </c>
      <c r="AS487" s="33" t="str">
        <f t="shared" si="505"/>
        <v>S</v>
      </c>
      <c r="AT487" s="65">
        <v>14.0</v>
      </c>
      <c r="AU487" s="33" t="str">
        <f t="shared" si="506"/>
        <v>R</v>
      </c>
      <c r="AV487" s="65" t="s">
        <v>299</v>
      </c>
      <c r="AW487" s="28">
        <v>6.0</v>
      </c>
      <c r="AX487" s="26" t="str">
        <f t="shared" si="507"/>
        <v>R</v>
      </c>
      <c r="AY487" s="67">
        <v>10.0</v>
      </c>
      <c r="AZ487" s="37" t="str">
        <f t="shared" si="508"/>
        <v>R</v>
      </c>
      <c r="BA487" s="66">
        <v>26.0</v>
      </c>
      <c r="BB487" s="36" t="str">
        <f t="shared" si="509"/>
        <v>S</v>
      </c>
      <c r="BC487" s="39" t="s">
        <v>357</v>
      </c>
      <c r="BD487" s="39" t="s">
        <v>357</v>
      </c>
      <c r="BE487" s="66">
        <v>22.0</v>
      </c>
      <c r="BF487" s="36" t="str">
        <f t="shared" si="510"/>
        <v>S</v>
      </c>
      <c r="BG487" s="68">
        <v>8.0</v>
      </c>
      <c r="BH487" s="41" t="str">
        <f t="shared" si="511"/>
        <v>R</v>
      </c>
      <c r="BI487" s="41"/>
    </row>
    <row r="488">
      <c r="A488" s="21" t="s">
        <v>981</v>
      </c>
      <c r="B488" s="21" t="s">
        <v>444</v>
      </c>
      <c r="C488" s="21" t="s">
        <v>1947</v>
      </c>
      <c r="D488" s="69" t="s">
        <v>190</v>
      </c>
      <c r="E488" s="18" t="s">
        <v>190</v>
      </c>
      <c r="F488" s="18" t="s">
        <v>192</v>
      </c>
      <c r="G488" s="63" t="s">
        <v>1948</v>
      </c>
      <c r="H488" s="22" t="s">
        <v>198</v>
      </c>
      <c r="I488" s="28">
        <v>6.0</v>
      </c>
      <c r="J488" s="26" t="str">
        <f t="shared" si="489"/>
        <v>R</v>
      </c>
      <c r="K488" s="28">
        <v>20.0</v>
      </c>
      <c r="L488" s="26" t="str">
        <f t="shared" si="490"/>
        <v>S</v>
      </c>
      <c r="M488" s="28">
        <v>6.0</v>
      </c>
      <c r="N488" s="26" t="str">
        <f t="shared" si="491"/>
        <v>R</v>
      </c>
      <c r="O488" s="28">
        <v>22.0</v>
      </c>
      <c r="P488" s="26" t="str">
        <f t="shared" si="492"/>
        <v>I</v>
      </c>
      <c r="Q488" s="28">
        <v>6.0</v>
      </c>
      <c r="R488" s="26" t="str">
        <f t="shared" si="493"/>
        <v>R</v>
      </c>
      <c r="S488" s="28">
        <v>20.0</v>
      </c>
      <c r="T488" s="26" t="str">
        <f t="shared" si="494"/>
        <v>S</v>
      </c>
      <c r="U488" s="28">
        <v>16.0</v>
      </c>
      <c r="V488" s="26" t="str">
        <f t="shared" si="495"/>
        <v>R</v>
      </c>
      <c r="W488" s="32" t="s">
        <v>299</v>
      </c>
      <c r="X488" s="65">
        <v>6.0</v>
      </c>
      <c r="Y488" s="33" t="str">
        <f t="shared" si="496"/>
        <v>R</v>
      </c>
      <c r="Z488" s="65">
        <v>22.0</v>
      </c>
      <c r="AA488" s="33" t="str">
        <f t="shared" si="497"/>
        <v>S</v>
      </c>
      <c r="AB488" s="65">
        <v>6.0</v>
      </c>
      <c r="AC488" s="33" t="str">
        <f t="shared" si="498"/>
        <v>R</v>
      </c>
      <c r="AD488" s="65">
        <v>22.0</v>
      </c>
      <c r="AE488" s="33" t="str">
        <f t="shared" si="499"/>
        <v>S</v>
      </c>
      <c r="AF488" s="65">
        <v>6.0</v>
      </c>
      <c r="AG488" s="33" t="str">
        <f t="shared" si="500"/>
        <v>R</v>
      </c>
      <c r="AH488" s="65" t="s">
        <v>299</v>
      </c>
      <c r="AI488" s="66">
        <v>6.0</v>
      </c>
      <c r="AJ488" s="36" t="str">
        <f t="shared" si="501"/>
        <v>R</v>
      </c>
      <c r="AK488" s="66">
        <v>11.0</v>
      </c>
      <c r="AL488" s="36" t="str">
        <f t="shared" si="502"/>
        <v>R</v>
      </c>
      <c r="AM488" s="66">
        <v>6.0</v>
      </c>
      <c r="AN488" s="36" t="str">
        <f t="shared" si="503"/>
        <v>R</v>
      </c>
      <c r="AO488" s="66" t="s">
        <v>299</v>
      </c>
      <c r="AP488" s="67">
        <v>9.0</v>
      </c>
      <c r="AQ488" s="37" t="str">
        <f t="shared" si="504"/>
        <v>R</v>
      </c>
      <c r="AR488" s="65">
        <v>18.0</v>
      </c>
      <c r="AS488" s="33" t="str">
        <f t="shared" si="505"/>
        <v>S</v>
      </c>
      <c r="AT488" s="65">
        <v>14.0</v>
      </c>
      <c r="AU488" s="33" t="str">
        <f t="shared" si="506"/>
        <v>R</v>
      </c>
      <c r="AV488" s="65" t="s">
        <v>299</v>
      </c>
      <c r="AW488" s="28">
        <v>6.0</v>
      </c>
      <c r="AX488" s="26" t="str">
        <f t="shared" si="507"/>
        <v>R</v>
      </c>
      <c r="AY488" s="67">
        <v>11.0</v>
      </c>
      <c r="AZ488" s="37" t="str">
        <f t="shared" si="508"/>
        <v>R</v>
      </c>
      <c r="BA488" s="66">
        <v>26.0</v>
      </c>
      <c r="BB488" s="36" t="str">
        <f t="shared" si="509"/>
        <v>S</v>
      </c>
      <c r="BC488" s="39" t="s">
        <v>357</v>
      </c>
      <c r="BD488" s="39" t="s">
        <v>357</v>
      </c>
      <c r="BE488" s="66">
        <v>25.0</v>
      </c>
      <c r="BF488" s="36" t="str">
        <f t="shared" si="510"/>
        <v>S</v>
      </c>
      <c r="BG488" s="68">
        <v>9.0</v>
      </c>
      <c r="BH488" s="41" t="str">
        <f t="shared" si="511"/>
        <v>R</v>
      </c>
      <c r="BI488" s="41"/>
    </row>
    <row r="489">
      <c r="A489" s="21" t="s">
        <v>981</v>
      </c>
      <c r="B489" s="23">
        <v>217.0</v>
      </c>
      <c r="C489" s="21" t="s">
        <v>1680</v>
      </c>
      <c r="D489" s="69" t="s">
        <v>571</v>
      </c>
      <c r="E489" s="18" t="s">
        <v>572</v>
      </c>
      <c r="F489" s="18" t="s">
        <v>192</v>
      </c>
      <c r="G489" s="63" t="s">
        <v>1681</v>
      </c>
      <c r="H489" s="22" t="s">
        <v>198</v>
      </c>
      <c r="I489" s="28">
        <v>6.0</v>
      </c>
      <c r="J489" s="26" t="str">
        <f t="shared" si="489"/>
        <v>R</v>
      </c>
      <c r="K489" s="28">
        <v>14.0</v>
      </c>
      <c r="L489" s="26" t="str">
        <f t="shared" si="490"/>
        <v>R</v>
      </c>
      <c r="M489" s="28">
        <v>6.0</v>
      </c>
      <c r="N489" s="26" t="str">
        <f t="shared" si="491"/>
        <v>R</v>
      </c>
      <c r="O489" s="28">
        <v>19.0</v>
      </c>
      <c r="P489" s="26" t="str">
        <f t="shared" si="492"/>
        <v>R</v>
      </c>
      <c r="Q489" s="28">
        <v>16.0</v>
      </c>
      <c r="R489" s="26" t="str">
        <f t="shared" si="493"/>
        <v>R</v>
      </c>
      <c r="S489" s="28">
        <v>16.0</v>
      </c>
      <c r="T489" s="26" t="str">
        <f t="shared" si="494"/>
        <v>R</v>
      </c>
      <c r="U489" s="28">
        <v>12.0</v>
      </c>
      <c r="V489" s="26" t="str">
        <f t="shared" si="495"/>
        <v>R</v>
      </c>
      <c r="W489" s="32" t="s">
        <v>299</v>
      </c>
      <c r="X489" s="65">
        <v>6.0</v>
      </c>
      <c r="Y489" s="33" t="str">
        <f t="shared" si="496"/>
        <v>R</v>
      </c>
      <c r="Z489" s="65">
        <v>22.0</v>
      </c>
      <c r="AA489" s="33" t="str">
        <f t="shared" si="497"/>
        <v>S</v>
      </c>
      <c r="AB489" s="65">
        <v>6.0</v>
      </c>
      <c r="AC489" s="33" t="str">
        <f t="shared" si="498"/>
        <v>R</v>
      </c>
      <c r="AD489" s="65">
        <v>20.0</v>
      </c>
      <c r="AE489" s="33" t="str">
        <f t="shared" si="499"/>
        <v>S</v>
      </c>
      <c r="AF489" s="65">
        <v>6.0</v>
      </c>
      <c r="AG489" s="33" t="str">
        <f t="shared" si="500"/>
        <v>R</v>
      </c>
      <c r="AH489" s="65" t="s">
        <v>299</v>
      </c>
      <c r="AI489" s="66">
        <v>6.0</v>
      </c>
      <c r="AJ489" s="36" t="str">
        <f t="shared" si="501"/>
        <v>R</v>
      </c>
      <c r="AK489" s="66">
        <v>9.0</v>
      </c>
      <c r="AL489" s="36" t="str">
        <f t="shared" si="502"/>
        <v>R</v>
      </c>
      <c r="AM489" s="66">
        <v>6.0</v>
      </c>
      <c r="AN489" s="36" t="str">
        <f t="shared" si="503"/>
        <v>R</v>
      </c>
      <c r="AO489" s="66" t="s">
        <v>299</v>
      </c>
      <c r="AP489" s="67">
        <v>9.0</v>
      </c>
      <c r="AQ489" s="37" t="str">
        <f t="shared" si="504"/>
        <v>R</v>
      </c>
      <c r="AR489" s="65">
        <v>17.0</v>
      </c>
      <c r="AS489" s="33" t="str">
        <f t="shared" si="505"/>
        <v>R</v>
      </c>
      <c r="AT489" s="65">
        <v>10.0</v>
      </c>
      <c r="AU489" s="33" t="str">
        <f t="shared" si="506"/>
        <v>R</v>
      </c>
      <c r="AV489" s="65" t="s">
        <v>299</v>
      </c>
      <c r="AW489" s="28">
        <v>21.0</v>
      </c>
      <c r="AX489" s="26" t="str">
        <f t="shared" si="507"/>
        <v>S</v>
      </c>
      <c r="AY489" s="67">
        <v>6.0</v>
      </c>
      <c r="AZ489" s="37" t="str">
        <f t="shared" si="508"/>
        <v>R</v>
      </c>
      <c r="BA489" s="66">
        <v>28.0</v>
      </c>
      <c r="BB489" s="36" t="str">
        <f t="shared" si="509"/>
        <v>S</v>
      </c>
      <c r="BC489" s="39" t="s">
        <v>357</v>
      </c>
      <c r="BD489" s="39" t="s">
        <v>357</v>
      </c>
      <c r="BE489" s="66">
        <v>27.0</v>
      </c>
      <c r="BF489" s="36" t="str">
        <f t="shared" si="510"/>
        <v>S</v>
      </c>
      <c r="BG489" s="68">
        <v>6.0</v>
      </c>
      <c r="BH489" s="41" t="str">
        <f t="shared" si="511"/>
        <v>R</v>
      </c>
      <c r="BI489" s="41"/>
    </row>
    <row r="490">
      <c r="A490" s="21" t="s">
        <v>981</v>
      </c>
      <c r="B490" s="21" t="s">
        <v>444</v>
      </c>
      <c r="C490" s="21" t="s">
        <v>1949</v>
      </c>
      <c r="D490" s="69" t="s">
        <v>571</v>
      </c>
      <c r="E490" s="18" t="s">
        <v>572</v>
      </c>
      <c r="F490" s="18" t="s">
        <v>192</v>
      </c>
      <c r="G490" s="63" t="s">
        <v>1950</v>
      </c>
      <c r="H490" s="22" t="s">
        <v>198</v>
      </c>
      <c r="I490" s="28">
        <v>8.0</v>
      </c>
      <c r="J490" s="26" t="str">
        <f t="shared" si="489"/>
        <v>R</v>
      </c>
      <c r="K490" s="28">
        <v>12.0</v>
      </c>
      <c r="L490" s="26" t="str">
        <f t="shared" si="490"/>
        <v>R</v>
      </c>
      <c r="M490" s="28">
        <v>6.0</v>
      </c>
      <c r="N490" s="26" t="str">
        <f t="shared" si="491"/>
        <v>R</v>
      </c>
      <c r="O490" s="28">
        <v>19.0</v>
      </c>
      <c r="P490" s="26" t="str">
        <f t="shared" si="492"/>
        <v>R</v>
      </c>
      <c r="Q490" s="28">
        <v>15.0</v>
      </c>
      <c r="R490" s="26" t="str">
        <f t="shared" si="493"/>
        <v>R</v>
      </c>
      <c r="S490" s="28">
        <v>16.0</v>
      </c>
      <c r="T490" s="26" t="str">
        <f t="shared" si="494"/>
        <v>R</v>
      </c>
      <c r="U490" s="28">
        <v>12.0</v>
      </c>
      <c r="V490" s="26" t="str">
        <f t="shared" si="495"/>
        <v>R</v>
      </c>
      <c r="W490" s="32" t="s">
        <v>299</v>
      </c>
      <c r="X490" s="65">
        <v>6.0</v>
      </c>
      <c r="Y490" s="33" t="str">
        <f t="shared" si="496"/>
        <v>R</v>
      </c>
      <c r="Z490" s="65">
        <v>23.0</v>
      </c>
      <c r="AA490" s="33" t="str">
        <f t="shared" si="497"/>
        <v>S</v>
      </c>
      <c r="AB490" s="65">
        <v>6.0</v>
      </c>
      <c r="AC490" s="33" t="str">
        <f t="shared" si="498"/>
        <v>R</v>
      </c>
      <c r="AD490" s="65">
        <v>21.0</v>
      </c>
      <c r="AE490" s="33" t="str">
        <f t="shared" si="499"/>
        <v>S</v>
      </c>
      <c r="AF490" s="65">
        <v>6.0</v>
      </c>
      <c r="AG490" s="33" t="str">
        <f t="shared" si="500"/>
        <v>R</v>
      </c>
      <c r="AH490" s="65" t="s">
        <v>299</v>
      </c>
      <c r="AI490" s="66">
        <v>6.0</v>
      </c>
      <c r="AJ490" s="36" t="str">
        <f t="shared" si="501"/>
        <v>R</v>
      </c>
      <c r="AK490" s="66">
        <v>9.0</v>
      </c>
      <c r="AL490" s="36" t="str">
        <f t="shared" si="502"/>
        <v>R</v>
      </c>
      <c r="AM490" s="66">
        <v>6.0</v>
      </c>
      <c r="AN490" s="36" t="str">
        <f t="shared" si="503"/>
        <v>R</v>
      </c>
      <c r="AO490" s="66" t="s">
        <v>299</v>
      </c>
      <c r="AP490" s="67">
        <v>6.0</v>
      </c>
      <c r="AQ490" s="37" t="str">
        <f t="shared" si="504"/>
        <v>R</v>
      </c>
      <c r="AR490" s="65">
        <v>14.0</v>
      </c>
      <c r="AS490" s="33" t="str">
        <f t="shared" si="505"/>
        <v>R</v>
      </c>
      <c r="AT490" s="65">
        <v>11.0</v>
      </c>
      <c r="AU490" s="33" t="str">
        <f t="shared" si="506"/>
        <v>R</v>
      </c>
      <c r="AV490" s="65" t="s">
        <v>299</v>
      </c>
      <c r="AW490" s="28">
        <v>20.0</v>
      </c>
      <c r="AX490" s="26" t="str">
        <f t="shared" si="507"/>
        <v>S</v>
      </c>
      <c r="AY490" s="67">
        <v>6.0</v>
      </c>
      <c r="AZ490" s="37" t="str">
        <f t="shared" si="508"/>
        <v>R</v>
      </c>
      <c r="BA490" s="66">
        <v>25.0</v>
      </c>
      <c r="BB490" s="36" t="str">
        <f t="shared" si="509"/>
        <v>S</v>
      </c>
      <c r="BC490" s="39" t="s">
        <v>357</v>
      </c>
      <c r="BD490" s="39" t="s">
        <v>357</v>
      </c>
      <c r="BE490" s="66">
        <v>25.0</v>
      </c>
      <c r="BF490" s="36" t="str">
        <f t="shared" si="510"/>
        <v>S</v>
      </c>
      <c r="BG490" s="68">
        <v>8.0</v>
      </c>
      <c r="BH490" s="41" t="str">
        <f t="shared" si="511"/>
        <v>R</v>
      </c>
      <c r="BI490" s="41"/>
    </row>
    <row r="491">
      <c r="A491" s="21" t="s">
        <v>981</v>
      </c>
      <c r="B491" s="21" t="s">
        <v>444</v>
      </c>
      <c r="C491" s="21" t="s">
        <v>1951</v>
      </c>
      <c r="D491" s="69" t="s">
        <v>571</v>
      </c>
      <c r="E491" s="18" t="s">
        <v>572</v>
      </c>
      <c r="F491" s="18" t="s">
        <v>192</v>
      </c>
      <c r="G491" s="63" t="s">
        <v>1952</v>
      </c>
      <c r="H491" s="22" t="s">
        <v>198</v>
      </c>
      <c r="I491" s="28">
        <v>8.0</v>
      </c>
      <c r="J491" s="26" t="str">
        <f t="shared" si="489"/>
        <v>R</v>
      </c>
      <c r="K491" s="28">
        <v>10.0</v>
      </c>
      <c r="L491" s="26" t="str">
        <f t="shared" si="490"/>
        <v>R</v>
      </c>
      <c r="M491" s="28">
        <v>6.0</v>
      </c>
      <c r="N491" s="26" t="str">
        <f t="shared" si="491"/>
        <v>R</v>
      </c>
      <c r="O491" s="28">
        <v>19.0</v>
      </c>
      <c r="P491" s="26" t="str">
        <f t="shared" si="492"/>
        <v>R</v>
      </c>
      <c r="Q491" s="28">
        <v>11.0</v>
      </c>
      <c r="R491" s="26" t="str">
        <f t="shared" si="493"/>
        <v>R</v>
      </c>
      <c r="S491" s="28">
        <v>16.0</v>
      </c>
      <c r="T491" s="26" t="str">
        <f t="shared" si="494"/>
        <v>R</v>
      </c>
      <c r="U491" s="28">
        <v>12.0</v>
      </c>
      <c r="V491" s="26" t="str">
        <f t="shared" si="495"/>
        <v>R</v>
      </c>
      <c r="W491" s="32" t="s">
        <v>299</v>
      </c>
      <c r="X491" s="65">
        <v>6.0</v>
      </c>
      <c r="Y491" s="33" t="str">
        <f t="shared" si="496"/>
        <v>R</v>
      </c>
      <c r="Z491" s="65">
        <v>20.0</v>
      </c>
      <c r="AA491" s="33" t="str">
        <f t="shared" si="497"/>
        <v>S</v>
      </c>
      <c r="AB491" s="65">
        <v>6.0</v>
      </c>
      <c r="AC491" s="33" t="str">
        <f t="shared" si="498"/>
        <v>R</v>
      </c>
      <c r="AD491" s="65">
        <v>20.0</v>
      </c>
      <c r="AE491" s="33" t="str">
        <f t="shared" si="499"/>
        <v>S</v>
      </c>
      <c r="AF491" s="65">
        <v>6.0</v>
      </c>
      <c r="AG491" s="33" t="str">
        <f t="shared" si="500"/>
        <v>R</v>
      </c>
      <c r="AH491" s="65" t="s">
        <v>299</v>
      </c>
      <c r="AI491" s="66">
        <v>6.0</v>
      </c>
      <c r="AJ491" s="36" t="str">
        <f t="shared" si="501"/>
        <v>R</v>
      </c>
      <c r="AK491" s="66">
        <v>6.0</v>
      </c>
      <c r="AL491" s="36" t="str">
        <f t="shared" si="502"/>
        <v>R</v>
      </c>
      <c r="AM491" s="66">
        <v>6.0</v>
      </c>
      <c r="AN491" s="36" t="str">
        <f t="shared" si="503"/>
        <v>R</v>
      </c>
      <c r="AO491" s="66" t="s">
        <v>299</v>
      </c>
      <c r="AP491" s="67">
        <v>6.0</v>
      </c>
      <c r="AQ491" s="37" t="str">
        <f t="shared" si="504"/>
        <v>R</v>
      </c>
      <c r="AR491" s="65">
        <v>17.0</v>
      </c>
      <c r="AS491" s="33" t="str">
        <f t="shared" si="505"/>
        <v>R</v>
      </c>
      <c r="AT491" s="65">
        <v>10.0</v>
      </c>
      <c r="AU491" s="33" t="str">
        <f t="shared" si="506"/>
        <v>R</v>
      </c>
      <c r="AV491" s="65" t="s">
        <v>299</v>
      </c>
      <c r="AW491" s="28">
        <v>21.0</v>
      </c>
      <c r="AX491" s="26" t="str">
        <f t="shared" si="507"/>
        <v>S</v>
      </c>
      <c r="AY491" s="67">
        <v>6.0</v>
      </c>
      <c r="AZ491" s="37" t="str">
        <f t="shared" si="508"/>
        <v>R</v>
      </c>
      <c r="BA491" s="66">
        <v>26.0</v>
      </c>
      <c r="BB491" s="36" t="str">
        <f t="shared" si="509"/>
        <v>S</v>
      </c>
      <c r="BC491" s="39" t="s">
        <v>357</v>
      </c>
      <c r="BD491" s="39" t="s">
        <v>357</v>
      </c>
      <c r="BE491" s="66">
        <v>27.0</v>
      </c>
      <c r="BF491" s="36" t="str">
        <f t="shared" si="510"/>
        <v>S</v>
      </c>
      <c r="BG491" s="68">
        <v>9.0</v>
      </c>
      <c r="BH491" s="41" t="str">
        <f t="shared" si="511"/>
        <v>R</v>
      </c>
      <c r="BI491" s="41"/>
    </row>
    <row r="492">
      <c r="A492" s="21" t="s">
        <v>981</v>
      </c>
      <c r="B492" s="23">
        <v>218.0</v>
      </c>
      <c r="C492" s="21" t="s">
        <v>1682</v>
      </c>
      <c r="D492" s="69" t="s">
        <v>1046</v>
      </c>
      <c r="E492" s="18" t="s">
        <v>103</v>
      </c>
      <c r="F492" s="18" t="s">
        <v>192</v>
      </c>
      <c r="G492" s="63" t="s">
        <v>1683</v>
      </c>
      <c r="H492" s="22" t="s">
        <v>198</v>
      </c>
      <c r="I492" s="28">
        <v>18.0</v>
      </c>
      <c r="J492" s="26" t="str">
        <f t="shared" si="489"/>
        <v>R</v>
      </c>
      <c r="K492" s="28">
        <v>15.0</v>
      </c>
      <c r="L492" s="26" t="str">
        <f t="shared" si="490"/>
        <v>R</v>
      </c>
      <c r="M492" s="28">
        <v>17.0</v>
      </c>
      <c r="N492" s="26" t="str">
        <f t="shared" si="491"/>
        <v>R</v>
      </c>
      <c r="O492" s="28">
        <v>20.0</v>
      </c>
      <c r="P492" s="26" t="str">
        <f t="shared" si="492"/>
        <v>I</v>
      </c>
      <c r="Q492" s="28">
        <v>12.0</v>
      </c>
      <c r="R492" s="26" t="str">
        <f t="shared" si="493"/>
        <v>R</v>
      </c>
      <c r="S492" s="28">
        <v>13.0</v>
      </c>
      <c r="T492" s="26" t="str">
        <f t="shared" si="494"/>
        <v>R</v>
      </c>
      <c r="U492" s="28">
        <v>18.0</v>
      </c>
      <c r="V492" s="26" t="str">
        <f t="shared" si="495"/>
        <v>I</v>
      </c>
      <c r="W492" s="32" t="s">
        <v>299</v>
      </c>
      <c r="X492" s="65">
        <v>11.0</v>
      </c>
      <c r="Y492" s="33" t="str">
        <f t="shared" si="496"/>
        <v>R</v>
      </c>
      <c r="Z492" s="65">
        <v>13.0</v>
      </c>
      <c r="AA492" s="33" t="str">
        <f t="shared" si="497"/>
        <v>R</v>
      </c>
      <c r="AB492" s="65">
        <v>6.0</v>
      </c>
      <c r="AC492" s="33" t="str">
        <f t="shared" si="498"/>
        <v>R</v>
      </c>
      <c r="AD492" s="65">
        <v>6.0</v>
      </c>
      <c r="AE492" s="33" t="str">
        <f t="shared" si="499"/>
        <v>R</v>
      </c>
      <c r="AF492" s="65">
        <v>6.0</v>
      </c>
      <c r="AG492" s="33" t="str">
        <f t="shared" si="500"/>
        <v>R</v>
      </c>
      <c r="AH492" s="65" t="s">
        <v>299</v>
      </c>
      <c r="AI492" s="66">
        <v>13.0</v>
      </c>
      <c r="AJ492" s="36" t="str">
        <f t="shared" si="501"/>
        <v>R</v>
      </c>
      <c r="AK492" s="66">
        <v>13.0</v>
      </c>
      <c r="AL492" s="36" t="str">
        <f t="shared" si="502"/>
        <v>R</v>
      </c>
      <c r="AM492" s="66">
        <v>6.0</v>
      </c>
      <c r="AN492" s="36" t="str">
        <f t="shared" si="503"/>
        <v>R</v>
      </c>
      <c r="AO492" s="66" t="s">
        <v>299</v>
      </c>
      <c r="AP492" s="67">
        <v>6.0</v>
      </c>
      <c r="AQ492" s="37" t="str">
        <f t="shared" si="504"/>
        <v>R</v>
      </c>
      <c r="AR492" s="65">
        <v>10.0</v>
      </c>
      <c r="AS492" s="33" t="str">
        <f t="shared" si="505"/>
        <v>R</v>
      </c>
      <c r="AT492" s="65">
        <v>11.0</v>
      </c>
      <c r="AU492" s="33" t="str">
        <f t="shared" si="506"/>
        <v>R</v>
      </c>
      <c r="AV492" s="65" t="s">
        <v>299</v>
      </c>
      <c r="AW492" s="28">
        <v>19.0</v>
      </c>
      <c r="AX492" s="26" t="str">
        <f t="shared" si="507"/>
        <v>R</v>
      </c>
      <c r="AY492" s="67">
        <v>6.0</v>
      </c>
      <c r="AZ492" s="37" t="str">
        <f t="shared" si="508"/>
        <v>R</v>
      </c>
      <c r="BA492" s="66">
        <v>11.0</v>
      </c>
      <c r="BB492" s="36" t="str">
        <f t="shared" si="509"/>
        <v>R</v>
      </c>
      <c r="BC492" s="39" t="s">
        <v>357</v>
      </c>
      <c r="BD492" s="39" t="s">
        <v>357</v>
      </c>
      <c r="BE492" s="66">
        <v>18.0</v>
      </c>
      <c r="BF492" s="36" t="str">
        <f t="shared" si="510"/>
        <v>R</v>
      </c>
      <c r="BG492" s="68">
        <v>15.0</v>
      </c>
      <c r="BH492" s="41" t="str">
        <f t="shared" si="511"/>
        <v>R</v>
      </c>
      <c r="BI492" s="41"/>
    </row>
    <row r="493">
      <c r="A493" s="21" t="s">
        <v>981</v>
      </c>
      <c r="B493" s="21" t="s">
        <v>444</v>
      </c>
      <c r="C493" s="21" t="s">
        <v>1953</v>
      </c>
      <c r="D493" s="69" t="s">
        <v>1046</v>
      </c>
      <c r="E493" s="18" t="s">
        <v>103</v>
      </c>
      <c r="F493" s="18" t="s">
        <v>192</v>
      </c>
      <c r="G493" s="63" t="s">
        <v>1954</v>
      </c>
      <c r="H493" s="22" t="s">
        <v>198</v>
      </c>
      <c r="I493" s="28">
        <v>18.0</v>
      </c>
      <c r="J493" s="26" t="str">
        <f t="shared" si="489"/>
        <v>R</v>
      </c>
      <c r="K493" s="28">
        <v>15.0</v>
      </c>
      <c r="L493" s="26" t="str">
        <f t="shared" si="490"/>
        <v>R</v>
      </c>
      <c r="M493" s="28">
        <v>17.0</v>
      </c>
      <c r="N493" s="26" t="str">
        <f t="shared" si="491"/>
        <v>R</v>
      </c>
      <c r="O493" s="28">
        <v>20.0</v>
      </c>
      <c r="P493" s="26" t="str">
        <f t="shared" si="492"/>
        <v>I</v>
      </c>
      <c r="Q493" s="28">
        <v>12.0</v>
      </c>
      <c r="R493" s="26" t="str">
        <f t="shared" si="493"/>
        <v>R</v>
      </c>
      <c r="S493" s="28">
        <v>13.0</v>
      </c>
      <c r="T493" s="26" t="str">
        <f t="shared" si="494"/>
        <v>R</v>
      </c>
      <c r="U493" s="28">
        <v>18.0</v>
      </c>
      <c r="V493" s="26" t="str">
        <f t="shared" si="495"/>
        <v>I</v>
      </c>
      <c r="W493" s="32" t="s">
        <v>299</v>
      </c>
      <c r="X493" s="65">
        <v>11.0</v>
      </c>
      <c r="Y493" s="33" t="str">
        <f t="shared" si="496"/>
        <v>R</v>
      </c>
      <c r="Z493" s="65">
        <v>13.0</v>
      </c>
      <c r="AA493" s="33" t="str">
        <f t="shared" si="497"/>
        <v>R</v>
      </c>
      <c r="AB493" s="65">
        <v>6.0</v>
      </c>
      <c r="AC493" s="33" t="str">
        <f t="shared" si="498"/>
        <v>R</v>
      </c>
      <c r="AD493" s="65">
        <v>6.0</v>
      </c>
      <c r="AE493" s="33" t="str">
        <f t="shared" si="499"/>
        <v>R</v>
      </c>
      <c r="AF493" s="65">
        <v>6.0</v>
      </c>
      <c r="AG493" s="33" t="str">
        <f t="shared" si="500"/>
        <v>R</v>
      </c>
      <c r="AH493" s="65" t="s">
        <v>299</v>
      </c>
      <c r="AI493" s="66">
        <v>13.0</v>
      </c>
      <c r="AJ493" s="36" t="str">
        <f t="shared" si="501"/>
        <v>R</v>
      </c>
      <c r="AK493" s="66">
        <v>13.0</v>
      </c>
      <c r="AL493" s="36" t="str">
        <f t="shared" si="502"/>
        <v>R</v>
      </c>
      <c r="AM493" s="66">
        <v>6.0</v>
      </c>
      <c r="AN493" s="36" t="str">
        <f t="shared" si="503"/>
        <v>R</v>
      </c>
      <c r="AO493" s="66" t="s">
        <v>299</v>
      </c>
      <c r="AP493" s="67">
        <v>6.0</v>
      </c>
      <c r="AQ493" s="37" t="str">
        <f t="shared" si="504"/>
        <v>R</v>
      </c>
      <c r="AR493" s="65">
        <v>10.0</v>
      </c>
      <c r="AS493" s="33" t="str">
        <f t="shared" si="505"/>
        <v>R</v>
      </c>
      <c r="AT493" s="65">
        <v>11.0</v>
      </c>
      <c r="AU493" s="33" t="str">
        <f t="shared" si="506"/>
        <v>R</v>
      </c>
      <c r="AV493" s="65" t="s">
        <v>299</v>
      </c>
      <c r="AW493" s="28">
        <v>19.0</v>
      </c>
      <c r="AX493" s="26" t="str">
        <f t="shared" si="507"/>
        <v>R</v>
      </c>
      <c r="AY493" s="67">
        <v>6.0</v>
      </c>
      <c r="AZ493" s="37" t="str">
        <f t="shared" si="508"/>
        <v>R</v>
      </c>
      <c r="BA493" s="66">
        <v>11.0</v>
      </c>
      <c r="BB493" s="36" t="str">
        <f t="shared" si="509"/>
        <v>R</v>
      </c>
      <c r="BC493" s="39" t="s">
        <v>357</v>
      </c>
      <c r="BD493" s="39" t="s">
        <v>357</v>
      </c>
      <c r="BE493" s="66">
        <v>18.0</v>
      </c>
      <c r="BF493" s="36" t="str">
        <f t="shared" si="510"/>
        <v>R</v>
      </c>
      <c r="BG493" s="68">
        <v>15.0</v>
      </c>
      <c r="BH493" s="41" t="str">
        <f t="shared" si="511"/>
        <v>R</v>
      </c>
      <c r="BI493" s="41"/>
    </row>
    <row r="494">
      <c r="A494" s="21" t="s">
        <v>981</v>
      </c>
      <c r="B494" s="21" t="s">
        <v>444</v>
      </c>
      <c r="C494" s="21" t="s">
        <v>1955</v>
      </c>
      <c r="D494" s="69" t="s">
        <v>1046</v>
      </c>
      <c r="E494" s="18" t="s">
        <v>103</v>
      </c>
      <c r="F494" s="18" t="s">
        <v>192</v>
      </c>
      <c r="G494" s="63" t="s">
        <v>1956</v>
      </c>
      <c r="H494" s="22" t="s">
        <v>198</v>
      </c>
      <c r="I494" s="28">
        <v>18.0</v>
      </c>
      <c r="J494" s="26" t="str">
        <f t="shared" si="489"/>
        <v>R</v>
      </c>
      <c r="K494" s="28">
        <v>15.0</v>
      </c>
      <c r="L494" s="26" t="str">
        <f t="shared" si="490"/>
        <v>R</v>
      </c>
      <c r="M494" s="28">
        <v>17.0</v>
      </c>
      <c r="N494" s="26" t="str">
        <f t="shared" si="491"/>
        <v>R</v>
      </c>
      <c r="O494" s="28">
        <v>20.0</v>
      </c>
      <c r="P494" s="26" t="str">
        <f t="shared" si="492"/>
        <v>I</v>
      </c>
      <c r="Q494" s="28">
        <v>12.0</v>
      </c>
      <c r="R494" s="26" t="str">
        <f t="shared" si="493"/>
        <v>R</v>
      </c>
      <c r="S494" s="28">
        <v>13.0</v>
      </c>
      <c r="T494" s="26" t="str">
        <f t="shared" si="494"/>
        <v>R</v>
      </c>
      <c r="U494" s="28">
        <v>18.0</v>
      </c>
      <c r="V494" s="26" t="str">
        <f t="shared" si="495"/>
        <v>I</v>
      </c>
      <c r="W494" s="32" t="s">
        <v>299</v>
      </c>
      <c r="X494" s="65">
        <v>11.0</v>
      </c>
      <c r="Y494" s="33" t="str">
        <f t="shared" si="496"/>
        <v>R</v>
      </c>
      <c r="Z494" s="65">
        <v>13.0</v>
      </c>
      <c r="AA494" s="33" t="str">
        <f t="shared" si="497"/>
        <v>R</v>
      </c>
      <c r="AB494" s="65">
        <v>6.0</v>
      </c>
      <c r="AC494" s="33" t="str">
        <f t="shared" si="498"/>
        <v>R</v>
      </c>
      <c r="AD494" s="65">
        <v>6.0</v>
      </c>
      <c r="AE494" s="33" t="str">
        <f t="shared" si="499"/>
        <v>R</v>
      </c>
      <c r="AF494" s="65">
        <v>6.0</v>
      </c>
      <c r="AG494" s="33" t="str">
        <f t="shared" si="500"/>
        <v>R</v>
      </c>
      <c r="AH494" s="65" t="s">
        <v>299</v>
      </c>
      <c r="AI494" s="66">
        <v>13.0</v>
      </c>
      <c r="AJ494" s="36" t="str">
        <f t="shared" si="501"/>
        <v>R</v>
      </c>
      <c r="AK494" s="66">
        <v>13.0</v>
      </c>
      <c r="AL494" s="36" t="str">
        <f t="shared" si="502"/>
        <v>R</v>
      </c>
      <c r="AM494" s="66">
        <v>6.0</v>
      </c>
      <c r="AN494" s="36" t="str">
        <f t="shared" si="503"/>
        <v>R</v>
      </c>
      <c r="AO494" s="66" t="s">
        <v>299</v>
      </c>
      <c r="AP494" s="67">
        <v>6.0</v>
      </c>
      <c r="AQ494" s="37" t="str">
        <f t="shared" si="504"/>
        <v>R</v>
      </c>
      <c r="AR494" s="65">
        <v>10.0</v>
      </c>
      <c r="AS494" s="33" t="str">
        <f t="shared" si="505"/>
        <v>R</v>
      </c>
      <c r="AT494" s="65">
        <v>11.0</v>
      </c>
      <c r="AU494" s="33" t="str">
        <f t="shared" si="506"/>
        <v>R</v>
      </c>
      <c r="AV494" s="65" t="s">
        <v>299</v>
      </c>
      <c r="AW494" s="28">
        <v>19.0</v>
      </c>
      <c r="AX494" s="26" t="str">
        <f t="shared" si="507"/>
        <v>R</v>
      </c>
      <c r="AY494" s="67">
        <v>6.0</v>
      </c>
      <c r="AZ494" s="37" t="str">
        <f t="shared" si="508"/>
        <v>R</v>
      </c>
      <c r="BA494" s="66">
        <v>11.0</v>
      </c>
      <c r="BB494" s="36" t="str">
        <f t="shared" si="509"/>
        <v>R</v>
      </c>
      <c r="BC494" s="39" t="s">
        <v>357</v>
      </c>
      <c r="BD494" s="39" t="s">
        <v>357</v>
      </c>
      <c r="BE494" s="66">
        <v>18.0</v>
      </c>
      <c r="BF494" s="36" t="str">
        <f t="shared" si="510"/>
        <v>R</v>
      </c>
      <c r="BG494" s="68">
        <v>15.0</v>
      </c>
      <c r="BH494" s="41" t="str">
        <f t="shared" si="511"/>
        <v>R</v>
      </c>
      <c r="BI494" s="41"/>
    </row>
    <row r="495">
      <c r="A495" s="51" t="s">
        <v>988</v>
      </c>
      <c r="B495" s="53">
        <v>219.0</v>
      </c>
      <c r="C495" s="51" t="s">
        <v>1158</v>
      </c>
      <c r="D495" s="69" t="s">
        <v>190</v>
      </c>
      <c r="E495" s="18" t="s">
        <v>190</v>
      </c>
      <c r="F495" s="18" t="s">
        <v>192</v>
      </c>
      <c r="G495" s="63" t="s">
        <v>1159</v>
      </c>
      <c r="H495" s="22" t="s">
        <v>198</v>
      </c>
      <c r="I495" s="28">
        <v>6.0</v>
      </c>
      <c r="J495" s="26" t="str">
        <f t="shared" si="489"/>
        <v>R</v>
      </c>
      <c r="K495" s="28">
        <v>6.0</v>
      </c>
      <c r="L495" s="26" t="str">
        <f t="shared" si="490"/>
        <v>R</v>
      </c>
      <c r="M495" s="28">
        <v>6.0</v>
      </c>
      <c r="N495" s="26" t="str">
        <f t="shared" si="491"/>
        <v>R</v>
      </c>
      <c r="O495" s="28">
        <v>15.0</v>
      </c>
      <c r="P495" s="26" t="str">
        <f t="shared" si="492"/>
        <v>R</v>
      </c>
      <c r="Q495" s="28">
        <v>6.0</v>
      </c>
      <c r="R495" s="26" t="str">
        <f t="shared" si="493"/>
        <v>R</v>
      </c>
      <c r="S495" s="28">
        <v>21.0</v>
      </c>
      <c r="T495" s="26" t="str">
        <f t="shared" si="494"/>
        <v>S</v>
      </c>
      <c r="U495" s="28">
        <v>19.0</v>
      </c>
      <c r="V495" s="26" t="str">
        <f t="shared" si="495"/>
        <v>I</v>
      </c>
      <c r="W495" s="32" t="s">
        <v>299</v>
      </c>
      <c r="X495" s="65">
        <v>6.0</v>
      </c>
      <c r="Y495" s="33" t="str">
        <f t="shared" si="496"/>
        <v>R</v>
      </c>
      <c r="Z495" s="65">
        <v>6.0</v>
      </c>
      <c r="AA495" s="33" t="str">
        <f t="shared" si="497"/>
        <v>R</v>
      </c>
      <c r="AB495" s="65">
        <v>6.0</v>
      </c>
      <c r="AC495" s="33" t="str">
        <f t="shared" si="498"/>
        <v>R</v>
      </c>
      <c r="AD495" s="65">
        <v>23.0</v>
      </c>
      <c r="AE495" s="33" t="str">
        <f t="shared" si="499"/>
        <v>S</v>
      </c>
      <c r="AF495" s="65">
        <v>18.0</v>
      </c>
      <c r="AG495" s="33" t="str">
        <f t="shared" si="500"/>
        <v>R</v>
      </c>
      <c r="AH495" s="65" t="s">
        <v>299</v>
      </c>
      <c r="AI495" s="66">
        <v>6.0</v>
      </c>
      <c r="AJ495" s="36" t="str">
        <f t="shared" si="501"/>
        <v>R</v>
      </c>
      <c r="AK495" s="66">
        <v>6.0</v>
      </c>
      <c r="AL495" s="36" t="str">
        <f t="shared" si="502"/>
        <v>R</v>
      </c>
      <c r="AM495" s="66">
        <v>6.0</v>
      </c>
      <c r="AN495" s="36" t="str">
        <f t="shared" si="503"/>
        <v>R</v>
      </c>
      <c r="AO495" s="66" t="s">
        <v>299</v>
      </c>
      <c r="AP495" s="67">
        <v>6.0</v>
      </c>
      <c r="AQ495" s="37" t="str">
        <f t="shared" si="504"/>
        <v>R</v>
      </c>
      <c r="AR495" s="65">
        <v>20.0</v>
      </c>
      <c r="AS495" s="33" t="str">
        <f t="shared" si="505"/>
        <v>S</v>
      </c>
      <c r="AT495" s="65">
        <v>20.0</v>
      </c>
      <c r="AU495" s="33" t="str">
        <f t="shared" si="506"/>
        <v>S</v>
      </c>
      <c r="AV495" s="33" t="s">
        <v>300</v>
      </c>
      <c r="AW495" s="28">
        <v>6.0</v>
      </c>
      <c r="AX495" s="26" t="str">
        <f t="shared" si="507"/>
        <v>R</v>
      </c>
      <c r="AY495" s="67">
        <v>13.0</v>
      </c>
      <c r="AZ495" s="37" t="str">
        <f t="shared" si="508"/>
        <v>R</v>
      </c>
      <c r="BA495" s="66">
        <v>26.0</v>
      </c>
      <c r="BB495" s="36" t="str">
        <f t="shared" si="509"/>
        <v>S</v>
      </c>
      <c r="BC495" s="39" t="s">
        <v>357</v>
      </c>
      <c r="BD495" s="39" t="s">
        <v>357</v>
      </c>
      <c r="BE495" s="66">
        <v>20.0</v>
      </c>
      <c r="BF495" s="36" t="str">
        <f t="shared" si="510"/>
        <v>I</v>
      </c>
      <c r="BG495" s="68">
        <v>20.0</v>
      </c>
      <c r="BH495" s="41" t="str">
        <f t="shared" si="511"/>
        <v>S</v>
      </c>
      <c r="BI495" s="41"/>
    </row>
    <row r="496">
      <c r="A496" s="51" t="s">
        <v>988</v>
      </c>
      <c r="B496" s="51" t="s">
        <v>444</v>
      </c>
      <c r="C496" s="51" t="s">
        <v>1957</v>
      </c>
      <c r="D496" s="69" t="s">
        <v>190</v>
      </c>
      <c r="E496" s="18" t="s">
        <v>190</v>
      </c>
      <c r="F496" s="18" t="s">
        <v>192</v>
      </c>
      <c r="G496" s="63" t="s">
        <v>1958</v>
      </c>
      <c r="H496" s="22" t="s">
        <v>198</v>
      </c>
      <c r="I496" s="28">
        <v>6.0</v>
      </c>
      <c r="J496" s="26" t="str">
        <f t="shared" si="489"/>
        <v>R</v>
      </c>
      <c r="K496" s="28">
        <v>6.0</v>
      </c>
      <c r="L496" s="26" t="str">
        <f t="shared" si="490"/>
        <v>R</v>
      </c>
      <c r="M496" s="28">
        <v>6.0</v>
      </c>
      <c r="N496" s="26" t="str">
        <f t="shared" si="491"/>
        <v>R</v>
      </c>
      <c r="O496" s="28">
        <v>15.0</v>
      </c>
      <c r="P496" s="26" t="str">
        <f t="shared" si="492"/>
        <v>R</v>
      </c>
      <c r="Q496" s="28">
        <v>6.0</v>
      </c>
      <c r="R496" s="26" t="str">
        <f t="shared" si="493"/>
        <v>R</v>
      </c>
      <c r="S496" s="28">
        <v>21.0</v>
      </c>
      <c r="T496" s="26" t="str">
        <f t="shared" si="494"/>
        <v>S</v>
      </c>
      <c r="U496" s="28">
        <v>19.0</v>
      </c>
      <c r="V496" s="26" t="str">
        <f t="shared" si="495"/>
        <v>I</v>
      </c>
      <c r="W496" s="32" t="s">
        <v>299</v>
      </c>
      <c r="X496" s="65">
        <v>6.0</v>
      </c>
      <c r="Y496" s="33" t="str">
        <f t="shared" si="496"/>
        <v>R</v>
      </c>
      <c r="Z496" s="65">
        <v>6.0</v>
      </c>
      <c r="AA496" s="33" t="str">
        <f t="shared" si="497"/>
        <v>R</v>
      </c>
      <c r="AB496" s="65">
        <v>6.0</v>
      </c>
      <c r="AC496" s="33" t="str">
        <f t="shared" si="498"/>
        <v>R</v>
      </c>
      <c r="AD496" s="65">
        <v>23.0</v>
      </c>
      <c r="AE496" s="33" t="str">
        <f t="shared" si="499"/>
        <v>S</v>
      </c>
      <c r="AF496" s="65">
        <v>18.0</v>
      </c>
      <c r="AG496" s="33" t="str">
        <f t="shared" si="500"/>
        <v>R</v>
      </c>
      <c r="AH496" s="65" t="s">
        <v>299</v>
      </c>
      <c r="AI496" s="66">
        <v>6.0</v>
      </c>
      <c r="AJ496" s="36" t="str">
        <f t="shared" si="501"/>
        <v>R</v>
      </c>
      <c r="AK496" s="66">
        <v>6.0</v>
      </c>
      <c r="AL496" s="36" t="str">
        <f t="shared" si="502"/>
        <v>R</v>
      </c>
      <c r="AM496" s="66">
        <v>6.0</v>
      </c>
      <c r="AN496" s="36" t="str">
        <f t="shared" si="503"/>
        <v>R</v>
      </c>
      <c r="AO496" s="66" t="s">
        <v>299</v>
      </c>
      <c r="AP496" s="67">
        <v>6.0</v>
      </c>
      <c r="AQ496" s="37" t="str">
        <f t="shared" si="504"/>
        <v>R</v>
      </c>
      <c r="AR496" s="65">
        <v>20.0</v>
      </c>
      <c r="AS496" s="33" t="str">
        <f t="shared" si="505"/>
        <v>S</v>
      </c>
      <c r="AT496" s="65">
        <v>20.0</v>
      </c>
      <c r="AU496" s="33" t="str">
        <f t="shared" si="506"/>
        <v>S</v>
      </c>
      <c r="AV496" s="33" t="s">
        <v>300</v>
      </c>
      <c r="AW496" s="28">
        <v>6.0</v>
      </c>
      <c r="AX496" s="26" t="str">
        <f t="shared" si="507"/>
        <v>R</v>
      </c>
      <c r="AY496" s="67">
        <v>13.0</v>
      </c>
      <c r="AZ496" s="37" t="str">
        <f t="shared" si="508"/>
        <v>R</v>
      </c>
      <c r="BA496" s="66">
        <v>26.0</v>
      </c>
      <c r="BB496" s="36" t="str">
        <f t="shared" si="509"/>
        <v>S</v>
      </c>
      <c r="BC496" s="39" t="s">
        <v>357</v>
      </c>
      <c r="BD496" s="39" t="s">
        <v>357</v>
      </c>
      <c r="BE496" s="66">
        <v>20.0</v>
      </c>
      <c r="BF496" s="36" t="str">
        <f t="shared" si="510"/>
        <v>I</v>
      </c>
      <c r="BG496" s="68">
        <v>20.0</v>
      </c>
      <c r="BH496" s="41" t="str">
        <f t="shared" si="511"/>
        <v>S</v>
      </c>
      <c r="BI496" s="41"/>
    </row>
    <row r="497">
      <c r="A497" s="51" t="s">
        <v>988</v>
      </c>
      <c r="B497" s="51" t="s">
        <v>444</v>
      </c>
      <c r="C497" s="51" t="s">
        <v>1959</v>
      </c>
      <c r="D497" s="69" t="s">
        <v>190</v>
      </c>
      <c r="E497" s="18" t="s">
        <v>190</v>
      </c>
      <c r="F497" s="18" t="s">
        <v>192</v>
      </c>
      <c r="G497" s="63" t="s">
        <v>1960</v>
      </c>
      <c r="H497" s="22" t="s">
        <v>198</v>
      </c>
      <c r="I497" s="28">
        <v>6.0</v>
      </c>
      <c r="J497" s="26" t="str">
        <f t="shared" si="489"/>
        <v>R</v>
      </c>
      <c r="K497" s="28">
        <v>6.0</v>
      </c>
      <c r="L497" s="26" t="str">
        <f t="shared" si="490"/>
        <v>R</v>
      </c>
      <c r="M497" s="28">
        <v>6.0</v>
      </c>
      <c r="N497" s="26" t="str">
        <f t="shared" si="491"/>
        <v>R</v>
      </c>
      <c r="O497" s="28">
        <v>15.0</v>
      </c>
      <c r="P497" s="26" t="str">
        <f t="shared" si="492"/>
        <v>R</v>
      </c>
      <c r="Q497" s="28">
        <v>6.0</v>
      </c>
      <c r="R497" s="26" t="str">
        <f t="shared" si="493"/>
        <v>R</v>
      </c>
      <c r="S497" s="28">
        <v>21.0</v>
      </c>
      <c r="T497" s="26" t="str">
        <f t="shared" si="494"/>
        <v>S</v>
      </c>
      <c r="U497" s="28">
        <v>19.0</v>
      </c>
      <c r="V497" s="26" t="str">
        <f t="shared" si="495"/>
        <v>I</v>
      </c>
      <c r="W497" s="32" t="s">
        <v>299</v>
      </c>
      <c r="X497" s="65">
        <v>6.0</v>
      </c>
      <c r="Y497" s="33" t="str">
        <f t="shared" si="496"/>
        <v>R</v>
      </c>
      <c r="Z497" s="65">
        <v>6.0</v>
      </c>
      <c r="AA497" s="33" t="str">
        <f t="shared" si="497"/>
        <v>R</v>
      </c>
      <c r="AB497" s="65">
        <v>6.0</v>
      </c>
      <c r="AC497" s="33" t="str">
        <f t="shared" si="498"/>
        <v>R</v>
      </c>
      <c r="AD497" s="65">
        <v>23.0</v>
      </c>
      <c r="AE497" s="33" t="str">
        <f t="shared" si="499"/>
        <v>S</v>
      </c>
      <c r="AF497" s="65">
        <v>18.0</v>
      </c>
      <c r="AG497" s="33" t="str">
        <f t="shared" si="500"/>
        <v>R</v>
      </c>
      <c r="AH497" s="65" t="s">
        <v>299</v>
      </c>
      <c r="AI497" s="66">
        <v>6.0</v>
      </c>
      <c r="AJ497" s="36" t="str">
        <f t="shared" si="501"/>
        <v>R</v>
      </c>
      <c r="AK497" s="66">
        <v>6.0</v>
      </c>
      <c r="AL497" s="36" t="str">
        <f t="shared" si="502"/>
        <v>R</v>
      </c>
      <c r="AM497" s="66">
        <v>6.0</v>
      </c>
      <c r="AN497" s="36" t="str">
        <f t="shared" si="503"/>
        <v>R</v>
      </c>
      <c r="AO497" s="66" t="s">
        <v>299</v>
      </c>
      <c r="AP497" s="67">
        <v>6.0</v>
      </c>
      <c r="AQ497" s="37" t="str">
        <f t="shared" si="504"/>
        <v>R</v>
      </c>
      <c r="AR497" s="65">
        <v>20.0</v>
      </c>
      <c r="AS497" s="33" t="str">
        <f t="shared" si="505"/>
        <v>S</v>
      </c>
      <c r="AT497" s="65">
        <v>20.0</v>
      </c>
      <c r="AU497" s="33" t="str">
        <f t="shared" si="506"/>
        <v>S</v>
      </c>
      <c r="AV497" s="33" t="s">
        <v>300</v>
      </c>
      <c r="AW497" s="28">
        <v>6.0</v>
      </c>
      <c r="AX497" s="26" t="str">
        <f t="shared" si="507"/>
        <v>R</v>
      </c>
      <c r="AY497" s="67">
        <v>13.0</v>
      </c>
      <c r="AZ497" s="37" t="str">
        <f t="shared" si="508"/>
        <v>R</v>
      </c>
      <c r="BA497" s="66">
        <v>26.0</v>
      </c>
      <c r="BB497" s="36" t="str">
        <f t="shared" si="509"/>
        <v>S</v>
      </c>
      <c r="BC497" s="39" t="s">
        <v>357</v>
      </c>
      <c r="BD497" s="39" t="s">
        <v>357</v>
      </c>
      <c r="BE497" s="66">
        <v>20.0</v>
      </c>
      <c r="BF497" s="36" t="str">
        <f t="shared" si="510"/>
        <v>I</v>
      </c>
      <c r="BG497" s="68">
        <v>20.0</v>
      </c>
      <c r="BH497" s="41" t="str">
        <f t="shared" si="511"/>
        <v>S</v>
      </c>
      <c r="BI497" s="41"/>
    </row>
    <row r="498">
      <c r="A498" s="51" t="s">
        <v>988</v>
      </c>
      <c r="B498" s="53">
        <v>220.0</v>
      </c>
      <c r="C498" s="51" t="s">
        <v>1161</v>
      </c>
      <c r="D498" s="69" t="s">
        <v>571</v>
      </c>
      <c r="E498" s="18" t="s">
        <v>572</v>
      </c>
      <c r="F498" s="18" t="s">
        <v>192</v>
      </c>
      <c r="G498" s="63" t="s">
        <v>1162</v>
      </c>
      <c r="H498" s="22" t="s">
        <v>198</v>
      </c>
      <c r="I498" s="28">
        <v>6.0</v>
      </c>
      <c r="J498" s="26" t="str">
        <f t="shared" si="489"/>
        <v>R</v>
      </c>
      <c r="K498" s="28">
        <v>9.0</v>
      </c>
      <c r="L498" s="26" t="str">
        <f t="shared" si="490"/>
        <v>R</v>
      </c>
      <c r="M498" s="28">
        <v>6.0</v>
      </c>
      <c r="N498" s="26" t="str">
        <f t="shared" si="491"/>
        <v>R</v>
      </c>
      <c r="O498" s="28">
        <v>18.0</v>
      </c>
      <c r="P498" s="26" t="str">
        <f t="shared" si="492"/>
        <v>R</v>
      </c>
      <c r="Q498" s="28">
        <v>14.0</v>
      </c>
      <c r="R498" s="26" t="str">
        <f t="shared" si="493"/>
        <v>R</v>
      </c>
      <c r="S498" s="28">
        <v>13.0</v>
      </c>
      <c r="T498" s="26" t="str">
        <f t="shared" si="494"/>
        <v>R</v>
      </c>
      <c r="U498" s="28">
        <v>15.0</v>
      </c>
      <c r="V498" s="26" t="str">
        <f t="shared" si="495"/>
        <v>R</v>
      </c>
      <c r="W498" s="32" t="s">
        <v>299</v>
      </c>
      <c r="X498" s="65">
        <v>6.0</v>
      </c>
      <c r="Y498" s="33" t="str">
        <f t="shared" si="496"/>
        <v>R</v>
      </c>
      <c r="Z498" s="65">
        <v>16.0</v>
      </c>
      <c r="AA498" s="33" t="str">
        <f t="shared" si="497"/>
        <v>R</v>
      </c>
      <c r="AB498" s="65">
        <v>6.0</v>
      </c>
      <c r="AC498" s="33" t="str">
        <f t="shared" si="498"/>
        <v>R</v>
      </c>
      <c r="AD498" s="65">
        <v>18.0</v>
      </c>
      <c r="AE498" s="33" t="str">
        <f t="shared" si="499"/>
        <v>S</v>
      </c>
      <c r="AF498" s="65">
        <v>13.0</v>
      </c>
      <c r="AG498" s="33" t="str">
        <f t="shared" si="500"/>
        <v>R</v>
      </c>
      <c r="AH498" s="65" t="s">
        <v>299</v>
      </c>
      <c r="AI498" s="66">
        <v>23.0</v>
      </c>
      <c r="AJ498" s="36" t="str">
        <f t="shared" si="501"/>
        <v>I</v>
      </c>
      <c r="AK498" s="66">
        <v>21.0</v>
      </c>
      <c r="AL498" s="36" t="str">
        <f t="shared" si="502"/>
        <v>I</v>
      </c>
      <c r="AM498" s="66">
        <v>20.0</v>
      </c>
      <c r="AN498" s="36" t="str">
        <f t="shared" si="503"/>
        <v>S</v>
      </c>
      <c r="AO498" s="66" t="s">
        <v>299</v>
      </c>
      <c r="AP498" s="67">
        <v>24.0</v>
      </c>
      <c r="AQ498" s="37" t="str">
        <f t="shared" si="504"/>
        <v>S</v>
      </c>
      <c r="AR498" s="65">
        <v>16.0</v>
      </c>
      <c r="AS498" s="33" t="str">
        <f t="shared" si="505"/>
        <v>R</v>
      </c>
      <c r="AT498" s="65">
        <v>18.0</v>
      </c>
      <c r="AU498" s="33" t="str">
        <f t="shared" si="506"/>
        <v>S</v>
      </c>
      <c r="AV498" s="65" t="s">
        <v>299</v>
      </c>
      <c r="AW498" s="28">
        <v>18.0</v>
      </c>
      <c r="AX498" s="26" t="str">
        <f t="shared" si="507"/>
        <v>R</v>
      </c>
      <c r="AY498" s="67">
        <v>6.0</v>
      </c>
      <c r="AZ498" s="37" t="str">
        <f t="shared" si="508"/>
        <v>R</v>
      </c>
      <c r="BA498" s="66">
        <v>26.0</v>
      </c>
      <c r="BB498" s="36" t="str">
        <f t="shared" si="509"/>
        <v>S</v>
      </c>
      <c r="BC498" s="39" t="s">
        <v>357</v>
      </c>
      <c r="BD498" s="39" t="s">
        <v>357</v>
      </c>
      <c r="BE498" s="66">
        <v>14.0</v>
      </c>
      <c r="BF498" s="36" t="str">
        <f t="shared" si="510"/>
        <v>R</v>
      </c>
      <c r="BG498" s="68">
        <v>16.0</v>
      </c>
      <c r="BH498" s="41" t="str">
        <f t="shared" si="511"/>
        <v>R</v>
      </c>
      <c r="BI498" s="41"/>
    </row>
    <row r="499">
      <c r="A499" s="51" t="s">
        <v>988</v>
      </c>
      <c r="B499" s="51" t="s">
        <v>444</v>
      </c>
      <c r="C499" s="51" t="s">
        <v>1961</v>
      </c>
      <c r="D499" s="69" t="s">
        <v>571</v>
      </c>
      <c r="E499" s="18" t="s">
        <v>572</v>
      </c>
      <c r="F499" s="18" t="s">
        <v>192</v>
      </c>
      <c r="G499" s="63" t="s">
        <v>1962</v>
      </c>
      <c r="H499" s="22" t="s">
        <v>198</v>
      </c>
      <c r="I499" s="28">
        <v>6.0</v>
      </c>
      <c r="J499" s="26" t="str">
        <f t="shared" si="489"/>
        <v>R</v>
      </c>
      <c r="K499" s="28">
        <v>12.0</v>
      </c>
      <c r="L499" s="26" t="str">
        <f t="shared" si="490"/>
        <v>R</v>
      </c>
      <c r="M499" s="28">
        <v>6.0</v>
      </c>
      <c r="N499" s="26" t="str">
        <f t="shared" si="491"/>
        <v>R</v>
      </c>
      <c r="O499" s="28">
        <v>22.0</v>
      </c>
      <c r="P499" s="26" t="str">
        <f t="shared" si="492"/>
        <v>I</v>
      </c>
      <c r="Q499" s="28">
        <v>14.0</v>
      </c>
      <c r="R499" s="26" t="str">
        <f t="shared" si="493"/>
        <v>R</v>
      </c>
      <c r="S499" s="28">
        <v>13.0</v>
      </c>
      <c r="T499" s="26" t="str">
        <f t="shared" si="494"/>
        <v>R</v>
      </c>
      <c r="U499" s="28">
        <v>15.0</v>
      </c>
      <c r="V499" s="26" t="str">
        <f t="shared" si="495"/>
        <v>R</v>
      </c>
      <c r="W499" s="32" t="s">
        <v>299</v>
      </c>
      <c r="X499" s="65">
        <v>6.0</v>
      </c>
      <c r="Y499" s="33" t="str">
        <f t="shared" si="496"/>
        <v>R</v>
      </c>
      <c r="Z499" s="65">
        <v>15.0</v>
      </c>
      <c r="AA499" s="33" t="str">
        <f t="shared" si="497"/>
        <v>R</v>
      </c>
      <c r="AB499" s="65">
        <v>6.0</v>
      </c>
      <c r="AC499" s="33" t="str">
        <f t="shared" si="498"/>
        <v>R</v>
      </c>
      <c r="AD499" s="65">
        <v>18.0</v>
      </c>
      <c r="AE499" s="33" t="str">
        <f t="shared" si="499"/>
        <v>S</v>
      </c>
      <c r="AF499" s="65">
        <v>12.0</v>
      </c>
      <c r="AG499" s="33" t="str">
        <f t="shared" si="500"/>
        <v>R</v>
      </c>
      <c r="AH499" s="65" t="s">
        <v>299</v>
      </c>
      <c r="AI499" s="66">
        <v>23.0</v>
      </c>
      <c r="AJ499" s="36" t="str">
        <f t="shared" si="501"/>
        <v>I</v>
      </c>
      <c r="AK499" s="66">
        <v>21.0</v>
      </c>
      <c r="AL499" s="36" t="str">
        <f t="shared" si="502"/>
        <v>I</v>
      </c>
      <c r="AM499" s="66">
        <v>22.0</v>
      </c>
      <c r="AN499" s="36" t="str">
        <f t="shared" si="503"/>
        <v>S</v>
      </c>
      <c r="AO499" s="66" t="s">
        <v>299</v>
      </c>
      <c r="AP499" s="67">
        <v>24.0</v>
      </c>
      <c r="AQ499" s="37" t="str">
        <f t="shared" si="504"/>
        <v>S</v>
      </c>
      <c r="AR499" s="65">
        <v>14.0</v>
      </c>
      <c r="AS499" s="33" t="str">
        <f t="shared" si="505"/>
        <v>R</v>
      </c>
      <c r="AT499" s="65">
        <v>18.0</v>
      </c>
      <c r="AU499" s="33" t="str">
        <f t="shared" si="506"/>
        <v>S</v>
      </c>
      <c r="AV499" s="65" t="s">
        <v>299</v>
      </c>
      <c r="AW499" s="28">
        <v>16.0</v>
      </c>
      <c r="AX499" s="26" t="str">
        <f t="shared" si="507"/>
        <v>R</v>
      </c>
      <c r="AY499" s="67">
        <v>6.0</v>
      </c>
      <c r="AZ499" s="37" t="str">
        <f t="shared" si="508"/>
        <v>R</v>
      </c>
      <c r="BA499" s="66">
        <v>25.0</v>
      </c>
      <c r="BB499" s="36" t="str">
        <f t="shared" si="509"/>
        <v>S</v>
      </c>
      <c r="BC499" s="39" t="s">
        <v>357</v>
      </c>
      <c r="BD499" s="39" t="s">
        <v>357</v>
      </c>
      <c r="BE499" s="66">
        <v>14.0</v>
      </c>
      <c r="BF499" s="36" t="str">
        <f t="shared" si="510"/>
        <v>R</v>
      </c>
      <c r="BG499" s="68">
        <v>16.0</v>
      </c>
      <c r="BH499" s="41" t="str">
        <f t="shared" si="511"/>
        <v>R</v>
      </c>
      <c r="BI499" s="41"/>
    </row>
    <row r="500">
      <c r="A500" s="51" t="s">
        <v>988</v>
      </c>
      <c r="B500" s="51" t="s">
        <v>444</v>
      </c>
      <c r="C500" s="51" t="s">
        <v>1963</v>
      </c>
      <c r="D500" s="69" t="s">
        <v>571</v>
      </c>
      <c r="E500" s="18" t="s">
        <v>572</v>
      </c>
      <c r="F500" s="18" t="s">
        <v>192</v>
      </c>
      <c r="G500" s="63" t="s">
        <v>1964</v>
      </c>
      <c r="H500" s="22" t="s">
        <v>198</v>
      </c>
      <c r="I500" s="28">
        <v>6.0</v>
      </c>
      <c r="J500" s="26" t="str">
        <f t="shared" si="489"/>
        <v>R</v>
      </c>
      <c r="K500" s="28">
        <v>11.0</v>
      </c>
      <c r="L500" s="26" t="str">
        <f t="shared" si="490"/>
        <v>R</v>
      </c>
      <c r="M500" s="28">
        <v>6.0</v>
      </c>
      <c r="N500" s="26" t="str">
        <f t="shared" si="491"/>
        <v>R</v>
      </c>
      <c r="O500" s="28">
        <v>22.0</v>
      </c>
      <c r="P500" s="26" t="str">
        <f t="shared" si="492"/>
        <v>I</v>
      </c>
      <c r="Q500" s="28">
        <v>14.0</v>
      </c>
      <c r="R500" s="26" t="str">
        <f t="shared" si="493"/>
        <v>R</v>
      </c>
      <c r="S500" s="28">
        <v>13.0</v>
      </c>
      <c r="T500" s="26" t="str">
        <f t="shared" si="494"/>
        <v>R</v>
      </c>
      <c r="U500" s="28">
        <v>15.0</v>
      </c>
      <c r="V500" s="26" t="str">
        <f t="shared" si="495"/>
        <v>R</v>
      </c>
      <c r="W500" s="32" t="s">
        <v>299</v>
      </c>
      <c r="X500" s="65">
        <v>6.0</v>
      </c>
      <c r="Y500" s="33" t="str">
        <f t="shared" si="496"/>
        <v>R</v>
      </c>
      <c r="Z500" s="65">
        <v>16.0</v>
      </c>
      <c r="AA500" s="33" t="str">
        <f t="shared" si="497"/>
        <v>R</v>
      </c>
      <c r="AB500" s="65">
        <v>6.0</v>
      </c>
      <c r="AC500" s="33" t="str">
        <f t="shared" si="498"/>
        <v>R</v>
      </c>
      <c r="AD500" s="65">
        <v>18.0</v>
      </c>
      <c r="AE500" s="33" t="str">
        <f t="shared" si="499"/>
        <v>S</v>
      </c>
      <c r="AF500" s="65">
        <v>13.0</v>
      </c>
      <c r="AG500" s="33" t="str">
        <f t="shared" si="500"/>
        <v>R</v>
      </c>
      <c r="AH500" s="65" t="s">
        <v>299</v>
      </c>
      <c r="AI500" s="66">
        <v>23.0</v>
      </c>
      <c r="AJ500" s="36" t="str">
        <f t="shared" si="501"/>
        <v>I</v>
      </c>
      <c r="AK500" s="66">
        <v>21.0</v>
      </c>
      <c r="AL500" s="36" t="str">
        <f t="shared" si="502"/>
        <v>I</v>
      </c>
      <c r="AM500" s="66">
        <v>20.0</v>
      </c>
      <c r="AN500" s="36" t="str">
        <f t="shared" si="503"/>
        <v>S</v>
      </c>
      <c r="AO500" s="66" t="s">
        <v>299</v>
      </c>
      <c r="AP500" s="67">
        <v>24.0</v>
      </c>
      <c r="AQ500" s="37" t="str">
        <f t="shared" si="504"/>
        <v>S</v>
      </c>
      <c r="AR500" s="65">
        <v>15.0</v>
      </c>
      <c r="AS500" s="33" t="str">
        <f t="shared" si="505"/>
        <v>R</v>
      </c>
      <c r="AT500" s="65">
        <v>18.0</v>
      </c>
      <c r="AU500" s="33" t="str">
        <f t="shared" si="506"/>
        <v>S</v>
      </c>
      <c r="AV500" s="65" t="s">
        <v>299</v>
      </c>
      <c r="AW500" s="28">
        <v>17.0</v>
      </c>
      <c r="AX500" s="26" t="str">
        <f t="shared" si="507"/>
        <v>R</v>
      </c>
      <c r="AY500" s="67">
        <v>6.0</v>
      </c>
      <c r="AZ500" s="37" t="str">
        <f t="shared" si="508"/>
        <v>R</v>
      </c>
      <c r="BA500" s="66">
        <v>25.0</v>
      </c>
      <c r="BB500" s="36" t="str">
        <f t="shared" si="509"/>
        <v>S</v>
      </c>
      <c r="BC500" s="39" t="s">
        <v>357</v>
      </c>
      <c r="BD500" s="39" t="s">
        <v>357</v>
      </c>
      <c r="BE500" s="66">
        <v>14.0</v>
      </c>
      <c r="BF500" s="36" t="str">
        <f t="shared" si="510"/>
        <v>R</v>
      </c>
      <c r="BG500" s="68">
        <v>16.0</v>
      </c>
      <c r="BH500" s="41" t="str">
        <f t="shared" si="511"/>
        <v>R</v>
      </c>
      <c r="BI500" s="41"/>
    </row>
    <row r="501">
      <c r="A501" s="51" t="s">
        <v>988</v>
      </c>
      <c r="B501" s="53">
        <v>221.0</v>
      </c>
      <c r="C501" s="51" t="s">
        <v>1164</v>
      </c>
      <c r="D501" s="69" t="s">
        <v>705</v>
      </c>
      <c r="E501" s="18" t="s">
        <v>572</v>
      </c>
      <c r="F501" s="18" t="s">
        <v>192</v>
      </c>
      <c r="G501" s="63" t="s">
        <v>1165</v>
      </c>
      <c r="H501" s="22" t="s">
        <v>198</v>
      </c>
      <c r="I501" s="28">
        <v>18.0</v>
      </c>
      <c r="J501" s="26" t="str">
        <f t="shared" si="489"/>
        <v>R</v>
      </c>
      <c r="K501" s="28">
        <v>16.0</v>
      </c>
      <c r="L501" s="26" t="str">
        <f t="shared" si="490"/>
        <v>R</v>
      </c>
      <c r="M501" s="28">
        <v>22.0</v>
      </c>
      <c r="N501" s="26" t="str">
        <f t="shared" si="491"/>
        <v>R</v>
      </c>
      <c r="O501" s="28">
        <v>20.0</v>
      </c>
      <c r="P501" s="26" t="str">
        <f t="shared" si="492"/>
        <v>I</v>
      </c>
      <c r="Q501" s="28">
        <v>22.0</v>
      </c>
      <c r="R501" s="26" t="str">
        <f t="shared" si="493"/>
        <v>S</v>
      </c>
      <c r="S501" s="28">
        <v>22.0</v>
      </c>
      <c r="T501" s="26" t="str">
        <f t="shared" si="494"/>
        <v>S</v>
      </c>
      <c r="U501" s="28">
        <v>6.0</v>
      </c>
      <c r="V501" s="26" t="str">
        <f t="shared" si="495"/>
        <v>R</v>
      </c>
      <c r="W501" s="32" t="s">
        <v>299</v>
      </c>
      <c r="X501" s="65">
        <v>18.0</v>
      </c>
      <c r="Y501" s="33" t="str">
        <f t="shared" si="496"/>
        <v>I</v>
      </c>
      <c r="Z501" s="65">
        <v>21.0</v>
      </c>
      <c r="AA501" s="33" t="str">
        <f t="shared" si="497"/>
        <v>S</v>
      </c>
      <c r="AB501" s="65">
        <v>6.0</v>
      </c>
      <c r="AC501" s="33" t="str">
        <f t="shared" si="498"/>
        <v>R</v>
      </c>
      <c r="AD501" s="65">
        <v>17.0</v>
      </c>
      <c r="AE501" s="33" t="str">
        <f t="shared" si="499"/>
        <v>S</v>
      </c>
      <c r="AF501" s="65">
        <v>6.0</v>
      </c>
      <c r="AG501" s="33" t="str">
        <f t="shared" si="500"/>
        <v>R</v>
      </c>
      <c r="AH501" s="65" t="s">
        <v>299</v>
      </c>
      <c r="AI501" s="66">
        <v>28.0</v>
      </c>
      <c r="AJ501" s="36" t="str">
        <f t="shared" si="501"/>
        <v>S</v>
      </c>
      <c r="AK501" s="66">
        <v>15.0</v>
      </c>
      <c r="AL501" s="36" t="str">
        <f t="shared" si="502"/>
        <v>R</v>
      </c>
      <c r="AM501" s="66">
        <v>19.0</v>
      </c>
      <c r="AN501" s="36" t="str">
        <f t="shared" si="503"/>
        <v>S</v>
      </c>
      <c r="AO501" s="66" t="s">
        <v>299</v>
      </c>
      <c r="AP501" s="67">
        <v>6.0</v>
      </c>
      <c r="AQ501" s="37" t="str">
        <f t="shared" si="504"/>
        <v>R</v>
      </c>
      <c r="AR501" s="65">
        <v>17.0</v>
      </c>
      <c r="AS501" s="33" t="str">
        <f t="shared" si="505"/>
        <v>R</v>
      </c>
      <c r="AT501" s="65">
        <v>19.0</v>
      </c>
      <c r="AU501" s="33" t="str">
        <f t="shared" si="506"/>
        <v>S</v>
      </c>
      <c r="AV501" s="65" t="s">
        <v>299</v>
      </c>
      <c r="AW501" s="28">
        <v>18.0</v>
      </c>
      <c r="AX501" s="26" t="str">
        <f t="shared" si="507"/>
        <v>R</v>
      </c>
      <c r="AY501" s="67">
        <v>14.0</v>
      </c>
      <c r="AZ501" s="37" t="str">
        <f t="shared" si="508"/>
        <v>R</v>
      </c>
      <c r="BA501" s="66">
        <v>18.0</v>
      </c>
      <c r="BB501" s="36" t="str">
        <f t="shared" si="509"/>
        <v>R</v>
      </c>
      <c r="BC501" s="39" t="s">
        <v>357</v>
      </c>
      <c r="BD501" s="39" t="s">
        <v>357</v>
      </c>
      <c r="BE501" s="66">
        <v>19.0</v>
      </c>
      <c r="BF501" s="36" t="str">
        <f t="shared" si="510"/>
        <v>I</v>
      </c>
      <c r="BG501" s="68">
        <v>20.0</v>
      </c>
      <c r="BH501" s="41" t="str">
        <f t="shared" si="511"/>
        <v>S</v>
      </c>
      <c r="BI501" s="41"/>
    </row>
    <row r="502">
      <c r="A502" s="51" t="s">
        <v>988</v>
      </c>
      <c r="B502" s="51" t="s">
        <v>444</v>
      </c>
      <c r="C502" s="51" t="s">
        <v>1965</v>
      </c>
      <c r="D502" s="69" t="s">
        <v>705</v>
      </c>
      <c r="E502" s="18" t="s">
        <v>572</v>
      </c>
      <c r="F502" s="18" t="s">
        <v>192</v>
      </c>
      <c r="G502" s="63" t="s">
        <v>1966</v>
      </c>
      <c r="H502" s="22" t="s">
        <v>198</v>
      </c>
      <c r="I502" s="28">
        <v>18.0</v>
      </c>
      <c r="J502" s="26" t="str">
        <f t="shared" si="489"/>
        <v>R</v>
      </c>
      <c r="K502" s="28">
        <v>16.0</v>
      </c>
      <c r="L502" s="26" t="str">
        <f t="shared" si="490"/>
        <v>R</v>
      </c>
      <c r="M502" s="28">
        <v>22.0</v>
      </c>
      <c r="N502" s="26" t="str">
        <f t="shared" si="491"/>
        <v>R</v>
      </c>
      <c r="O502" s="28">
        <v>20.0</v>
      </c>
      <c r="P502" s="26" t="str">
        <f t="shared" si="492"/>
        <v>I</v>
      </c>
      <c r="Q502" s="28">
        <v>22.0</v>
      </c>
      <c r="R502" s="26" t="str">
        <f t="shared" si="493"/>
        <v>S</v>
      </c>
      <c r="S502" s="28">
        <v>22.0</v>
      </c>
      <c r="T502" s="26" t="str">
        <f t="shared" si="494"/>
        <v>S</v>
      </c>
      <c r="U502" s="28">
        <v>6.0</v>
      </c>
      <c r="V502" s="26" t="str">
        <f t="shared" si="495"/>
        <v>R</v>
      </c>
      <c r="W502" s="32" t="s">
        <v>299</v>
      </c>
      <c r="X502" s="65">
        <v>18.0</v>
      </c>
      <c r="Y502" s="33" t="str">
        <f t="shared" si="496"/>
        <v>I</v>
      </c>
      <c r="Z502" s="65">
        <v>21.0</v>
      </c>
      <c r="AA502" s="33" t="str">
        <f t="shared" si="497"/>
        <v>S</v>
      </c>
      <c r="AB502" s="65">
        <v>6.0</v>
      </c>
      <c r="AC502" s="33" t="str">
        <f t="shared" si="498"/>
        <v>R</v>
      </c>
      <c r="AD502" s="65">
        <v>19.0</v>
      </c>
      <c r="AE502" s="33" t="str">
        <f t="shared" si="499"/>
        <v>S</v>
      </c>
      <c r="AF502" s="65">
        <v>6.0</v>
      </c>
      <c r="AG502" s="33" t="str">
        <f t="shared" si="500"/>
        <v>R</v>
      </c>
      <c r="AH502" s="65" t="s">
        <v>299</v>
      </c>
      <c r="AI502" s="66">
        <v>28.0</v>
      </c>
      <c r="AJ502" s="36" t="str">
        <f t="shared" si="501"/>
        <v>S</v>
      </c>
      <c r="AK502" s="66">
        <v>15.0</v>
      </c>
      <c r="AL502" s="36" t="str">
        <f t="shared" si="502"/>
        <v>R</v>
      </c>
      <c r="AM502" s="66">
        <v>19.0</v>
      </c>
      <c r="AN502" s="36" t="str">
        <f t="shared" si="503"/>
        <v>S</v>
      </c>
      <c r="AO502" s="66" t="s">
        <v>299</v>
      </c>
      <c r="AP502" s="67">
        <v>6.0</v>
      </c>
      <c r="AQ502" s="37" t="str">
        <f t="shared" si="504"/>
        <v>R</v>
      </c>
      <c r="AR502" s="65">
        <v>17.0</v>
      </c>
      <c r="AS502" s="33" t="str">
        <f t="shared" si="505"/>
        <v>R</v>
      </c>
      <c r="AT502" s="65">
        <v>19.0</v>
      </c>
      <c r="AU502" s="33" t="str">
        <f t="shared" si="506"/>
        <v>S</v>
      </c>
      <c r="AV502" s="65" t="s">
        <v>299</v>
      </c>
      <c r="AW502" s="28">
        <v>18.0</v>
      </c>
      <c r="AX502" s="26" t="str">
        <f t="shared" si="507"/>
        <v>R</v>
      </c>
      <c r="AY502" s="67">
        <v>14.0</v>
      </c>
      <c r="AZ502" s="37" t="str">
        <f t="shared" si="508"/>
        <v>R</v>
      </c>
      <c r="BA502" s="66">
        <v>19.0</v>
      </c>
      <c r="BB502" s="36" t="str">
        <f t="shared" si="509"/>
        <v>R</v>
      </c>
      <c r="BC502" s="39" t="s">
        <v>357</v>
      </c>
      <c r="BD502" s="39" t="s">
        <v>357</v>
      </c>
      <c r="BE502" s="66">
        <v>19.0</v>
      </c>
      <c r="BF502" s="36" t="str">
        <f t="shared" si="510"/>
        <v>I</v>
      </c>
      <c r="BG502" s="68">
        <v>20.0</v>
      </c>
      <c r="BH502" s="41" t="str">
        <f t="shared" si="511"/>
        <v>S</v>
      </c>
      <c r="BI502" s="41"/>
    </row>
    <row r="503">
      <c r="A503" s="51" t="s">
        <v>988</v>
      </c>
      <c r="B503" s="51" t="s">
        <v>444</v>
      </c>
      <c r="C503" s="51" t="s">
        <v>1967</v>
      </c>
      <c r="D503" s="69" t="s">
        <v>705</v>
      </c>
      <c r="E503" s="18" t="s">
        <v>572</v>
      </c>
      <c r="F503" s="18" t="s">
        <v>192</v>
      </c>
      <c r="G503" s="63" t="s">
        <v>1968</v>
      </c>
      <c r="H503" s="22" t="s">
        <v>198</v>
      </c>
      <c r="I503" s="28">
        <v>18.0</v>
      </c>
      <c r="J503" s="26" t="str">
        <f t="shared" si="489"/>
        <v>R</v>
      </c>
      <c r="K503" s="28">
        <v>16.0</v>
      </c>
      <c r="L503" s="26" t="str">
        <f t="shared" si="490"/>
        <v>R</v>
      </c>
      <c r="M503" s="28">
        <v>22.0</v>
      </c>
      <c r="N503" s="26" t="str">
        <f t="shared" si="491"/>
        <v>R</v>
      </c>
      <c r="O503" s="28">
        <v>20.0</v>
      </c>
      <c r="P503" s="26" t="str">
        <f t="shared" si="492"/>
        <v>I</v>
      </c>
      <c r="Q503" s="28">
        <v>22.0</v>
      </c>
      <c r="R503" s="26" t="str">
        <f t="shared" si="493"/>
        <v>S</v>
      </c>
      <c r="S503" s="28">
        <v>22.0</v>
      </c>
      <c r="T503" s="26" t="str">
        <f t="shared" si="494"/>
        <v>S</v>
      </c>
      <c r="U503" s="28">
        <v>6.0</v>
      </c>
      <c r="V503" s="26" t="str">
        <f t="shared" si="495"/>
        <v>R</v>
      </c>
      <c r="W503" s="32" t="s">
        <v>299</v>
      </c>
      <c r="X503" s="65">
        <v>18.0</v>
      </c>
      <c r="Y503" s="33" t="str">
        <f t="shared" si="496"/>
        <v>I</v>
      </c>
      <c r="Z503" s="65">
        <v>21.0</v>
      </c>
      <c r="AA503" s="33" t="str">
        <f t="shared" si="497"/>
        <v>S</v>
      </c>
      <c r="AB503" s="65">
        <v>6.0</v>
      </c>
      <c r="AC503" s="33" t="str">
        <f t="shared" si="498"/>
        <v>R</v>
      </c>
      <c r="AD503" s="65">
        <v>19.0</v>
      </c>
      <c r="AE503" s="33" t="str">
        <f t="shared" si="499"/>
        <v>S</v>
      </c>
      <c r="AF503" s="65">
        <v>6.0</v>
      </c>
      <c r="AG503" s="33" t="str">
        <f t="shared" si="500"/>
        <v>R</v>
      </c>
      <c r="AH503" s="65" t="s">
        <v>299</v>
      </c>
      <c r="AI503" s="66">
        <v>28.0</v>
      </c>
      <c r="AJ503" s="36" t="str">
        <f t="shared" si="501"/>
        <v>S</v>
      </c>
      <c r="AK503" s="66">
        <v>15.0</v>
      </c>
      <c r="AL503" s="36" t="str">
        <f t="shared" si="502"/>
        <v>R</v>
      </c>
      <c r="AM503" s="66">
        <v>19.0</v>
      </c>
      <c r="AN503" s="36" t="str">
        <f t="shared" si="503"/>
        <v>S</v>
      </c>
      <c r="AO503" s="66" t="s">
        <v>299</v>
      </c>
      <c r="AP503" s="67">
        <v>6.0</v>
      </c>
      <c r="AQ503" s="37" t="str">
        <f t="shared" si="504"/>
        <v>R</v>
      </c>
      <c r="AR503" s="65">
        <v>17.0</v>
      </c>
      <c r="AS503" s="33" t="str">
        <f t="shared" si="505"/>
        <v>R</v>
      </c>
      <c r="AT503" s="65">
        <v>19.0</v>
      </c>
      <c r="AU503" s="33" t="str">
        <f t="shared" si="506"/>
        <v>S</v>
      </c>
      <c r="AV503" s="65" t="s">
        <v>299</v>
      </c>
      <c r="AW503" s="28">
        <v>18.0</v>
      </c>
      <c r="AX503" s="26" t="str">
        <f t="shared" si="507"/>
        <v>R</v>
      </c>
      <c r="AY503" s="67">
        <v>14.0</v>
      </c>
      <c r="AZ503" s="37" t="str">
        <f t="shared" si="508"/>
        <v>R</v>
      </c>
      <c r="BA503" s="66">
        <v>17.0</v>
      </c>
      <c r="BB503" s="36" t="str">
        <f t="shared" si="509"/>
        <v>R</v>
      </c>
      <c r="BC503" s="39" t="s">
        <v>357</v>
      </c>
      <c r="BD503" s="39" t="s">
        <v>357</v>
      </c>
      <c r="BE503" s="66">
        <v>19.0</v>
      </c>
      <c r="BF503" s="36" t="str">
        <f t="shared" si="510"/>
        <v>I</v>
      </c>
      <c r="BG503" s="68">
        <v>20.0</v>
      </c>
      <c r="BH503" s="41" t="str">
        <f t="shared" si="511"/>
        <v>S</v>
      </c>
      <c r="BI503" s="41"/>
    </row>
    <row r="504">
      <c r="A504" s="21" t="s">
        <v>993</v>
      </c>
      <c r="B504" s="23">
        <v>222.0</v>
      </c>
      <c r="C504" s="21" t="s">
        <v>1168</v>
      </c>
      <c r="D504" s="69" t="s">
        <v>190</v>
      </c>
      <c r="E504" s="18" t="s">
        <v>190</v>
      </c>
      <c r="F504" s="18" t="s">
        <v>192</v>
      </c>
      <c r="G504" s="63" t="s">
        <v>1169</v>
      </c>
      <c r="H504" s="22" t="s">
        <v>198</v>
      </c>
      <c r="I504" s="28">
        <v>6.0</v>
      </c>
      <c r="J504" s="26" t="str">
        <f t="shared" si="489"/>
        <v>R</v>
      </c>
      <c r="K504" s="28">
        <v>16.0</v>
      </c>
      <c r="L504" s="26" t="str">
        <f t="shared" si="490"/>
        <v>R</v>
      </c>
      <c r="M504" s="28">
        <v>6.0</v>
      </c>
      <c r="N504" s="26" t="str">
        <f t="shared" si="491"/>
        <v>R</v>
      </c>
      <c r="O504" s="28">
        <v>22.0</v>
      </c>
      <c r="P504" s="26" t="str">
        <f t="shared" si="492"/>
        <v>I</v>
      </c>
      <c r="Q504" s="28">
        <v>6.0</v>
      </c>
      <c r="R504" s="26" t="str">
        <f t="shared" si="493"/>
        <v>R</v>
      </c>
      <c r="S504" s="28">
        <v>17.0</v>
      </c>
      <c r="T504" s="26" t="str">
        <f t="shared" si="494"/>
        <v>R</v>
      </c>
      <c r="U504" s="28">
        <v>18.0</v>
      </c>
      <c r="V504" s="26" t="str">
        <f t="shared" si="495"/>
        <v>I</v>
      </c>
      <c r="W504" s="32" t="s">
        <v>299</v>
      </c>
      <c r="X504" s="65">
        <v>6.0</v>
      </c>
      <c r="Y504" s="33" t="str">
        <f t="shared" si="496"/>
        <v>R</v>
      </c>
      <c r="Z504" s="65">
        <v>21.0</v>
      </c>
      <c r="AA504" s="33" t="str">
        <f t="shared" si="497"/>
        <v>S</v>
      </c>
      <c r="AB504" s="65">
        <v>6.0</v>
      </c>
      <c r="AC504" s="33" t="str">
        <f t="shared" si="498"/>
        <v>R</v>
      </c>
      <c r="AD504" s="65">
        <v>12.0</v>
      </c>
      <c r="AE504" s="33" t="str">
        <f t="shared" si="499"/>
        <v>R</v>
      </c>
      <c r="AF504" s="65">
        <v>6.0</v>
      </c>
      <c r="AG504" s="33" t="str">
        <f t="shared" si="500"/>
        <v>R</v>
      </c>
      <c r="AH504" s="65" t="s">
        <v>299</v>
      </c>
      <c r="AI504" s="66">
        <v>21.0</v>
      </c>
      <c r="AJ504" s="36" t="str">
        <f t="shared" si="501"/>
        <v>R</v>
      </c>
      <c r="AK504" s="66">
        <v>18.0</v>
      </c>
      <c r="AL504" s="36" t="str">
        <f t="shared" si="502"/>
        <v>R</v>
      </c>
      <c r="AM504" s="66">
        <v>20.0</v>
      </c>
      <c r="AN504" s="36" t="str">
        <f t="shared" si="503"/>
        <v>S</v>
      </c>
      <c r="AO504" s="66" t="s">
        <v>299</v>
      </c>
      <c r="AP504" s="67">
        <v>6.0</v>
      </c>
      <c r="AQ504" s="37" t="str">
        <f t="shared" si="504"/>
        <v>R</v>
      </c>
      <c r="AR504" s="65">
        <v>12.0</v>
      </c>
      <c r="AS504" s="33" t="str">
        <f t="shared" si="505"/>
        <v>R</v>
      </c>
      <c r="AT504" s="65">
        <v>17.0</v>
      </c>
      <c r="AU504" s="33" t="str">
        <f t="shared" si="506"/>
        <v>S</v>
      </c>
      <c r="AV504" s="65" t="s">
        <v>299</v>
      </c>
      <c r="AW504" s="28">
        <v>18.0</v>
      </c>
      <c r="AX504" s="26" t="str">
        <f t="shared" si="507"/>
        <v>R</v>
      </c>
      <c r="AY504" s="67">
        <v>6.0</v>
      </c>
      <c r="AZ504" s="37" t="str">
        <f t="shared" si="508"/>
        <v>R</v>
      </c>
      <c r="BA504" s="66">
        <v>25.0</v>
      </c>
      <c r="BB504" s="36" t="str">
        <f t="shared" si="509"/>
        <v>S</v>
      </c>
      <c r="BC504" s="39" t="s">
        <v>357</v>
      </c>
      <c r="BD504" s="39" t="s">
        <v>357</v>
      </c>
      <c r="BE504" s="66">
        <v>24.0</v>
      </c>
      <c r="BF504" s="36" t="str">
        <f t="shared" si="510"/>
        <v>S</v>
      </c>
      <c r="BG504" s="68">
        <v>17.0</v>
      </c>
      <c r="BH504" s="41" t="str">
        <f t="shared" si="511"/>
        <v>S</v>
      </c>
      <c r="BI504" s="41"/>
    </row>
    <row r="505">
      <c r="A505" s="21" t="s">
        <v>993</v>
      </c>
      <c r="B505" s="21" t="s">
        <v>444</v>
      </c>
      <c r="C505" s="21" t="s">
        <v>1969</v>
      </c>
      <c r="D505" s="69" t="s">
        <v>190</v>
      </c>
      <c r="E505" s="18" t="s">
        <v>190</v>
      </c>
      <c r="F505" s="18" t="s">
        <v>192</v>
      </c>
      <c r="G505" s="63" t="s">
        <v>1970</v>
      </c>
      <c r="H505" s="22" t="s">
        <v>198</v>
      </c>
      <c r="I505" s="28">
        <v>6.0</v>
      </c>
      <c r="J505" s="26" t="str">
        <f t="shared" si="489"/>
        <v>R</v>
      </c>
      <c r="K505" s="28">
        <v>17.0</v>
      </c>
      <c r="L505" s="26" t="str">
        <f t="shared" si="490"/>
        <v>R</v>
      </c>
      <c r="M505" s="28">
        <v>6.0</v>
      </c>
      <c r="N505" s="26" t="str">
        <f t="shared" si="491"/>
        <v>R</v>
      </c>
      <c r="O505" s="28">
        <v>22.0</v>
      </c>
      <c r="P505" s="26" t="str">
        <f t="shared" si="492"/>
        <v>I</v>
      </c>
      <c r="Q505" s="28">
        <v>6.0</v>
      </c>
      <c r="R505" s="26" t="str">
        <f t="shared" si="493"/>
        <v>R</v>
      </c>
      <c r="S505" s="28">
        <v>17.0</v>
      </c>
      <c r="T505" s="26" t="str">
        <f t="shared" si="494"/>
        <v>R</v>
      </c>
      <c r="U505" s="28">
        <v>18.0</v>
      </c>
      <c r="V505" s="26" t="str">
        <f t="shared" si="495"/>
        <v>I</v>
      </c>
      <c r="W505" s="32" t="s">
        <v>299</v>
      </c>
      <c r="X505" s="65">
        <v>6.0</v>
      </c>
      <c r="Y505" s="33" t="str">
        <f t="shared" si="496"/>
        <v>R</v>
      </c>
      <c r="Z505" s="65">
        <v>22.0</v>
      </c>
      <c r="AA505" s="33" t="str">
        <f t="shared" si="497"/>
        <v>S</v>
      </c>
      <c r="AB505" s="65">
        <v>6.0</v>
      </c>
      <c r="AC505" s="33" t="str">
        <f t="shared" si="498"/>
        <v>R</v>
      </c>
      <c r="AD505" s="65">
        <v>12.0</v>
      </c>
      <c r="AE505" s="33" t="str">
        <f t="shared" si="499"/>
        <v>R</v>
      </c>
      <c r="AF505" s="65">
        <v>6.0</v>
      </c>
      <c r="AG505" s="33" t="str">
        <f t="shared" si="500"/>
        <v>R</v>
      </c>
      <c r="AH505" s="65" t="s">
        <v>299</v>
      </c>
      <c r="AI505" s="66">
        <v>21.0</v>
      </c>
      <c r="AJ505" s="36" t="str">
        <f t="shared" si="501"/>
        <v>R</v>
      </c>
      <c r="AK505" s="66">
        <v>18.0</v>
      </c>
      <c r="AL505" s="36" t="str">
        <f t="shared" si="502"/>
        <v>R</v>
      </c>
      <c r="AM505" s="66">
        <v>20.0</v>
      </c>
      <c r="AN505" s="36" t="str">
        <f t="shared" si="503"/>
        <v>S</v>
      </c>
      <c r="AO505" s="66" t="s">
        <v>299</v>
      </c>
      <c r="AP505" s="67">
        <v>6.0</v>
      </c>
      <c r="AQ505" s="37" t="str">
        <f t="shared" si="504"/>
        <v>R</v>
      </c>
      <c r="AR505" s="65">
        <v>14.0</v>
      </c>
      <c r="AS505" s="33" t="str">
        <f t="shared" si="505"/>
        <v>R</v>
      </c>
      <c r="AT505" s="65">
        <v>17.0</v>
      </c>
      <c r="AU505" s="33" t="str">
        <f t="shared" si="506"/>
        <v>S</v>
      </c>
      <c r="AV505" s="65" t="s">
        <v>299</v>
      </c>
      <c r="AW505" s="28">
        <v>18.0</v>
      </c>
      <c r="AX505" s="26" t="str">
        <f t="shared" si="507"/>
        <v>R</v>
      </c>
      <c r="AY505" s="67">
        <v>6.0</v>
      </c>
      <c r="AZ505" s="37" t="str">
        <f t="shared" si="508"/>
        <v>R</v>
      </c>
      <c r="BA505" s="66">
        <v>26.0</v>
      </c>
      <c r="BB505" s="36" t="str">
        <f t="shared" si="509"/>
        <v>S</v>
      </c>
      <c r="BC505" s="39" t="s">
        <v>357</v>
      </c>
      <c r="BD505" s="39" t="s">
        <v>357</v>
      </c>
      <c r="BE505" s="66">
        <v>24.0</v>
      </c>
      <c r="BF505" s="36" t="str">
        <f t="shared" si="510"/>
        <v>S</v>
      </c>
      <c r="BG505" s="68">
        <v>17.0</v>
      </c>
      <c r="BH505" s="41" t="str">
        <f t="shared" si="511"/>
        <v>S</v>
      </c>
      <c r="BI505" s="41"/>
    </row>
    <row r="506">
      <c r="A506" s="21" t="s">
        <v>993</v>
      </c>
      <c r="B506" s="21" t="s">
        <v>444</v>
      </c>
      <c r="C506" s="21" t="s">
        <v>1971</v>
      </c>
      <c r="D506" s="69" t="s">
        <v>190</v>
      </c>
      <c r="E506" s="18" t="s">
        <v>190</v>
      </c>
      <c r="F506" s="18" t="s">
        <v>192</v>
      </c>
      <c r="G506" s="63" t="s">
        <v>1972</v>
      </c>
      <c r="H506" s="22" t="s">
        <v>198</v>
      </c>
      <c r="I506" s="28">
        <v>6.0</v>
      </c>
      <c r="J506" s="26" t="str">
        <f t="shared" si="489"/>
        <v>R</v>
      </c>
      <c r="K506" s="28">
        <v>13.0</v>
      </c>
      <c r="L506" s="26" t="str">
        <f t="shared" si="490"/>
        <v>R</v>
      </c>
      <c r="M506" s="28">
        <v>6.0</v>
      </c>
      <c r="N506" s="26" t="str">
        <f t="shared" si="491"/>
        <v>R</v>
      </c>
      <c r="O506" s="28">
        <v>22.0</v>
      </c>
      <c r="P506" s="26" t="str">
        <f t="shared" si="492"/>
        <v>I</v>
      </c>
      <c r="Q506" s="28">
        <v>6.0</v>
      </c>
      <c r="R506" s="26" t="str">
        <f t="shared" si="493"/>
        <v>R</v>
      </c>
      <c r="S506" s="28">
        <v>17.0</v>
      </c>
      <c r="T506" s="26" t="str">
        <f t="shared" si="494"/>
        <v>R</v>
      </c>
      <c r="U506" s="28">
        <v>18.0</v>
      </c>
      <c r="V506" s="26" t="str">
        <f t="shared" si="495"/>
        <v>I</v>
      </c>
      <c r="W506" s="32" t="s">
        <v>299</v>
      </c>
      <c r="X506" s="65">
        <v>6.0</v>
      </c>
      <c r="Y506" s="33" t="str">
        <f t="shared" si="496"/>
        <v>R</v>
      </c>
      <c r="Z506" s="65">
        <v>21.0</v>
      </c>
      <c r="AA506" s="33" t="str">
        <f t="shared" si="497"/>
        <v>S</v>
      </c>
      <c r="AB506" s="65">
        <v>6.0</v>
      </c>
      <c r="AC506" s="33" t="str">
        <f t="shared" si="498"/>
        <v>R</v>
      </c>
      <c r="AD506" s="65">
        <v>12.0</v>
      </c>
      <c r="AE506" s="33" t="str">
        <f t="shared" si="499"/>
        <v>R</v>
      </c>
      <c r="AF506" s="65">
        <v>6.0</v>
      </c>
      <c r="AG506" s="33" t="str">
        <f t="shared" si="500"/>
        <v>R</v>
      </c>
      <c r="AH506" s="65" t="s">
        <v>299</v>
      </c>
      <c r="AI506" s="66">
        <v>21.0</v>
      </c>
      <c r="AJ506" s="36" t="str">
        <f t="shared" si="501"/>
        <v>R</v>
      </c>
      <c r="AK506" s="66">
        <v>18.0</v>
      </c>
      <c r="AL506" s="36" t="str">
        <f t="shared" si="502"/>
        <v>R</v>
      </c>
      <c r="AM506" s="66">
        <v>20.0</v>
      </c>
      <c r="AN506" s="36" t="str">
        <f t="shared" si="503"/>
        <v>S</v>
      </c>
      <c r="AO506" s="66" t="s">
        <v>299</v>
      </c>
      <c r="AP506" s="67">
        <v>6.0</v>
      </c>
      <c r="AQ506" s="37" t="str">
        <f t="shared" si="504"/>
        <v>R</v>
      </c>
      <c r="AR506" s="65">
        <v>13.0</v>
      </c>
      <c r="AS506" s="33" t="str">
        <f t="shared" si="505"/>
        <v>R</v>
      </c>
      <c r="AT506" s="65">
        <v>17.0</v>
      </c>
      <c r="AU506" s="33" t="str">
        <f t="shared" si="506"/>
        <v>S</v>
      </c>
      <c r="AV506" s="65" t="s">
        <v>299</v>
      </c>
      <c r="AW506" s="28">
        <v>18.0</v>
      </c>
      <c r="AX506" s="26" t="str">
        <f t="shared" si="507"/>
        <v>R</v>
      </c>
      <c r="AY506" s="67">
        <v>6.0</v>
      </c>
      <c r="AZ506" s="37" t="str">
        <f t="shared" si="508"/>
        <v>R</v>
      </c>
      <c r="BA506" s="66">
        <v>25.0</v>
      </c>
      <c r="BB506" s="36" t="str">
        <f t="shared" si="509"/>
        <v>S</v>
      </c>
      <c r="BC506" s="39" t="s">
        <v>357</v>
      </c>
      <c r="BD506" s="39" t="s">
        <v>357</v>
      </c>
      <c r="BE506" s="66">
        <v>24.0</v>
      </c>
      <c r="BF506" s="36" t="str">
        <f t="shared" si="510"/>
        <v>S</v>
      </c>
      <c r="BG506" s="68">
        <v>17.0</v>
      </c>
      <c r="BH506" s="41" t="str">
        <f t="shared" si="511"/>
        <v>S</v>
      </c>
      <c r="BI506" s="41"/>
    </row>
    <row r="507">
      <c r="A507" s="21" t="s">
        <v>993</v>
      </c>
      <c r="B507" s="23">
        <v>223.0</v>
      </c>
      <c r="C507" s="21" t="s">
        <v>1171</v>
      </c>
      <c r="D507" s="69" t="s">
        <v>571</v>
      </c>
      <c r="E507" s="18" t="s">
        <v>572</v>
      </c>
      <c r="F507" s="18" t="s">
        <v>192</v>
      </c>
      <c r="G507" s="63" t="s">
        <v>1172</v>
      </c>
      <c r="H507" s="22" t="s">
        <v>198</v>
      </c>
      <c r="I507" s="28">
        <v>6.0</v>
      </c>
      <c r="J507" s="26" t="str">
        <f t="shared" si="489"/>
        <v>R</v>
      </c>
      <c r="K507" s="28">
        <v>10.0</v>
      </c>
      <c r="L507" s="26" t="str">
        <f t="shared" si="490"/>
        <v>R</v>
      </c>
      <c r="M507" s="28">
        <v>22.0</v>
      </c>
      <c r="N507" s="26" t="str">
        <f t="shared" si="491"/>
        <v>R</v>
      </c>
      <c r="O507" s="28">
        <v>25.0</v>
      </c>
      <c r="P507" s="26" t="str">
        <f t="shared" si="492"/>
        <v>S</v>
      </c>
      <c r="Q507" s="28">
        <v>15.0</v>
      </c>
      <c r="R507" s="26" t="str">
        <f t="shared" si="493"/>
        <v>R</v>
      </c>
      <c r="S507" s="28">
        <v>23.0</v>
      </c>
      <c r="T507" s="26" t="str">
        <f t="shared" si="494"/>
        <v>S</v>
      </c>
      <c r="U507" s="28">
        <v>15.0</v>
      </c>
      <c r="V507" s="26" t="str">
        <f t="shared" si="495"/>
        <v>R</v>
      </c>
      <c r="W507" s="32" t="s">
        <v>299</v>
      </c>
      <c r="X507" s="65">
        <v>23.0</v>
      </c>
      <c r="Y507" s="33" t="str">
        <f t="shared" si="496"/>
        <v>S</v>
      </c>
      <c r="Z507" s="65">
        <v>26.0</v>
      </c>
      <c r="AA507" s="33" t="str">
        <f t="shared" si="497"/>
        <v>S</v>
      </c>
      <c r="AB507" s="65">
        <v>22.0</v>
      </c>
      <c r="AC507" s="33" t="str">
        <f t="shared" si="498"/>
        <v>S</v>
      </c>
      <c r="AD507" s="65">
        <v>21.0</v>
      </c>
      <c r="AE507" s="33" t="str">
        <f t="shared" si="499"/>
        <v>S</v>
      </c>
      <c r="AF507" s="65">
        <v>35.0</v>
      </c>
      <c r="AG507" s="33" t="str">
        <f t="shared" si="500"/>
        <v>S</v>
      </c>
      <c r="AH507" s="33" t="s">
        <v>300</v>
      </c>
      <c r="AI507" s="66">
        <v>28.0</v>
      </c>
      <c r="AJ507" s="36" t="str">
        <f t="shared" si="501"/>
        <v>S</v>
      </c>
      <c r="AK507" s="66">
        <v>28.0</v>
      </c>
      <c r="AL507" s="36" t="str">
        <f t="shared" si="502"/>
        <v>S</v>
      </c>
      <c r="AM507" s="66">
        <v>21.0</v>
      </c>
      <c r="AN507" s="36" t="str">
        <f t="shared" si="503"/>
        <v>S</v>
      </c>
      <c r="AO507" s="36" t="s">
        <v>300</v>
      </c>
      <c r="AP507" s="67">
        <v>26.0</v>
      </c>
      <c r="AQ507" s="37" t="str">
        <f t="shared" si="504"/>
        <v>S</v>
      </c>
      <c r="AR507" s="65">
        <v>26.0</v>
      </c>
      <c r="AS507" s="33" t="str">
        <f t="shared" si="505"/>
        <v>S</v>
      </c>
      <c r="AT507" s="65">
        <v>21.0</v>
      </c>
      <c r="AU507" s="33" t="str">
        <f t="shared" si="506"/>
        <v>S</v>
      </c>
      <c r="AV507" s="33" t="s">
        <v>300</v>
      </c>
      <c r="AW507" s="28">
        <v>17.0</v>
      </c>
      <c r="AX507" s="26" t="str">
        <f t="shared" si="507"/>
        <v>R</v>
      </c>
      <c r="AY507" s="67">
        <v>30.0</v>
      </c>
      <c r="AZ507" s="37" t="str">
        <f t="shared" si="508"/>
        <v>S</v>
      </c>
      <c r="BA507" s="66">
        <v>32.0</v>
      </c>
      <c r="BB507" s="36" t="str">
        <f t="shared" si="509"/>
        <v>S</v>
      </c>
      <c r="BC507" s="39" t="s">
        <v>357</v>
      </c>
      <c r="BD507" s="39" t="s">
        <v>357</v>
      </c>
      <c r="BE507" s="66">
        <v>34.0</v>
      </c>
      <c r="BF507" s="36" t="str">
        <f t="shared" si="510"/>
        <v>S</v>
      </c>
      <c r="BG507" s="68">
        <v>21.0</v>
      </c>
      <c r="BH507" s="41" t="str">
        <f t="shared" si="511"/>
        <v>S</v>
      </c>
      <c r="BI507" s="41"/>
    </row>
    <row r="508">
      <c r="A508" s="21" t="s">
        <v>993</v>
      </c>
      <c r="B508" s="21" t="s">
        <v>444</v>
      </c>
      <c r="C508" s="21" t="s">
        <v>1973</v>
      </c>
      <c r="D508" s="69" t="s">
        <v>571</v>
      </c>
      <c r="E508" s="18" t="s">
        <v>572</v>
      </c>
      <c r="F508" s="18" t="s">
        <v>192</v>
      </c>
      <c r="G508" s="63" t="s">
        <v>1974</v>
      </c>
      <c r="H508" s="22" t="s">
        <v>198</v>
      </c>
      <c r="I508" s="28">
        <v>6.0</v>
      </c>
      <c r="J508" s="26" t="str">
        <f t="shared" si="489"/>
        <v>R</v>
      </c>
      <c r="K508" s="28">
        <v>12.0</v>
      </c>
      <c r="L508" s="26" t="str">
        <f t="shared" si="490"/>
        <v>R</v>
      </c>
      <c r="M508" s="28">
        <v>22.0</v>
      </c>
      <c r="N508" s="26" t="str">
        <f t="shared" si="491"/>
        <v>R</v>
      </c>
      <c r="O508" s="28">
        <v>25.0</v>
      </c>
      <c r="P508" s="26" t="str">
        <f t="shared" si="492"/>
        <v>S</v>
      </c>
      <c r="Q508" s="28">
        <v>15.0</v>
      </c>
      <c r="R508" s="26" t="str">
        <f t="shared" si="493"/>
        <v>R</v>
      </c>
      <c r="S508" s="28">
        <v>23.0</v>
      </c>
      <c r="T508" s="26" t="str">
        <f t="shared" si="494"/>
        <v>S</v>
      </c>
      <c r="U508" s="28">
        <v>15.0</v>
      </c>
      <c r="V508" s="26" t="str">
        <f t="shared" si="495"/>
        <v>R</v>
      </c>
      <c r="W508" s="32" t="s">
        <v>299</v>
      </c>
      <c r="X508" s="65">
        <v>21.0</v>
      </c>
      <c r="Y508" s="33" t="str">
        <f t="shared" si="496"/>
        <v>S</v>
      </c>
      <c r="Z508" s="65">
        <v>27.0</v>
      </c>
      <c r="AA508" s="33" t="str">
        <f t="shared" si="497"/>
        <v>S</v>
      </c>
      <c r="AB508" s="65">
        <v>24.0</v>
      </c>
      <c r="AC508" s="33" t="str">
        <f t="shared" si="498"/>
        <v>S</v>
      </c>
      <c r="AD508" s="65">
        <v>21.0</v>
      </c>
      <c r="AE508" s="33" t="str">
        <f t="shared" si="499"/>
        <v>S</v>
      </c>
      <c r="AF508" s="65">
        <v>38.0</v>
      </c>
      <c r="AG508" s="33" t="str">
        <f t="shared" si="500"/>
        <v>S</v>
      </c>
      <c r="AH508" s="33" t="s">
        <v>300</v>
      </c>
      <c r="AI508" s="66">
        <v>28.0</v>
      </c>
      <c r="AJ508" s="36" t="str">
        <f t="shared" si="501"/>
        <v>S</v>
      </c>
      <c r="AK508" s="66">
        <v>28.0</v>
      </c>
      <c r="AL508" s="36" t="str">
        <f t="shared" si="502"/>
        <v>S</v>
      </c>
      <c r="AM508" s="66">
        <v>22.0</v>
      </c>
      <c r="AN508" s="36" t="str">
        <f t="shared" si="503"/>
        <v>S</v>
      </c>
      <c r="AO508" s="36" t="s">
        <v>300</v>
      </c>
      <c r="AP508" s="67">
        <v>26.0</v>
      </c>
      <c r="AQ508" s="37" t="str">
        <f t="shared" si="504"/>
        <v>S</v>
      </c>
      <c r="AR508" s="65">
        <v>25.0</v>
      </c>
      <c r="AS508" s="33" t="str">
        <f t="shared" si="505"/>
        <v>S</v>
      </c>
      <c r="AT508" s="65">
        <v>21.0</v>
      </c>
      <c r="AU508" s="33" t="str">
        <f t="shared" si="506"/>
        <v>S</v>
      </c>
      <c r="AV508" s="33" t="s">
        <v>300</v>
      </c>
      <c r="AW508" s="28">
        <v>19.0</v>
      </c>
      <c r="AX508" s="26" t="str">
        <f t="shared" si="507"/>
        <v>R</v>
      </c>
      <c r="AY508" s="67">
        <v>30.0</v>
      </c>
      <c r="AZ508" s="37" t="str">
        <f t="shared" si="508"/>
        <v>S</v>
      </c>
      <c r="BA508" s="66">
        <v>34.0</v>
      </c>
      <c r="BB508" s="36" t="str">
        <f t="shared" si="509"/>
        <v>S</v>
      </c>
      <c r="BC508" s="39" t="s">
        <v>357</v>
      </c>
      <c r="BD508" s="39" t="s">
        <v>357</v>
      </c>
      <c r="BE508" s="66">
        <v>34.0</v>
      </c>
      <c r="BF508" s="36" t="str">
        <f t="shared" si="510"/>
        <v>S</v>
      </c>
      <c r="BG508" s="68">
        <v>21.0</v>
      </c>
      <c r="BH508" s="41" t="str">
        <f t="shared" si="511"/>
        <v>S</v>
      </c>
      <c r="BI508" s="41"/>
    </row>
    <row r="509">
      <c r="A509" s="21" t="s">
        <v>993</v>
      </c>
      <c r="B509" s="21" t="s">
        <v>444</v>
      </c>
      <c r="C509" s="21" t="s">
        <v>1975</v>
      </c>
      <c r="D509" s="69" t="s">
        <v>571</v>
      </c>
      <c r="E509" s="18" t="s">
        <v>572</v>
      </c>
      <c r="F509" s="18" t="s">
        <v>192</v>
      </c>
      <c r="G509" s="63" t="s">
        <v>1976</v>
      </c>
      <c r="H509" s="22" t="s">
        <v>198</v>
      </c>
      <c r="I509" s="28">
        <v>6.0</v>
      </c>
      <c r="J509" s="26" t="str">
        <f t="shared" si="489"/>
        <v>R</v>
      </c>
      <c r="K509" s="28">
        <v>14.0</v>
      </c>
      <c r="L509" s="26" t="str">
        <f t="shared" si="490"/>
        <v>R</v>
      </c>
      <c r="M509" s="28">
        <v>22.0</v>
      </c>
      <c r="N509" s="26" t="str">
        <f t="shared" si="491"/>
        <v>R</v>
      </c>
      <c r="O509" s="28">
        <v>25.0</v>
      </c>
      <c r="P509" s="26" t="str">
        <f t="shared" si="492"/>
        <v>S</v>
      </c>
      <c r="Q509" s="28">
        <v>15.0</v>
      </c>
      <c r="R509" s="26" t="str">
        <f t="shared" si="493"/>
        <v>R</v>
      </c>
      <c r="S509" s="28">
        <v>23.0</v>
      </c>
      <c r="T509" s="26" t="str">
        <f t="shared" si="494"/>
        <v>S</v>
      </c>
      <c r="U509" s="28">
        <v>15.0</v>
      </c>
      <c r="V509" s="26" t="str">
        <f t="shared" si="495"/>
        <v>R</v>
      </c>
      <c r="W509" s="32" t="s">
        <v>299</v>
      </c>
      <c r="X509" s="65">
        <v>22.0</v>
      </c>
      <c r="Y509" s="33" t="str">
        <f t="shared" si="496"/>
        <v>S</v>
      </c>
      <c r="Z509" s="65">
        <v>26.0</v>
      </c>
      <c r="AA509" s="33" t="str">
        <f t="shared" si="497"/>
        <v>S</v>
      </c>
      <c r="AB509" s="65">
        <v>24.0</v>
      </c>
      <c r="AC509" s="33" t="str">
        <f t="shared" si="498"/>
        <v>S</v>
      </c>
      <c r="AD509" s="65">
        <v>21.0</v>
      </c>
      <c r="AE509" s="33" t="str">
        <f t="shared" si="499"/>
        <v>S</v>
      </c>
      <c r="AF509" s="65">
        <v>35.0</v>
      </c>
      <c r="AG509" s="33" t="str">
        <f t="shared" si="500"/>
        <v>S</v>
      </c>
      <c r="AH509" s="33" t="s">
        <v>300</v>
      </c>
      <c r="AI509" s="66">
        <v>28.0</v>
      </c>
      <c r="AJ509" s="36" t="str">
        <f t="shared" si="501"/>
        <v>S</v>
      </c>
      <c r="AK509" s="66">
        <v>28.0</v>
      </c>
      <c r="AL509" s="36" t="str">
        <f t="shared" si="502"/>
        <v>S</v>
      </c>
      <c r="AM509" s="66">
        <v>24.0</v>
      </c>
      <c r="AN509" s="36" t="str">
        <f t="shared" si="503"/>
        <v>S</v>
      </c>
      <c r="AO509" s="36" t="s">
        <v>300</v>
      </c>
      <c r="AP509" s="67">
        <v>26.0</v>
      </c>
      <c r="AQ509" s="37" t="str">
        <f t="shared" si="504"/>
        <v>S</v>
      </c>
      <c r="AR509" s="65">
        <v>26.0</v>
      </c>
      <c r="AS509" s="33" t="str">
        <f t="shared" si="505"/>
        <v>S</v>
      </c>
      <c r="AT509" s="65">
        <v>21.0</v>
      </c>
      <c r="AU509" s="33" t="str">
        <f t="shared" si="506"/>
        <v>S</v>
      </c>
      <c r="AV509" s="33" t="s">
        <v>300</v>
      </c>
      <c r="AW509" s="28">
        <v>17.0</v>
      </c>
      <c r="AX509" s="26" t="str">
        <f t="shared" si="507"/>
        <v>R</v>
      </c>
      <c r="AY509" s="67">
        <v>30.0</v>
      </c>
      <c r="AZ509" s="37" t="str">
        <f t="shared" si="508"/>
        <v>S</v>
      </c>
      <c r="BA509" s="66">
        <v>36.0</v>
      </c>
      <c r="BB509" s="36" t="str">
        <f t="shared" si="509"/>
        <v>S</v>
      </c>
      <c r="BC509" s="39" t="s">
        <v>357</v>
      </c>
      <c r="BD509" s="39" t="s">
        <v>357</v>
      </c>
      <c r="BE509" s="66">
        <v>34.0</v>
      </c>
      <c r="BF509" s="36" t="str">
        <f t="shared" si="510"/>
        <v>S</v>
      </c>
      <c r="BG509" s="68">
        <v>21.0</v>
      </c>
      <c r="BH509" s="41" t="str">
        <f t="shared" si="511"/>
        <v>S</v>
      </c>
      <c r="BI509" s="41"/>
    </row>
    <row r="510">
      <c r="A510" s="21" t="s">
        <v>993</v>
      </c>
      <c r="B510" s="23">
        <v>224.0</v>
      </c>
      <c r="C510" s="21" t="s">
        <v>1173</v>
      </c>
      <c r="D510" s="69" t="s">
        <v>1009</v>
      </c>
      <c r="E510" s="18" t="s">
        <v>103</v>
      </c>
      <c r="F510" s="18" t="s">
        <v>192</v>
      </c>
      <c r="G510" s="63" t="s">
        <v>1174</v>
      </c>
      <c r="H510" s="42" t="s">
        <v>479</v>
      </c>
      <c r="I510" s="28">
        <v>6.0</v>
      </c>
      <c r="J510" s="26" t="str">
        <f t="shared" si="489"/>
        <v>R</v>
      </c>
      <c r="K510" s="28">
        <v>12.0</v>
      </c>
      <c r="L510" s="26" t="str">
        <f t="shared" si="490"/>
        <v>R</v>
      </c>
      <c r="M510" s="28">
        <v>9.0</v>
      </c>
      <c r="N510" s="26" t="str">
        <f t="shared" si="491"/>
        <v>R</v>
      </c>
      <c r="O510" s="28">
        <v>6.0</v>
      </c>
      <c r="P510" s="26" t="str">
        <f t="shared" si="492"/>
        <v>R</v>
      </c>
      <c r="Q510" s="28">
        <v>20.0</v>
      </c>
      <c r="R510" s="26" t="str">
        <f t="shared" si="493"/>
        <v>S</v>
      </c>
      <c r="S510" s="28">
        <v>18.0</v>
      </c>
      <c r="T510" s="26" t="str">
        <f t="shared" si="494"/>
        <v>R</v>
      </c>
      <c r="U510" s="28">
        <v>6.0</v>
      </c>
      <c r="V510" s="26" t="str">
        <f t="shared" si="495"/>
        <v>R</v>
      </c>
      <c r="W510" s="32" t="s">
        <v>299</v>
      </c>
      <c r="X510" s="65">
        <v>16.0</v>
      </c>
      <c r="Y510" s="33" t="str">
        <f t="shared" si="496"/>
        <v>R</v>
      </c>
      <c r="Z510" s="65">
        <v>16.0</v>
      </c>
      <c r="AA510" s="33" t="str">
        <f t="shared" si="497"/>
        <v>R</v>
      </c>
      <c r="AB510" s="65">
        <v>12.0</v>
      </c>
      <c r="AC510" s="33" t="str">
        <f t="shared" si="498"/>
        <v>R</v>
      </c>
      <c r="AD510" s="65">
        <v>13.0</v>
      </c>
      <c r="AE510" s="33" t="str">
        <f t="shared" si="499"/>
        <v>S</v>
      </c>
      <c r="AF510" s="65">
        <v>19.0</v>
      </c>
      <c r="AG510" s="33" t="str">
        <f t="shared" si="500"/>
        <v>R</v>
      </c>
      <c r="AH510" s="65" t="s">
        <v>299</v>
      </c>
      <c r="AI510" s="66">
        <v>14.0</v>
      </c>
      <c r="AJ510" s="36" t="str">
        <f t="shared" si="501"/>
        <v>R</v>
      </c>
      <c r="AK510" s="66">
        <v>12.0</v>
      </c>
      <c r="AL510" s="36" t="str">
        <f t="shared" si="502"/>
        <v>R</v>
      </c>
      <c r="AM510" s="66">
        <v>12.0</v>
      </c>
      <c r="AN510" s="36" t="str">
        <f t="shared" si="503"/>
        <v>R</v>
      </c>
      <c r="AO510" s="66" t="s">
        <v>299</v>
      </c>
      <c r="AP510" s="67">
        <v>10.0</v>
      </c>
      <c r="AQ510" s="37" t="str">
        <f t="shared" si="504"/>
        <v>R</v>
      </c>
      <c r="AR510" s="65">
        <v>17.0</v>
      </c>
      <c r="AS510" s="33" t="str">
        <f t="shared" si="505"/>
        <v>R</v>
      </c>
      <c r="AT510" s="65">
        <v>22.0</v>
      </c>
      <c r="AU510" s="33" t="str">
        <f t="shared" si="506"/>
        <v>S</v>
      </c>
      <c r="AV510" s="65" t="s">
        <v>299</v>
      </c>
      <c r="AW510" s="28">
        <v>6.0</v>
      </c>
      <c r="AX510" s="26" t="str">
        <f t="shared" si="507"/>
        <v>R</v>
      </c>
      <c r="AY510" s="67">
        <v>15.0</v>
      </c>
      <c r="AZ510" s="37" t="str">
        <f t="shared" si="508"/>
        <v>R</v>
      </c>
      <c r="BA510" s="66">
        <v>22.0</v>
      </c>
      <c r="BB510" s="36" t="str">
        <f t="shared" si="509"/>
        <v>R</v>
      </c>
      <c r="BC510" s="39" t="s">
        <v>357</v>
      </c>
      <c r="BD510" s="39" t="s">
        <v>357</v>
      </c>
      <c r="BE510" s="66">
        <v>15.0</v>
      </c>
      <c r="BF510" s="36" t="str">
        <f t="shared" si="510"/>
        <v>R</v>
      </c>
      <c r="BG510" s="68">
        <v>20.0</v>
      </c>
      <c r="BH510" s="41" t="str">
        <f t="shared" si="511"/>
        <v>S</v>
      </c>
      <c r="BI510" s="41"/>
    </row>
    <row r="511">
      <c r="A511" s="21" t="s">
        <v>993</v>
      </c>
      <c r="B511" s="21" t="s">
        <v>444</v>
      </c>
      <c r="C511" s="21" t="s">
        <v>1977</v>
      </c>
      <c r="D511" s="69" t="s">
        <v>1009</v>
      </c>
      <c r="E511" s="18" t="s">
        <v>103</v>
      </c>
      <c r="F511" s="18" t="s">
        <v>192</v>
      </c>
      <c r="G511" s="63" t="s">
        <v>1978</v>
      </c>
      <c r="H511" s="42" t="s">
        <v>479</v>
      </c>
      <c r="I511" s="28">
        <v>6.0</v>
      </c>
      <c r="J511" s="26" t="str">
        <f t="shared" si="489"/>
        <v>R</v>
      </c>
      <c r="K511" s="28">
        <v>12.0</v>
      </c>
      <c r="L511" s="26" t="str">
        <f t="shared" si="490"/>
        <v>R</v>
      </c>
      <c r="M511" s="28">
        <v>6.0</v>
      </c>
      <c r="N511" s="26" t="str">
        <f t="shared" si="491"/>
        <v>R</v>
      </c>
      <c r="O511" s="28">
        <v>6.0</v>
      </c>
      <c r="P511" s="26" t="str">
        <f t="shared" si="492"/>
        <v>R</v>
      </c>
      <c r="Q511" s="28">
        <v>20.0</v>
      </c>
      <c r="R511" s="26" t="str">
        <f t="shared" si="493"/>
        <v>S</v>
      </c>
      <c r="S511" s="28">
        <v>18.0</v>
      </c>
      <c r="T511" s="26" t="str">
        <f t="shared" si="494"/>
        <v>R</v>
      </c>
      <c r="U511" s="28">
        <v>6.0</v>
      </c>
      <c r="V511" s="26" t="str">
        <f t="shared" si="495"/>
        <v>R</v>
      </c>
      <c r="W511" s="32" t="s">
        <v>299</v>
      </c>
      <c r="X511" s="65">
        <v>14.0</v>
      </c>
      <c r="Y511" s="33" t="str">
        <f t="shared" si="496"/>
        <v>R</v>
      </c>
      <c r="Z511" s="65">
        <v>16.0</v>
      </c>
      <c r="AA511" s="33" t="str">
        <f t="shared" si="497"/>
        <v>R</v>
      </c>
      <c r="AB511" s="65">
        <v>11.0</v>
      </c>
      <c r="AC511" s="33" t="str">
        <f t="shared" si="498"/>
        <v>R</v>
      </c>
      <c r="AD511" s="65">
        <v>14.0</v>
      </c>
      <c r="AE511" s="33" t="str">
        <f t="shared" si="499"/>
        <v>S</v>
      </c>
      <c r="AF511" s="65">
        <v>19.0</v>
      </c>
      <c r="AG511" s="33" t="str">
        <f t="shared" si="500"/>
        <v>R</v>
      </c>
      <c r="AH511" s="65" t="s">
        <v>299</v>
      </c>
      <c r="AI511" s="66">
        <v>14.0</v>
      </c>
      <c r="AJ511" s="36" t="str">
        <f t="shared" si="501"/>
        <v>R</v>
      </c>
      <c r="AK511" s="66">
        <v>12.0</v>
      </c>
      <c r="AL511" s="36" t="str">
        <f t="shared" si="502"/>
        <v>R</v>
      </c>
      <c r="AM511" s="66">
        <v>12.0</v>
      </c>
      <c r="AN511" s="36" t="str">
        <f t="shared" si="503"/>
        <v>R</v>
      </c>
      <c r="AO511" s="66" t="s">
        <v>299</v>
      </c>
      <c r="AP511" s="67">
        <v>10.0</v>
      </c>
      <c r="AQ511" s="37" t="str">
        <f t="shared" si="504"/>
        <v>R</v>
      </c>
      <c r="AR511" s="65">
        <v>17.0</v>
      </c>
      <c r="AS511" s="33" t="str">
        <f t="shared" si="505"/>
        <v>R</v>
      </c>
      <c r="AT511" s="65">
        <v>22.0</v>
      </c>
      <c r="AU511" s="33" t="str">
        <f t="shared" si="506"/>
        <v>S</v>
      </c>
      <c r="AV511" s="65" t="s">
        <v>299</v>
      </c>
      <c r="AW511" s="28">
        <v>6.0</v>
      </c>
      <c r="AX511" s="26" t="str">
        <f t="shared" si="507"/>
        <v>R</v>
      </c>
      <c r="AY511" s="67">
        <v>17.0</v>
      </c>
      <c r="AZ511" s="37" t="str">
        <f t="shared" si="508"/>
        <v>R</v>
      </c>
      <c r="BA511" s="66">
        <v>20.0</v>
      </c>
      <c r="BB511" s="36" t="str">
        <f t="shared" si="509"/>
        <v>R</v>
      </c>
      <c r="BC511" s="39" t="s">
        <v>357</v>
      </c>
      <c r="BD511" s="39" t="s">
        <v>357</v>
      </c>
      <c r="BE511" s="66">
        <v>19.0</v>
      </c>
      <c r="BF511" s="36" t="str">
        <f t="shared" si="510"/>
        <v>I</v>
      </c>
      <c r="BG511" s="68">
        <v>20.0</v>
      </c>
      <c r="BH511" s="41" t="str">
        <f t="shared" si="511"/>
        <v>S</v>
      </c>
      <c r="BI511" s="41"/>
    </row>
    <row r="512">
      <c r="A512" s="21" t="s">
        <v>993</v>
      </c>
      <c r="B512" s="21" t="s">
        <v>444</v>
      </c>
      <c r="C512" s="21" t="s">
        <v>1979</v>
      </c>
      <c r="D512" s="69" t="s">
        <v>1009</v>
      </c>
      <c r="E512" s="18" t="s">
        <v>103</v>
      </c>
      <c r="F512" s="18" t="s">
        <v>192</v>
      </c>
      <c r="G512" s="63" t="s">
        <v>1980</v>
      </c>
      <c r="H512" s="42" t="s">
        <v>479</v>
      </c>
      <c r="I512" s="28">
        <v>6.0</v>
      </c>
      <c r="J512" s="26" t="str">
        <f t="shared" si="489"/>
        <v>R</v>
      </c>
      <c r="K512" s="28">
        <v>12.0</v>
      </c>
      <c r="L512" s="26" t="str">
        <f t="shared" si="490"/>
        <v>R</v>
      </c>
      <c r="M512" s="28">
        <v>6.0</v>
      </c>
      <c r="N512" s="26" t="str">
        <f t="shared" si="491"/>
        <v>R</v>
      </c>
      <c r="O512" s="28">
        <v>6.0</v>
      </c>
      <c r="P512" s="26" t="str">
        <f t="shared" si="492"/>
        <v>R</v>
      </c>
      <c r="Q512" s="28">
        <v>20.0</v>
      </c>
      <c r="R512" s="26" t="str">
        <f t="shared" si="493"/>
        <v>S</v>
      </c>
      <c r="S512" s="28">
        <v>18.0</v>
      </c>
      <c r="T512" s="26" t="str">
        <f t="shared" si="494"/>
        <v>R</v>
      </c>
      <c r="U512" s="28">
        <v>6.0</v>
      </c>
      <c r="V512" s="26" t="str">
        <f t="shared" si="495"/>
        <v>R</v>
      </c>
      <c r="W512" s="32" t="s">
        <v>299</v>
      </c>
      <c r="X512" s="65">
        <v>16.0</v>
      </c>
      <c r="Y512" s="33" t="str">
        <f t="shared" si="496"/>
        <v>R</v>
      </c>
      <c r="Z512" s="65">
        <v>16.0</v>
      </c>
      <c r="AA512" s="33" t="str">
        <f t="shared" si="497"/>
        <v>R</v>
      </c>
      <c r="AB512" s="65">
        <v>14.0</v>
      </c>
      <c r="AC512" s="33" t="str">
        <f t="shared" si="498"/>
        <v>R</v>
      </c>
      <c r="AD512" s="65">
        <v>13.0</v>
      </c>
      <c r="AE512" s="33" t="str">
        <f t="shared" si="499"/>
        <v>S</v>
      </c>
      <c r="AF512" s="65">
        <v>19.0</v>
      </c>
      <c r="AG512" s="33" t="str">
        <f t="shared" si="500"/>
        <v>R</v>
      </c>
      <c r="AH512" s="65" t="s">
        <v>299</v>
      </c>
      <c r="AI512" s="66">
        <v>14.0</v>
      </c>
      <c r="AJ512" s="36" t="str">
        <f t="shared" si="501"/>
        <v>R</v>
      </c>
      <c r="AK512" s="66">
        <v>12.0</v>
      </c>
      <c r="AL512" s="36" t="str">
        <f t="shared" si="502"/>
        <v>R</v>
      </c>
      <c r="AM512" s="66">
        <v>12.0</v>
      </c>
      <c r="AN512" s="36" t="str">
        <f t="shared" si="503"/>
        <v>R</v>
      </c>
      <c r="AO512" s="66" t="s">
        <v>299</v>
      </c>
      <c r="AP512" s="67">
        <v>10.0</v>
      </c>
      <c r="AQ512" s="37" t="str">
        <f t="shared" si="504"/>
        <v>R</v>
      </c>
      <c r="AR512" s="65">
        <v>17.0</v>
      </c>
      <c r="AS512" s="33" t="str">
        <f t="shared" si="505"/>
        <v>R</v>
      </c>
      <c r="AT512" s="65">
        <v>22.0</v>
      </c>
      <c r="AU512" s="33" t="str">
        <f t="shared" si="506"/>
        <v>S</v>
      </c>
      <c r="AV512" s="65" t="s">
        <v>299</v>
      </c>
      <c r="AW512" s="28">
        <v>6.0</v>
      </c>
      <c r="AX512" s="26" t="str">
        <f t="shared" si="507"/>
        <v>R</v>
      </c>
      <c r="AY512" s="67">
        <v>15.0</v>
      </c>
      <c r="AZ512" s="37" t="str">
        <f t="shared" si="508"/>
        <v>R</v>
      </c>
      <c r="BA512" s="66">
        <v>19.0</v>
      </c>
      <c r="BB512" s="36" t="str">
        <f t="shared" si="509"/>
        <v>R</v>
      </c>
      <c r="BC512" s="39" t="s">
        <v>357</v>
      </c>
      <c r="BD512" s="39" t="s">
        <v>357</v>
      </c>
      <c r="BE512" s="66">
        <v>17.0</v>
      </c>
      <c r="BF512" s="36" t="str">
        <f t="shared" si="510"/>
        <v>R</v>
      </c>
      <c r="BG512" s="68">
        <v>20.0</v>
      </c>
      <c r="BH512" s="41" t="str">
        <f t="shared" si="511"/>
        <v>S</v>
      </c>
      <c r="BI512" s="41"/>
    </row>
    <row r="513">
      <c r="A513" s="51" t="s">
        <v>1002</v>
      </c>
      <c r="B513" s="53">
        <v>225.0</v>
      </c>
      <c r="C513" s="51" t="s">
        <v>1175</v>
      </c>
      <c r="D513" s="69" t="s">
        <v>190</v>
      </c>
      <c r="E513" s="18" t="s">
        <v>190</v>
      </c>
      <c r="F513" s="18" t="s">
        <v>192</v>
      </c>
      <c r="G513" s="63" t="s">
        <v>1176</v>
      </c>
      <c r="H513" s="72" t="s">
        <v>1163</v>
      </c>
      <c r="I513" s="28">
        <v>6.0</v>
      </c>
      <c r="J513" s="26" t="str">
        <f t="shared" si="489"/>
        <v>R</v>
      </c>
      <c r="K513" s="28">
        <v>17.0</v>
      </c>
      <c r="L513" s="26" t="str">
        <f t="shared" si="490"/>
        <v>R</v>
      </c>
      <c r="M513" s="28">
        <v>6.0</v>
      </c>
      <c r="N513" s="26" t="str">
        <f t="shared" si="491"/>
        <v>R</v>
      </c>
      <c r="O513" s="28">
        <v>22.0</v>
      </c>
      <c r="P513" s="26" t="str">
        <f t="shared" si="492"/>
        <v>I</v>
      </c>
      <c r="Q513" s="28">
        <v>6.0</v>
      </c>
      <c r="R513" s="26" t="str">
        <f t="shared" si="493"/>
        <v>R</v>
      </c>
      <c r="S513" s="28">
        <v>17.0</v>
      </c>
      <c r="T513" s="26" t="str">
        <f t="shared" si="494"/>
        <v>R</v>
      </c>
      <c r="U513" s="28">
        <v>19.0</v>
      </c>
      <c r="V513" s="26" t="str">
        <f t="shared" si="495"/>
        <v>I</v>
      </c>
      <c r="W513" s="32" t="s">
        <v>299</v>
      </c>
      <c r="X513" s="65">
        <v>6.0</v>
      </c>
      <c r="Y513" s="33" t="str">
        <f t="shared" si="496"/>
        <v>R</v>
      </c>
      <c r="Z513" s="65">
        <v>22.0</v>
      </c>
      <c r="AA513" s="33" t="str">
        <f t="shared" si="497"/>
        <v>S</v>
      </c>
      <c r="AB513" s="65">
        <v>6.0</v>
      </c>
      <c r="AC513" s="33" t="str">
        <f t="shared" si="498"/>
        <v>R</v>
      </c>
      <c r="AD513" s="65">
        <v>19.0</v>
      </c>
      <c r="AE513" s="33" t="str">
        <f t="shared" si="499"/>
        <v>S</v>
      </c>
      <c r="AF513" s="65">
        <v>16.0</v>
      </c>
      <c r="AG513" s="33" t="str">
        <f t="shared" si="500"/>
        <v>R</v>
      </c>
      <c r="AH513" s="65" t="s">
        <v>299</v>
      </c>
      <c r="AI513" s="66">
        <v>11.0</v>
      </c>
      <c r="AJ513" s="36" t="str">
        <f t="shared" si="501"/>
        <v>R</v>
      </c>
      <c r="AK513" s="66">
        <v>14.0</v>
      </c>
      <c r="AL513" s="36" t="str">
        <f t="shared" si="502"/>
        <v>R</v>
      </c>
      <c r="AM513" s="66">
        <v>6.0</v>
      </c>
      <c r="AN513" s="36" t="str">
        <f t="shared" si="503"/>
        <v>R</v>
      </c>
      <c r="AO513" s="66" t="s">
        <v>299</v>
      </c>
      <c r="AP513" s="67">
        <v>6.0</v>
      </c>
      <c r="AQ513" s="37" t="str">
        <f t="shared" si="504"/>
        <v>R</v>
      </c>
      <c r="AR513" s="65">
        <v>14.0</v>
      </c>
      <c r="AS513" s="33" t="str">
        <f t="shared" si="505"/>
        <v>R</v>
      </c>
      <c r="AT513" s="65">
        <v>14.0</v>
      </c>
      <c r="AU513" s="33" t="str">
        <f t="shared" si="506"/>
        <v>R</v>
      </c>
      <c r="AV513" s="65" t="s">
        <v>299</v>
      </c>
      <c r="AW513" s="28">
        <v>6.0</v>
      </c>
      <c r="AX513" s="26" t="str">
        <f t="shared" si="507"/>
        <v>R</v>
      </c>
      <c r="AY513" s="67">
        <v>17.0</v>
      </c>
      <c r="AZ513" s="37" t="str">
        <f t="shared" si="508"/>
        <v>R</v>
      </c>
      <c r="BA513" s="66">
        <v>23.0</v>
      </c>
      <c r="BB513" s="36" t="str">
        <f t="shared" si="509"/>
        <v>S</v>
      </c>
      <c r="BC513" s="39" t="s">
        <v>357</v>
      </c>
      <c r="BD513" s="39" t="s">
        <v>357</v>
      </c>
      <c r="BE513" s="66">
        <v>23.0</v>
      </c>
      <c r="BF513" s="36" t="str">
        <f t="shared" si="510"/>
        <v>S</v>
      </c>
      <c r="BG513" s="68">
        <v>17.0</v>
      </c>
      <c r="BH513" s="41" t="str">
        <f t="shared" si="511"/>
        <v>S</v>
      </c>
      <c r="BI513" s="41"/>
    </row>
    <row r="514">
      <c r="A514" s="51" t="s">
        <v>1002</v>
      </c>
      <c r="B514" s="51" t="s">
        <v>444</v>
      </c>
      <c r="C514" s="51" t="s">
        <v>1981</v>
      </c>
      <c r="D514" s="69" t="s">
        <v>190</v>
      </c>
      <c r="E514" s="18" t="s">
        <v>190</v>
      </c>
      <c r="F514" s="18" t="s">
        <v>192</v>
      </c>
      <c r="G514" s="63" t="s">
        <v>1982</v>
      </c>
      <c r="H514" s="72" t="s">
        <v>1163</v>
      </c>
      <c r="I514" s="28">
        <v>6.0</v>
      </c>
      <c r="J514" s="26" t="str">
        <f t="shared" si="489"/>
        <v>R</v>
      </c>
      <c r="K514" s="28">
        <v>17.0</v>
      </c>
      <c r="L514" s="26" t="str">
        <f t="shared" si="490"/>
        <v>R</v>
      </c>
      <c r="M514" s="28">
        <v>6.0</v>
      </c>
      <c r="N514" s="26" t="str">
        <f t="shared" si="491"/>
        <v>R</v>
      </c>
      <c r="O514" s="28">
        <v>22.0</v>
      </c>
      <c r="P514" s="26" t="str">
        <f t="shared" si="492"/>
        <v>I</v>
      </c>
      <c r="Q514" s="28">
        <v>6.0</v>
      </c>
      <c r="R514" s="26" t="str">
        <f t="shared" si="493"/>
        <v>R</v>
      </c>
      <c r="S514" s="28">
        <v>17.0</v>
      </c>
      <c r="T514" s="26" t="str">
        <f t="shared" si="494"/>
        <v>R</v>
      </c>
      <c r="U514" s="28">
        <v>19.0</v>
      </c>
      <c r="V514" s="26" t="str">
        <f t="shared" si="495"/>
        <v>I</v>
      </c>
      <c r="W514" s="32" t="s">
        <v>299</v>
      </c>
      <c r="X514" s="65">
        <v>6.0</v>
      </c>
      <c r="Y514" s="33" t="str">
        <f t="shared" si="496"/>
        <v>R</v>
      </c>
      <c r="Z514" s="65">
        <v>22.0</v>
      </c>
      <c r="AA514" s="33" t="str">
        <f t="shared" si="497"/>
        <v>S</v>
      </c>
      <c r="AB514" s="65">
        <v>6.0</v>
      </c>
      <c r="AC514" s="33" t="str">
        <f t="shared" si="498"/>
        <v>R</v>
      </c>
      <c r="AD514" s="65">
        <v>19.0</v>
      </c>
      <c r="AE514" s="33" t="str">
        <f t="shared" si="499"/>
        <v>S</v>
      </c>
      <c r="AF514" s="65">
        <v>16.0</v>
      </c>
      <c r="AG514" s="33" t="str">
        <f t="shared" si="500"/>
        <v>R</v>
      </c>
      <c r="AH514" s="65" t="s">
        <v>299</v>
      </c>
      <c r="AI514" s="66">
        <v>11.0</v>
      </c>
      <c r="AJ514" s="36" t="str">
        <f t="shared" si="501"/>
        <v>R</v>
      </c>
      <c r="AK514" s="66">
        <v>14.0</v>
      </c>
      <c r="AL514" s="36" t="str">
        <f t="shared" si="502"/>
        <v>R</v>
      </c>
      <c r="AM514" s="66">
        <v>6.0</v>
      </c>
      <c r="AN514" s="36" t="str">
        <f t="shared" si="503"/>
        <v>R</v>
      </c>
      <c r="AO514" s="66" t="s">
        <v>299</v>
      </c>
      <c r="AP514" s="67">
        <v>6.0</v>
      </c>
      <c r="AQ514" s="37" t="str">
        <f t="shared" si="504"/>
        <v>R</v>
      </c>
      <c r="AR514" s="65">
        <v>14.0</v>
      </c>
      <c r="AS514" s="33" t="str">
        <f t="shared" si="505"/>
        <v>R</v>
      </c>
      <c r="AT514" s="65">
        <v>14.0</v>
      </c>
      <c r="AU514" s="33" t="str">
        <f t="shared" si="506"/>
        <v>R</v>
      </c>
      <c r="AV514" s="65" t="s">
        <v>299</v>
      </c>
      <c r="AW514" s="28">
        <v>6.0</v>
      </c>
      <c r="AX514" s="26" t="str">
        <f t="shared" si="507"/>
        <v>R</v>
      </c>
      <c r="AY514" s="67">
        <v>17.0</v>
      </c>
      <c r="AZ514" s="37" t="str">
        <f t="shared" si="508"/>
        <v>R</v>
      </c>
      <c r="BA514" s="66">
        <v>23.0</v>
      </c>
      <c r="BB514" s="36" t="str">
        <f t="shared" si="509"/>
        <v>S</v>
      </c>
      <c r="BC514" s="39" t="s">
        <v>357</v>
      </c>
      <c r="BD514" s="39" t="s">
        <v>357</v>
      </c>
      <c r="BE514" s="66">
        <v>23.0</v>
      </c>
      <c r="BF514" s="36" t="str">
        <f t="shared" si="510"/>
        <v>S</v>
      </c>
      <c r="BG514" s="68">
        <v>17.0</v>
      </c>
      <c r="BH514" s="41" t="str">
        <f t="shared" si="511"/>
        <v>S</v>
      </c>
      <c r="BI514" s="41"/>
    </row>
    <row r="515">
      <c r="A515" s="51" t="s">
        <v>1002</v>
      </c>
      <c r="B515" s="51" t="s">
        <v>444</v>
      </c>
      <c r="C515" s="51" t="s">
        <v>1983</v>
      </c>
      <c r="D515" s="69" t="s">
        <v>190</v>
      </c>
      <c r="E515" s="18" t="s">
        <v>190</v>
      </c>
      <c r="F515" s="18" t="s">
        <v>192</v>
      </c>
      <c r="G515" s="63" t="s">
        <v>1984</v>
      </c>
      <c r="H515" s="72" t="s">
        <v>1163</v>
      </c>
      <c r="I515" s="28">
        <v>6.0</v>
      </c>
      <c r="J515" s="26" t="str">
        <f t="shared" si="489"/>
        <v>R</v>
      </c>
      <c r="K515" s="28">
        <v>17.0</v>
      </c>
      <c r="L515" s="26" t="str">
        <f t="shared" si="490"/>
        <v>R</v>
      </c>
      <c r="M515" s="28">
        <v>6.0</v>
      </c>
      <c r="N515" s="26" t="str">
        <f t="shared" si="491"/>
        <v>R</v>
      </c>
      <c r="O515" s="28">
        <v>22.0</v>
      </c>
      <c r="P515" s="26" t="str">
        <f t="shared" si="492"/>
        <v>I</v>
      </c>
      <c r="Q515" s="28">
        <v>6.0</v>
      </c>
      <c r="R515" s="26" t="str">
        <f t="shared" si="493"/>
        <v>R</v>
      </c>
      <c r="S515" s="28">
        <v>17.0</v>
      </c>
      <c r="T515" s="26" t="str">
        <f t="shared" si="494"/>
        <v>R</v>
      </c>
      <c r="U515" s="28">
        <v>19.0</v>
      </c>
      <c r="V515" s="26" t="str">
        <f t="shared" si="495"/>
        <v>I</v>
      </c>
      <c r="W515" s="32" t="s">
        <v>299</v>
      </c>
      <c r="X515" s="65">
        <v>6.0</v>
      </c>
      <c r="Y515" s="33" t="str">
        <f t="shared" si="496"/>
        <v>R</v>
      </c>
      <c r="Z515" s="65">
        <v>22.0</v>
      </c>
      <c r="AA515" s="33" t="str">
        <f t="shared" si="497"/>
        <v>S</v>
      </c>
      <c r="AB515" s="65">
        <v>6.0</v>
      </c>
      <c r="AC515" s="33" t="str">
        <f t="shared" si="498"/>
        <v>R</v>
      </c>
      <c r="AD515" s="65">
        <v>19.0</v>
      </c>
      <c r="AE515" s="33" t="str">
        <f t="shared" si="499"/>
        <v>S</v>
      </c>
      <c r="AF515" s="65">
        <v>16.0</v>
      </c>
      <c r="AG515" s="33" t="str">
        <f t="shared" si="500"/>
        <v>R</v>
      </c>
      <c r="AH515" s="65" t="s">
        <v>299</v>
      </c>
      <c r="AI515" s="66">
        <v>11.0</v>
      </c>
      <c r="AJ515" s="36" t="str">
        <f t="shared" si="501"/>
        <v>R</v>
      </c>
      <c r="AK515" s="66">
        <v>14.0</v>
      </c>
      <c r="AL515" s="36" t="str">
        <f t="shared" si="502"/>
        <v>R</v>
      </c>
      <c r="AM515" s="66">
        <v>6.0</v>
      </c>
      <c r="AN515" s="36" t="str">
        <f t="shared" si="503"/>
        <v>R</v>
      </c>
      <c r="AO515" s="66" t="s">
        <v>299</v>
      </c>
      <c r="AP515" s="67">
        <v>6.0</v>
      </c>
      <c r="AQ515" s="37" t="str">
        <f t="shared" si="504"/>
        <v>R</v>
      </c>
      <c r="AR515" s="65">
        <v>14.0</v>
      </c>
      <c r="AS515" s="33" t="str">
        <f t="shared" si="505"/>
        <v>R</v>
      </c>
      <c r="AT515" s="65">
        <v>14.0</v>
      </c>
      <c r="AU515" s="33" t="str">
        <f t="shared" si="506"/>
        <v>R</v>
      </c>
      <c r="AV515" s="65" t="s">
        <v>299</v>
      </c>
      <c r="AW515" s="28">
        <v>6.0</v>
      </c>
      <c r="AX515" s="26" t="str">
        <f t="shared" si="507"/>
        <v>R</v>
      </c>
      <c r="AY515" s="67">
        <v>17.0</v>
      </c>
      <c r="AZ515" s="37" t="str">
        <f t="shared" si="508"/>
        <v>R</v>
      </c>
      <c r="BA515" s="66">
        <v>23.0</v>
      </c>
      <c r="BB515" s="36" t="str">
        <f t="shared" si="509"/>
        <v>S</v>
      </c>
      <c r="BC515" s="39" t="s">
        <v>357</v>
      </c>
      <c r="BD515" s="39" t="s">
        <v>357</v>
      </c>
      <c r="BE515" s="66">
        <v>23.0</v>
      </c>
      <c r="BF515" s="36" t="str">
        <f t="shared" si="510"/>
        <v>S</v>
      </c>
      <c r="BG515" s="68">
        <v>17.0</v>
      </c>
      <c r="BH515" s="41" t="str">
        <f t="shared" si="511"/>
        <v>S</v>
      </c>
      <c r="BI515" s="41"/>
    </row>
    <row r="516">
      <c r="A516" s="51" t="s">
        <v>1002</v>
      </c>
      <c r="B516" s="53">
        <v>226.0</v>
      </c>
      <c r="C516" s="51" t="s">
        <v>1182</v>
      </c>
      <c r="D516" s="69" t="s">
        <v>571</v>
      </c>
      <c r="E516" s="18" t="s">
        <v>572</v>
      </c>
      <c r="F516" s="18" t="s">
        <v>192</v>
      </c>
      <c r="G516" s="63" t="s">
        <v>1183</v>
      </c>
      <c r="H516" s="22" t="s">
        <v>198</v>
      </c>
      <c r="I516" s="28">
        <v>14.0</v>
      </c>
      <c r="J516" s="26" t="str">
        <f t="shared" si="489"/>
        <v>R</v>
      </c>
      <c r="K516" s="28">
        <v>20.0</v>
      </c>
      <c r="L516" s="26" t="str">
        <f t="shared" si="490"/>
        <v>S</v>
      </c>
      <c r="M516" s="28">
        <v>20.0</v>
      </c>
      <c r="N516" s="26" t="str">
        <f t="shared" si="491"/>
        <v>R</v>
      </c>
      <c r="O516" s="28">
        <v>18.0</v>
      </c>
      <c r="P516" s="26" t="str">
        <f t="shared" si="492"/>
        <v>R</v>
      </c>
      <c r="Q516" s="28">
        <v>16.0</v>
      </c>
      <c r="R516" s="26" t="str">
        <f t="shared" si="493"/>
        <v>R</v>
      </c>
      <c r="S516" s="28">
        <v>15.0</v>
      </c>
      <c r="T516" s="26" t="str">
        <f t="shared" si="494"/>
        <v>R</v>
      </c>
      <c r="U516" s="28">
        <v>6.0</v>
      </c>
      <c r="V516" s="26" t="str">
        <f t="shared" si="495"/>
        <v>R</v>
      </c>
      <c r="W516" s="32" t="s">
        <v>299</v>
      </c>
      <c r="X516" s="65">
        <v>20.0</v>
      </c>
      <c r="Y516" s="33" t="str">
        <f t="shared" si="496"/>
        <v>S</v>
      </c>
      <c r="Z516" s="65">
        <v>16.0</v>
      </c>
      <c r="AA516" s="33" t="str">
        <f t="shared" si="497"/>
        <v>R</v>
      </c>
      <c r="AB516" s="65">
        <v>11.0</v>
      </c>
      <c r="AC516" s="33" t="str">
        <f t="shared" si="498"/>
        <v>R</v>
      </c>
      <c r="AD516" s="65">
        <v>12.0</v>
      </c>
      <c r="AE516" s="33" t="str">
        <f t="shared" si="499"/>
        <v>R</v>
      </c>
      <c r="AF516" s="65">
        <v>18.0</v>
      </c>
      <c r="AG516" s="33" t="str">
        <f t="shared" si="500"/>
        <v>R</v>
      </c>
      <c r="AH516" s="65" t="s">
        <v>299</v>
      </c>
      <c r="AI516" s="66">
        <v>15.0</v>
      </c>
      <c r="AJ516" s="36" t="str">
        <f t="shared" si="501"/>
        <v>R</v>
      </c>
      <c r="AK516" s="66">
        <v>12.0</v>
      </c>
      <c r="AL516" s="36" t="str">
        <f t="shared" si="502"/>
        <v>R</v>
      </c>
      <c r="AM516" s="66">
        <v>6.0</v>
      </c>
      <c r="AN516" s="36" t="str">
        <f t="shared" si="503"/>
        <v>R</v>
      </c>
      <c r="AO516" s="66" t="s">
        <v>299</v>
      </c>
      <c r="AP516" s="67">
        <v>6.0</v>
      </c>
      <c r="AQ516" s="37" t="str">
        <f t="shared" si="504"/>
        <v>R</v>
      </c>
      <c r="AR516" s="65">
        <v>16.0</v>
      </c>
      <c r="AS516" s="33" t="str">
        <f t="shared" si="505"/>
        <v>R</v>
      </c>
      <c r="AT516" s="65">
        <v>15.0</v>
      </c>
      <c r="AU516" s="33" t="str">
        <f t="shared" si="506"/>
        <v>R</v>
      </c>
      <c r="AV516" s="65" t="s">
        <v>299</v>
      </c>
      <c r="AW516" s="28">
        <v>14.0</v>
      </c>
      <c r="AX516" s="26" t="str">
        <f t="shared" si="507"/>
        <v>R</v>
      </c>
      <c r="AY516" s="67">
        <v>14.0</v>
      </c>
      <c r="AZ516" s="37" t="str">
        <f t="shared" si="508"/>
        <v>R</v>
      </c>
      <c r="BA516" s="66">
        <v>17.0</v>
      </c>
      <c r="BB516" s="36" t="str">
        <f t="shared" si="509"/>
        <v>R</v>
      </c>
      <c r="BC516" s="39" t="s">
        <v>357</v>
      </c>
      <c r="BD516" s="39" t="s">
        <v>357</v>
      </c>
      <c r="BE516" s="66">
        <v>28.0</v>
      </c>
      <c r="BF516" s="36" t="str">
        <f t="shared" si="510"/>
        <v>S</v>
      </c>
      <c r="BG516" s="68">
        <v>12.0</v>
      </c>
      <c r="BH516" s="41" t="str">
        <f t="shared" si="511"/>
        <v>R</v>
      </c>
      <c r="BI516" s="41"/>
    </row>
    <row r="517">
      <c r="A517" s="51" t="s">
        <v>1002</v>
      </c>
      <c r="B517" s="51" t="s">
        <v>444</v>
      </c>
      <c r="C517" s="51" t="s">
        <v>1985</v>
      </c>
      <c r="D517" s="69" t="s">
        <v>571</v>
      </c>
      <c r="E517" s="18" t="s">
        <v>572</v>
      </c>
      <c r="F517" s="18" t="s">
        <v>192</v>
      </c>
      <c r="G517" s="63" t="s">
        <v>1986</v>
      </c>
      <c r="H517" s="22" t="s">
        <v>198</v>
      </c>
      <c r="I517" s="28">
        <v>14.0</v>
      </c>
      <c r="J517" s="26" t="str">
        <f t="shared" si="489"/>
        <v>R</v>
      </c>
      <c r="K517" s="28">
        <v>20.0</v>
      </c>
      <c r="L517" s="26" t="str">
        <f t="shared" si="490"/>
        <v>S</v>
      </c>
      <c r="M517" s="28">
        <v>20.0</v>
      </c>
      <c r="N517" s="26" t="str">
        <f t="shared" si="491"/>
        <v>R</v>
      </c>
      <c r="O517" s="28">
        <v>18.0</v>
      </c>
      <c r="P517" s="26" t="str">
        <f t="shared" si="492"/>
        <v>R</v>
      </c>
      <c r="Q517" s="28">
        <v>16.0</v>
      </c>
      <c r="R517" s="26" t="str">
        <f t="shared" si="493"/>
        <v>R</v>
      </c>
      <c r="S517" s="28">
        <v>15.0</v>
      </c>
      <c r="T517" s="26" t="str">
        <f t="shared" si="494"/>
        <v>R</v>
      </c>
      <c r="U517" s="28">
        <v>6.0</v>
      </c>
      <c r="V517" s="26" t="str">
        <f t="shared" si="495"/>
        <v>R</v>
      </c>
      <c r="W517" s="32" t="s">
        <v>299</v>
      </c>
      <c r="X517" s="65">
        <v>20.0</v>
      </c>
      <c r="Y517" s="33" t="str">
        <f t="shared" si="496"/>
        <v>S</v>
      </c>
      <c r="Z517" s="65">
        <v>16.0</v>
      </c>
      <c r="AA517" s="33" t="str">
        <f t="shared" si="497"/>
        <v>R</v>
      </c>
      <c r="AB517" s="65">
        <v>11.0</v>
      </c>
      <c r="AC517" s="33" t="str">
        <f t="shared" si="498"/>
        <v>R</v>
      </c>
      <c r="AD517" s="65">
        <v>12.0</v>
      </c>
      <c r="AE517" s="33" t="str">
        <f t="shared" si="499"/>
        <v>R</v>
      </c>
      <c r="AF517" s="65">
        <v>18.0</v>
      </c>
      <c r="AG517" s="33" t="str">
        <f t="shared" si="500"/>
        <v>R</v>
      </c>
      <c r="AH517" s="65" t="s">
        <v>299</v>
      </c>
      <c r="AI517" s="66">
        <v>15.0</v>
      </c>
      <c r="AJ517" s="36" t="str">
        <f t="shared" si="501"/>
        <v>R</v>
      </c>
      <c r="AK517" s="66">
        <v>12.0</v>
      </c>
      <c r="AL517" s="36" t="str">
        <f t="shared" si="502"/>
        <v>R</v>
      </c>
      <c r="AM517" s="66">
        <v>6.0</v>
      </c>
      <c r="AN517" s="36" t="str">
        <f t="shared" si="503"/>
        <v>R</v>
      </c>
      <c r="AO517" s="66" t="s">
        <v>299</v>
      </c>
      <c r="AP517" s="67">
        <v>6.0</v>
      </c>
      <c r="AQ517" s="37" t="str">
        <f t="shared" si="504"/>
        <v>R</v>
      </c>
      <c r="AR517" s="65">
        <v>16.0</v>
      </c>
      <c r="AS517" s="33" t="str">
        <f t="shared" si="505"/>
        <v>R</v>
      </c>
      <c r="AT517" s="65">
        <v>15.0</v>
      </c>
      <c r="AU517" s="33" t="str">
        <f t="shared" si="506"/>
        <v>R</v>
      </c>
      <c r="AV517" s="65" t="s">
        <v>299</v>
      </c>
      <c r="AW517" s="28">
        <v>14.0</v>
      </c>
      <c r="AX517" s="26" t="str">
        <f t="shared" si="507"/>
        <v>R</v>
      </c>
      <c r="AY517" s="67">
        <v>14.0</v>
      </c>
      <c r="AZ517" s="37" t="str">
        <f t="shared" si="508"/>
        <v>R</v>
      </c>
      <c r="BA517" s="66">
        <v>17.0</v>
      </c>
      <c r="BB517" s="36" t="str">
        <f t="shared" si="509"/>
        <v>R</v>
      </c>
      <c r="BC517" s="39" t="s">
        <v>357</v>
      </c>
      <c r="BD517" s="39" t="s">
        <v>357</v>
      </c>
      <c r="BE517" s="66">
        <v>28.0</v>
      </c>
      <c r="BF517" s="36" t="str">
        <f t="shared" si="510"/>
        <v>S</v>
      </c>
      <c r="BG517" s="68">
        <v>12.0</v>
      </c>
      <c r="BH517" s="41" t="str">
        <f t="shared" si="511"/>
        <v>R</v>
      </c>
      <c r="BI517" s="41"/>
    </row>
    <row r="518">
      <c r="A518" s="51" t="s">
        <v>1002</v>
      </c>
      <c r="B518" s="51" t="s">
        <v>444</v>
      </c>
      <c r="C518" s="51" t="s">
        <v>1987</v>
      </c>
      <c r="D518" s="69" t="s">
        <v>571</v>
      </c>
      <c r="E518" s="18" t="s">
        <v>572</v>
      </c>
      <c r="F518" s="18" t="s">
        <v>192</v>
      </c>
      <c r="G518" s="63" t="s">
        <v>1988</v>
      </c>
      <c r="H518" s="22" t="s">
        <v>198</v>
      </c>
      <c r="I518" s="28">
        <v>14.0</v>
      </c>
      <c r="J518" s="26" t="str">
        <f t="shared" si="489"/>
        <v>R</v>
      </c>
      <c r="K518" s="28">
        <v>20.0</v>
      </c>
      <c r="L518" s="26" t="str">
        <f t="shared" si="490"/>
        <v>S</v>
      </c>
      <c r="M518" s="28">
        <v>20.0</v>
      </c>
      <c r="N518" s="26" t="str">
        <f t="shared" si="491"/>
        <v>R</v>
      </c>
      <c r="O518" s="28">
        <v>18.0</v>
      </c>
      <c r="P518" s="26" t="str">
        <f t="shared" si="492"/>
        <v>R</v>
      </c>
      <c r="Q518" s="28">
        <v>16.0</v>
      </c>
      <c r="R518" s="26" t="str">
        <f t="shared" si="493"/>
        <v>R</v>
      </c>
      <c r="S518" s="28">
        <v>15.0</v>
      </c>
      <c r="T518" s="26" t="str">
        <f t="shared" si="494"/>
        <v>R</v>
      </c>
      <c r="U518" s="28">
        <v>6.0</v>
      </c>
      <c r="V518" s="26" t="str">
        <f t="shared" si="495"/>
        <v>R</v>
      </c>
      <c r="W518" s="32" t="s">
        <v>299</v>
      </c>
      <c r="X518" s="65">
        <v>20.0</v>
      </c>
      <c r="Y518" s="33" t="str">
        <f t="shared" si="496"/>
        <v>S</v>
      </c>
      <c r="Z518" s="65">
        <v>16.0</v>
      </c>
      <c r="AA518" s="33" t="str">
        <f t="shared" si="497"/>
        <v>R</v>
      </c>
      <c r="AB518" s="65">
        <v>11.0</v>
      </c>
      <c r="AC518" s="33" t="str">
        <f t="shared" si="498"/>
        <v>R</v>
      </c>
      <c r="AD518" s="65">
        <v>12.0</v>
      </c>
      <c r="AE518" s="33" t="str">
        <f t="shared" si="499"/>
        <v>R</v>
      </c>
      <c r="AF518" s="65">
        <v>18.0</v>
      </c>
      <c r="AG518" s="33" t="str">
        <f t="shared" si="500"/>
        <v>R</v>
      </c>
      <c r="AH518" s="65" t="s">
        <v>299</v>
      </c>
      <c r="AI518" s="66">
        <v>15.0</v>
      </c>
      <c r="AJ518" s="36" t="str">
        <f t="shared" si="501"/>
        <v>R</v>
      </c>
      <c r="AK518" s="66">
        <v>12.0</v>
      </c>
      <c r="AL518" s="36" t="str">
        <f t="shared" si="502"/>
        <v>R</v>
      </c>
      <c r="AM518" s="66">
        <v>6.0</v>
      </c>
      <c r="AN518" s="36" t="str">
        <f t="shared" si="503"/>
        <v>R</v>
      </c>
      <c r="AO518" s="66" t="s">
        <v>299</v>
      </c>
      <c r="AP518" s="67">
        <v>6.0</v>
      </c>
      <c r="AQ518" s="37" t="str">
        <f t="shared" si="504"/>
        <v>R</v>
      </c>
      <c r="AR518" s="65">
        <v>16.0</v>
      </c>
      <c r="AS518" s="33" t="str">
        <f t="shared" si="505"/>
        <v>R</v>
      </c>
      <c r="AT518" s="65">
        <v>15.0</v>
      </c>
      <c r="AU518" s="33" t="str">
        <f t="shared" si="506"/>
        <v>R</v>
      </c>
      <c r="AV518" s="65" t="s">
        <v>299</v>
      </c>
      <c r="AW518" s="28">
        <v>14.0</v>
      </c>
      <c r="AX518" s="26" t="str">
        <f t="shared" si="507"/>
        <v>R</v>
      </c>
      <c r="AY518" s="67">
        <v>14.0</v>
      </c>
      <c r="AZ518" s="37" t="str">
        <f t="shared" si="508"/>
        <v>R</v>
      </c>
      <c r="BA518" s="66">
        <v>17.0</v>
      </c>
      <c r="BB518" s="36" t="str">
        <f t="shared" si="509"/>
        <v>R</v>
      </c>
      <c r="BC518" s="39" t="s">
        <v>357</v>
      </c>
      <c r="BD518" s="39" t="s">
        <v>357</v>
      </c>
      <c r="BE518" s="66">
        <v>28.0</v>
      </c>
      <c r="BF518" s="36" t="str">
        <f t="shared" si="510"/>
        <v>S</v>
      </c>
      <c r="BG518" s="68">
        <v>12.0</v>
      </c>
      <c r="BH518" s="41" t="str">
        <f t="shared" si="511"/>
        <v>R</v>
      </c>
      <c r="BI518" s="41"/>
    </row>
    <row r="519">
      <c r="A519" s="21" t="s">
        <v>1006</v>
      </c>
      <c r="B519" s="23">
        <v>227.0</v>
      </c>
      <c r="C519" s="21" t="s">
        <v>1184</v>
      </c>
      <c r="D519" s="69" t="s">
        <v>190</v>
      </c>
      <c r="E519" s="18" t="s">
        <v>190</v>
      </c>
      <c r="F519" s="18" t="s">
        <v>192</v>
      </c>
      <c r="G519" s="63" t="s">
        <v>1185</v>
      </c>
      <c r="H519" s="22" t="s">
        <v>198</v>
      </c>
      <c r="I519" s="28">
        <v>6.0</v>
      </c>
      <c r="J519" s="26" t="str">
        <f t="shared" si="489"/>
        <v>R</v>
      </c>
      <c r="K519" s="28">
        <v>15.0</v>
      </c>
      <c r="L519" s="26" t="str">
        <f t="shared" si="490"/>
        <v>R</v>
      </c>
      <c r="M519" s="28">
        <v>6.0</v>
      </c>
      <c r="N519" s="26" t="str">
        <f t="shared" si="491"/>
        <v>R</v>
      </c>
      <c r="O519" s="28">
        <v>19.0</v>
      </c>
      <c r="P519" s="26" t="str">
        <f t="shared" si="492"/>
        <v>R</v>
      </c>
      <c r="Q519" s="28">
        <v>6.0</v>
      </c>
      <c r="R519" s="26" t="str">
        <f t="shared" si="493"/>
        <v>R</v>
      </c>
      <c r="S519" s="28">
        <v>15.0</v>
      </c>
      <c r="T519" s="26" t="str">
        <f t="shared" si="494"/>
        <v>R</v>
      </c>
      <c r="U519" s="28">
        <v>18.0</v>
      </c>
      <c r="V519" s="26" t="str">
        <f t="shared" si="495"/>
        <v>I</v>
      </c>
      <c r="W519" s="32" t="s">
        <v>299</v>
      </c>
      <c r="X519" s="65">
        <v>12.0</v>
      </c>
      <c r="Y519" s="33" t="str">
        <f t="shared" si="496"/>
        <v>R</v>
      </c>
      <c r="Z519" s="65">
        <v>18.0</v>
      </c>
      <c r="AA519" s="33" t="str">
        <f t="shared" si="497"/>
        <v>S</v>
      </c>
      <c r="AB519" s="65">
        <v>6.0</v>
      </c>
      <c r="AC519" s="33" t="str">
        <f t="shared" si="498"/>
        <v>R</v>
      </c>
      <c r="AD519" s="65">
        <v>18.0</v>
      </c>
      <c r="AE519" s="33" t="str">
        <f t="shared" si="499"/>
        <v>S</v>
      </c>
      <c r="AF519" s="65">
        <v>16.0</v>
      </c>
      <c r="AG519" s="33" t="str">
        <f t="shared" si="500"/>
        <v>R</v>
      </c>
      <c r="AH519" s="65" t="s">
        <v>299</v>
      </c>
      <c r="AI519" s="66">
        <v>12.0</v>
      </c>
      <c r="AJ519" s="36" t="str">
        <f t="shared" si="501"/>
        <v>R</v>
      </c>
      <c r="AK519" s="66">
        <v>17.0</v>
      </c>
      <c r="AL519" s="36" t="str">
        <f t="shared" si="502"/>
        <v>R</v>
      </c>
      <c r="AM519" s="66">
        <v>6.0</v>
      </c>
      <c r="AN519" s="36" t="str">
        <f t="shared" si="503"/>
        <v>R</v>
      </c>
      <c r="AO519" s="66" t="s">
        <v>299</v>
      </c>
      <c r="AP519" s="67">
        <v>6.0</v>
      </c>
      <c r="AQ519" s="37" t="str">
        <f t="shared" si="504"/>
        <v>R</v>
      </c>
      <c r="AR519" s="65">
        <v>21.0</v>
      </c>
      <c r="AS519" s="33" t="str">
        <f t="shared" si="505"/>
        <v>S</v>
      </c>
      <c r="AT519" s="65">
        <v>15.0</v>
      </c>
      <c r="AU519" s="33" t="str">
        <f t="shared" si="506"/>
        <v>R</v>
      </c>
      <c r="AV519" s="65" t="s">
        <v>299</v>
      </c>
      <c r="AW519" s="28">
        <v>9.0</v>
      </c>
      <c r="AX519" s="26" t="str">
        <f t="shared" si="507"/>
        <v>R</v>
      </c>
      <c r="AY519" s="67">
        <v>10.0</v>
      </c>
      <c r="AZ519" s="37" t="str">
        <f t="shared" si="508"/>
        <v>R</v>
      </c>
      <c r="BA519" s="66">
        <v>23.0</v>
      </c>
      <c r="BB519" s="36" t="str">
        <f t="shared" si="509"/>
        <v>S</v>
      </c>
      <c r="BC519" s="39" t="s">
        <v>357</v>
      </c>
      <c r="BD519" s="39" t="s">
        <v>357</v>
      </c>
      <c r="BE519" s="66">
        <v>21.0</v>
      </c>
      <c r="BF519" s="36" t="str">
        <f t="shared" si="510"/>
        <v>I</v>
      </c>
      <c r="BG519" s="68">
        <v>11.0</v>
      </c>
      <c r="BH519" s="41" t="str">
        <f t="shared" si="511"/>
        <v>R</v>
      </c>
      <c r="BI519" s="41"/>
    </row>
    <row r="520">
      <c r="A520" s="21" t="s">
        <v>1006</v>
      </c>
      <c r="B520" s="21" t="s">
        <v>444</v>
      </c>
      <c r="C520" s="21" t="s">
        <v>1989</v>
      </c>
      <c r="D520" s="69" t="s">
        <v>190</v>
      </c>
      <c r="E520" s="18" t="s">
        <v>190</v>
      </c>
      <c r="F520" s="18" t="s">
        <v>192</v>
      </c>
      <c r="G520" s="63" t="s">
        <v>1990</v>
      </c>
      <c r="H520" s="22" t="s">
        <v>198</v>
      </c>
      <c r="I520" s="28">
        <v>6.0</v>
      </c>
      <c r="J520" s="26" t="str">
        <f t="shared" si="489"/>
        <v>R</v>
      </c>
      <c r="K520" s="28">
        <v>15.0</v>
      </c>
      <c r="L520" s="26" t="str">
        <f t="shared" si="490"/>
        <v>R</v>
      </c>
      <c r="M520" s="28">
        <v>6.0</v>
      </c>
      <c r="N520" s="26" t="str">
        <f t="shared" si="491"/>
        <v>R</v>
      </c>
      <c r="O520" s="28">
        <v>19.0</v>
      </c>
      <c r="P520" s="26" t="str">
        <f t="shared" si="492"/>
        <v>R</v>
      </c>
      <c r="Q520" s="28">
        <v>6.0</v>
      </c>
      <c r="R520" s="26" t="str">
        <f t="shared" si="493"/>
        <v>R</v>
      </c>
      <c r="S520" s="28">
        <v>15.0</v>
      </c>
      <c r="T520" s="26" t="str">
        <f t="shared" si="494"/>
        <v>R</v>
      </c>
      <c r="U520" s="28">
        <v>18.0</v>
      </c>
      <c r="V520" s="26" t="str">
        <f t="shared" si="495"/>
        <v>I</v>
      </c>
      <c r="W520" s="32" t="s">
        <v>299</v>
      </c>
      <c r="X520" s="65">
        <v>12.0</v>
      </c>
      <c r="Y520" s="33" t="str">
        <f t="shared" si="496"/>
        <v>R</v>
      </c>
      <c r="Z520" s="65">
        <v>18.0</v>
      </c>
      <c r="AA520" s="33" t="str">
        <f t="shared" si="497"/>
        <v>S</v>
      </c>
      <c r="AB520" s="65">
        <v>6.0</v>
      </c>
      <c r="AC520" s="33" t="str">
        <f t="shared" si="498"/>
        <v>R</v>
      </c>
      <c r="AD520" s="65">
        <v>18.0</v>
      </c>
      <c r="AE520" s="33" t="str">
        <f t="shared" si="499"/>
        <v>S</v>
      </c>
      <c r="AF520" s="65">
        <v>16.0</v>
      </c>
      <c r="AG520" s="33" t="str">
        <f t="shared" si="500"/>
        <v>R</v>
      </c>
      <c r="AH520" s="65" t="s">
        <v>299</v>
      </c>
      <c r="AI520" s="66">
        <v>12.0</v>
      </c>
      <c r="AJ520" s="36" t="str">
        <f t="shared" si="501"/>
        <v>R</v>
      </c>
      <c r="AK520" s="66">
        <v>17.0</v>
      </c>
      <c r="AL520" s="36" t="str">
        <f t="shared" si="502"/>
        <v>R</v>
      </c>
      <c r="AM520" s="66">
        <v>6.0</v>
      </c>
      <c r="AN520" s="36" t="str">
        <f t="shared" si="503"/>
        <v>R</v>
      </c>
      <c r="AO520" s="66" t="s">
        <v>299</v>
      </c>
      <c r="AP520" s="67">
        <v>6.0</v>
      </c>
      <c r="AQ520" s="37" t="str">
        <f t="shared" si="504"/>
        <v>R</v>
      </c>
      <c r="AR520" s="65">
        <v>21.0</v>
      </c>
      <c r="AS520" s="33" t="str">
        <f t="shared" si="505"/>
        <v>S</v>
      </c>
      <c r="AT520" s="65">
        <v>15.0</v>
      </c>
      <c r="AU520" s="33" t="str">
        <f t="shared" si="506"/>
        <v>R</v>
      </c>
      <c r="AV520" s="65" t="s">
        <v>299</v>
      </c>
      <c r="AW520" s="28">
        <v>9.0</v>
      </c>
      <c r="AX520" s="26" t="str">
        <f t="shared" si="507"/>
        <v>R</v>
      </c>
      <c r="AY520" s="67">
        <v>10.0</v>
      </c>
      <c r="AZ520" s="37" t="str">
        <f t="shared" si="508"/>
        <v>R</v>
      </c>
      <c r="BA520" s="66">
        <v>23.0</v>
      </c>
      <c r="BB520" s="36" t="str">
        <f t="shared" si="509"/>
        <v>S</v>
      </c>
      <c r="BC520" s="39" t="s">
        <v>357</v>
      </c>
      <c r="BD520" s="39" t="s">
        <v>357</v>
      </c>
      <c r="BE520" s="66">
        <v>21.0</v>
      </c>
      <c r="BF520" s="36" t="str">
        <f t="shared" si="510"/>
        <v>I</v>
      </c>
      <c r="BG520" s="68">
        <v>11.0</v>
      </c>
      <c r="BH520" s="41" t="str">
        <f t="shared" si="511"/>
        <v>R</v>
      </c>
      <c r="BI520" s="41"/>
    </row>
    <row r="521">
      <c r="A521" s="21" t="s">
        <v>1006</v>
      </c>
      <c r="B521" s="21" t="s">
        <v>444</v>
      </c>
      <c r="C521" s="21" t="s">
        <v>1991</v>
      </c>
      <c r="D521" s="69" t="s">
        <v>190</v>
      </c>
      <c r="E521" s="18" t="s">
        <v>190</v>
      </c>
      <c r="F521" s="18" t="s">
        <v>192</v>
      </c>
      <c r="G521" s="63" t="s">
        <v>1992</v>
      </c>
      <c r="H521" s="22" t="s">
        <v>198</v>
      </c>
      <c r="I521" s="28">
        <v>6.0</v>
      </c>
      <c r="J521" s="26" t="str">
        <f t="shared" si="489"/>
        <v>R</v>
      </c>
      <c r="K521" s="28">
        <v>15.0</v>
      </c>
      <c r="L521" s="26" t="str">
        <f t="shared" si="490"/>
        <v>R</v>
      </c>
      <c r="M521" s="28">
        <v>6.0</v>
      </c>
      <c r="N521" s="26" t="str">
        <f t="shared" si="491"/>
        <v>R</v>
      </c>
      <c r="O521" s="28">
        <v>19.0</v>
      </c>
      <c r="P521" s="26" t="str">
        <f t="shared" si="492"/>
        <v>R</v>
      </c>
      <c r="Q521" s="28">
        <v>6.0</v>
      </c>
      <c r="R521" s="26" t="str">
        <f t="shared" si="493"/>
        <v>R</v>
      </c>
      <c r="S521" s="28">
        <v>15.0</v>
      </c>
      <c r="T521" s="26" t="str">
        <f t="shared" si="494"/>
        <v>R</v>
      </c>
      <c r="U521" s="28">
        <v>18.0</v>
      </c>
      <c r="V521" s="26" t="str">
        <f t="shared" si="495"/>
        <v>I</v>
      </c>
      <c r="W521" s="32" t="s">
        <v>299</v>
      </c>
      <c r="X521" s="65">
        <v>12.0</v>
      </c>
      <c r="Y521" s="33" t="str">
        <f t="shared" si="496"/>
        <v>R</v>
      </c>
      <c r="Z521" s="65">
        <v>18.0</v>
      </c>
      <c r="AA521" s="33" t="str">
        <f t="shared" si="497"/>
        <v>S</v>
      </c>
      <c r="AB521" s="65">
        <v>6.0</v>
      </c>
      <c r="AC521" s="33" t="str">
        <f t="shared" si="498"/>
        <v>R</v>
      </c>
      <c r="AD521" s="65">
        <v>18.0</v>
      </c>
      <c r="AE521" s="33" t="str">
        <f t="shared" si="499"/>
        <v>S</v>
      </c>
      <c r="AF521" s="65">
        <v>16.0</v>
      </c>
      <c r="AG521" s="33" t="str">
        <f t="shared" si="500"/>
        <v>R</v>
      </c>
      <c r="AH521" s="65" t="s">
        <v>299</v>
      </c>
      <c r="AI521" s="66">
        <v>12.0</v>
      </c>
      <c r="AJ521" s="36" t="str">
        <f t="shared" si="501"/>
        <v>R</v>
      </c>
      <c r="AK521" s="66">
        <v>17.0</v>
      </c>
      <c r="AL521" s="36" t="str">
        <f t="shared" si="502"/>
        <v>R</v>
      </c>
      <c r="AM521" s="66">
        <v>6.0</v>
      </c>
      <c r="AN521" s="36" t="str">
        <f t="shared" si="503"/>
        <v>R</v>
      </c>
      <c r="AO521" s="66" t="s">
        <v>299</v>
      </c>
      <c r="AP521" s="67">
        <v>6.0</v>
      </c>
      <c r="AQ521" s="37" t="str">
        <f t="shared" si="504"/>
        <v>R</v>
      </c>
      <c r="AR521" s="65">
        <v>21.0</v>
      </c>
      <c r="AS521" s="33" t="str">
        <f t="shared" si="505"/>
        <v>S</v>
      </c>
      <c r="AT521" s="65">
        <v>15.0</v>
      </c>
      <c r="AU521" s="33" t="str">
        <f t="shared" si="506"/>
        <v>R</v>
      </c>
      <c r="AV521" s="65" t="s">
        <v>299</v>
      </c>
      <c r="AW521" s="28">
        <v>9.0</v>
      </c>
      <c r="AX521" s="26" t="str">
        <f t="shared" si="507"/>
        <v>R</v>
      </c>
      <c r="AY521" s="67">
        <v>10.0</v>
      </c>
      <c r="AZ521" s="37" t="str">
        <f t="shared" si="508"/>
        <v>R</v>
      </c>
      <c r="BA521" s="66">
        <v>23.0</v>
      </c>
      <c r="BB521" s="36" t="str">
        <f t="shared" si="509"/>
        <v>S</v>
      </c>
      <c r="BC521" s="39" t="s">
        <v>357</v>
      </c>
      <c r="BD521" s="39" t="s">
        <v>357</v>
      </c>
      <c r="BE521" s="66">
        <v>21.0</v>
      </c>
      <c r="BF521" s="36" t="str">
        <f t="shared" si="510"/>
        <v>I</v>
      </c>
      <c r="BG521" s="68">
        <v>11.0</v>
      </c>
      <c r="BH521" s="41" t="str">
        <f t="shared" si="511"/>
        <v>R</v>
      </c>
      <c r="BI521" s="41"/>
    </row>
    <row r="522">
      <c r="A522" s="21" t="s">
        <v>1006</v>
      </c>
      <c r="B522" s="23">
        <v>228.0</v>
      </c>
      <c r="C522" s="21" t="s">
        <v>1186</v>
      </c>
      <c r="D522" s="69" t="s">
        <v>571</v>
      </c>
      <c r="E522" s="18" t="s">
        <v>572</v>
      </c>
      <c r="F522" s="18" t="s">
        <v>192</v>
      </c>
      <c r="G522" s="63" t="s">
        <v>1187</v>
      </c>
      <c r="H522" s="22" t="s">
        <v>198</v>
      </c>
      <c r="I522" s="28">
        <v>6.0</v>
      </c>
      <c r="J522" s="26" t="str">
        <f t="shared" si="489"/>
        <v>R</v>
      </c>
      <c r="K522" s="28">
        <v>19.0</v>
      </c>
      <c r="L522" s="26" t="str">
        <f t="shared" si="490"/>
        <v>S</v>
      </c>
      <c r="M522" s="28">
        <v>6.0</v>
      </c>
      <c r="N522" s="26" t="str">
        <f t="shared" si="491"/>
        <v>R</v>
      </c>
      <c r="O522" s="28">
        <v>23.0</v>
      </c>
      <c r="P522" s="26" t="str">
        <f t="shared" si="492"/>
        <v>S</v>
      </c>
      <c r="Q522" s="28">
        <v>11.0</v>
      </c>
      <c r="R522" s="26" t="str">
        <f t="shared" si="493"/>
        <v>R</v>
      </c>
      <c r="S522" s="28">
        <v>23.0</v>
      </c>
      <c r="T522" s="26" t="str">
        <f t="shared" si="494"/>
        <v>S</v>
      </c>
      <c r="U522" s="28">
        <v>27.0</v>
      </c>
      <c r="V522" s="26" t="str">
        <f t="shared" si="495"/>
        <v>S</v>
      </c>
      <c r="W522" s="32" t="s">
        <v>299</v>
      </c>
      <c r="X522" s="65">
        <v>17.0</v>
      </c>
      <c r="Y522" s="33" t="str">
        <f t="shared" si="496"/>
        <v>I</v>
      </c>
      <c r="Z522" s="65">
        <v>24.0</v>
      </c>
      <c r="AA522" s="33" t="str">
        <f t="shared" si="497"/>
        <v>S</v>
      </c>
      <c r="AB522" s="65">
        <v>21.0</v>
      </c>
      <c r="AC522" s="33" t="str">
        <f t="shared" si="498"/>
        <v>I</v>
      </c>
      <c r="AD522" s="65">
        <v>24.0</v>
      </c>
      <c r="AE522" s="33" t="str">
        <f t="shared" si="499"/>
        <v>S</v>
      </c>
      <c r="AF522" s="65">
        <v>23.0</v>
      </c>
      <c r="AG522" s="33" t="str">
        <f t="shared" si="500"/>
        <v>R</v>
      </c>
      <c r="AH522" s="65" t="s">
        <v>299</v>
      </c>
      <c r="AI522" s="66">
        <v>32.0</v>
      </c>
      <c r="AJ522" s="36" t="str">
        <f t="shared" si="501"/>
        <v>S</v>
      </c>
      <c r="AK522" s="66">
        <v>26.0</v>
      </c>
      <c r="AL522" s="36" t="str">
        <f t="shared" si="502"/>
        <v>S</v>
      </c>
      <c r="AM522" s="66">
        <v>26.0</v>
      </c>
      <c r="AN522" s="36" t="str">
        <f t="shared" si="503"/>
        <v>S</v>
      </c>
      <c r="AO522" s="36" t="s">
        <v>300</v>
      </c>
      <c r="AP522" s="67">
        <v>6.0</v>
      </c>
      <c r="AQ522" s="37" t="str">
        <f t="shared" si="504"/>
        <v>R</v>
      </c>
      <c r="AR522" s="65">
        <v>24.0</v>
      </c>
      <c r="AS522" s="33" t="str">
        <f t="shared" si="505"/>
        <v>S</v>
      </c>
      <c r="AT522" s="65">
        <v>24.0</v>
      </c>
      <c r="AU522" s="33" t="str">
        <f t="shared" si="506"/>
        <v>S</v>
      </c>
      <c r="AV522" s="33" t="s">
        <v>300</v>
      </c>
      <c r="AW522" s="28">
        <v>6.0</v>
      </c>
      <c r="AX522" s="26" t="str">
        <f t="shared" si="507"/>
        <v>R</v>
      </c>
      <c r="AY522" s="67">
        <v>26.0</v>
      </c>
      <c r="AZ522" s="37" t="str">
        <f t="shared" si="508"/>
        <v>S</v>
      </c>
      <c r="BA522" s="66">
        <v>34.0</v>
      </c>
      <c r="BB522" s="36" t="str">
        <f t="shared" si="509"/>
        <v>S</v>
      </c>
      <c r="BC522" s="39" t="s">
        <v>357</v>
      </c>
      <c r="BD522" s="39" t="s">
        <v>357</v>
      </c>
      <c r="BE522" s="66">
        <v>27.0</v>
      </c>
      <c r="BF522" s="36" t="str">
        <f t="shared" si="510"/>
        <v>S</v>
      </c>
      <c r="BG522" s="68">
        <v>23.0</v>
      </c>
      <c r="BH522" s="41" t="str">
        <f t="shared" si="511"/>
        <v>S</v>
      </c>
      <c r="BI522" s="41"/>
    </row>
    <row r="523">
      <c r="A523" s="21" t="s">
        <v>1006</v>
      </c>
      <c r="B523" s="21" t="s">
        <v>444</v>
      </c>
      <c r="C523" s="21" t="s">
        <v>1993</v>
      </c>
      <c r="D523" s="69" t="s">
        <v>571</v>
      </c>
      <c r="E523" s="18" t="s">
        <v>572</v>
      </c>
      <c r="F523" s="18" t="s">
        <v>192</v>
      </c>
      <c r="G523" s="63" t="s">
        <v>1994</v>
      </c>
      <c r="H523" s="22" t="s">
        <v>198</v>
      </c>
      <c r="I523" s="28">
        <v>6.0</v>
      </c>
      <c r="J523" s="26" t="str">
        <f t="shared" si="489"/>
        <v>R</v>
      </c>
      <c r="K523" s="28">
        <v>19.0</v>
      </c>
      <c r="L523" s="26" t="str">
        <f t="shared" si="490"/>
        <v>S</v>
      </c>
      <c r="M523" s="28">
        <v>6.0</v>
      </c>
      <c r="N523" s="26" t="str">
        <f t="shared" si="491"/>
        <v>R</v>
      </c>
      <c r="O523" s="28">
        <v>23.0</v>
      </c>
      <c r="P523" s="26" t="str">
        <f t="shared" si="492"/>
        <v>S</v>
      </c>
      <c r="Q523" s="28">
        <v>11.0</v>
      </c>
      <c r="R523" s="26" t="str">
        <f t="shared" si="493"/>
        <v>R</v>
      </c>
      <c r="S523" s="28">
        <v>23.0</v>
      </c>
      <c r="T523" s="26" t="str">
        <f t="shared" si="494"/>
        <v>S</v>
      </c>
      <c r="U523" s="28">
        <v>27.0</v>
      </c>
      <c r="V523" s="26" t="str">
        <f t="shared" si="495"/>
        <v>S</v>
      </c>
      <c r="W523" s="32" t="s">
        <v>299</v>
      </c>
      <c r="X523" s="65">
        <v>17.0</v>
      </c>
      <c r="Y523" s="33" t="str">
        <f t="shared" si="496"/>
        <v>I</v>
      </c>
      <c r="Z523" s="65">
        <v>24.0</v>
      </c>
      <c r="AA523" s="33" t="str">
        <f t="shared" si="497"/>
        <v>S</v>
      </c>
      <c r="AB523" s="65">
        <v>21.0</v>
      </c>
      <c r="AC523" s="33" t="str">
        <f t="shared" si="498"/>
        <v>I</v>
      </c>
      <c r="AD523" s="65">
        <v>24.0</v>
      </c>
      <c r="AE523" s="33" t="str">
        <f t="shared" si="499"/>
        <v>S</v>
      </c>
      <c r="AF523" s="65">
        <v>23.0</v>
      </c>
      <c r="AG523" s="33" t="str">
        <f t="shared" si="500"/>
        <v>R</v>
      </c>
      <c r="AH523" s="65" t="s">
        <v>299</v>
      </c>
      <c r="AI523" s="66">
        <v>32.0</v>
      </c>
      <c r="AJ523" s="36" t="str">
        <f t="shared" si="501"/>
        <v>S</v>
      </c>
      <c r="AK523" s="66">
        <v>26.0</v>
      </c>
      <c r="AL523" s="36" t="str">
        <f t="shared" si="502"/>
        <v>S</v>
      </c>
      <c r="AM523" s="66">
        <v>26.0</v>
      </c>
      <c r="AN523" s="36" t="str">
        <f t="shared" si="503"/>
        <v>S</v>
      </c>
      <c r="AO523" s="36" t="s">
        <v>300</v>
      </c>
      <c r="AP523" s="67">
        <v>6.0</v>
      </c>
      <c r="AQ523" s="37" t="str">
        <f t="shared" si="504"/>
        <v>R</v>
      </c>
      <c r="AR523" s="65">
        <v>24.0</v>
      </c>
      <c r="AS523" s="33" t="str">
        <f t="shared" si="505"/>
        <v>S</v>
      </c>
      <c r="AT523" s="65">
        <v>24.0</v>
      </c>
      <c r="AU523" s="33" t="str">
        <f t="shared" si="506"/>
        <v>S</v>
      </c>
      <c r="AV523" s="33" t="s">
        <v>300</v>
      </c>
      <c r="AW523" s="28">
        <v>6.0</v>
      </c>
      <c r="AX523" s="26" t="str">
        <f t="shared" si="507"/>
        <v>R</v>
      </c>
      <c r="AY523" s="67">
        <v>26.0</v>
      </c>
      <c r="AZ523" s="37" t="str">
        <f t="shared" si="508"/>
        <v>S</v>
      </c>
      <c r="BA523" s="66">
        <v>34.0</v>
      </c>
      <c r="BB523" s="36" t="str">
        <f t="shared" si="509"/>
        <v>S</v>
      </c>
      <c r="BC523" s="39" t="s">
        <v>357</v>
      </c>
      <c r="BD523" s="39" t="s">
        <v>357</v>
      </c>
      <c r="BE523" s="66">
        <v>27.0</v>
      </c>
      <c r="BF523" s="36" t="str">
        <f t="shared" si="510"/>
        <v>S</v>
      </c>
      <c r="BG523" s="68">
        <v>23.0</v>
      </c>
      <c r="BH523" s="41" t="str">
        <f t="shared" si="511"/>
        <v>S</v>
      </c>
      <c r="BI523" s="41"/>
    </row>
    <row r="524">
      <c r="A524" s="21" t="s">
        <v>1006</v>
      </c>
      <c r="B524" s="21" t="s">
        <v>444</v>
      </c>
      <c r="C524" s="21" t="s">
        <v>1995</v>
      </c>
      <c r="D524" s="69" t="s">
        <v>571</v>
      </c>
      <c r="E524" s="18" t="s">
        <v>572</v>
      </c>
      <c r="F524" s="18" t="s">
        <v>192</v>
      </c>
      <c r="G524" s="63" t="s">
        <v>1996</v>
      </c>
      <c r="H524" s="22" t="s">
        <v>198</v>
      </c>
      <c r="I524" s="28">
        <v>6.0</v>
      </c>
      <c r="J524" s="26" t="str">
        <f t="shared" si="489"/>
        <v>R</v>
      </c>
      <c r="K524" s="28">
        <v>19.0</v>
      </c>
      <c r="L524" s="26" t="str">
        <f t="shared" si="490"/>
        <v>S</v>
      </c>
      <c r="M524" s="28">
        <v>6.0</v>
      </c>
      <c r="N524" s="26" t="str">
        <f t="shared" si="491"/>
        <v>R</v>
      </c>
      <c r="O524" s="28">
        <v>23.0</v>
      </c>
      <c r="P524" s="26" t="str">
        <f t="shared" si="492"/>
        <v>S</v>
      </c>
      <c r="Q524" s="28">
        <v>11.0</v>
      </c>
      <c r="R524" s="26" t="str">
        <f t="shared" si="493"/>
        <v>R</v>
      </c>
      <c r="S524" s="28">
        <v>23.0</v>
      </c>
      <c r="T524" s="26" t="str">
        <f t="shared" si="494"/>
        <v>S</v>
      </c>
      <c r="U524" s="28">
        <v>27.0</v>
      </c>
      <c r="V524" s="26" t="str">
        <f t="shared" si="495"/>
        <v>S</v>
      </c>
      <c r="W524" s="32" t="s">
        <v>299</v>
      </c>
      <c r="X524" s="65">
        <v>17.0</v>
      </c>
      <c r="Y524" s="33" t="str">
        <f t="shared" si="496"/>
        <v>I</v>
      </c>
      <c r="Z524" s="65">
        <v>24.0</v>
      </c>
      <c r="AA524" s="33" t="str">
        <f t="shared" si="497"/>
        <v>S</v>
      </c>
      <c r="AB524" s="65">
        <v>21.0</v>
      </c>
      <c r="AC524" s="33" t="str">
        <f t="shared" si="498"/>
        <v>I</v>
      </c>
      <c r="AD524" s="65">
        <v>24.0</v>
      </c>
      <c r="AE524" s="33" t="str">
        <f t="shared" si="499"/>
        <v>S</v>
      </c>
      <c r="AF524" s="65">
        <v>23.0</v>
      </c>
      <c r="AG524" s="33" t="str">
        <f t="shared" si="500"/>
        <v>R</v>
      </c>
      <c r="AH524" s="65" t="s">
        <v>299</v>
      </c>
      <c r="AI524" s="66">
        <v>32.0</v>
      </c>
      <c r="AJ524" s="36" t="str">
        <f t="shared" si="501"/>
        <v>S</v>
      </c>
      <c r="AK524" s="66">
        <v>26.0</v>
      </c>
      <c r="AL524" s="36" t="str">
        <f t="shared" si="502"/>
        <v>S</v>
      </c>
      <c r="AM524" s="66">
        <v>26.0</v>
      </c>
      <c r="AN524" s="36" t="str">
        <f t="shared" si="503"/>
        <v>S</v>
      </c>
      <c r="AO524" s="36" t="s">
        <v>300</v>
      </c>
      <c r="AP524" s="67">
        <v>6.0</v>
      </c>
      <c r="AQ524" s="37" t="str">
        <f t="shared" si="504"/>
        <v>R</v>
      </c>
      <c r="AR524" s="65">
        <v>24.0</v>
      </c>
      <c r="AS524" s="33" t="str">
        <f t="shared" si="505"/>
        <v>S</v>
      </c>
      <c r="AT524" s="65">
        <v>24.0</v>
      </c>
      <c r="AU524" s="33" t="str">
        <f t="shared" si="506"/>
        <v>S</v>
      </c>
      <c r="AV524" s="33" t="s">
        <v>300</v>
      </c>
      <c r="AW524" s="28">
        <v>6.0</v>
      </c>
      <c r="AX524" s="26" t="str">
        <f t="shared" si="507"/>
        <v>R</v>
      </c>
      <c r="AY524" s="67">
        <v>26.0</v>
      </c>
      <c r="AZ524" s="37" t="str">
        <f t="shared" si="508"/>
        <v>S</v>
      </c>
      <c r="BA524" s="66">
        <v>34.0</v>
      </c>
      <c r="BB524" s="36" t="str">
        <f t="shared" si="509"/>
        <v>S</v>
      </c>
      <c r="BC524" s="39" t="s">
        <v>357</v>
      </c>
      <c r="BD524" s="39" t="s">
        <v>357</v>
      </c>
      <c r="BE524" s="66">
        <v>27.0</v>
      </c>
      <c r="BF524" s="36" t="str">
        <f t="shared" si="510"/>
        <v>S</v>
      </c>
      <c r="BG524" s="68">
        <v>23.0</v>
      </c>
      <c r="BH524" s="41" t="str">
        <f t="shared" si="511"/>
        <v>S</v>
      </c>
      <c r="BI524" s="41"/>
    </row>
    <row r="525">
      <c r="A525" s="21" t="s">
        <v>1006</v>
      </c>
      <c r="B525" s="23">
        <v>229.0</v>
      </c>
      <c r="C525" s="21" t="s">
        <v>1188</v>
      </c>
      <c r="D525" s="69" t="s">
        <v>705</v>
      </c>
      <c r="E525" s="18" t="s">
        <v>572</v>
      </c>
      <c r="F525" s="18" t="s">
        <v>192</v>
      </c>
      <c r="G525" s="63" t="s">
        <v>1189</v>
      </c>
      <c r="H525" s="42" t="s">
        <v>479</v>
      </c>
      <c r="I525" s="28">
        <v>6.0</v>
      </c>
      <c r="J525" s="26" t="str">
        <f t="shared" si="489"/>
        <v>R</v>
      </c>
      <c r="K525" s="28">
        <v>8.0</v>
      </c>
      <c r="L525" s="26" t="str">
        <f t="shared" si="490"/>
        <v>R</v>
      </c>
      <c r="M525" s="28">
        <v>9.0</v>
      </c>
      <c r="N525" s="26" t="str">
        <f t="shared" si="491"/>
        <v>R</v>
      </c>
      <c r="O525" s="28">
        <v>22.0</v>
      </c>
      <c r="P525" s="26" t="str">
        <f t="shared" si="492"/>
        <v>I</v>
      </c>
      <c r="Q525" s="28">
        <v>10.0</v>
      </c>
      <c r="R525" s="26" t="str">
        <f t="shared" si="493"/>
        <v>R</v>
      </c>
      <c r="S525" s="28">
        <v>20.0</v>
      </c>
      <c r="T525" s="26" t="str">
        <f t="shared" si="494"/>
        <v>S</v>
      </c>
      <c r="U525" s="28">
        <v>16.0</v>
      </c>
      <c r="V525" s="26" t="str">
        <f t="shared" si="495"/>
        <v>R</v>
      </c>
      <c r="W525" s="32" t="s">
        <v>299</v>
      </c>
      <c r="X525" s="65">
        <v>19.0</v>
      </c>
      <c r="Y525" s="33" t="str">
        <f t="shared" si="496"/>
        <v>I</v>
      </c>
      <c r="Z525" s="65">
        <v>10.0</v>
      </c>
      <c r="AA525" s="33" t="str">
        <f t="shared" si="497"/>
        <v>R</v>
      </c>
      <c r="AB525" s="65">
        <v>6.0</v>
      </c>
      <c r="AC525" s="33" t="str">
        <f t="shared" si="498"/>
        <v>R</v>
      </c>
      <c r="AD525" s="65">
        <v>19.0</v>
      </c>
      <c r="AE525" s="33" t="str">
        <f t="shared" si="499"/>
        <v>S</v>
      </c>
      <c r="AF525" s="65">
        <v>16.0</v>
      </c>
      <c r="AG525" s="33" t="str">
        <f t="shared" si="500"/>
        <v>R</v>
      </c>
      <c r="AH525" s="65" t="s">
        <v>299</v>
      </c>
      <c r="AI525" s="66">
        <v>21.0</v>
      </c>
      <c r="AJ525" s="36" t="str">
        <f t="shared" si="501"/>
        <v>R</v>
      </c>
      <c r="AK525" s="66">
        <v>20.0</v>
      </c>
      <c r="AL525" s="36" t="str">
        <f t="shared" si="502"/>
        <v>I</v>
      </c>
      <c r="AM525" s="66">
        <v>16.0</v>
      </c>
      <c r="AN525" s="36" t="str">
        <f t="shared" si="503"/>
        <v>S</v>
      </c>
      <c r="AO525" s="66" t="s">
        <v>299</v>
      </c>
      <c r="AP525" s="67">
        <v>18.0</v>
      </c>
      <c r="AQ525" s="37" t="str">
        <f t="shared" si="504"/>
        <v>S</v>
      </c>
      <c r="AR525" s="65">
        <v>20.0</v>
      </c>
      <c r="AS525" s="33" t="str">
        <f t="shared" si="505"/>
        <v>S</v>
      </c>
      <c r="AT525" s="65">
        <v>19.0</v>
      </c>
      <c r="AU525" s="33" t="str">
        <f t="shared" si="506"/>
        <v>S</v>
      </c>
      <c r="AV525" s="33" t="s">
        <v>300</v>
      </c>
      <c r="AW525" s="28">
        <v>19.0</v>
      </c>
      <c r="AX525" s="26" t="str">
        <f t="shared" si="507"/>
        <v>R</v>
      </c>
      <c r="AY525" s="67">
        <v>16.0</v>
      </c>
      <c r="AZ525" s="37" t="str">
        <f t="shared" si="508"/>
        <v>R</v>
      </c>
      <c r="BA525" s="66">
        <v>21.0</v>
      </c>
      <c r="BB525" s="36" t="str">
        <f t="shared" si="509"/>
        <v>R</v>
      </c>
      <c r="BC525" s="39" t="s">
        <v>357</v>
      </c>
      <c r="BD525" s="39" t="s">
        <v>357</v>
      </c>
      <c r="BE525" s="66">
        <v>19.0</v>
      </c>
      <c r="BF525" s="36" t="str">
        <f t="shared" si="510"/>
        <v>I</v>
      </c>
      <c r="BG525" s="68">
        <v>20.0</v>
      </c>
      <c r="BH525" s="41" t="str">
        <f t="shared" si="511"/>
        <v>S</v>
      </c>
      <c r="BI525" s="41"/>
    </row>
    <row r="526">
      <c r="A526" s="21" t="s">
        <v>1006</v>
      </c>
      <c r="B526" s="21" t="s">
        <v>444</v>
      </c>
      <c r="C526" s="21" t="s">
        <v>1997</v>
      </c>
      <c r="D526" s="69" t="s">
        <v>705</v>
      </c>
      <c r="E526" s="18" t="s">
        <v>572</v>
      </c>
      <c r="F526" s="18" t="s">
        <v>192</v>
      </c>
      <c r="G526" s="63" t="s">
        <v>1998</v>
      </c>
      <c r="H526" s="42" t="s">
        <v>479</v>
      </c>
      <c r="I526" s="28">
        <v>9.0</v>
      </c>
      <c r="J526" s="26" t="str">
        <f t="shared" si="489"/>
        <v>R</v>
      </c>
      <c r="K526" s="28">
        <v>10.0</v>
      </c>
      <c r="L526" s="26" t="str">
        <f t="shared" si="490"/>
        <v>R</v>
      </c>
      <c r="M526" s="28">
        <v>9.0</v>
      </c>
      <c r="N526" s="26" t="str">
        <f t="shared" si="491"/>
        <v>R</v>
      </c>
      <c r="O526" s="28">
        <v>22.0</v>
      </c>
      <c r="P526" s="26" t="str">
        <f t="shared" si="492"/>
        <v>I</v>
      </c>
      <c r="Q526" s="28">
        <v>11.0</v>
      </c>
      <c r="R526" s="26" t="str">
        <f t="shared" si="493"/>
        <v>R</v>
      </c>
      <c r="S526" s="28">
        <v>21.0</v>
      </c>
      <c r="T526" s="26" t="str">
        <f t="shared" si="494"/>
        <v>S</v>
      </c>
      <c r="U526" s="28">
        <v>16.0</v>
      </c>
      <c r="V526" s="26" t="str">
        <f t="shared" si="495"/>
        <v>R</v>
      </c>
      <c r="W526" s="32" t="s">
        <v>299</v>
      </c>
      <c r="X526" s="65">
        <v>18.0</v>
      </c>
      <c r="Y526" s="33" t="str">
        <f t="shared" si="496"/>
        <v>I</v>
      </c>
      <c r="Z526" s="65">
        <v>11.0</v>
      </c>
      <c r="AA526" s="33" t="str">
        <f t="shared" si="497"/>
        <v>R</v>
      </c>
      <c r="AB526" s="65">
        <v>6.0</v>
      </c>
      <c r="AC526" s="33" t="str">
        <f t="shared" si="498"/>
        <v>R</v>
      </c>
      <c r="AD526" s="65">
        <v>16.0</v>
      </c>
      <c r="AE526" s="33" t="str">
        <f t="shared" si="499"/>
        <v>S</v>
      </c>
      <c r="AF526" s="65">
        <v>10.0</v>
      </c>
      <c r="AG526" s="33" t="str">
        <f t="shared" si="500"/>
        <v>R</v>
      </c>
      <c r="AH526" s="65" t="s">
        <v>299</v>
      </c>
      <c r="AI526" s="66">
        <v>20.0</v>
      </c>
      <c r="AJ526" s="36" t="str">
        <f t="shared" si="501"/>
        <v>R</v>
      </c>
      <c r="AK526" s="66">
        <v>20.0</v>
      </c>
      <c r="AL526" s="36" t="str">
        <f t="shared" si="502"/>
        <v>I</v>
      </c>
      <c r="AM526" s="66">
        <v>14.0</v>
      </c>
      <c r="AN526" s="36" t="str">
        <f t="shared" si="503"/>
        <v>S</v>
      </c>
      <c r="AO526" s="66" t="s">
        <v>299</v>
      </c>
      <c r="AP526" s="67">
        <v>15.0</v>
      </c>
      <c r="AQ526" s="37" t="str">
        <f t="shared" si="504"/>
        <v>S</v>
      </c>
      <c r="AR526" s="65">
        <v>19.0</v>
      </c>
      <c r="AS526" s="33" t="str">
        <f t="shared" si="505"/>
        <v>S</v>
      </c>
      <c r="AT526" s="65">
        <v>17.0</v>
      </c>
      <c r="AU526" s="33" t="str">
        <f t="shared" si="506"/>
        <v>S</v>
      </c>
      <c r="AV526" s="33" t="s">
        <v>300</v>
      </c>
      <c r="AW526" s="28">
        <v>18.0</v>
      </c>
      <c r="AX526" s="26" t="str">
        <f t="shared" si="507"/>
        <v>R</v>
      </c>
      <c r="AY526" s="67">
        <v>14.0</v>
      </c>
      <c r="AZ526" s="37" t="str">
        <f t="shared" si="508"/>
        <v>R</v>
      </c>
      <c r="BA526" s="66">
        <v>20.0</v>
      </c>
      <c r="BB526" s="36" t="str">
        <f t="shared" si="509"/>
        <v>R</v>
      </c>
      <c r="BC526" s="39" t="s">
        <v>357</v>
      </c>
      <c r="BD526" s="39" t="s">
        <v>357</v>
      </c>
      <c r="BE526" s="66">
        <v>19.0</v>
      </c>
      <c r="BF526" s="36" t="str">
        <f t="shared" si="510"/>
        <v>I</v>
      </c>
      <c r="BG526" s="68">
        <v>21.0</v>
      </c>
      <c r="BH526" s="41" t="str">
        <f t="shared" si="511"/>
        <v>S</v>
      </c>
      <c r="BI526" s="41"/>
    </row>
    <row r="527">
      <c r="A527" s="21" t="s">
        <v>1006</v>
      </c>
      <c r="B527" s="21" t="s">
        <v>444</v>
      </c>
      <c r="C527" s="21" t="s">
        <v>1999</v>
      </c>
      <c r="D527" s="69" t="s">
        <v>705</v>
      </c>
      <c r="E527" s="18" t="s">
        <v>572</v>
      </c>
      <c r="F527" s="18" t="s">
        <v>192</v>
      </c>
      <c r="G527" s="63" t="s">
        <v>2000</v>
      </c>
      <c r="H527" s="42" t="s">
        <v>479</v>
      </c>
      <c r="I527" s="28">
        <v>8.0</v>
      </c>
      <c r="J527" s="26" t="str">
        <f t="shared" si="489"/>
        <v>R</v>
      </c>
      <c r="K527" s="28">
        <v>9.0</v>
      </c>
      <c r="L527" s="26" t="str">
        <f t="shared" si="490"/>
        <v>R</v>
      </c>
      <c r="M527" s="28">
        <v>6.0</v>
      </c>
      <c r="N527" s="26" t="str">
        <f t="shared" si="491"/>
        <v>R</v>
      </c>
      <c r="O527" s="28">
        <v>22.0</v>
      </c>
      <c r="P527" s="26" t="str">
        <f t="shared" si="492"/>
        <v>I</v>
      </c>
      <c r="Q527" s="28">
        <v>9.0</v>
      </c>
      <c r="R527" s="26" t="str">
        <f t="shared" si="493"/>
        <v>R</v>
      </c>
      <c r="S527" s="28">
        <v>20.0</v>
      </c>
      <c r="T527" s="26" t="str">
        <f t="shared" si="494"/>
        <v>S</v>
      </c>
      <c r="U527" s="28">
        <v>16.0</v>
      </c>
      <c r="V527" s="26" t="str">
        <f t="shared" si="495"/>
        <v>R</v>
      </c>
      <c r="W527" s="32" t="s">
        <v>299</v>
      </c>
      <c r="X527" s="65">
        <v>19.0</v>
      </c>
      <c r="Y527" s="33" t="str">
        <f t="shared" si="496"/>
        <v>I</v>
      </c>
      <c r="Z527" s="65">
        <v>10.0</v>
      </c>
      <c r="AA527" s="33" t="str">
        <f t="shared" si="497"/>
        <v>R</v>
      </c>
      <c r="AB527" s="65">
        <v>6.0</v>
      </c>
      <c r="AC527" s="33" t="str">
        <f t="shared" si="498"/>
        <v>R</v>
      </c>
      <c r="AD527" s="65">
        <v>18.0</v>
      </c>
      <c r="AE527" s="33" t="str">
        <f t="shared" si="499"/>
        <v>S</v>
      </c>
      <c r="AF527" s="65">
        <v>15.0</v>
      </c>
      <c r="AG527" s="33" t="str">
        <f t="shared" si="500"/>
        <v>R</v>
      </c>
      <c r="AH527" s="65" t="s">
        <v>299</v>
      </c>
      <c r="AI527" s="66">
        <v>21.0</v>
      </c>
      <c r="AJ527" s="36" t="str">
        <f t="shared" si="501"/>
        <v>R</v>
      </c>
      <c r="AK527" s="66">
        <v>20.0</v>
      </c>
      <c r="AL527" s="36" t="str">
        <f t="shared" si="502"/>
        <v>I</v>
      </c>
      <c r="AM527" s="66">
        <v>18.0</v>
      </c>
      <c r="AN527" s="36" t="str">
        <f t="shared" si="503"/>
        <v>S</v>
      </c>
      <c r="AO527" s="66" t="s">
        <v>299</v>
      </c>
      <c r="AP527" s="67">
        <v>18.0</v>
      </c>
      <c r="AQ527" s="37" t="str">
        <f t="shared" si="504"/>
        <v>S</v>
      </c>
      <c r="AR527" s="65">
        <v>21.0</v>
      </c>
      <c r="AS527" s="33" t="str">
        <f t="shared" si="505"/>
        <v>S</v>
      </c>
      <c r="AT527" s="65">
        <v>19.0</v>
      </c>
      <c r="AU527" s="33" t="str">
        <f t="shared" si="506"/>
        <v>S</v>
      </c>
      <c r="AV527" s="33" t="s">
        <v>300</v>
      </c>
      <c r="AW527" s="28">
        <v>19.0</v>
      </c>
      <c r="AX527" s="26" t="str">
        <f t="shared" si="507"/>
        <v>R</v>
      </c>
      <c r="AY527" s="67">
        <v>11.0</v>
      </c>
      <c r="AZ527" s="37" t="str">
        <f t="shared" si="508"/>
        <v>R</v>
      </c>
      <c r="BA527" s="66">
        <v>20.0</v>
      </c>
      <c r="BB527" s="36" t="str">
        <f t="shared" si="509"/>
        <v>R</v>
      </c>
      <c r="BC527" s="39" t="s">
        <v>357</v>
      </c>
      <c r="BD527" s="39" t="s">
        <v>357</v>
      </c>
      <c r="BE527" s="66">
        <v>19.0</v>
      </c>
      <c r="BF527" s="36" t="str">
        <f t="shared" si="510"/>
        <v>I</v>
      </c>
      <c r="BG527" s="68">
        <v>19.0</v>
      </c>
      <c r="BH527" s="41" t="str">
        <f t="shared" si="511"/>
        <v>S</v>
      </c>
      <c r="BI527" s="41"/>
    </row>
    <row r="528">
      <c r="A528" s="51" t="s">
        <v>1012</v>
      </c>
      <c r="B528" s="53">
        <v>230.0</v>
      </c>
      <c r="C528" s="51" t="s">
        <v>1190</v>
      </c>
      <c r="D528" s="69" t="s">
        <v>571</v>
      </c>
      <c r="E528" s="18" t="s">
        <v>572</v>
      </c>
      <c r="F528" s="18" t="s">
        <v>192</v>
      </c>
      <c r="G528" s="63" t="s">
        <v>1191</v>
      </c>
      <c r="H528" s="22" t="s">
        <v>198</v>
      </c>
      <c r="I528" s="28">
        <v>6.0</v>
      </c>
      <c r="J528" s="26" t="str">
        <f t="shared" si="489"/>
        <v>R</v>
      </c>
      <c r="K528" s="28">
        <v>18.0</v>
      </c>
      <c r="L528" s="26" t="str">
        <f t="shared" si="490"/>
        <v>R</v>
      </c>
      <c r="M528" s="28">
        <v>6.0</v>
      </c>
      <c r="N528" s="26" t="str">
        <f t="shared" si="491"/>
        <v>R</v>
      </c>
      <c r="O528" s="28">
        <v>24.0</v>
      </c>
      <c r="P528" s="26" t="str">
        <f t="shared" si="492"/>
        <v>S</v>
      </c>
      <c r="Q528" s="28">
        <v>6.0</v>
      </c>
      <c r="R528" s="26" t="str">
        <f t="shared" si="493"/>
        <v>R</v>
      </c>
      <c r="S528" s="28">
        <v>21.0</v>
      </c>
      <c r="T528" s="26" t="str">
        <f t="shared" si="494"/>
        <v>S</v>
      </c>
      <c r="U528" s="28">
        <v>18.0</v>
      </c>
      <c r="V528" s="26" t="str">
        <f t="shared" si="495"/>
        <v>I</v>
      </c>
      <c r="W528" s="32" t="s">
        <v>299</v>
      </c>
      <c r="X528" s="65">
        <v>6.0</v>
      </c>
      <c r="Y528" s="33" t="str">
        <f t="shared" si="496"/>
        <v>R</v>
      </c>
      <c r="Z528" s="65">
        <v>29.0</v>
      </c>
      <c r="AA528" s="33" t="str">
        <f t="shared" si="497"/>
        <v>S</v>
      </c>
      <c r="AB528" s="65">
        <v>6.0</v>
      </c>
      <c r="AC528" s="33" t="str">
        <f t="shared" si="498"/>
        <v>R</v>
      </c>
      <c r="AD528" s="65">
        <v>22.0</v>
      </c>
      <c r="AE528" s="33" t="str">
        <f t="shared" si="499"/>
        <v>S</v>
      </c>
      <c r="AF528" s="65">
        <v>14.0</v>
      </c>
      <c r="AG528" s="33" t="str">
        <f t="shared" si="500"/>
        <v>R</v>
      </c>
      <c r="AH528" s="65" t="s">
        <v>299</v>
      </c>
      <c r="AI528" s="66">
        <v>6.0</v>
      </c>
      <c r="AJ528" s="36" t="str">
        <f t="shared" si="501"/>
        <v>R</v>
      </c>
      <c r="AK528" s="66">
        <v>10.0</v>
      </c>
      <c r="AL528" s="36" t="str">
        <f t="shared" si="502"/>
        <v>R</v>
      </c>
      <c r="AM528" s="66">
        <v>6.0</v>
      </c>
      <c r="AN528" s="36" t="str">
        <f t="shared" si="503"/>
        <v>R</v>
      </c>
      <c r="AO528" s="66" t="s">
        <v>299</v>
      </c>
      <c r="AP528" s="67">
        <v>6.0</v>
      </c>
      <c r="AQ528" s="37" t="str">
        <f t="shared" si="504"/>
        <v>R</v>
      </c>
      <c r="AR528" s="65">
        <v>20.0</v>
      </c>
      <c r="AS528" s="33" t="str">
        <f t="shared" si="505"/>
        <v>S</v>
      </c>
      <c r="AT528" s="65">
        <v>16.0</v>
      </c>
      <c r="AU528" s="33" t="str">
        <f t="shared" si="506"/>
        <v>S</v>
      </c>
      <c r="AV528" s="33" t="s">
        <v>300</v>
      </c>
      <c r="AW528" s="28">
        <v>6.0</v>
      </c>
      <c r="AX528" s="26" t="str">
        <f t="shared" si="507"/>
        <v>R</v>
      </c>
      <c r="AY528" s="67">
        <v>11.0</v>
      </c>
      <c r="AZ528" s="37" t="str">
        <f t="shared" si="508"/>
        <v>R</v>
      </c>
      <c r="BA528" s="66">
        <v>21.0</v>
      </c>
      <c r="BB528" s="36" t="str">
        <f t="shared" si="509"/>
        <v>R</v>
      </c>
      <c r="BC528" s="39" t="s">
        <v>357</v>
      </c>
      <c r="BD528" s="39" t="s">
        <v>357</v>
      </c>
      <c r="BE528" s="66">
        <v>25.0</v>
      </c>
      <c r="BF528" s="36" t="str">
        <f t="shared" si="510"/>
        <v>S</v>
      </c>
      <c r="BG528" s="68">
        <v>9.0</v>
      </c>
      <c r="BH528" s="41" t="str">
        <f t="shared" si="511"/>
        <v>R</v>
      </c>
      <c r="BI528" s="41"/>
    </row>
    <row r="529">
      <c r="A529" s="51" t="s">
        <v>1012</v>
      </c>
      <c r="B529" s="51" t="s">
        <v>444</v>
      </c>
      <c r="C529" s="51" t="s">
        <v>2001</v>
      </c>
      <c r="D529" s="69" t="s">
        <v>571</v>
      </c>
      <c r="E529" s="18" t="s">
        <v>572</v>
      </c>
      <c r="F529" s="18" t="s">
        <v>192</v>
      </c>
      <c r="G529" s="63" t="s">
        <v>2002</v>
      </c>
      <c r="H529" s="22" t="s">
        <v>198</v>
      </c>
      <c r="I529" s="28">
        <v>6.0</v>
      </c>
      <c r="J529" s="26" t="str">
        <f t="shared" si="489"/>
        <v>R</v>
      </c>
      <c r="K529" s="28">
        <v>18.0</v>
      </c>
      <c r="L529" s="26" t="str">
        <f t="shared" si="490"/>
        <v>R</v>
      </c>
      <c r="M529" s="28">
        <v>6.0</v>
      </c>
      <c r="N529" s="26" t="str">
        <f t="shared" si="491"/>
        <v>R</v>
      </c>
      <c r="O529" s="28">
        <v>24.0</v>
      </c>
      <c r="P529" s="26" t="str">
        <f t="shared" si="492"/>
        <v>S</v>
      </c>
      <c r="Q529" s="28">
        <v>6.0</v>
      </c>
      <c r="R529" s="26" t="str">
        <f t="shared" si="493"/>
        <v>R</v>
      </c>
      <c r="S529" s="28">
        <v>20.0</v>
      </c>
      <c r="T529" s="26" t="str">
        <f t="shared" si="494"/>
        <v>S</v>
      </c>
      <c r="U529" s="28">
        <v>18.0</v>
      </c>
      <c r="V529" s="26" t="str">
        <f t="shared" si="495"/>
        <v>I</v>
      </c>
      <c r="W529" s="32" t="s">
        <v>299</v>
      </c>
      <c r="X529" s="65">
        <v>6.0</v>
      </c>
      <c r="Y529" s="33" t="str">
        <f t="shared" si="496"/>
        <v>R</v>
      </c>
      <c r="Z529" s="65">
        <v>25.0</v>
      </c>
      <c r="AA529" s="33" t="str">
        <f t="shared" si="497"/>
        <v>S</v>
      </c>
      <c r="AB529" s="65">
        <v>9.0</v>
      </c>
      <c r="AC529" s="33" t="str">
        <f t="shared" si="498"/>
        <v>R</v>
      </c>
      <c r="AD529" s="65">
        <v>21.0</v>
      </c>
      <c r="AE529" s="33" t="str">
        <f t="shared" si="499"/>
        <v>S</v>
      </c>
      <c r="AF529" s="65">
        <v>14.0</v>
      </c>
      <c r="AG529" s="33" t="str">
        <f t="shared" si="500"/>
        <v>R</v>
      </c>
      <c r="AH529" s="65" t="s">
        <v>299</v>
      </c>
      <c r="AI529" s="66">
        <v>6.0</v>
      </c>
      <c r="AJ529" s="36" t="str">
        <f t="shared" si="501"/>
        <v>R</v>
      </c>
      <c r="AK529" s="66">
        <v>11.0</v>
      </c>
      <c r="AL529" s="36" t="str">
        <f t="shared" si="502"/>
        <v>R</v>
      </c>
      <c r="AM529" s="66">
        <v>6.0</v>
      </c>
      <c r="AN529" s="36" t="str">
        <f t="shared" si="503"/>
        <v>R</v>
      </c>
      <c r="AO529" s="66" t="s">
        <v>299</v>
      </c>
      <c r="AP529" s="67">
        <v>6.0</v>
      </c>
      <c r="AQ529" s="37" t="str">
        <f t="shared" si="504"/>
        <v>R</v>
      </c>
      <c r="AR529" s="65">
        <v>21.0</v>
      </c>
      <c r="AS529" s="33" t="str">
        <f t="shared" si="505"/>
        <v>S</v>
      </c>
      <c r="AT529" s="65">
        <v>17.0</v>
      </c>
      <c r="AU529" s="33" t="str">
        <f t="shared" si="506"/>
        <v>S</v>
      </c>
      <c r="AV529" s="33" t="s">
        <v>300</v>
      </c>
      <c r="AW529" s="28">
        <v>8.0</v>
      </c>
      <c r="AX529" s="26" t="str">
        <f t="shared" si="507"/>
        <v>R</v>
      </c>
      <c r="AY529" s="67">
        <v>10.0</v>
      </c>
      <c r="AZ529" s="37" t="str">
        <f t="shared" si="508"/>
        <v>R</v>
      </c>
      <c r="BA529" s="66">
        <v>21.0</v>
      </c>
      <c r="BB529" s="36" t="str">
        <f t="shared" si="509"/>
        <v>R</v>
      </c>
      <c r="BC529" s="39" t="s">
        <v>357</v>
      </c>
      <c r="BD529" s="39" t="s">
        <v>357</v>
      </c>
      <c r="BE529" s="66">
        <v>25.0</v>
      </c>
      <c r="BF529" s="36" t="str">
        <f t="shared" si="510"/>
        <v>S</v>
      </c>
      <c r="BG529" s="68">
        <v>10.0</v>
      </c>
      <c r="BH529" s="41" t="str">
        <f t="shared" si="511"/>
        <v>R</v>
      </c>
      <c r="BI529" s="41"/>
    </row>
    <row r="530">
      <c r="A530" s="51" t="s">
        <v>1012</v>
      </c>
      <c r="B530" s="51" t="s">
        <v>444</v>
      </c>
      <c r="C530" s="51" t="s">
        <v>2003</v>
      </c>
      <c r="D530" s="69" t="s">
        <v>571</v>
      </c>
      <c r="E530" s="18" t="s">
        <v>572</v>
      </c>
      <c r="F530" s="18" t="s">
        <v>192</v>
      </c>
      <c r="G530" s="63" t="s">
        <v>2004</v>
      </c>
      <c r="H530" s="22" t="s">
        <v>198</v>
      </c>
      <c r="I530" s="28">
        <v>6.0</v>
      </c>
      <c r="J530" s="26" t="str">
        <f t="shared" si="489"/>
        <v>R</v>
      </c>
      <c r="K530" s="28">
        <v>18.0</v>
      </c>
      <c r="L530" s="26" t="str">
        <f t="shared" si="490"/>
        <v>R</v>
      </c>
      <c r="M530" s="28">
        <v>6.0</v>
      </c>
      <c r="N530" s="26" t="str">
        <f t="shared" si="491"/>
        <v>R</v>
      </c>
      <c r="O530" s="28">
        <v>24.0</v>
      </c>
      <c r="P530" s="26" t="str">
        <f t="shared" si="492"/>
        <v>S</v>
      </c>
      <c r="Q530" s="28">
        <v>6.0</v>
      </c>
      <c r="R530" s="26" t="str">
        <f t="shared" si="493"/>
        <v>R</v>
      </c>
      <c r="S530" s="28">
        <v>21.0</v>
      </c>
      <c r="T530" s="26" t="str">
        <f t="shared" si="494"/>
        <v>S</v>
      </c>
      <c r="U530" s="28">
        <v>18.0</v>
      </c>
      <c r="V530" s="26" t="str">
        <f t="shared" si="495"/>
        <v>I</v>
      </c>
      <c r="W530" s="32" t="s">
        <v>299</v>
      </c>
      <c r="X530" s="65">
        <v>6.0</v>
      </c>
      <c r="Y530" s="33" t="str">
        <f t="shared" si="496"/>
        <v>R</v>
      </c>
      <c r="Z530" s="65">
        <v>27.0</v>
      </c>
      <c r="AA530" s="33" t="str">
        <f t="shared" si="497"/>
        <v>S</v>
      </c>
      <c r="AB530" s="65">
        <v>10.0</v>
      </c>
      <c r="AC530" s="33" t="str">
        <f t="shared" si="498"/>
        <v>R</v>
      </c>
      <c r="AD530" s="65">
        <v>22.0</v>
      </c>
      <c r="AE530" s="33" t="str">
        <f t="shared" si="499"/>
        <v>S</v>
      </c>
      <c r="AF530" s="65">
        <v>16.0</v>
      </c>
      <c r="AG530" s="33" t="str">
        <f t="shared" si="500"/>
        <v>R</v>
      </c>
      <c r="AH530" s="65" t="s">
        <v>299</v>
      </c>
      <c r="AI530" s="66">
        <v>6.0</v>
      </c>
      <c r="AJ530" s="36" t="str">
        <f t="shared" si="501"/>
        <v>R</v>
      </c>
      <c r="AK530" s="66">
        <v>10.0</v>
      </c>
      <c r="AL530" s="36" t="str">
        <f t="shared" si="502"/>
        <v>R</v>
      </c>
      <c r="AM530" s="66">
        <v>6.0</v>
      </c>
      <c r="AN530" s="36" t="str">
        <f t="shared" si="503"/>
        <v>R</v>
      </c>
      <c r="AO530" s="66" t="s">
        <v>299</v>
      </c>
      <c r="AP530" s="67">
        <v>6.0</v>
      </c>
      <c r="AQ530" s="37" t="str">
        <f t="shared" si="504"/>
        <v>R</v>
      </c>
      <c r="AR530" s="65">
        <v>20.0</v>
      </c>
      <c r="AS530" s="33" t="str">
        <f t="shared" si="505"/>
        <v>S</v>
      </c>
      <c r="AT530" s="65">
        <v>16.0</v>
      </c>
      <c r="AU530" s="33" t="str">
        <f t="shared" si="506"/>
        <v>S</v>
      </c>
      <c r="AV530" s="33" t="s">
        <v>300</v>
      </c>
      <c r="AW530" s="28">
        <v>9.0</v>
      </c>
      <c r="AX530" s="26" t="str">
        <f t="shared" si="507"/>
        <v>R</v>
      </c>
      <c r="AY530" s="67">
        <v>11.0</v>
      </c>
      <c r="AZ530" s="37" t="str">
        <f t="shared" si="508"/>
        <v>R</v>
      </c>
      <c r="BA530" s="66">
        <v>21.0</v>
      </c>
      <c r="BB530" s="36" t="str">
        <f t="shared" si="509"/>
        <v>R</v>
      </c>
      <c r="BC530" s="39" t="s">
        <v>357</v>
      </c>
      <c r="BD530" s="39" t="s">
        <v>357</v>
      </c>
      <c r="BE530" s="66">
        <v>25.0</v>
      </c>
      <c r="BF530" s="36" t="str">
        <f t="shared" si="510"/>
        <v>S</v>
      </c>
      <c r="BG530" s="68">
        <v>11.0</v>
      </c>
      <c r="BH530" s="41" t="str">
        <f t="shared" si="511"/>
        <v>R</v>
      </c>
      <c r="BI530" s="41"/>
    </row>
    <row r="531">
      <c r="A531" s="51" t="s">
        <v>1012</v>
      </c>
      <c r="B531" s="53">
        <v>231.0</v>
      </c>
      <c r="C531" s="51" t="s">
        <v>1193</v>
      </c>
      <c r="D531" s="69" t="s">
        <v>555</v>
      </c>
      <c r="E531" s="18" t="s">
        <v>103</v>
      </c>
      <c r="F531" s="18" t="s">
        <v>192</v>
      </c>
      <c r="G531" s="63" t="s">
        <v>1194</v>
      </c>
      <c r="H531" s="42" t="s">
        <v>479</v>
      </c>
      <c r="I531" s="28">
        <v>6.0</v>
      </c>
      <c r="J531" s="26" t="str">
        <f t="shared" si="489"/>
        <v>R</v>
      </c>
      <c r="K531" s="28">
        <v>18.0</v>
      </c>
      <c r="L531" s="26" t="str">
        <f t="shared" si="490"/>
        <v>R</v>
      </c>
      <c r="M531" s="28">
        <v>15.0</v>
      </c>
      <c r="N531" s="26" t="str">
        <f t="shared" si="491"/>
        <v>R</v>
      </c>
      <c r="O531" s="28">
        <v>24.0</v>
      </c>
      <c r="P531" s="26" t="str">
        <f t="shared" si="492"/>
        <v>S</v>
      </c>
      <c r="Q531" s="28">
        <v>12.0</v>
      </c>
      <c r="R531" s="26" t="str">
        <f t="shared" si="493"/>
        <v>R</v>
      </c>
      <c r="S531" s="28">
        <v>15.0</v>
      </c>
      <c r="T531" s="26" t="str">
        <f t="shared" si="494"/>
        <v>R</v>
      </c>
      <c r="U531" s="28">
        <v>6.0</v>
      </c>
      <c r="V531" s="26" t="str">
        <f t="shared" si="495"/>
        <v>R</v>
      </c>
      <c r="W531" s="32" t="s">
        <v>299</v>
      </c>
      <c r="X531" s="65">
        <v>6.0</v>
      </c>
      <c r="Y531" s="33" t="str">
        <f t="shared" si="496"/>
        <v>R</v>
      </c>
      <c r="Z531" s="65">
        <v>9.0</v>
      </c>
      <c r="AA531" s="33" t="str">
        <f t="shared" si="497"/>
        <v>R</v>
      </c>
      <c r="AB531" s="65">
        <v>6.0</v>
      </c>
      <c r="AC531" s="33" t="str">
        <f t="shared" si="498"/>
        <v>R</v>
      </c>
      <c r="AD531" s="65">
        <v>15.0</v>
      </c>
      <c r="AE531" s="33" t="str">
        <f t="shared" si="499"/>
        <v>S</v>
      </c>
      <c r="AF531" s="65">
        <v>13.0</v>
      </c>
      <c r="AG531" s="33" t="str">
        <f t="shared" si="500"/>
        <v>R</v>
      </c>
      <c r="AH531" s="65" t="s">
        <v>299</v>
      </c>
      <c r="AI531" s="66">
        <v>19.0</v>
      </c>
      <c r="AJ531" s="36" t="str">
        <f t="shared" si="501"/>
        <v>R</v>
      </c>
      <c r="AK531" s="66">
        <v>15.0</v>
      </c>
      <c r="AL531" s="36" t="str">
        <f t="shared" si="502"/>
        <v>R</v>
      </c>
      <c r="AM531" s="66">
        <v>15.0</v>
      </c>
      <c r="AN531" s="36" t="str">
        <f t="shared" si="503"/>
        <v>S</v>
      </c>
      <c r="AO531" s="66" t="s">
        <v>299</v>
      </c>
      <c r="AP531" s="67">
        <v>13.0</v>
      </c>
      <c r="AQ531" s="37" t="str">
        <f t="shared" si="504"/>
        <v>I</v>
      </c>
      <c r="AR531" s="65">
        <v>18.0</v>
      </c>
      <c r="AS531" s="33" t="str">
        <f t="shared" si="505"/>
        <v>S</v>
      </c>
      <c r="AT531" s="65">
        <v>18.0</v>
      </c>
      <c r="AU531" s="33" t="str">
        <f t="shared" si="506"/>
        <v>S</v>
      </c>
      <c r="AV531" s="33" t="s">
        <v>300</v>
      </c>
      <c r="AW531" s="28">
        <v>18.0</v>
      </c>
      <c r="AX531" s="26" t="str">
        <f t="shared" si="507"/>
        <v>R</v>
      </c>
      <c r="AY531" s="67">
        <v>14.0</v>
      </c>
      <c r="AZ531" s="37" t="str">
        <f t="shared" si="508"/>
        <v>R</v>
      </c>
      <c r="BA531" s="66">
        <v>14.0</v>
      </c>
      <c r="BB531" s="36" t="str">
        <f t="shared" si="509"/>
        <v>R</v>
      </c>
      <c r="BC531" s="39" t="s">
        <v>357</v>
      </c>
      <c r="BD531" s="39" t="s">
        <v>357</v>
      </c>
      <c r="BE531" s="66">
        <v>18.0</v>
      </c>
      <c r="BF531" s="36" t="str">
        <f t="shared" si="510"/>
        <v>R</v>
      </c>
      <c r="BG531" s="68">
        <v>20.0</v>
      </c>
      <c r="BH531" s="41" t="str">
        <f t="shared" si="511"/>
        <v>S</v>
      </c>
      <c r="BI531" s="41"/>
    </row>
    <row r="532">
      <c r="A532" s="51" t="s">
        <v>1012</v>
      </c>
      <c r="B532" s="51" t="s">
        <v>444</v>
      </c>
      <c r="C532" s="51" t="s">
        <v>2005</v>
      </c>
      <c r="D532" s="69" t="s">
        <v>555</v>
      </c>
      <c r="E532" s="18" t="s">
        <v>103</v>
      </c>
      <c r="F532" s="18" t="s">
        <v>192</v>
      </c>
      <c r="G532" s="63" t="s">
        <v>2006</v>
      </c>
      <c r="H532" s="42" t="s">
        <v>479</v>
      </c>
      <c r="I532" s="28">
        <v>6.0</v>
      </c>
      <c r="J532" s="26" t="str">
        <f t="shared" si="489"/>
        <v>R</v>
      </c>
      <c r="K532" s="28">
        <v>18.0</v>
      </c>
      <c r="L532" s="26" t="str">
        <f t="shared" si="490"/>
        <v>R</v>
      </c>
      <c r="M532" s="28">
        <v>15.0</v>
      </c>
      <c r="N532" s="26" t="str">
        <f t="shared" si="491"/>
        <v>R</v>
      </c>
      <c r="O532" s="28">
        <v>23.0</v>
      </c>
      <c r="P532" s="26" t="str">
        <f t="shared" si="492"/>
        <v>S</v>
      </c>
      <c r="Q532" s="28">
        <v>11.0</v>
      </c>
      <c r="R532" s="26" t="str">
        <f t="shared" si="493"/>
        <v>R</v>
      </c>
      <c r="S532" s="28">
        <v>15.0</v>
      </c>
      <c r="T532" s="26" t="str">
        <f t="shared" si="494"/>
        <v>R</v>
      </c>
      <c r="U532" s="28">
        <v>6.0</v>
      </c>
      <c r="V532" s="26" t="str">
        <f t="shared" si="495"/>
        <v>R</v>
      </c>
      <c r="W532" s="32" t="s">
        <v>299</v>
      </c>
      <c r="X532" s="65">
        <v>6.0</v>
      </c>
      <c r="Y532" s="33" t="str">
        <f t="shared" si="496"/>
        <v>R</v>
      </c>
      <c r="Z532" s="65">
        <v>9.0</v>
      </c>
      <c r="AA532" s="33" t="str">
        <f t="shared" si="497"/>
        <v>R</v>
      </c>
      <c r="AB532" s="65">
        <v>6.0</v>
      </c>
      <c r="AC532" s="33" t="str">
        <f t="shared" si="498"/>
        <v>R</v>
      </c>
      <c r="AD532" s="65">
        <v>15.0</v>
      </c>
      <c r="AE532" s="33" t="str">
        <f t="shared" si="499"/>
        <v>S</v>
      </c>
      <c r="AF532" s="65">
        <v>13.0</v>
      </c>
      <c r="AG532" s="33" t="str">
        <f t="shared" si="500"/>
        <v>R</v>
      </c>
      <c r="AH532" s="65" t="s">
        <v>299</v>
      </c>
      <c r="AI532" s="66">
        <v>19.0</v>
      </c>
      <c r="AJ532" s="36" t="str">
        <f t="shared" si="501"/>
        <v>R</v>
      </c>
      <c r="AK532" s="66">
        <v>15.0</v>
      </c>
      <c r="AL532" s="36" t="str">
        <f t="shared" si="502"/>
        <v>R</v>
      </c>
      <c r="AM532" s="66">
        <v>15.0</v>
      </c>
      <c r="AN532" s="36" t="str">
        <f t="shared" si="503"/>
        <v>S</v>
      </c>
      <c r="AO532" s="66" t="s">
        <v>299</v>
      </c>
      <c r="AP532" s="67">
        <v>13.0</v>
      </c>
      <c r="AQ532" s="37" t="str">
        <f t="shared" si="504"/>
        <v>I</v>
      </c>
      <c r="AR532" s="65">
        <v>18.0</v>
      </c>
      <c r="AS532" s="33" t="str">
        <f t="shared" si="505"/>
        <v>S</v>
      </c>
      <c r="AT532" s="65">
        <v>17.0</v>
      </c>
      <c r="AU532" s="33" t="str">
        <f t="shared" si="506"/>
        <v>S</v>
      </c>
      <c r="AV532" s="33" t="s">
        <v>300</v>
      </c>
      <c r="AW532" s="28">
        <v>18.0</v>
      </c>
      <c r="AX532" s="26" t="str">
        <f t="shared" si="507"/>
        <v>R</v>
      </c>
      <c r="AY532" s="67">
        <v>14.0</v>
      </c>
      <c r="AZ532" s="37" t="str">
        <f t="shared" si="508"/>
        <v>R</v>
      </c>
      <c r="BA532" s="66">
        <v>16.0</v>
      </c>
      <c r="BB532" s="36" t="str">
        <f t="shared" si="509"/>
        <v>R</v>
      </c>
      <c r="BC532" s="39" t="s">
        <v>357</v>
      </c>
      <c r="BD532" s="39" t="s">
        <v>357</v>
      </c>
      <c r="BE532" s="66">
        <v>18.0</v>
      </c>
      <c r="BF532" s="36" t="str">
        <f t="shared" si="510"/>
        <v>R</v>
      </c>
      <c r="BG532" s="68">
        <v>20.0</v>
      </c>
      <c r="BH532" s="41" t="str">
        <f t="shared" si="511"/>
        <v>S</v>
      </c>
      <c r="BI532" s="41"/>
    </row>
    <row r="533">
      <c r="A533" s="51" t="s">
        <v>1012</v>
      </c>
      <c r="B533" s="51" t="s">
        <v>444</v>
      </c>
      <c r="C533" s="51" t="s">
        <v>2007</v>
      </c>
      <c r="D533" s="69" t="s">
        <v>555</v>
      </c>
      <c r="E533" s="18" t="s">
        <v>103</v>
      </c>
      <c r="F533" s="18" t="s">
        <v>192</v>
      </c>
      <c r="G533" s="63" t="s">
        <v>2008</v>
      </c>
      <c r="H533" s="42" t="s">
        <v>479</v>
      </c>
      <c r="I533" s="28">
        <v>6.0</v>
      </c>
      <c r="J533" s="26" t="str">
        <f t="shared" si="489"/>
        <v>R</v>
      </c>
      <c r="K533" s="28">
        <v>18.0</v>
      </c>
      <c r="L533" s="26" t="str">
        <f t="shared" si="490"/>
        <v>R</v>
      </c>
      <c r="M533" s="28">
        <v>15.0</v>
      </c>
      <c r="N533" s="26" t="str">
        <f t="shared" si="491"/>
        <v>R</v>
      </c>
      <c r="O533" s="28">
        <v>23.0</v>
      </c>
      <c r="P533" s="26" t="str">
        <f t="shared" si="492"/>
        <v>S</v>
      </c>
      <c r="Q533" s="28">
        <v>11.0</v>
      </c>
      <c r="R533" s="26" t="str">
        <f t="shared" si="493"/>
        <v>R</v>
      </c>
      <c r="S533" s="28">
        <v>15.0</v>
      </c>
      <c r="T533" s="26" t="str">
        <f t="shared" si="494"/>
        <v>R</v>
      </c>
      <c r="U533" s="28">
        <v>6.0</v>
      </c>
      <c r="V533" s="26" t="str">
        <f t="shared" si="495"/>
        <v>R</v>
      </c>
      <c r="W533" s="32" t="s">
        <v>299</v>
      </c>
      <c r="X533" s="65">
        <v>6.0</v>
      </c>
      <c r="Y533" s="33" t="str">
        <f t="shared" si="496"/>
        <v>R</v>
      </c>
      <c r="Z533" s="65">
        <v>9.0</v>
      </c>
      <c r="AA533" s="33" t="str">
        <f t="shared" si="497"/>
        <v>R</v>
      </c>
      <c r="AB533" s="65">
        <v>6.0</v>
      </c>
      <c r="AC533" s="33" t="str">
        <f t="shared" si="498"/>
        <v>R</v>
      </c>
      <c r="AD533" s="65">
        <v>15.0</v>
      </c>
      <c r="AE533" s="33" t="str">
        <f t="shared" si="499"/>
        <v>S</v>
      </c>
      <c r="AF533" s="65">
        <v>13.0</v>
      </c>
      <c r="AG533" s="33" t="str">
        <f t="shared" si="500"/>
        <v>R</v>
      </c>
      <c r="AH533" s="65" t="s">
        <v>299</v>
      </c>
      <c r="AI533" s="66">
        <v>19.0</v>
      </c>
      <c r="AJ533" s="36" t="str">
        <f t="shared" si="501"/>
        <v>R</v>
      </c>
      <c r="AK533" s="66">
        <v>15.0</v>
      </c>
      <c r="AL533" s="36" t="str">
        <f t="shared" si="502"/>
        <v>R</v>
      </c>
      <c r="AM533" s="66">
        <v>15.0</v>
      </c>
      <c r="AN533" s="36" t="str">
        <f t="shared" si="503"/>
        <v>S</v>
      </c>
      <c r="AO533" s="66" t="s">
        <v>299</v>
      </c>
      <c r="AP533" s="67">
        <v>13.0</v>
      </c>
      <c r="AQ533" s="37" t="str">
        <f t="shared" si="504"/>
        <v>I</v>
      </c>
      <c r="AR533" s="65">
        <v>18.0</v>
      </c>
      <c r="AS533" s="33" t="str">
        <f t="shared" si="505"/>
        <v>S</v>
      </c>
      <c r="AT533" s="65">
        <v>18.0</v>
      </c>
      <c r="AU533" s="33" t="str">
        <f t="shared" si="506"/>
        <v>S</v>
      </c>
      <c r="AV533" s="33" t="s">
        <v>300</v>
      </c>
      <c r="AW533" s="28">
        <v>18.0</v>
      </c>
      <c r="AX533" s="26" t="str">
        <f t="shared" si="507"/>
        <v>R</v>
      </c>
      <c r="AY533" s="67">
        <v>14.0</v>
      </c>
      <c r="AZ533" s="37" t="str">
        <f t="shared" si="508"/>
        <v>R</v>
      </c>
      <c r="BA533" s="66">
        <v>18.0</v>
      </c>
      <c r="BB533" s="36" t="str">
        <f t="shared" si="509"/>
        <v>R</v>
      </c>
      <c r="BC533" s="39" t="s">
        <v>357</v>
      </c>
      <c r="BD533" s="39" t="s">
        <v>357</v>
      </c>
      <c r="BE533" s="66">
        <v>18.0</v>
      </c>
      <c r="BF533" s="36" t="str">
        <f t="shared" si="510"/>
        <v>R</v>
      </c>
      <c r="BG533" s="68">
        <v>20.0</v>
      </c>
      <c r="BH533" s="41" t="str">
        <f t="shared" si="511"/>
        <v>S</v>
      </c>
      <c r="BI533" s="41"/>
    </row>
    <row r="534">
      <c r="A534" s="21" t="s">
        <v>1018</v>
      </c>
      <c r="B534" s="23">
        <v>232.0</v>
      </c>
      <c r="C534" s="21" t="s">
        <v>1196</v>
      </c>
      <c r="D534" s="69" t="s">
        <v>190</v>
      </c>
      <c r="E534" s="18" t="s">
        <v>190</v>
      </c>
      <c r="F534" s="18" t="s">
        <v>192</v>
      </c>
      <c r="G534" s="63" t="s">
        <v>1197</v>
      </c>
      <c r="H534" s="22" t="s">
        <v>198</v>
      </c>
      <c r="I534" s="28">
        <v>9.0</v>
      </c>
      <c r="J534" s="26" t="str">
        <f t="shared" si="489"/>
        <v>R</v>
      </c>
      <c r="K534" s="28">
        <v>19.0</v>
      </c>
      <c r="L534" s="26" t="str">
        <f t="shared" si="490"/>
        <v>S</v>
      </c>
      <c r="M534" s="28">
        <v>13.0</v>
      </c>
      <c r="N534" s="26" t="str">
        <f t="shared" si="491"/>
        <v>R</v>
      </c>
      <c r="O534" s="28">
        <v>20.0</v>
      </c>
      <c r="P534" s="26" t="str">
        <f t="shared" si="492"/>
        <v>I</v>
      </c>
      <c r="Q534" s="28">
        <v>11.0</v>
      </c>
      <c r="R534" s="26" t="str">
        <f t="shared" si="493"/>
        <v>R</v>
      </c>
      <c r="S534" s="28">
        <v>13.0</v>
      </c>
      <c r="T534" s="26" t="str">
        <f t="shared" si="494"/>
        <v>R</v>
      </c>
      <c r="U534" s="28">
        <v>10.0</v>
      </c>
      <c r="V534" s="26" t="str">
        <f t="shared" si="495"/>
        <v>R</v>
      </c>
      <c r="W534" s="32" t="s">
        <v>299</v>
      </c>
      <c r="X534" s="65">
        <v>12.0</v>
      </c>
      <c r="Y534" s="33" t="str">
        <f t="shared" si="496"/>
        <v>R</v>
      </c>
      <c r="Z534" s="65">
        <v>20.0</v>
      </c>
      <c r="AA534" s="33" t="str">
        <f t="shared" si="497"/>
        <v>S</v>
      </c>
      <c r="AB534" s="65">
        <v>9.0</v>
      </c>
      <c r="AC534" s="33" t="str">
        <f t="shared" si="498"/>
        <v>R</v>
      </c>
      <c r="AD534" s="65">
        <v>10.0</v>
      </c>
      <c r="AE534" s="33" t="str">
        <f t="shared" si="499"/>
        <v>R</v>
      </c>
      <c r="AF534" s="65">
        <v>12.0</v>
      </c>
      <c r="AG534" s="33" t="str">
        <f t="shared" si="500"/>
        <v>R</v>
      </c>
      <c r="AH534" s="65" t="s">
        <v>299</v>
      </c>
      <c r="AI534" s="66">
        <v>15.0</v>
      </c>
      <c r="AJ534" s="36" t="str">
        <f t="shared" si="501"/>
        <v>R</v>
      </c>
      <c r="AK534" s="66">
        <v>12.0</v>
      </c>
      <c r="AL534" s="36" t="str">
        <f t="shared" si="502"/>
        <v>R</v>
      </c>
      <c r="AM534" s="66">
        <v>10.0</v>
      </c>
      <c r="AN534" s="36" t="str">
        <f t="shared" si="503"/>
        <v>R</v>
      </c>
      <c r="AO534" s="66" t="s">
        <v>299</v>
      </c>
      <c r="AP534" s="67">
        <v>11.0</v>
      </c>
      <c r="AQ534" s="37" t="str">
        <f t="shared" si="504"/>
        <v>I</v>
      </c>
      <c r="AR534" s="65">
        <v>20.0</v>
      </c>
      <c r="AS534" s="33" t="str">
        <f t="shared" si="505"/>
        <v>S</v>
      </c>
      <c r="AT534" s="65">
        <v>15.0</v>
      </c>
      <c r="AU534" s="33" t="str">
        <f t="shared" si="506"/>
        <v>R</v>
      </c>
      <c r="AV534" s="65" t="s">
        <v>299</v>
      </c>
      <c r="AW534" s="28">
        <v>12.0</v>
      </c>
      <c r="AX534" s="26" t="str">
        <f t="shared" si="507"/>
        <v>R</v>
      </c>
      <c r="AY534" s="67">
        <v>16.0</v>
      </c>
      <c r="AZ534" s="37" t="str">
        <f t="shared" si="508"/>
        <v>R</v>
      </c>
      <c r="BA534" s="66">
        <v>20.0</v>
      </c>
      <c r="BB534" s="36" t="str">
        <f t="shared" si="509"/>
        <v>R</v>
      </c>
      <c r="BC534" s="39" t="s">
        <v>357</v>
      </c>
      <c r="BD534" s="39" t="s">
        <v>357</v>
      </c>
      <c r="BE534" s="66">
        <v>18.0</v>
      </c>
      <c r="BF534" s="36" t="str">
        <f t="shared" si="510"/>
        <v>R</v>
      </c>
      <c r="BG534" s="68">
        <v>16.0</v>
      </c>
      <c r="BH534" s="41" t="str">
        <f t="shared" si="511"/>
        <v>R</v>
      </c>
      <c r="BI534" s="41"/>
    </row>
    <row r="535">
      <c r="A535" s="21" t="s">
        <v>1018</v>
      </c>
      <c r="B535" s="21" t="s">
        <v>444</v>
      </c>
      <c r="C535" s="21" t="s">
        <v>2009</v>
      </c>
      <c r="D535" s="69" t="s">
        <v>190</v>
      </c>
      <c r="E535" s="18" t="s">
        <v>190</v>
      </c>
      <c r="F535" s="18" t="s">
        <v>192</v>
      </c>
      <c r="G535" s="63" t="s">
        <v>2010</v>
      </c>
      <c r="H535" s="22" t="s">
        <v>198</v>
      </c>
      <c r="I535" s="28">
        <v>6.0</v>
      </c>
      <c r="J535" s="26" t="str">
        <f t="shared" si="489"/>
        <v>R</v>
      </c>
      <c r="K535" s="28">
        <v>19.0</v>
      </c>
      <c r="L535" s="26" t="str">
        <f t="shared" si="490"/>
        <v>S</v>
      </c>
      <c r="M535" s="28">
        <v>13.0</v>
      </c>
      <c r="N535" s="26" t="str">
        <f t="shared" si="491"/>
        <v>R</v>
      </c>
      <c r="O535" s="28">
        <v>20.0</v>
      </c>
      <c r="P535" s="26" t="str">
        <f t="shared" si="492"/>
        <v>I</v>
      </c>
      <c r="Q535" s="28">
        <v>11.0</v>
      </c>
      <c r="R535" s="26" t="str">
        <f t="shared" si="493"/>
        <v>R</v>
      </c>
      <c r="S535" s="28">
        <v>13.0</v>
      </c>
      <c r="T535" s="26" t="str">
        <f t="shared" si="494"/>
        <v>R</v>
      </c>
      <c r="U535" s="28">
        <v>10.0</v>
      </c>
      <c r="V535" s="26" t="str">
        <f t="shared" si="495"/>
        <v>R</v>
      </c>
      <c r="W535" s="32" t="s">
        <v>299</v>
      </c>
      <c r="X535" s="65">
        <v>12.0</v>
      </c>
      <c r="Y535" s="33" t="str">
        <f t="shared" si="496"/>
        <v>R</v>
      </c>
      <c r="Z535" s="65">
        <v>20.0</v>
      </c>
      <c r="AA535" s="33" t="str">
        <f t="shared" si="497"/>
        <v>S</v>
      </c>
      <c r="AB535" s="65">
        <v>6.0</v>
      </c>
      <c r="AC535" s="33" t="str">
        <f t="shared" si="498"/>
        <v>R</v>
      </c>
      <c r="AD535" s="65">
        <v>10.0</v>
      </c>
      <c r="AE535" s="33" t="str">
        <f t="shared" si="499"/>
        <v>R</v>
      </c>
      <c r="AF535" s="65">
        <v>12.0</v>
      </c>
      <c r="AG535" s="33" t="str">
        <f t="shared" si="500"/>
        <v>R</v>
      </c>
      <c r="AH535" s="65" t="s">
        <v>299</v>
      </c>
      <c r="AI535" s="66">
        <v>15.0</v>
      </c>
      <c r="AJ535" s="36" t="str">
        <f t="shared" si="501"/>
        <v>R</v>
      </c>
      <c r="AK535" s="66">
        <v>12.0</v>
      </c>
      <c r="AL535" s="36" t="str">
        <f t="shared" si="502"/>
        <v>R</v>
      </c>
      <c r="AM535" s="66">
        <v>10.0</v>
      </c>
      <c r="AN535" s="36" t="str">
        <f t="shared" si="503"/>
        <v>R</v>
      </c>
      <c r="AO535" s="66" t="s">
        <v>299</v>
      </c>
      <c r="AP535" s="67">
        <v>11.0</v>
      </c>
      <c r="AQ535" s="37" t="str">
        <f t="shared" si="504"/>
        <v>I</v>
      </c>
      <c r="AR535" s="65">
        <v>16.0</v>
      </c>
      <c r="AS535" s="33" t="str">
        <f t="shared" si="505"/>
        <v>R</v>
      </c>
      <c r="AT535" s="65">
        <v>15.0</v>
      </c>
      <c r="AU535" s="33" t="str">
        <f t="shared" si="506"/>
        <v>R</v>
      </c>
      <c r="AV535" s="65" t="s">
        <v>299</v>
      </c>
      <c r="AW535" s="28">
        <v>12.0</v>
      </c>
      <c r="AX535" s="26" t="str">
        <f t="shared" si="507"/>
        <v>R</v>
      </c>
      <c r="AY535" s="67">
        <v>16.0</v>
      </c>
      <c r="AZ535" s="37" t="str">
        <f t="shared" si="508"/>
        <v>R</v>
      </c>
      <c r="BA535" s="66">
        <v>20.0</v>
      </c>
      <c r="BB535" s="36" t="str">
        <f t="shared" si="509"/>
        <v>R</v>
      </c>
      <c r="BC535" s="39" t="s">
        <v>357</v>
      </c>
      <c r="BD535" s="39" t="s">
        <v>357</v>
      </c>
      <c r="BE535" s="66">
        <v>20.0</v>
      </c>
      <c r="BF535" s="36" t="str">
        <f t="shared" si="510"/>
        <v>I</v>
      </c>
      <c r="BG535" s="68">
        <v>16.0</v>
      </c>
      <c r="BH535" s="41" t="str">
        <f t="shared" si="511"/>
        <v>R</v>
      </c>
      <c r="BI535" s="41"/>
    </row>
    <row r="536">
      <c r="A536" s="21" t="s">
        <v>1018</v>
      </c>
      <c r="B536" s="21" t="s">
        <v>444</v>
      </c>
      <c r="C536" s="21" t="s">
        <v>2011</v>
      </c>
      <c r="D536" s="69" t="s">
        <v>190</v>
      </c>
      <c r="E536" s="18" t="s">
        <v>190</v>
      </c>
      <c r="F536" s="18" t="s">
        <v>192</v>
      </c>
      <c r="G536" s="63" t="s">
        <v>2012</v>
      </c>
      <c r="H536" s="22" t="s">
        <v>198</v>
      </c>
      <c r="I536" s="28">
        <v>6.0</v>
      </c>
      <c r="J536" s="26" t="str">
        <f t="shared" si="489"/>
        <v>R</v>
      </c>
      <c r="K536" s="28">
        <v>19.0</v>
      </c>
      <c r="L536" s="26" t="str">
        <f t="shared" si="490"/>
        <v>S</v>
      </c>
      <c r="M536" s="28">
        <v>13.0</v>
      </c>
      <c r="N536" s="26" t="str">
        <f t="shared" si="491"/>
        <v>R</v>
      </c>
      <c r="O536" s="28">
        <v>20.0</v>
      </c>
      <c r="P536" s="26" t="str">
        <f t="shared" si="492"/>
        <v>I</v>
      </c>
      <c r="Q536" s="28">
        <v>11.0</v>
      </c>
      <c r="R536" s="26" t="str">
        <f t="shared" si="493"/>
        <v>R</v>
      </c>
      <c r="S536" s="28">
        <v>13.0</v>
      </c>
      <c r="T536" s="26" t="str">
        <f t="shared" si="494"/>
        <v>R</v>
      </c>
      <c r="U536" s="28">
        <v>10.0</v>
      </c>
      <c r="V536" s="26" t="str">
        <f t="shared" si="495"/>
        <v>R</v>
      </c>
      <c r="W536" s="32" t="s">
        <v>299</v>
      </c>
      <c r="X536" s="65">
        <v>12.0</v>
      </c>
      <c r="Y536" s="33" t="str">
        <f t="shared" si="496"/>
        <v>R</v>
      </c>
      <c r="Z536" s="65">
        <v>20.0</v>
      </c>
      <c r="AA536" s="33" t="str">
        <f t="shared" si="497"/>
        <v>S</v>
      </c>
      <c r="AB536" s="65">
        <v>6.0</v>
      </c>
      <c r="AC536" s="33" t="str">
        <f t="shared" si="498"/>
        <v>R</v>
      </c>
      <c r="AD536" s="65">
        <v>10.0</v>
      </c>
      <c r="AE536" s="33" t="str">
        <f t="shared" si="499"/>
        <v>R</v>
      </c>
      <c r="AF536" s="65">
        <v>12.0</v>
      </c>
      <c r="AG536" s="33" t="str">
        <f t="shared" si="500"/>
        <v>R</v>
      </c>
      <c r="AH536" s="65" t="s">
        <v>299</v>
      </c>
      <c r="AI536" s="66">
        <v>15.0</v>
      </c>
      <c r="AJ536" s="36" t="str">
        <f t="shared" si="501"/>
        <v>R</v>
      </c>
      <c r="AK536" s="66">
        <v>12.0</v>
      </c>
      <c r="AL536" s="36" t="str">
        <f t="shared" si="502"/>
        <v>R</v>
      </c>
      <c r="AM536" s="66">
        <v>10.0</v>
      </c>
      <c r="AN536" s="36" t="str">
        <f t="shared" si="503"/>
        <v>R</v>
      </c>
      <c r="AO536" s="66" t="s">
        <v>299</v>
      </c>
      <c r="AP536" s="67">
        <v>11.0</v>
      </c>
      <c r="AQ536" s="37" t="str">
        <f t="shared" si="504"/>
        <v>I</v>
      </c>
      <c r="AR536" s="65">
        <v>16.0</v>
      </c>
      <c r="AS536" s="33" t="str">
        <f t="shared" si="505"/>
        <v>R</v>
      </c>
      <c r="AT536" s="65">
        <v>15.0</v>
      </c>
      <c r="AU536" s="33" t="str">
        <f t="shared" si="506"/>
        <v>R</v>
      </c>
      <c r="AV536" s="65" t="s">
        <v>299</v>
      </c>
      <c r="AW536" s="28">
        <v>12.0</v>
      </c>
      <c r="AX536" s="26" t="str">
        <f t="shared" si="507"/>
        <v>R</v>
      </c>
      <c r="AY536" s="67">
        <v>16.0</v>
      </c>
      <c r="AZ536" s="37" t="str">
        <f t="shared" si="508"/>
        <v>R</v>
      </c>
      <c r="BA536" s="66">
        <v>22.0</v>
      </c>
      <c r="BB536" s="36" t="str">
        <f t="shared" si="509"/>
        <v>R</v>
      </c>
      <c r="BC536" s="39" t="s">
        <v>357</v>
      </c>
      <c r="BD536" s="39" t="s">
        <v>357</v>
      </c>
      <c r="BE536" s="66">
        <v>18.0</v>
      </c>
      <c r="BF536" s="36" t="str">
        <f t="shared" si="510"/>
        <v>R</v>
      </c>
      <c r="BG536" s="68">
        <v>16.0</v>
      </c>
      <c r="BH536" s="41" t="str">
        <f t="shared" si="511"/>
        <v>R</v>
      </c>
      <c r="BI536" s="41"/>
    </row>
    <row r="537">
      <c r="A537" s="21" t="s">
        <v>1018</v>
      </c>
      <c r="B537" s="23">
        <v>233.0</v>
      </c>
      <c r="C537" s="21" t="s">
        <v>1198</v>
      </c>
      <c r="D537" s="69" t="s">
        <v>190</v>
      </c>
      <c r="E537" s="18" t="s">
        <v>190</v>
      </c>
      <c r="F537" s="18" t="s">
        <v>192</v>
      </c>
      <c r="G537" s="63" t="s">
        <v>1199</v>
      </c>
      <c r="H537" s="22" t="s">
        <v>198</v>
      </c>
      <c r="I537" s="28">
        <v>6.0</v>
      </c>
      <c r="J537" s="26" t="str">
        <f t="shared" si="489"/>
        <v>R</v>
      </c>
      <c r="K537" s="28">
        <v>16.0</v>
      </c>
      <c r="L537" s="26" t="str">
        <f t="shared" si="490"/>
        <v>R</v>
      </c>
      <c r="M537" s="28">
        <v>6.0</v>
      </c>
      <c r="N537" s="26" t="str">
        <f t="shared" si="491"/>
        <v>R</v>
      </c>
      <c r="O537" s="28">
        <v>23.0</v>
      </c>
      <c r="P537" s="26" t="str">
        <f t="shared" si="492"/>
        <v>S</v>
      </c>
      <c r="Q537" s="28">
        <v>6.0</v>
      </c>
      <c r="R537" s="26" t="str">
        <f t="shared" si="493"/>
        <v>R</v>
      </c>
      <c r="S537" s="28">
        <v>18.0</v>
      </c>
      <c r="T537" s="26" t="str">
        <f t="shared" si="494"/>
        <v>R</v>
      </c>
      <c r="U537" s="28">
        <v>16.0</v>
      </c>
      <c r="V537" s="26" t="str">
        <f t="shared" si="495"/>
        <v>R</v>
      </c>
      <c r="W537" s="32" t="s">
        <v>299</v>
      </c>
      <c r="X537" s="65">
        <v>6.0</v>
      </c>
      <c r="Y537" s="33" t="str">
        <f t="shared" si="496"/>
        <v>R</v>
      </c>
      <c r="Z537" s="65">
        <v>14.0</v>
      </c>
      <c r="AA537" s="33" t="str">
        <f t="shared" si="497"/>
        <v>R</v>
      </c>
      <c r="AB537" s="65">
        <v>11.0</v>
      </c>
      <c r="AC537" s="33" t="str">
        <f t="shared" si="498"/>
        <v>R</v>
      </c>
      <c r="AD537" s="65">
        <v>19.0</v>
      </c>
      <c r="AE537" s="33" t="str">
        <f t="shared" si="499"/>
        <v>S</v>
      </c>
      <c r="AF537" s="65">
        <v>6.0</v>
      </c>
      <c r="AG537" s="33" t="str">
        <f t="shared" si="500"/>
        <v>R</v>
      </c>
      <c r="AH537" s="65" t="s">
        <v>299</v>
      </c>
      <c r="AI537" s="66">
        <v>17.0</v>
      </c>
      <c r="AJ537" s="36" t="str">
        <f t="shared" si="501"/>
        <v>R</v>
      </c>
      <c r="AK537" s="66">
        <v>18.0</v>
      </c>
      <c r="AL537" s="36" t="str">
        <f t="shared" si="502"/>
        <v>R</v>
      </c>
      <c r="AM537" s="66">
        <v>16.0</v>
      </c>
      <c r="AN537" s="36" t="str">
        <f t="shared" si="503"/>
        <v>S</v>
      </c>
      <c r="AO537" s="66" t="s">
        <v>299</v>
      </c>
      <c r="AP537" s="67">
        <v>16.0</v>
      </c>
      <c r="AQ537" s="37" t="str">
        <f t="shared" si="504"/>
        <v>S</v>
      </c>
      <c r="AR537" s="65">
        <v>16.0</v>
      </c>
      <c r="AS537" s="33" t="str">
        <f t="shared" si="505"/>
        <v>R</v>
      </c>
      <c r="AT537" s="65">
        <v>24.0</v>
      </c>
      <c r="AU537" s="33" t="str">
        <f t="shared" si="506"/>
        <v>S</v>
      </c>
      <c r="AV537" s="65" t="s">
        <v>299</v>
      </c>
      <c r="AW537" s="28">
        <v>20.0</v>
      </c>
      <c r="AX537" s="26" t="str">
        <f t="shared" si="507"/>
        <v>S</v>
      </c>
      <c r="AY537" s="67">
        <v>6.0</v>
      </c>
      <c r="AZ537" s="37" t="str">
        <f t="shared" si="508"/>
        <v>R</v>
      </c>
      <c r="BA537" s="66">
        <v>21.0</v>
      </c>
      <c r="BB537" s="36" t="str">
        <f t="shared" si="509"/>
        <v>R</v>
      </c>
      <c r="BC537" s="39" t="s">
        <v>357</v>
      </c>
      <c r="BD537" s="39" t="s">
        <v>357</v>
      </c>
      <c r="BE537" s="66">
        <v>24.0</v>
      </c>
      <c r="BF537" s="36" t="str">
        <f t="shared" si="510"/>
        <v>S</v>
      </c>
      <c r="BG537" s="68">
        <v>14.0</v>
      </c>
      <c r="BH537" s="41" t="str">
        <f t="shared" si="511"/>
        <v>R</v>
      </c>
      <c r="BI537" s="41"/>
    </row>
    <row r="538">
      <c r="A538" s="21" t="s">
        <v>1018</v>
      </c>
      <c r="B538" s="21" t="s">
        <v>444</v>
      </c>
      <c r="C538" s="21" t="s">
        <v>2013</v>
      </c>
      <c r="D538" s="69" t="s">
        <v>190</v>
      </c>
      <c r="E538" s="18" t="s">
        <v>190</v>
      </c>
      <c r="F538" s="18" t="s">
        <v>192</v>
      </c>
      <c r="G538" s="63" t="s">
        <v>2014</v>
      </c>
      <c r="H538" s="22" t="s">
        <v>198</v>
      </c>
      <c r="I538" s="28">
        <v>6.0</v>
      </c>
      <c r="J538" s="26" t="str">
        <f t="shared" si="489"/>
        <v>R</v>
      </c>
      <c r="K538" s="28">
        <v>18.0</v>
      </c>
      <c r="L538" s="26" t="str">
        <f t="shared" si="490"/>
        <v>R</v>
      </c>
      <c r="M538" s="28">
        <v>6.0</v>
      </c>
      <c r="N538" s="26" t="str">
        <f t="shared" si="491"/>
        <v>R</v>
      </c>
      <c r="O538" s="28">
        <v>23.0</v>
      </c>
      <c r="P538" s="26" t="str">
        <f t="shared" si="492"/>
        <v>S</v>
      </c>
      <c r="Q538" s="28">
        <v>6.0</v>
      </c>
      <c r="R538" s="26" t="str">
        <f t="shared" si="493"/>
        <v>R</v>
      </c>
      <c r="S538" s="28">
        <v>18.0</v>
      </c>
      <c r="T538" s="26" t="str">
        <f t="shared" si="494"/>
        <v>R</v>
      </c>
      <c r="U538" s="28">
        <v>16.0</v>
      </c>
      <c r="V538" s="26" t="str">
        <f t="shared" si="495"/>
        <v>R</v>
      </c>
      <c r="W538" s="32" t="s">
        <v>299</v>
      </c>
      <c r="X538" s="65">
        <v>6.0</v>
      </c>
      <c r="Y538" s="33" t="str">
        <f t="shared" si="496"/>
        <v>R</v>
      </c>
      <c r="Z538" s="65">
        <v>16.0</v>
      </c>
      <c r="AA538" s="33" t="str">
        <f t="shared" si="497"/>
        <v>R</v>
      </c>
      <c r="AB538" s="65">
        <v>10.0</v>
      </c>
      <c r="AC538" s="33" t="str">
        <f t="shared" si="498"/>
        <v>R</v>
      </c>
      <c r="AD538" s="65">
        <v>19.0</v>
      </c>
      <c r="AE538" s="33" t="str">
        <f t="shared" si="499"/>
        <v>S</v>
      </c>
      <c r="AF538" s="65">
        <v>6.0</v>
      </c>
      <c r="AG538" s="33" t="str">
        <f t="shared" si="500"/>
        <v>R</v>
      </c>
      <c r="AH538" s="65" t="s">
        <v>299</v>
      </c>
      <c r="AI538" s="66">
        <v>17.0</v>
      </c>
      <c r="AJ538" s="36" t="str">
        <f t="shared" si="501"/>
        <v>R</v>
      </c>
      <c r="AK538" s="66">
        <v>18.0</v>
      </c>
      <c r="AL538" s="36" t="str">
        <f t="shared" si="502"/>
        <v>R</v>
      </c>
      <c r="AM538" s="66">
        <v>17.0</v>
      </c>
      <c r="AN538" s="36" t="str">
        <f t="shared" si="503"/>
        <v>S</v>
      </c>
      <c r="AO538" s="66" t="s">
        <v>299</v>
      </c>
      <c r="AP538" s="67">
        <v>16.0</v>
      </c>
      <c r="AQ538" s="37" t="str">
        <f t="shared" si="504"/>
        <v>S</v>
      </c>
      <c r="AR538" s="65">
        <v>14.0</v>
      </c>
      <c r="AS538" s="33" t="str">
        <f t="shared" si="505"/>
        <v>R</v>
      </c>
      <c r="AT538" s="65">
        <v>24.0</v>
      </c>
      <c r="AU538" s="33" t="str">
        <f t="shared" si="506"/>
        <v>S</v>
      </c>
      <c r="AV538" s="65" t="s">
        <v>299</v>
      </c>
      <c r="AW538" s="28">
        <v>22.0</v>
      </c>
      <c r="AX538" s="26" t="str">
        <f t="shared" si="507"/>
        <v>S</v>
      </c>
      <c r="AY538" s="67">
        <v>6.0</v>
      </c>
      <c r="AZ538" s="37" t="str">
        <f t="shared" si="508"/>
        <v>R</v>
      </c>
      <c r="BA538" s="66">
        <v>23.0</v>
      </c>
      <c r="BB538" s="36" t="str">
        <f t="shared" si="509"/>
        <v>S</v>
      </c>
      <c r="BC538" s="39" t="s">
        <v>357</v>
      </c>
      <c r="BD538" s="39" t="s">
        <v>357</v>
      </c>
      <c r="BE538" s="66">
        <v>24.0</v>
      </c>
      <c r="BF538" s="36" t="str">
        <f t="shared" si="510"/>
        <v>S</v>
      </c>
      <c r="BG538" s="68">
        <v>14.0</v>
      </c>
      <c r="BH538" s="41" t="str">
        <f t="shared" si="511"/>
        <v>R</v>
      </c>
      <c r="BI538" s="41"/>
    </row>
    <row r="539">
      <c r="A539" s="21" t="s">
        <v>1018</v>
      </c>
      <c r="B539" s="21" t="s">
        <v>444</v>
      </c>
      <c r="C539" s="21" t="s">
        <v>2015</v>
      </c>
      <c r="D539" s="69" t="s">
        <v>190</v>
      </c>
      <c r="E539" s="18" t="s">
        <v>190</v>
      </c>
      <c r="F539" s="18" t="s">
        <v>192</v>
      </c>
      <c r="G539" s="63" t="s">
        <v>2016</v>
      </c>
      <c r="H539" s="22" t="s">
        <v>198</v>
      </c>
      <c r="I539" s="28">
        <v>6.0</v>
      </c>
      <c r="J539" s="26" t="str">
        <f t="shared" si="489"/>
        <v>R</v>
      </c>
      <c r="K539" s="28">
        <v>16.0</v>
      </c>
      <c r="L539" s="26" t="str">
        <f t="shared" si="490"/>
        <v>R</v>
      </c>
      <c r="M539" s="28">
        <v>6.0</v>
      </c>
      <c r="N539" s="26" t="str">
        <f t="shared" si="491"/>
        <v>R</v>
      </c>
      <c r="O539" s="28">
        <v>23.0</v>
      </c>
      <c r="P539" s="26" t="str">
        <f t="shared" si="492"/>
        <v>S</v>
      </c>
      <c r="Q539" s="28">
        <v>6.0</v>
      </c>
      <c r="R539" s="26" t="str">
        <f t="shared" si="493"/>
        <v>R</v>
      </c>
      <c r="S539" s="28">
        <v>18.0</v>
      </c>
      <c r="T539" s="26" t="str">
        <f t="shared" si="494"/>
        <v>R</v>
      </c>
      <c r="U539" s="28">
        <v>16.0</v>
      </c>
      <c r="V539" s="26" t="str">
        <f t="shared" si="495"/>
        <v>R</v>
      </c>
      <c r="W539" s="32" t="s">
        <v>299</v>
      </c>
      <c r="X539" s="65">
        <v>6.0</v>
      </c>
      <c r="Y539" s="33" t="str">
        <f t="shared" si="496"/>
        <v>R</v>
      </c>
      <c r="Z539" s="65">
        <v>17.0</v>
      </c>
      <c r="AA539" s="33" t="str">
        <f t="shared" si="497"/>
        <v>R</v>
      </c>
      <c r="AB539" s="65">
        <v>11.0</v>
      </c>
      <c r="AC539" s="33" t="str">
        <f t="shared" si="498"/>
        <v>R</v>
      </c>
      <c r="AD539" s="65">
        <v>19.0</v>
      </c>
      <c r="AE539" s="33" t="str">
        <f t="shared" si="499"/>
        <v>S</v>
      </c>
      <c r="AF539" s="65">
        <v>6.0</v>
      </c>
      <c r="AG539" s="33" t="str">
        <f t="shared" si="500"/>
        <v>R</v>
      </c>
      <c r="AH539" s="65" t="s">
        <v>299</v>
      </c>
      <c r="AI539" s="66">
        <v>17.0</v>
      </c>
      <c r="AJ539" s="36" t="str">
        <f t="shared" si="501"/>
        <v>R</v>
      </c>
      <c r="AK539" s="66">
        <v>18.0</v>
      </c>
      <c r="AL539" s="36" t="str">
        <f t="shared" si="502"/>
        <v>R</v>
      </c>
      <c r="AM539" s="66">
        <v>16.0</v>
      </c>
      <c r="AN539" s="36" t="str">
        <f t="shared" si="503"/>
        <v>S</v>
      </c>
      <c r="AO539" s="66" t="s">
        <v>299</v>
      </c>
      <c r="AP539" s="67">
        <v>16.0</v>
      </c>
      <c r="AQ539" s="37" t="str">
        <f t="shared" si="504"/>
        <v>S</v>
      </c>
      <c r="AR539" s="65">
        <v>16.0</v>
      </c>
      <c r="AS539" s="33" t="str">
        <f t="shared" si="505"/>
        <v>R</v>
      </c>
      <c r="AT539" s="65">
        <v>24.0</v>
      </c>
      <c r="AU539" s="33" t="str">
        <f t="shared" si="506"/>
        <v>S</v>
      </c>
      <c r="AV539" s="65" t="s">
        <v>299</v>
      </c>
      <c r="AW539" s="28">
        <v>21.0</v>
      </c>
      <c r="AX539" s="26" t="str">
        <f t="shared" si="507"/>
        <v>S</v>
      </c>
      <c r="AY539" s="67">
        <v>6.0</v>
      </c>
      <c r="AZ539" s="37" t="str">
        <f t="shared" si="508"/>
        <v>R</v>
      </c>
      <c r="BA539" s="66">
        <v>22.0</v>
      </c>
      <c r="BB539" s="36" t="str">
        <f t="shared" si="509"/>
        <v>R</v>
      </c>
      <c r="BC539" s="39" t="s">
        <v>357</v>
      </c>
      <c r="BD539" s="39" t="s">
        <v>357</v>
      </c>
      <c r="BE539" s="66">
        <v>24.0</v>
      </c>
      <c r="BF539" s="36" t="str">
        <f t="shared" si="510"/>
        <v>S</v>
      </c>
      <c r="BG539" s="68">
        <v>14.0</v>
      </c>
      <c r="BH539" s="41" t="str">
        <f t="shared" si="511"/>
        <v>R</v>
      </c>
      <c r="BI539" s="41"/>
    </row>
    <row r="540">
      <c r="A540" s="21" t="s">
        <v>1018</v>
      </c>
      <c r="B540" s="23">
        <v>234.0</v>
      </c>
      <c r="C540" s="21" t="s">
        <v>1201</v>
      </c>
      <c r="D540" s="69" t="s">
        <v>190</v>
      </c>
      <c r="E540" s="18" t="s">
        <v>190</v>
      </c>
      <c r="F540" s="18" t="s">
        <v>192</v>
      </c>
      <c r="G540" s="63" t="s">
        <v>1202</v>
      </c>
      <c r="H540" s="22" t="s">
        <v>198</v>
      </c>
      <c r="I540" s="28">
        <v>6.0</v>
      </c>
      <c r="J540" s="26" t="str">
        <f t="shared" si="489"/>
        <v>R</v>
      </c>
      <c r="K540" s="28">
        <v>6.0</v>
      </c>
      <c r="L540" s="26" t="str">
        <f t="shared" si="490"/>
        <v>R</v>
      </c>
      <c r="M540" s="28">
        <v>6.0</v>
      </c>
      <c r="N540" s="26" t="str">
        <f t="shared" si="491"/>
        <v>R</v>
      </c>
      <c r="O540" s="28">
        <v>15.0</v>
      </c>
      <c r="P540" s="26" t="str">
        <f t="shared" si="492"/>
        <v>R</v>
      </c>
      <c r="Q540" s="28">
        <v>6.0</v>
      </c>
      <c r="R540" s="26" t="str">
        <f t="shared" si="493"/>
        <v>R</v>
      </c>
      <c r="S540" s="28">
        <v>21.0</v>
      </c>
      <c r="T540" s="26" t="str">
        <f t="shared" si="494"/>
        <v>S</v>
      </c>
      <c r="U540" s="28">
        <v>19.0</v>
      </c>
      <c r="V540" s="26" t="str">
        <f t="shared" si="495"/>
        <v>I</v>
      </c>
      <c r="W540" s="32" t="s">
        <v>299</v>
      </c>
      <c r="X540" s="65">
        <v>6.0</v>
      </c>
      <c r="Y540" s="33" t="str">
        <f t="shared" si="496"/>
        <v>R</v>
      </c>
      <c r="Z540" s="65">
        <v>6.0</v>
      </c>
      <c r="AA540" s="33" t="str">
        <f t="shared" si="497"/>
        <v>R</v>
      </c>
      <c r="AB540" s="65">
        <v>6.0</v>
      </c>
      <c r="AC540" s="33" t="str">
        <f t="shared" si="498"/>
        <v>R</v>
      </c>
      <c r="AD540" s="65">
        <v>23.0</v>
      </c>
      <c r="AE540" s="33" t="str">
        <f t="shared" si="499"/>
        <v>S</v>
      </c>
      <c r="AF540" s="65">
        <v>18.0</v>
      </c>
      <c r="AG540" s="33" t="str">
        <f t="shared" si="500"/>
        <v>R</v>
      </c>
      <c r="AH540" s="65" t="s">
        <v>299</v>
      </c>
      <c r="AI540" s="66">
        <v>6.0</v>
      </c>
      <c r="AJ540" s="36" t="str">
        <f t="shared" si="501"/>
        <v>R</v>
      </c>
      <c r="AK540" s="66">
        <v>6.0</v>
      </c>
      <c r="AL540" s="36" t="str">
        <f t="shared" si="502"/>
        <v>R</v>
      </c>
      <c r="AM540" s="66">
        <v>6.0</v>
      </c>
      <c r="AN540" s="36" t="str">
        <f t="shared" si="503"/>
        <v>R</v>
      </c>
      <c r="AO540" s="66" t="s">
        <v>299</v>
      </c>
      <c r="AP540" s="67">
        <v>6.0</v>
      </c>
      <c r="AQ540" s="37" t="str">
        <f t="shared" si="504"/>
        <v>R</v>
      </c>
      <c r="AR540" s="65">
        <v>20.0</v>
      </c>
      <c r="AS540" s="33" t="str">
        <f t="shared" si="505"/>
        <v>S</v>
      </c>
      <c r="AT540" s="65">
        <v>20.0</v>
      </c>
      <c r="AU540" s="33" t="str">
        <f t="shared" si="506"/>
        <v>S</v>
      </c>
      <c r="AV540" s="33" t="s">
        <v>300</v>
      </c>
      <c r="AW540" s="28">
        <v>6.0</v>
      </c>
      <c r="AX540" s="26" t="str">
        <f t="shared" si="507"/>
        <v>R</v>
      </c>
      <c r="AY540" s="67">
        <v>13.0</v>
      </c>
      <c r="AZ540" s="37" t="str">
        <f t="shared" si="508"/>
        <v>R</v>
      </c>
      <c r="BA540" s="66">
        <v>26.0</v>
      </c>
      <c r="BB540" s="36" t="str">
        <f t="shared" si="509"/>
        <v>S</v>
      </c>
      <c r="BC540" s="39" t="s">
        <v>357</v>
      </c>
      <c r="BD540" s="39" t="s">
        <v>357</v>
      </c>
      <c r="BE540" s="66">
        <v>20.0</v>
      </c>
      <c r="BF540" s="36" t="str">
        <f t="shared" si="510"/>
        <v>I</v>
      </c>
      <c r="BG540" s="68">
        <v>20.0</v>
      </c>
      <c r="BH540" s="41" t="str">
        <f t="shared" si="511"/>
        <v>S</v>
      </c>
      <c r="BI540" s="41"/>
    </row>
    <row r="541">
      <c r="A541" s="21" t="s">
        <v>1018</v>
      </c>
      <c r="B541" s="21" t="s">
        <v>444</v>
      </c>
      <c r="C541" s="21" t="s">
        <v>2017</v>
      </c>
      <c r="D541" s="69" t="s">
        <v>190</v>
      </c>
      <c r="E541" s="18" t="s">
        <v>190</v>
      </c>
      <c r="F541" s="18" t="s">
        <v>192</v>
      </c>
      <c r="G541" s="63" t="s">
        <v>2018</v>
      </c>
      <c r="H541" s="22" t="s">
        <v>198</v>
      </c>
      <c r="I541" s="28">
        <v>6.0</v>
      </c>
      <c r="J541" s="26" t="str">
        <f t="shared" si="489"/>
        <v>R</v>
      </c>
      <c r="K541" s="28">
        <v>6.0</v>
      </c>
      <c r="L541" s="26" t="str">
        <f t="shared" si="490"/>
        <v>R</v>
      </c>
      <c r="M541" s="28">
        <v>6.0</v>
      </c>
      <c r="N541" s="26" t="str">
        <f t="shared" si="491"/>
        <v>R</v>
      </c>
      <c r="O541" s="28">
        <v>15.0</v>
      </c>
      <c r="P541" s="26" t="str">
        <f t="shared" si="492"/>
        <v>R</v>
      </c>
      <c r="Q541" s="28">
        <v>6.0</v>
      </c>
      <c r="R541" s="26" t="str">
        <f t="shared" si="493"/>
        <v>R</v>
      </c>
      <c r="S541" s="28">
        <v>21.0</v>
      </c>
      <c r="T541" s="26" t="str">
        <f t="shared" si="494"/>
        <v>S</v>
      </c>
      <c r="U541" s="28">
        <v>19.0</v>
      </c>
      <c r="V541" s="26" t="str">
        <f t="shared" si="495"/>
        <v>I</v>
      </c>
      <c r="W541" s="32" t="s">
        <v>299</v>
      </c>
      <c r="X541" s="65">
        <v>6.0</v>
      </c>
      <c r="Y541" s="33" t="str">
        <f t="shared" si="496"/>
        <v>R</v>
      </c>
      <c r="Z541" s="65">
        <v>6.0</v>
      </c>
      <c r="AA541" s="33" t="str">
        <f t="shared" si="497"/>
        <v>R</v>
      </c>
      <c r="AB541" s="65">
        <v>6.0</v>
      </c>
      <c r="AC541" s="33" t="str">
        <f t="shared" si="498"/>
        <v>R</v>
      </c>
      <c r="AD541" s="65">
        <v>23.0</v>
      </c>
      <c r="AE541" s="33" t="str">
        <f t="shared" si="499"/>
        <v>S</v>
      </c>
      <c r="AF541" s="65">
        <v>18.0</v>
      </c>
      <c r="AG541" s="33" t="str">
        <f t="shared" si="500"/>
        <v>R</v>
      </c>
      <c r="AH541" s="65" t="s">
        <v>299</v>
      </c>
      <c r="AI541" s="66">
        <v>6.0</v>
      </c>
      <c r="AJ541" s="36" t="str">
        <f t="shared" si="501"/>
        <v>R</v>
      </c>
      <c r="AK541" s="66">
        <v>6.0</v>
      </c>
      <c r="AL541" s="36" t="str">
        <f t="shared" si="502"/>
        <v>R</v>
      </c>
      <c r="AM541" s="66">
        <v>6.0</v>
      </c>
      <c r="AN541" s="36" t="str">
        <f t="shared" si="503"/>
        <v>R</v>
      </c>
      <c r="AO541" s="66" t="s">
        <v>299</v>
      </c>
      <c r="AP541" s="67">
        <v>6.0</v>
      </c>
      <c r="AQ541" s="37" t="str">
        <f t="shared" si="504"/>
        <v>R</v>
      </c>
      <c r="AR541" s="65">
        <v>20.0</v>
      </c>
      <c r="AS541" s="33" t="str">
        <f t="shared" si="505"/>
        <v>S</v>
      </c>
      <c r="AT541" s="65">
        <v>20.0</v>
      </c>
      <c r="AU541" s="33" t="str">
        <f t="shared" si="506"/>
        <v>S</v>
      </c>
      <c r="AV541" s="33" t="s">
        <v>300</v>
      </c>
      <c r="AW541" s="28">
        <v>6.0</v>
      </c>
      <c r="AX541" s="26" t="str">
        <f t="shared" si="507"/>
        <v>R</v>
      </c>
      <c r="AY541" s="67">
        <v>13.0</v>
      </c>
      <c r="AZ541" s="37" t="str">
        <f t="shared" si="508"/>
        <v>R</v>
      </c>
      <c r="BA541" s="66">
        <v>26.0</v>
      </c>
      <c r="BB541" s="36" t="str">
        <f t="shared" si="509"/>
        <v>S</v>
      </c>
      <c r="BC541" s="39" t="s">
        <v>357</v>
      </c>
      <c r="BD541" s="39" t="s">
        <v>357</v>
      </c>
      <c r="BE541" s="66">
        <v>20.0</v>
      </c>
      <c r="BF541" s="36" t="str">
        <f t="shared" si="510"/>
        <v>I</v>
      </c>
      <c r="BG541" s="68">
        <v>20.0</v>
      </c>
      <c r="BH541" s="41" t="str">
        <f t="shared" si="511"/>
        <v>S</v>
      </c>
      <c r="BI541" s="41"/>
    </row>
    <row r="542">
      <c r="A542" s="21" t="s">
        <v>1018</v>
      </c>
      <c r="B542" s="21" t="s">
        <v>444</v>
      </c>
      <c r="C542" s="21" t="s">
        <v>2019</v>
      </c>
      <c r="D542" s="69" t="s">
        <v>190</v>
      </c>
      <c r="E542" s="18" t="s">
        <v>190</v>
      </c>
      <c r="F542" s="18" t="s">
        <v>192</v>
      </c>
      <c r="G542" s="63" t="s">
        <v>2020</v>
      </c>
      <c r="H542" s="22" t="s">
        <v>198</v>
      </c>
      <c r="I542" s="28">
        <v>6.0</v>
      </c>
      <c r="J542" s="26" t="str">
        <f t="shared" si="489"/>
        <v>R</v>
      </c>
      <c r="K542" s="28">
        <v>6.0</v>
      </c>
      <c r="L542" s="26" t="str">
        <f t="shared" si="490"/>
        <v>R</v>
      </c>
      <c r="M542" s="28">
        <v>6.0</v>
      </c>
      <c r="N542" s="26" t="str">
        <f t="shared" si="491"/>
        <v>R</v>
      </c>
      <c r="O542" s="28">
        <v>15.0</v>
      </c>
      <c r="P542" s="26" t="str">
        <f t="shared" si="492"/>
        <v>R</v>
      </c>
      <c r="Q542" s="28">
        <v>6.0</v>
      </c>
      <c r="R542" s="26" t="str">
        <f t="shared" si="493"/>
        <v>R</v>
      </c>
      <c r="S542" s="28">
        <v>21.0</v>
      </c>
      <c r="T542" s="26" t="str">
        <f t="shared" si="494"/>
        <v>S</v>
      </c>
      <c r="U542" s="28">
        <v>19.0</v>
      </c>
      <c r="V542" s="26" t="str">
        <f t="shared" si="495"/>
        <v>I</v>
      </c>
      <c r="W542" s="32" t="s">
        <v>299</v>
      </c>
      <c r="X542" s="65">
        <v>6.0</v>
      </c>
      <c r="Y542" s="33" t="str">
        <f t="shared" si="496"/>
        <v>R</v>
      </c>
      <c r="Z542" s="65">
        <v>6.0</v>
      </c>
      <c r="AA542" s="33" t="str">
        <f t="shared" si="497"/>
        <v>R</v>
      </c>
      <c r="AB542" s="65">
        <v>6.0</v>
      </c>
      <c r="AC542" s="33" t="str">
        <f t="shared" si="498"/>
        <v>R</v>
      </c>
      <c r="AD542" s="65">
        <v>23.0</v>
      </c>
      <c r="AE542" s="33" t="str">
        <f t="shared" si="499"/>
        <v>S</v>
      </c>
      <c r="AF542" s="65">
        <v>18.0</v>
      </c>
      <c r="AG542" s="33" t="str">
        <f t="shared" si="500"/>
        <v>R</v>
      </c>
      <c r="AH542" s="65" t="s">
        <v>299</v>
      </c>
      <c r="AI542" s="66">
        <v>6.0</v>
      </c>
      <c r="AJ542" s="36" t="str">
        <f t="shared" si="501"/>
        <v>R</v>
      </c>
      <c r="AK542" s="66">
        <v>6.0</v>
      </c>
      <c r="AL542" s="36" t="str">
        <f t="shared" si="502"/>
        <v>R</v>
      </c>
      <c r="AM542" s="66">
        <v>6.0</v>
      </c>
      <c r="AN542" s="36" t="str">
        <f t="shared" si="503"/>
        <v>R</v>
      </c>
      <c r="AO542" s="66" t="s">
        <v>299</v>
      </c>
      <c r="AP542" s="67">
        <v>6.0</v>
      </c>
      <c r="AQ542" s="37" t="str">
        <f t="shared" si="504"/>
        <v>R</v>
      </c>
      <c r="AR542" s="65">
        <v>20.0</v>
      </c>
      <c r="AS542" s="33" t="str">
        <f t="shared" si="505"/>
        <v>S</v>
      </c>
      <c r="AT542" s="65">
        <v>20.0</v>
      </c>
      <c r="AU542" s="33" t="str">
        <f t="shared" si="506"/>
        <v>S</v>
      </c>
      <c r="AV542" s="33" t="s">
        <v>300</v>
      </c>
      <c r="AW542" s="28">
        <v>6.0</v>
      </c>
      <c r="AX542" s="26" t="str">
        <f t="shared" si="507"/>
        <v>R</v>
      </c>
      <c r="AY542" s="67">
        <v>13.0</v>
      </c>
      <c r="AZ542" s="37" t="str">
        <f t="shared" si="508"/>
        <v>R</v>
      </c>
      <c r="BA542" s="66">
        <v>26.0</v>
      </c>
      <c r="BB542" s="36" t="str">
        <f t="shared" si="509"/>
        <v>S</v>
      </c>
      <c r="BC542" s="39" t="s">
        <v>357</v>
      </c>
      <c r="BD542" s="39" t="s">
        <v>357</v>
      </c>
      <c r="BE542" s="66">
        <v>20.0</v>
      </c>
      <c r="BF542" s="36" t="str">
        <f t="shared" si="510"/>
        <v>I</v>
      </c>
      <c r="BG542" s="68">
        <v>20.0</v>
      </c>
      <c r="BH542" s="41" t="str">
        <f t="shared" si="511"/>
        <v>S</v>
      </c>
      <c r="BI542" s="41"/>
    </row>
    <row r="543">
      <c r="A543" s="21" t="s">
        <v>1018</v>
      </c>
      <c r="B543" s="23">
        <v>235.0</v>
      </c>
      <c r="C543" s="21" t="s">
        <v>1203</v>
      </c>
      <c r="D543" s="69" t="s">
        <v>571</v>
      </c>
      <c r="E543" s="18" t="s">
        <v>572</v>
      </c>
      <c r="F543" s="18" t="s">
        <v>192</v>
      </c>
      <c r="G543" s="63" t="s">
        <v>1204</v>
      </c>
      <c r="H543" s="52" t="s">
        <v>581</v>
      </c>
      <c r="I543" s="28">
        <v>6.0</v>
      </c>
      <c r="J543" s="26" t="str">
        <f t="shared" si="489"/>
        <v>R</v>
      </c>
      <c r="K543" s="28">
        <v>9.0</v>
      </c>
      <c r="L543" s="26" t="str">
        <f t="shared" si="490"/>
        <v>R</v>
      </c>
      <c r="M543" s="28">
        <v>6.0</v>
      </c>
      <c r="N543" s="26" t="str">
        <f t="shared" si="491"/>
        <v>R</v>
      </c>
      <c r="O543" s="28">
        <v>18.0</v>
      </c>
      <c r="P543" s="26" t="str">
        <f t="shared" si="492"/>
        <v>R</v>
      </c>
      <c r="Q543" s="28">
        <v>14.0</v>
      </c>
      <c r="R543" s="26" t="str">
        <f t="shared" si="493"/>
        <v>R</v>
      </c>
      <c r="S543" s="28">
        <v>13.0</v>
      </c>
      <c r="T543" s="26" t="str">
        <f t="shared" si="494"/>
        <v>R</v>
      </c>
      <c r="U543" s="28">
        <v>15.0</v>
      </c>
      <c r="V543" s="26" t="str">
        <f t="shared" si="495"/>
        <v>R</v>
      </c>
      <c r="W543" s="32" t="s">
        <v>299</v>
      </c>
      <c r="X543" s="65">
        <v>6.0</v>
      </c>
      <c r="Y543" s="33" t="str">
        <f t="shared" si="496"/>
        <v>R</v>
      </c>
      <c r="Z543" s="65">
        <v>16.0</v>
      </c>
      <c r="AA543" s="33" t="str">
        <f t="shared" si="497"/>
        <v>R</v>
      </c>
      <c r="AB543" s="65">
        <v>6.0</v>
      </c>
      <c r="AC543" s="33" t="str">
        <f t="shared" si="498"/>
        <v>R</v>
      </c>
      <c r="AD543" s="65">
        <v>18.0</v>
      </c>
      <c r="AE543" s="33" t="str">
        <f t="shared" si="499"/>
        <v>S</v>
      </c>
      <c r="AF543" s="65">
        <v>13.0</v>
      </c>
      <c r="AG543" s="33" t="str">
        <f t="shared" si="500"/>
        <v>R</v>
      </c>
      <c r="AH543" s="65" t="s">
        <v>299</v>
      </c>
      <c r="AI543" s="66">
        <v>23.0</v>
      </c>
      <c r="AJ543" s="36" t="str">
        <f t="shared" si="501"/>
        <v>I</v>
      </c>
      <c r="AK543" s="66">
        <v>21.0</v>
      </c>
      <c r="AL543" s="36" t="str">
        <f t="shared" si="502"/>
        <v>I</v>
      </c>
      <c r="AM543" s="66">
        <v>20.0</v>
      </c>
      <c r="AN543" s="36" t="str">
        <f t="shared" si="503"/>
        <v>S</v>
      </c>
      <c r="AO543" s="66" t="s">
        <v>299</v>
      </c>
      <c r="AP543" s="67">
        <v>24.0</v>
      </c>
      <c r="AQ543" s="37" t="str">
        <f t="shared" si="504"/>
        <v>S</v>
      </c>
      <c r="AR543" s="65">
        <v>16.0</v>
      </c>
      <c r="AS543" s="33" t="str">
        <f t="shared" si="505"/>
        <v>R</v>
      </c>
      <c r="AT543" s="65">
        <v>18.0</v>
      </c>
      <c r="AU543" s="33" t="str">
        <f t="shared" si="506"/>
        <v>S</v>
      </c>
      <c r="AV543" s="65" t="s">
        <v>299</v>
      </c>
      <c r="AW543" s="28">
        <v>18.0</v>
      </c>
      <c r="AX543" s="26" t="str">
        <f t="shared" si="507"/>
        <v>R</v>
      </c>
      <c r="AY543" s="67">
        <v>6.0</v>
      </c>
      <c r="AZ543" s="37" t="str">
        <f t="shared" si="508"/>
        <v>R</v>
      </c>
      <c r="BA543" s="66">
        <v>26.0</v>
      </c>
      <c r="BB543" s="36" t="str">
        <f t="shared" si="509"/>
        <v>S</v>
      </c>
      <c r="BC543" s="39" t="s">
        <v>357</v>
      </c>
      <c r="BD543" s="39" t="s">
        <v>357</v>
      </c>
      <c r="BE543" s="66">
        <v>14.0</v>
      </c>
      <c r="BF543" s="36" t="str">
        <f t="shared" si="510"/>
        <v>R</v>
      </c>
      <c r="BG543" s="68">
        <v>16.0</v>
      </c>
      <c r="BH543" s="41" t="str">
        <f t="shared" si="511"/>
        <v>R</v>
      </c>
      <c r="BI543" s="41"/>
    </row>
    <row r="544">
      <c r="A544" s="21" t="s">
        <v>1018</v>
      </c>
      <c r="B544" s="21" t="s">
        <v>444</v>
      </c>
      <c r="C544" s="21" t="s">
        <v>2021</v>
      </c>
      <c r="D544" s="69" t="s">
        <v>571</v>
      </c>
      <c r="E544" s="18" t="s">
        <v>572</v>
      </c>
      <c r="F544" s="18" t="s">
        <v>192</v>
      </c>
      <c r="G544" s="63" t="s">
        <v>2022</v>
      </c>
      <c r="H544" s="52" t="s">
        <v>581</v>
      </c>
      <c r="I544" s="28">
        <v>6.0</v>
      </c>
      <c r="J544" s="26" t="str">
        <f t="shared" si="489"/>
        <v>R</v>
      </c>
      <c r="K544" s="28">
        <v>12.0</v>
      </c>
      <c r="L544" s="26" t="str">
        <f t="shared" si="490"/>
        <v>R</v>
      </c>
      <c r="M544" s="28">
        <v>6.0</v>
      </c>
      <c r="N544" s="26" t="str">
        <f t="shared" si="491"/>
        <v>R</v>
      </c>
      <c r="O544" s="28">
        <v>22.0</v>
      </c>
      <c r="P544" s="26" t="str">
        <f t="shared" si="492"/>
        <v>I</v>
      </c>
      <c r="Q544" s="28">
        <v>14.0</v>
      </c>
      <c r="R544" s="26" t="str">
        <f t="shared" si="493"/>
        <v>R</v>
      </c>
      <c r="S544" s="28">
        <v>13.0</v>
      </c>
      <c r="T544" s="26" t="str">
        <f t="shared" si="494"/>
        <v>R</v>
      </c>
      <c r="U544" s="28">
        <v>15.0</v>
      </c>
      <c r="V544" s="26" t="str">
        <f t="shared" si="495"/>
        <v>R</v>
      </c>
      <c r="W544" s="32" t="s">
        <v>299</v>
      </c>
      <c r="X544" s="65">
        <v>6.0</v>
      </c>
      <c r="Y544" s="33" t="str">
        <f t="shared" si="496"/>
        <v>R</v>
      </c>
      <c r="Z544" s="65">
        <v>15.0</v>
      </c>
      <c r="AA544" s="33" t="str">
        <f t="shared" si="497"/>
        <v>R</v>
      </c>
      <c r="AB544" s="65">
        <v>6.0</v>
      </c>
      <c r="AC544" s="33" t="str">
        <f t="shared" si="498"/>
        <v>R</v>
      </c>
      <c r="AD544" s="65">
        <v>18.0</v>
      </c>
      <c r="AE544" s="33" t="str">
        <f t="shared" si="499"/>
        <v>S</v>
      </c>
      <c r="AF544" s="65">
        <v>12.0</v>
      </c>
      <c r="AG544" s="33" t="str">
        <f t="shared" si="500"/>
        <v>R</v>
      </c>
      <c r="AH544" s="65" t="s">
        <v>299</v>
      </c>
      <c r="AI544" s="66">
        <v>23.0</v>
      </c>
      <c r="AJ544" s="36" t="str">
        <f t="shared" si="501"/>
        <v>I</v>
      </c>
      <c r="AK544" s="66">
        <v>21.0</v>
      </c>
      <c r="AL544" s="36" t="str">
        <f t="shared" si="502"/>
        <v>I</v>
      </c>
      <c r="AM544" s="66">
        <v>22.0</v>
      </c>
      <c r="AN544" s="36" t="str">
        <f t="shared" si="503"/>
        <v>S</v>
      </c>
      <c r="AO544" s="66" t="s">
        <v>299</v>
      </c>
      <c r="AP544" s="67">
        <v>24.0</v>
      </c>
      <c r="AQ544" s="37" t="str">
        <f t="shared" si="504"/>
        <v>S</v>
      </c>
      <c r="AR544" s="65">
        <v>14.0</v>
      </c>
      <c r="AS544" s="33" t="str">
        <f t="shared" si="505"/>
        <v>R</v>
      </c>
      <c r="AT544" s="65">
        <v>18.0</v>
      </c>
      <c r="AU544" s="33" t="str">
        <f t="shared" si="506"/>
        <v>S</v>
      </c>
      <c r="AV544" s="65" t="s">
        <v>299</v>
      </c>
      <c r="AW544" s="28">
        <v>16.0</v>
      </c>
      <c r="AX544" s="26" t="str">
        <f t="shared" si="507"/>
        <v>R</v>
      </c>
      <c r="AY544" s="67">
        <v>6.0</v>
      </c>
      <c r="AZ544" s="37" t="str">
        <f t="shared" si="508"/>
        <v>R</v>
      </c>
      <c r="BA544" s="66">
        <v>25.0</v>
      </c>
      <c r="BB544" s="36" t="str">
        <f t="shared" si="509"/>
        <v>S</v>
      </c>
      <c r="BC544" s="39" t="s">
        <v>357</v>
      </c>
      <c r="BD544" s="39" t="s">
        <v>357</v>
      </c>
      <c r="BE544" s="66">
        <v>14.0</v>
      </c>
      <c r="BF544" s="36" t="str">
        <f t="shared" si="510"/>
        <v>R</v>
      </c>
      <c r="BG544" s="68">
        <v>16.0</v>
      </c>
      <c r="BH544" s="41" t="str">
        <f t="shared" si="511"/>
        <v>R</v>
      </c>
      <c r="BI544" s="41"/>
    </row>
    <row r="545">
      <c r="A545" s="21" t="s">
        <v>1018</v>
      </c>
      <c r="B545" s="21" t="s">
        <v>444</v>
      </c>
      <c r="C545" s="21" t="s">
        <v>2023</v>
      </c>
      <c r="D545" s="69" t="s">
        <v>571</v>
      </c>
      <c r="E545" s="18" t="s">
        <v>572</v>
      </c>
      <c r="F545" s="18" t="s">
        <v>192</v>
      </c>
      <c r="G545" s="63" t="s">
        <v>2024</v>
      </c>
      <c r="H545" s="52" t="s">
        <v>581</v>
      </c>
      <c r="I545" s="28">
        <v>6.0</v>
      </c>
      <c r="J545" s="26" t="str">
        <f t="shared" si="489"/>
        <v>R</v>
      </c>
      <c r="K545" s="28">
        <v>11.0</v>
      </c>
      <c r="L545" s="26" t="str">
        <f t="shared" si="490"/>
        <v>R</v>
      </c>
      <c r="M545" s="28">
        <v>6.0</v>
      </c>
      <c r="N545" s="26" t="str">
        <f t="shared" si="491"/>
        <v>R</v>
      </c>
      <c r="O545" s="28">
        <v>22.0</v>
      </c>
      <c r="P545" s="26" t="str">
        <f t="shared" si="492"/>
        <v>I</v>
      </c>
      <c r="Q545" s="28">
        <v>14.0</v>
      </c>
      <c r="R545" s="26" t="str">
        <f t="shared" si="493"/>
        <v>R</v>
      </c>
      <c r="S545" s="28">
        <v>13.0</v>
      </c>
      <c r="T545" s="26" t="str">
        <f t="shared" si="494"/>
        <v>R</v>
      </c>
      <c r="U545" s="28">
        <v>15.0</v>
      </c>
      <c r="V545" s="26" t="str">
        <f t="shared" si="495"/>
        <v>R</v>
      </c>
      <c r="W545" s="32" t="s">
        <v>299</v>
      </c>
      <c r="X545" s="65">
        <v>6.0</v>
      </c>
      <c r="Y545" s="33" t="str">
        <f t="shared" si="496"/>
        <v>R</v>
      </c>
      <c r="Z545" s="65">
        <v>16.0</v>
      </c>
      <c r="AA545" s="33" t="str">
        <f t="shared" si="497"/>
        <v>R</v>
      </c>
      <c r="AB545" s="65">
        <v>6.0</v>
      </c>
      <c r="AC545" s="33" t="str">
        <f t="shared" si="498"/>
        <v>R</v>
      </c>
      <c r="AD545" s="65">
        <v>18.0</v>
      </c>
      <c r="AE545" s="33" t="str">
        <f t="shared" si="499"/>
        <v>S</v>
      </c>
      <c r="AF545" s="65">
        <v>13.0</v>
      </c>
      <c r="AG545" s="33" t="str">
        <f t="shared" si="500"/>
        <v>R</v>
      </c>
      <c r="AH545" s="65" t="s">
        <v>299</v>
      </c>
      <c r="AI545" s="66">
        <v>23.0</v>
      </c>
      <c r="AJ545" s="36" t="str">
        <f t="shared" si="501"/>
        <v>I</v>
      </c>
      <c r="AK545" s="66">
        <v>21.0</v>
      </c>
      <c r="AL545" s="36" t="str">
        <f t="shared" si="502"/>
        <v>I</v>
      </c>
      <c r="AM545" s="66">
        <v>20.0</v>
      </c>
      <c r="AN545" s="36" t="str">
        <f t="shared" si="503"/>
        <v>S</v>
      </c>
      <c r="AO545" s="66" t="s">
        <v>299</v>
      </c>
      <c r="AP545" s="67">
        <v>24.0</v>
      </c>
      <c r="AQ545" s="37" t="str">
        <f t="shared" si="504"/>
        <v>S</v>
      </c>
      <c r="AR545" s="65">
        <v>15.0</v>
      </c>
      <c r="AS545" s="33" t="str">
        <f t="shared" si="505"/>
        <v>R</v>
      </c>
      <c r="AT545" s="65">
        <v>18.0</v>
      </c>
      <c r="AU545" s="33" t="str">
        <f t="shared" si="506"/>
        <v>S</v>
      </c>
      <c r="AV545" s="65" t="s">
        <v>299</v>
      </c>
      <c r="AW545" s="28">
        <v>17.0</v>
      </c>
      <c r="AX545" s="26" t="str">
        <f t="shared" si="507"/>
        <v>R</v>
      </c>
      <c r="AY545" s="67">
        <v>6.0</v>
      </c>
      <c r="AZ545" s="37" t="str">
        <f t="shared" si="508"/>
        <v>R</v>
      </c>
      <c r="BA545" s="66">
        <v>25.0</v>
      </c>
      <c r="BB545" s="36" t="str">
        <f t="shared" si="509"/>
        <v>S</v>
      </c>
      <c r="BC545" s="39" t="s">
        <v>357</v>
      </c>
      <c r="BD545" s="39" t="s">
        <v>357</v>
      </c>
      <c r="BE545" s="66">
        <v>14.0</v>
      </c>
      <c r="BF545" s="36" t="str">
        <f t="shared" si="510"/>
        <v>R</v>
      </c>
      <c r="BG545" s="68">
        <v>16.0</v>
      </c>
      <c r="BH545" s="41" t="str">
        <f t="shared" si="511"/>
        <v>R</v>
      </c>
      <c r="BI545" s="41"/>
    </row>
    <row r="546">
      <c r="A546" s="21" t="s">
        <v>1018</v>
      </c>
      <c r="B546" s="23">
        <v>236.0</v>
      </c>
      <c r="C546" s="21" t="s">
        <v>1205</v>
      </c>
      <c r="D546" s="69" t="s">
        <v>1206</v>
      </c>
      <c r="E546" s="18" t="s">
        <v>103</v>
      </c>
      <c r="F546" s="18" t="s">
        <v>192</v>
      </c>
      <c r="G546" s="63" t="s">
        <v>1207</v>
      </c>
      <c r="H546" s="22" t="s">
        <v>198</v>
      </c>
      <c r="I546" s="28">
        <v>6.0</v>
      </c>
      <c r="J546" s="26" t="str">
        <f t="shared" si="489"/>
        <v>R</v>
      </c>
      <c r="K546" s="28">
        <v>6.0</v>
      </c>
      <c r="L546" s="26" t="str">
        <f t="shared" si="490"/>
        <v>R</v>
      </c>
      <c r="M546" s="28">
        <v>6.0</v>
      </c>
      <c r="N546" s="26" t="str">
        <f t="shared" si="491"/>
        <v>R</v>
      </c>
      <c r="O546" s="28">
        <v>23.0</v>
      </c>
      <c r="P546" s="26" t="str">
        <f t="shared" si="492"/>
        <v>S</v>
      </c>
      <c r="Q546" s="28">
        <v>6.0</v>
      </c>
      <c r="R546" s="26" t="str">
        <f t="shared" si="493"/>
        <v>R</v>
      </c>
      <c r="S546" s="28">
        <v>20.0</v>
      </c>
      <c r="T546" s="26" t="str">
        <f t="shared" si="494"/>
        <v>S</v>
      </c>
      <c r="U546" s="28">
        <v>15.0</v>
      </c>
      <c r="V546" s="26" t="str">
        <f t="shared" si="495"/>
        <v>R</v>
      </c>
      <c r="W546" s="32" t="s">
        <v>299</v>
      </c>
      <c r="X546" s="65">
        <v>15.0</v>
      </c>
      <c r="Y546" s="33" t="str">
        <f t="shared" si="496"/>
        <v>R</v>
      </c>
      <c r="Z546" s="65">
        <v>6.0</v>
      </c>
      <c r="AA546" s="33" t="str">
        <f t="shared" si="497"/>
        <v>R</v>
      </c>
      <c r="AB546" s="65">
        <v>6.0</v>
      </c>
      <c r="AC546" s="33" t="str">
        <f t="shared" si="498"/>
        <v>R</v>
      </c>
      <c r="AD546" s="65">
        <v>18.0</v>
      </c>
      <c r="AE546" s="33" t="str">
        <f t="shared" si="499"/>
        <v>S</v>
      </c>
      <c r="AF546" s="65">
        <v>18.0</v>
      </c>
      <c r="AG546" s="33" t="str">
        <f t="shared" si="500"/>
        <v>R</v>
      </c>
      <c r="AH546" s="65" t="s">
        <v>299</v>
      </c>
      <c r="AI546" s="66">
        <v>20.0</v>
      </c>
      <c r="AJ546" s="36" t="str">
        <f t="shared" si="501"/>
        <v>R</v>
      </c>
      <c r="AK546" s="66">
        <v>15.0</v>
      </c>
      <c r="AL546" s="36" t="str">
        <f t="shared" si="502"/>
        <v>R</v>
      </c>
      <c r="AM546" s="66">
        <v>10.0</v>
      </c>
      <c r="AN546" s="36" t="str">
        <f t="shared" si="503"/>
        <v>R</v>
      </c>
      <c r="AO546" s="66" t="s">
        <v>299</v>
      </c>
      <c r="AP546" s="67">
        <v>12.0</v>
      </c>
      <c r="AQ546" s="37" t="str">
        <f t="shared" si="504"/>
        <v>I</v>
      </c>
      <c r="AR546" s="65">
        <v>21.0</v>
      </c>
      <c r="AS546" s="33" t="str">
        <f t="shared" si="505"/>
        <v>S</v>
      </c>
      <c r="AT546" s="65">
        <v>18.0</v>
      </c>
      <c r="AU546" s="33" t="str">
        <f t="shared" si="506"/>
        <v>S</v>
      </c>
      <c r="AV546" s="33" t="s">
        <v>300</v>
      </c>
      <c r="AW546" s="28">
        <v>20.0</v>
      </c>
      <c r="AX546" s="26" t="str">
        <f t="shared" si="507"/>
        <v>S</v>
      </c>
      <c r="AY546" s="67">
        <v>20.0</v>
      </c>
      <c r="AZ546" s="37" t="str">
        <f t="shared" si="508"/>
        <v>R</v>
      </c>
      <c r="BA546" s="66">
        <v>18.0</v>
      </c>
      <c r="BB546" s="36" t="str">
        <f t="shared" si="509"/>
        <v>R</v>
      </c>
      <c r="BC546" s="39" t="s">
        <v>357</v>
      </c>
      <c r="BD546" s="39" t="s">
        <v>357</v>
      </c>
      <c r="BE546" s="66">
        <v>18.0</v>
      </c>
      <c r="BF546" s="36" t="str">
        <f t="shared" si="510"/>
        <v>R</v>
      </c>
      <c r="BG546" s="68">
        <v>10.0</v>
      </c>
      <c r="BH546" s="41" t="str">
        <f t="shared" si="511"/>
        <v>R</v>
      </c>
      <c r="BI546" s="41"/>
    </row>
    <row r="547">
      <c r="A547" s="21" t="s">
        <v>1018</v>
      </c>
      <c r="B547" s="21" t="s">
        <v>444</v>
      </c>
      <c r="C547" s="21" t="s">
        <v>2025</v>
      </c>
      <c r="D547" s="69" t="s">
        <v>1206</v>
      </c>
      <c r="E547" s="18" t="s">
        <v>103</v>
      </c>
      <c r="F547" s="18" t="s">
        <v>192</v>
      </c>
      <c r="G547" s="63" t="s">
        <v>2026</v>
      </c>
      <c r="H547" s="22" t="s">
        <v>198</v>
      </c>
      <c r="I547" s="28">
        <v>6.0</v>
      </c>
      <c r="J547" s="26" t="str">
        <f t="shared" si="489"/>
        <v>R</v>
      </c>
      <c r="K547" s="28">
        <v>6.0</v>
      </c>
      <c r="L547" s="26" t="str">
        <f t="shared" si="490"/>
        <v>R</v>
      </c>
      <c r="M547" s="28">
        <v>6.0</v>
      </c>
      <c r="N547" s="26" t="str">
        <f t="shared" si="491"/>
        <v>R</v>
      </c>
      <c r="O547" s="28">
        <v>23.0</v>
      </c>
      <c r="P547" s="26" t="str">
        <f t="shared" si="492"/>
        <v>S</v>
      </c>
      <c r="Q547" s="28">
        <v>6.0</v>
      </c>
      <c r="R547" s="26" t="str">
        <f t="shared" si="493"/>
        <v>R</v>
      </c>
      <c r="S547" s="28">
        <v>20.0</v>
      </c>
      <c r="T547" s="26" t="str">
        <f t="shared" si="494"/>
        <v>S</v>
      </c>
      <c r="U547" s="28">
        <v>15.0</v>
      </c>
      <c r="V547" s="26" t="str">
        <f t="shared" si="495"/>
        <v>R</v>
      </c>
      <c r="W547" s="32" t="s">
        <v>299</v>
      </c>
      <c r="X547" s="65">
        <v>15.0</v>
      </c>
      <c r="Y547" s="33" t="str">
        <f t="shared" si="496"/>
        <v>R</v>
      </c>
      <c r="Z547" s="65">
        <v>6.0</v>
      </c>
      <c r="AA547" s="33" t="str">
        <f t="shared" si="497"/>
        <v>R</v>
      </c>
      <c r="AB547" s="65">
        <v>6.0</v>
      </c>
      <c r="AC547" s="33" t="str">
        <f t="shared" si="498"/>
        <v>R</v>
      </c>
      <c r="AD547" s="65">
        <v>18.0</v>
      </c>
      <c r="AE547" s="33" t="str">
        <f t="shared" si="499"/>
        <v>S</v>
      </c>
      <c r="AF547" s="65">
        <v>18.0</v>
      </c>
      <c r="AG547" s="33" t="str">
        <f t="shared" si="500"/>
        <v>R</v>
      </c>
      <c r="AH547" s="65" t="s">
        <v>299</v>
      </c>
      <c r="AI547" s="66">
        <v>20.0</v>
      </c>
      <c r="AJ547" s="36" t="str">
        <f t="shared" si="501"/>
        <v>R</v>
      </c>
      <c r="AK547" s="66">
        <v>15.0</v>
      </c>
      <c r="AL547" s="36" t="str">
        <f t="shared" si="502"/>
        <v>R</v>
      </c>
      <c r="AM547" s="66">
        <v>10.0</v>
      </c>
      <c r="AN547" s="36" t="str">
        <f t="shared" si="503"/>
        <v>R</v>
      </c>
      <c r="AO547" s="66" t="s">
        <v>299</v>
      </c>
      <c r="AP547" s="67">
        <v>12.0</v>
      </c>
      <c r="AQ547" s="37" t="str">
        <f t="shared" si="504"/>
        <v>I</v>
      </c>
      <c r="AR547" s="65">
        <v>21.0</v>
      </c>
      <c r="AS547" s="33" t="str">
        <f t="shared" si="505"/>
        <v>S</v>
      </c>
      <c r="AT547" s="65">
        <v>18.0</v>
      </c>
      <c r="AU547" s="33" t="str">
        <f t="shared" si="506"/>
        <v>S</v>
      </c>
      <c r="AV547" s="33" t="s">
        <v>300</v>
      </c>
      <c r="AW547" s="28">
        <v>20.0</v>
      </c>
      <c r="AX547" s="26" t="str">
        <f t="shared" si="507"/>
        <v>S</v>
      </c>
      <c r="AY547" s="67">
        <v>20.0</v>
      </c>
      <c r="AZ547" s="37" t="str">
        <f t="shared" si="508"/>
        <v>R</v>
      </c>
      <c r="BA547" s="66">
        <v>18.0</v>
      </c>
      <c r="BB547" s="36" t="str">
        <f t="shared" si="509"/>
        <v>R</v>
      </c>
      <c r="BC547" s="39" t="s">
        <v>357</v>
      </c>
      <c r="BD547" s="39" t="s">
        <v>357</v>
      </c>
      <c r="BE547" s="66">
        <v>18.0</v>
      </c>
      <c r="BF547" s="36" t="str">
        <f t="shared" si="510"/>
        <v>R</v>
      </c>
      <c r="BG547" s="68">
        <v>10.0</v>
      </c>
      <c r="BH547" s="41" t="str">
        <f t="shared" si="511"/>
        <v>R</v>
      </c>
      <c r="BI547" s="41"/>
    </row>
    <row r="548">
      <c r="A548" s="21" t="s">
        <v>1018</v>
      </c>
      <c r="B548" s="21" t="s">
        <v>444</v>
      </c>
      <c r="C548" s="21" t="s">
        <v>2027</v>
      </c>
      <c r="D548" s="69" t="s">
        <v>1206</v>
      </c>
      <c r="E548" s="18" t="s">
        <v>103</v>
      </c>
      <c r="F548" s="18" t="s">
        <v>192</v>
      </c>
      <c r="G548" s="63" t="s">
        <v>2028</v>
      </c>
      <c r="H548" s="22" t="s">
        <v>198</v>
      </c>
      <c r="I548" s="28">
        <v>6.0</v>
      </c>
      <c r="J548" s="26" t="str">
        <f t="shared" si="489"/>
        <v>R</v>
      </c>
      <c r="K548" s="28">
        <v>6.0</v>
      </c>
      <c r="L548" s="26" t="str">
        <f t="shared" si="490"/>
        <v>R</v>
      </c>
      <c r="M548" s="28">
        <v>6.0</v>
      </c>
      <c r="N548" s="26" t="str">
        <f t="shared" si="491"/>
        <v>R</v>
      </c>
      <c r="O548" s="28">
        <v>23.0</v>
      </c>
      <c r="P548" s="26" t="str">
        <f t="shared" si="492"/>
        <v>S</v>
      </c>
      <c r="Q548" s="28">
        <v>6.0</v>
      </c>
      <c r="R548" s="26" t="str">
        <f t="shared" si="493"/>
        <v>R</v>
      </c>
      <c r="S548" s="28">
        <v>20.0</v>
      </c>
      <c r="T548" s="26" t="str">
        <f t="shared" si="494"/>
        <v>S</v>
      </c>
      <c r="U548" s="28">
        <v>15.0</v>
      </c>
      <c r="V548" s="26" t="str">
        <f t="shared" si="495"/>
        <v>R</v>
      </c>
      <c r="W548" s="32" t="s">
        <v>299</v>
      </c>
      <c r="X548" s="65">
        <v>15.0</v>
      </c>
      <c r="Y548" s="33" t="str">
        <f t="shared" si="496"/>
        <v>R</v>
      </c>
      <c r="Z548" s="65">
        <v>6.0</v>
      </c>
      <c r="AA548" s="33" t="str">
        <f t="shared" si="497"/>
        <v>R</v>
      </c>
      <c r="AB548" s="65">
        <v>6.0</v>
      </c>
      <c r="AC548" s="33" t="str">
        <f t="shared" si="498"/>
        <v>R</v>
      </c>
      <c r="AD548" s="65">
        <v>18.0</v>
      </c>
      <c r="AE548" s="33" t="str">
        <f t="shared" si="499"/>
        <v>S</v>
      </c>
      <c r="AF548" s="65">
        <v>18.0</v>
      </c>
      <c r="AG548" s="33" t="str">
        <f t="shared" si="500"/>
        <v>R</v>
      </c>
      <c r="AH548" s="65" t="s">
        <v>299</v>
      </c>
      <c r="AI548" s="66">
        <v>20.0</v>
      </c>
      <c r="AJ548" s="36" t="str">
        <f t="shared" si="501"/>
        <v>R</v>
      </c>
      <c r="AK548" s="66">
        <v>15.0</v>
      </c>
      <c r="AL548" s="36" t="str">
        <f t="shared" si="502"/>
        <v>R</v>
      </c>
      <c r="AM548" s="66">
        <v>10.0</v>
      </c>
      <c r="AN548" s="36" t="str">
        <f t="shared" si="503"/>
        <v>R</v>
      </c>
      <c r="AO548" s="66" t="s">
        <v>299</v>
      </c>
      <c r="AP548" s="67">
        <v>12.0</v>
      </c>
      <c r="AQ548" s="37" t="str">
        <f t="shared" si="504"/>
        <v>I</v>
      </c>
      <c r="AR548" s="65">
        <v>21.0</v>
      </c>
      <c r="AS548" s="33" t="str">
        <f t="shared" si="505"/>
        <v>S</v>
      </c>
      <c r="AT548" s="65">
        <v>18.0</v>
      </c>
      <c r="AU548" s="33" t="str">
        <f t="shared" si="506"/>
        <v>S</v>
      </c>
      <c r="AV548" s="33" t="s">
        <v>300</v>
      </c>
      <c r="AW548" s="28">
        <v>20.0</v>
      </c>
      <c r="AX548" s="26" t="str">
        <f t="shared" si="507"/>
        <v>S</v>
      </c>
      <c r="AY548" s="67">
        <v>20.0</v>
      </c>
      <c r="AZ548" s="37" t="str">
        <f t="shared" si="508"/>
        <v>R</v>
      </c>
      <c r="BA548" s="66">
        <v>18.0</v>
      </c>
      <c r="BB548" s="36" t="str">
        <f t="shared" si="509"/>
        <v>R</v>
      </c>
      <c r="BC548" s="39" t="s">
        <v>357</v>
      </c>
      <c r="BD548" s="39" t="s">
        <v>357</v>
      </c>
      <c r="BE548" s="66">
        <v>18.0</v>
      </c>
      <c r="BF548" s="36" t="str">
        <f t="shared" si="510"/>
        <v>R</v>
      </c>
      <c r="BG548" s="68">
        <v>10.0</v>
      </c>
      <c r="BH548" s="41" t="str">
        <f t="shared" si="511"/>
        <v>R</v>
      </c>
      <c r="BI548" s="41"/>
    </row>
    <row r="549">
      <c r="A549" s="21" t="s">
        <v>1018</v>
      </c>
      <c r="B549" s="23">
        <v>237.0</v>
      </c>
      <c r="C549" s="21" t="s">
        <v>1208</v>
      </c>
      <c r="D549" s="69" t="s">
        <v>956</v>
      </c>
      <c r="E549" s="18" t="s">
        <v>103</v>
      </c>
      <c r="F549" s="18" t="s">
        <v>192</v>
      </c>
      <c r="G549" s="63" t="s">
        <v>1209</v>
      </c>
      <c r="H549" s="22" t="s">
        <v>198</v>
      </c>
      <c r="I549" s="28">
        <v>6.0</v>
      </c>
      <c r="J549" s="26" t="str">
        <f t="shared" si="489"/>
        <v>R</v>
      </c>
      <c r="K549" s="28">
        <v>18.0</v>
      </c>
      <c r="L549" s="26" t="str">
        <f t="shared" si="490"/>
        <v>R</v>
      </c>
      <c r="M549" s="28">
        <v>6.0</v>
      </c>
      <c r="N549" s="26" t="str">
        <f t="shared" si="491"/>
        <v>R</v>
      </c>
      <c r="O549" s="28">
        <v>22.0</v>
      </c>
      <c r="P549" s="26" t="str">
        <f t="shared" si="492"/>
        <v>I</v>
      </c>
      <c r="Q549" s="28">
        <v>6.0</v>
      </c>
      <c r="R549" s="26" t="str">
        <f t="shared" si="493"/>
        <v>R</v>
      </c>
      <c r="S549" s="28">
        <v>21.0</v>
      </c>
      <c r="T549" s="26" t="str">
        <f t="shared" si="494"/>
        <v>S</v>
      </c>
      <c r="U549" s="28">
        <v>11.0</v>
      </c>
      <c r="V549" s="26" t="str">
        <f t="shared" si="495"/>
        <v>R</v>
      </c>
      <c r="W549" s="32" t="s">
        <v>299</v>
      </c>
      <c r="X549" s="65">
        <v>6.0</v>
      </c>
      <c r="Y549" s="33" t="str">
        <f t="shared" si="496"/>
        <v>R</v>
      </c>
      <c r="Z549" s="65">
        <v>29.0</v>
      </c>
      <c r="AA549" s="33" t="str">
        <f t="shared" si="497"/>
        <v>S</v>
      </c>
      <c r="AB549" s="65">
        <v>6.0</v>
      </c>
      <c r="AC549" s="33" t="str">
        <f t="shared" si="498"/>
        <v>R</v>
      </c>
      <c r="AD549" s="65">
        <v>22.0</v>
      </c>
      <c r="AE549" s="33" t="str">
        <f t="shared" si="499"/>
        <v>S</v>
      </c>
      <c r="AF549" s="65">
        <v>14.0</v>
      </c>
      <c r="AG549" s="33" t="str">
        <f t="shared" si="500"/>
        <v>R</v>
      </c>
      <c r="AH549" s="65" t="s">
        <v>299</v>
      </c>
      <c r="AI549" s="66">
        <v>6.0</v>
      </c>
      <c r="AJ549" s="36" t="str">
        <f t="shared" si="501"/>
        <v>R</v>
      </c>
      <c r="AK549" s="66">
        <v>10.0</v>
      </c>
      <c r="AL549" s="36" t="str">
        <f t="shared" si="502"/>
        <v>R</v>
      </c>
      <c r="AM549" s="66">
        <v>6.0</v>
      </c>
      <c r="AN549" s="36" t="str">
        <f t="shared" si="503"/>
        <v>R</v>
      </c>
      <c r="AO549" s="66" t="s">
        <v>299</v>
      </c>
      <c r="AP549" s="67">
        <v>6.0</v>
      </c>
      <c r="AQ549" s="37" t="str">
        <f t="shared" si="504"/>
        <v>R</v>
      </c>
      <c r="AR549" s="65">
        <v>20.0</v>
      </c>
      <c r="AS549" s="33" t="str">
        <f t="shared" si="505"/>
        <v>S</v>
      </c>
      <c r="AT549" s="65">
        <v>16.0</v>
      </c>
      <c r="AU549" s="33" t="str">
        <f t="shared" si="506"/>
        <v>S</v>
      </c>
      <c r="AV549" s="33" t="s">
        <v>300</v>
      </c>
      <c r="AW549" s="28">
        <v>6.0</v>
      </c>
      <c r="AX549" s="26" t="str">
        <f t="shared" si="507"/>
        <v>R</v>
      </c>
      <c r="AY549" s="67">
        <v>11.0</v>
      </c>
      <c r="AZ549" s="37" t="str">
        <f t="shared" si="508"/>
        <v>R</v>
      </c>
      <c r="BA549" s="66">
        <v>12.0</v>
      </c>
      <c r="BB549" s="36" t="str">
        <f t="shared" si="509"/>
        <v>R</v>
      </c>
      <c r="BC549" s="39" t="s">
        <v>357</v>
      </c>
      <c r="BD549" s="39" t="s">
        <v>357</v>
      </c>
      <c r="BE549" s="66">
        <v>18.0</v>
      </c>
      <c r="BF549" s="36" t="str">
        <f t="shared" si="510"/>
        <v>R</v>
      </c>
      <c r="BG549" s="68">
        <v>9.0</v>
      </c>
      <c r="BH549" s="41" t="str">
        <f t="shared" si="511"/>
        <v>R</v>
      </c>
      <c r="BI549" s="41"/>
    </row>
    <row r="550">
      <c r="A550" s="21" t="s">
        <v>1018</v>
      </c>
      <c r="B550" s="21" t="s">
        <v>444</v>
      </c>
      <c r="C550" s="21" t="s">
        <v>2029</v>
      </c>
      <c r="D550" s="69" t="s">
        <v>956</v>
      </c>
      <c r="E550" s="18" t="s">
        <v>103</v>
      </c>
      <c r="F550" s="18" t="s">
        <v>192</v>
      </c>
      <c r="G550" s="63" t="s">
        <v>2030</v>
      </c>
      <c r="H550" s="22" t="s">
        <v>198</v>
      </c>
      <c r="I550" s="28">
        <v>6.0</v>
      </c>
      <c r="J550" s="26" t="str">
        <f t="shared" si="489"/>
        <v>R</v>
      </c>
      <c r="K550" s="28">
        <v>18.0</v>
      </c>
      <c r="L550" s="26" t="str">
        <f t="shared" si="490"/>
        <v>R</v>
      </c>
      <c r="M550" s="28">
        <v>6.0</v>
      </c>
      <c r="N550" s="26" t="str">
        <f t="shared" si="491"/>
        <v>R</v>
      </c>
      <c r="O550" s="28">
        <v>22.0</v>
      </c>
      <c r="P550" s="26" t="str">
        <f t="shared" si="492"/>
        <v>I</v>
      </c>
      <c r="Q550" s="28">
        <v>6.0</v>
      </c>
      <c r="R550" s="26" t="str">
        <f t="shared" si="493"/>
        <v>R</v>
      </c>
      <c r="S550" s="28">
        <v>20.0</v>
      </c>
      <c r="T550" s="26" t="str">
        <f t="shared" si="494"/>
        <v>S</v>
      </c>
      <c r="U550" s="28">
        <v>11.0</v>
      </c>
      <c r="V550" s="26" t="str">
        <f t="shared" si="495"/>
        <v>R</v>
      </c>
      <c r="W550" s="32" t="s">
        <v>299</v>
      </c>
      <c r="X550" s="65">
        <v>6.0</v>
      </c>
      <c r="Y550" s="33" t="str">
        <f t="shared" si="496"/>
        <v>R</v>
      </c>
      <c r="Z550" s="65">
        <v>25.0</v>
      </c>
      <c r="AA550" s="33" t="str">
        <f t="shared" si="497"/>
        <v>S</v>
      </c>
      <c r="AB550" s="65">
        <v>9.0</v>
      </c>
      <c r="AC550" s="33" t="str">
        <f t="shared" si="498"/>
        <v>R</v>
      </c>
      <c r="AD550" s="65">
        <v>21.0</v>
      </c>
      <c r="AE550" s="33" t="str">
        <f t="shared" si="499"/>
        <v>S</v>
      </c>
      <c r="AF550" s="65">
        <v>14.0</v>
      </c>
      <c r="AG550" s="33" t="str">
        <f t="shared" si="500"/>
        <v>R</v>
      </c>
      <c r="AH550" s="65" t="s">
        <v>299</v>
      </c>
      <c r="AI550" s="66">
        <v>6.0</v>
      </c>
      <c r="AJ550" s="36" t="str">
        <f t="shared" si="501"/>
        <v>R</v>
      </c>
      <c r="AK550" s="66">
        <v>11.0</v>
      </c>
      <c r="AL550" s="36" t="str">
        <f t="shared" si="502"/>
        <v>R</v>
      </c>
      <c r="AM550" s="66">
        <v>6.0</v>
      </c>
      <c r="AN550" s="36" t="str">
        <f t="shared" si="503"/>
        <v>R</v>
      </c>
      <c r="AO550" s="66" t="s">
        <v>299</v>
      </c>
      <c r="AP550" s="67">
        <v>6.0</v>
      </c>
      <c r="AQ550" s="37" t="str">
        <f t="shared" si="504"/>
        <v>R</v>
      </c>
      <c r="AR550" s="65">
        <v>21.0</v>
      </c>
      <c r="AS550" s="33" t="str">
        <f t="shared" si="505"/>
        <v>S</v>
      </c>
      <c r="AT550" s="65">
        <v>17.0</v>
      </c>
      <c r="AU550" s="33" t="str">
        <f t="shared" si="506"/>
        <v>S</v>
      </c>
      <c r="AV550" s="33" t="s">
        <v>300</v>
      </c>
      <c r="AW550" s="28">
        <v>8.0</v>
      </c>
      <c r="AX550" s="26" t="str">
        <f t="shared" si="507"/>
        <v>R</v>
      </c>
      <c r="AY550" s="67">
        <v>10.0</v>
      </c>
      <c r="AZ550" s="37" t="str">
        <f t="shared" si="508"/>
        <v>R</v>
      </c>
      <c r="BA550" s="66">
        <v>10.0</v>
      </c>
      <c r="BB550" s="36" t="str">
        <f t="shared" si="509"/>
        <v>R</v>
      </c>
      <c r="BC550" s="39" t="s">
        <v>357</v>
      </c>
      <c r="BD550" s="39" t="s">
        <v>357</v>
      </c>
      <c r="BE550" s="66">
        <v>16.0</v>
      </c>
      <c r="BF550" s="36" t="str">
        <f t="shared" si="510"/>
        <v>R</v>
      </c>
      <c r="BG550" s="68">
        <v>10.0</v>
      </c>
      <c r="BH550" s="41" t="str">
        <f t="shared" si="511"/>
        <v>R</v>
      </c>
      <c r="BI550" s="41"/>
    </row>
    <row r="551">
      <c r="A551" s="21" t="s">
        <v>1018</v>
      </c>
      <c r="B551" s="21" t="s">
        <v>444</v>
      </c>
      <c r="C551" s="21" t="s">
        <v>2031</v>
      </c>
      <c r="D551" s="69" t="s">
        <v>956</v>
      </c>
      <c r="E551" s="18" t="s">
        <v>103</v>
      </c>
      <c r="F551" s="18" t="s">
        <v>192</v>
      </c>
      <c r="G551" s="63" t="s">
        <v>2032</v>
      </c>
      <c r="H551" s="22" t="s">
        <v>198</v>
      </c>
      <c r="I551" s="28">
        <v>6.0</v>
      </c>
      <c r="J551" s="26" t="str">
        <f t="shared" si="489"/>
        <v>R</v>
      </c>
      <c r="K551" s="28">
        <v>18.0</v>
      </c>
      <c r="L551" s="26" t="str">
        <f t="shared" si="490"/>
        <v>R</v>
      </c>
      <c r="M551" s="28">
        <v>6.0</v>
      </c>
      <c r="N551" s="26" t="str">
        <f t="shared" si="491"/>
        <v>R</v>
      </c>
      <c r="O551" s="28">
        <v>22.0</v>
      </c>
      <c r="P551" s="26" t="str">
        <f t="shared" si="492"/>
        <v>I</v>
      </c>
      <c r="Q551" s="28">
        <v>6.0</v>
      </c>
      <c r="R551" s="26" t="str">
        <f t="shared" si="493"/>
        <v>R</v>
      </c>
      <c r="S551" s="28">
        <v>21.0</v>
      </c>
      <c r="T551" s="26" t="str">
        <f t="shared" si="494"/>
        <v>S</v>
      </c>
      <c r="U551" s="28">
        <v>11.0</v>
      </c>
      <c r="V551" s="26" t="str">
        <f t="shared" si="495"/>
        <v>R</v>
      </c>
      <c r="W551" s="32" t="s">
        <v>299</v>
      </c>
      <c r="X551" s="65">
        <v>6.0</v>
      </c>
      <c r="Y551" s="33" t="str">
        <f t="shared" si="496"/>
        <v>R</v>
      </c>
      <c r="Z551" s="65">
        <v>27.0</v>
      </c>
      <c r="AA551" s="33" t="str">
        <f t="shared" si="497"/>
        <v>S</v>
      </c>
      <c r="AB551" s="65">
        <v>10.0</v>
      </c>
      <c r="AC551" s="33" t="str">
        <f t="shared" si="498"/>
        <v>R</v>
      </c>
      <c r="AD551" s="65">
        <v>22.0</v>
      </c>
      <c r="AE551" s="33" t="str">
        <f t="shared" si="499"/>
        <v>S</v>
      </c>
      <c r="AF551" s="65">
        <v>16.0</v>
      </c>
      <c r="AG551" s="33" t="str">
        <f t="shared" si="500"/>
        <v>R</v>
      </c>
      <c r="AH551" s="65" t="s">
        <v>299</v>
      </c>
      <c r="AI551" s="66">
        <v>6.0</v>
      </c>
      <c r="AJ551" s="36" t="str">
        <f t="shared" si="501"/>
        <v>R</v>
      </c>
      <c r="AK551" s="66">
        <v>10.0</v>
      </c>
      <c r="AL551" s="36" t="str">
        <f t="shared" si="502"/>
        <v>R</v>
      </c>
      <c r="AM551" s="66">
        <v>6.0</v>
      </c>
      <c r="AN551" s="36" t="str">
        <f t="shared" si="503"/>
        <v>R</v>
      </c>
      <c r="AO551" s="66" t="s">
        <v>299</v>
      </c>
      <c r="AP551" s="67">
        <v>6.0</v>
      </c>
      <c r="AQ551" s="37" t="str">
        <f t="shared" si="504"/>
        <v>R</v>
      </c>
      <c r="AR551" s="65">
        <v>20.0</v>
      </c>
      <c r="AS551" s="33" t="str">
        <f t="shared" si="505"/>
        <v>S</v>
      </c>
      <c r="AT551" s="65">
        <v>16.0</v>
      </c>
      <c r="AU551" s="33" t="str">
        <f t="shared" si="506"/>
        <v>S</v>
      </c>
      <c r="AV551" s="33" t="s">
        <v>300</v>
      </c>
      <c r="AW551" s="28">
        <v>9.0</v>
      </c>
      <c r="AX551" s="26" t="str">
        <f t="shared" si="507"/>
        <v>R</v>
      </c>
      <c r="AY551" s="67">
        <v>11.0</v>
      </c>
      <c r="AZ551" s="37" t="str">
        <f t="shared" si="508"/>
        <v>R</v>
      </c>
      <c r="BA551" s="66">
        <v>11.0</v>
      </c>
      <c r="BB551" s="36" t="str">
        <f t="shared" si="509"/>
        <v>R</v>
      </c>
      <c r="BC551" s="39" t="s">
        <v>357</v>
      </c>
      <c r="BD551" s="39" t="s">
        <v>357</v>
      </c>
      <c r="BE551" s="66">
        <v>16.0</v>
      </c>
      <c r="BF551" s="36" t="str">
        <f t="shared" si="510"/>
        <v>R</v>
      </c>
      <c r="BG551" s="68">
        <v>11.0</v>
      </c>
      <c r="BH551" s="41" t="str">
        <f t="shared" si="511"/>
        <v>R</v>
      </c>
      <c r="BI551" s="41"/>
    </row>
    <row r="552">
      <c r="A552" s="21" t="s">
        <v>624</v>
      </c>
      <c r="B552" s="23">
        <v>238.0</v>
      </c>
      <c r="C552" s="21" t="s">
        <v>1028</v>
      </c>
      <c r="D552" s="69" t="s">
        <v>190</v>
      </c>
      <c r="E552" s="18" t="s">
        <v>190</v>
      </c>
      <c r="F552" s="18" t="s">
        <v>192</v>
      </c>
      <c r="G552" s="63" t="s">
        <v>1031</v>
      </c>
      <c r="H552" s="22" t="s">
        <v>198</v>
      </c>
      <c r="I552" s="28">
        <v>20.0</v>
      </c>
      <c r="J552" s="26" t="str">
        <f t="shared" si="489"/>
        <v>S</v>
      </c>
      <c r="K552" s="28">
        <v>28.0</v>
      </c>
      <c r="L552" s="26" t="str">
        <f t="shared" si="490"/>
        <v>S</v>
      </c>
      <c r="M552" s="28">
        <v>18.0</v>
      </c>
      <c r="N552" s="26" t="str">
        <f t="shared" si="491"/>
        <v>R</v>
      </c>
      <c r="O552" s="28">
        <v>26.0</v>
      </c>
      <c r="P552" s="26" t="str">
        <f t="shared" si="492"/>
        <v>S</v>
      </c>
      <c r="Q552" s="28">
        <v>16.0</v>
      </c>
      <c r="R552" s="26" t="str">
        <f t="shared" si="493"/>
        <v>R</v>
      </c>
      <c r="S552" s="28">
        <v>25.0</v>
      </c>
      <c r="T552" s="26" t="str">
        <f t="shared" si="494"/>
        <v>S</v>
      </c>
      <c r="U552" s="28">
        <v>19.0</v>
      </c>
      <c r="V552" s="26" t="str">
        <f t="shared" si="495"/>
        <v>I</v>
      </c>
      <c r="W552" s="32" t="s">
        <v>299</v>
      </c>
      <c r="X552" s="65">
        <v>20.0</v>
      </c>
      <c r="Y552" s="33" t="str">
        <f t="shared" si="496"/>
        <v>S</v>
      </c>
      <c r="Z552" s="65">
        <v>26.0</v>
      </c>
      <c r="AA552" s="33" t="str">
        <f t="shared" si="497"/>
        <v>S</v>
      </c>
      <c r="AB552" s="65">
        <v>32.0</v>
      </c>
      <c r="AC552" s="33" t="str">
        <f t="shared" si="498"/>
        <v>S</v>
      </c>
      <c r="AD552" s="65">
        <v>22.0</v>
      </c>
      <c r="AE552" s="33" t="str">
        <f t="shared" si="499"/>
        <v>S</v>
      </c>
      <c r="AF552" s="65">
        <v>35.0</v>
      </c>
      <c r="AG552" s="33" t="str">
        <f t="shared" si="500"/>
        <v>S</v>
      </c>
      <c r="AH552" s="33" t="s">
        <v>300</v>
      </c>
      <c r="AI552" s="66">
        <v>25.0</v>
      </c>
      <c r="AJ552" s="36" t="str">
        <f t="shared" si="501"/>
        <v>S</v>
      </c>
      <c r="AK552" s="66">
        <v>25.0</v>
      </c>
      <c r="AL552" s="36" t="str">
        <f t="shared" si="502"/>
        <v>S</v>
      </c>
      <c r="AM552" s="66">
        <v>15.0</v>
      </c>
      <c r="AN552" s="36" t="str">
        <f t="shared" si="503"/>
        <v>S</v>
      </c>
      <c r="AO552" s="36" t="s">
        <v>300</v>
      </c>
      <c r="AP552" s="67">
        <v>29.0</v>
      </c>
      <c r="AQ552" s="37" t="str">
        <f t="shared" si="504"/>
        <v>S</v>
      </c>
      <c r="AR552" s="65">
        <v>25.0</v>
      </c>
      <c r="AS552" s="33" t="str">
        <f t="shared" si="505"/>
        <v>S</v>
      </c>
      <c r="AT552" s="65">
        <v>19.0</v>
      </c>
      <c r="AU552" s="33" t="str">
        <f t="shared" si="506"/>
        <v>S</v>
      </c>
      <c r="AV552" s="33" t="s">
        <v>300</v>
      </c>
      <c r="AW552" s="28">
        <v>18.0</v>
      </c>
      <c r="AX552" s="26" t="str">
        <f t="shared" si="507"/>
        <v>R</v>
      </c>
      <c r="AY552" s="67">
        <v>22.0</v>
      </c>
      <c r="AZ552" s="37" t="str">
        <f t="shared" si="508"/>
        <v>I</v>
      </c>
      <c r="BA552" s="66">
        <v>35.0</v>
      </c>
      <c r="BB552" s="36" t="str">
        <f t="shared" si="509"/>
        <v>S</v>
      </c>
      <c r="BC552" s="39" t="s">
        <v>357</v>
      </c>
      <c r="BD552" s="39" t="s">
        <v>357</v>
      </c>
      <c r="BE552" s="66">
        <v>26.0</v>
      </c>
      <c r="BF552" s="36" t="str">
        <f t="shared" si="510"/>
        <v>S</v>
      </c>
      <c r="BG552" s="68">
        <v>25.0</v>
      </c>
      <c r="BH552" s="41" t="str">
        <f t="shared" si="511"/>
        <v>S</v>
      </c>
      <c r="BI552" s="41"/>
    </row>
    <row r="553">
      <c r="A553" s="21" t="s">
        <v>624</v>
      </c>
      <c r="B553" s="21" t="s">
        <v>444</v>
      </c>
      <c r="C553" s="21" t="s">
        <v>2033</v>
      </c>
      <c r="D553" s="69" t="s">
        <v>190</v>
      </c>
      <c r="E553" s="18" t="s">
        <v>190</v>
      </c>
      <c r="F553" s="18" t="s">
        <v>192</v>
      </c>
      <c r="G553" s="63" t="s">
        <v>2034</v>
      </c>
      <c r="H553" s="22" t="s">
        <v>198</v>
      </c>
      <c r="I553" s="28">
        <v>20.0</v>
      </c>
      <c r="J553" s="26" t="str">
        <f t="shared" si="489"/>
        <v>S</v>
      </c>
      <c r="K553" s="28">
        <v>28.0</v>
      </c>
      <c r="L553" s="26" t="str">
        <f t="shared" si="490"/>
        <v>S</v>
      </c>
      <c r="M553" s="28">
        <v>18.0</v>
      </c>
      <c r="N553" s="26" t="str">
        <f t="shared" si="491"/>
        <v>R</v>
      </c>
      <c r="O553" s="28">
        <v>26.0</v>
      </c>
      <c r="P553" s="26" t="str">
        <f t="shared" si="492"/>
        <v>S</v>
      </c>
      <c r="Q553" s="28">
        <v>16.0</v>
      </c>
      <c r="R553" s="26" t="str">
        <f t="shared" si="493"/>
        <v>R</v>
      </c>
      <c r="S553" s="28">
        <v>25.0</v>
      </c>
      <c r="T553" s="26" t="str">
        <f t="shared" si="494"/>
        <v>S</v>
      </c>
      <c r="U553" s="28">
        <v>19.0</v>
      </c>
      <c r="V553" s="26" t="str">
        <f t="shared" si="495"/>
        <v>I</v>
      </c>
      <c r="W553" s="32" t="s">
        <v>299</v>
      </c>
      <c r="X553" s="65">
        <v>20.0</v>
      </c>
      <c r="Y553" s="33" t="str">
        <f t="shared" si="496"/>
        <v>S</v>
      </c>
      <c r="Z553" s="65">
        <v>26.0</v>
      </c>
      <c r="AA553" s="33" t="str">
        <f t="shared" si="497"/>
        <v>S</v>
      </c>
      <c r="AB553" s="65">
        <v>32.0</v>
      </c>
      <c r="AC553" s="33" t="str">
        <f t="shared" si="498"/>
        <v>S</v>
      </c>
      <c r="AD553" s="65">
        <v>22.0</v>
      </c>
      <c r="AE553" s="33" t="str">
        <f t="shared" si="499"/>
        <v>S</v>
      </c>
      <c r="AF553" s="65">
        <v>35.0</v>
      </c>
      <c r="AG553" s="33" t="str">
        <f t="shared" si="500"/>
        <v>S</v>
      </c>
      <c r="AH553" s="33" t="s">
        <v>300</v>
      </c>
      <c r="AI553" s="66">
        <v>25.0</v>
      </c>
      <c r="AJ553" s="36" t="str">
        <f t="shared" si="501"/>
        <v>S</v>
      </c>
      <c r="AK553" s="66">
        <v>25.0</v>
      </c>
      <c r="AL553" s="36" t="str">
        <f t="shared" si="502"/>
        <v>S</v>
      </c>
      <c r="AM553" s="66">
        <v>15.0</v>
      </c>
      <c r="AN553" s="36" t="str">
        <f t="shared" si="503"/>
        <v>S</v>
      </c>
      <c r="AO553" s="36" t="s">
        <v>300</v>
      </c>
      <c r="AP553" s="67">
        <v>29.0</v>
      </c>
      <c r="AQ553" s="37" t="str">
        <f t="shared" si="504"/>
        <v>S</v>
      </c>
      <c r="AR553" s="65">
        <v>25.0</v>
      </c>
      <c r="AS553" s="33" t="str">
        <f t="shared" si="505"/>
        <v>S</v>
      </c>
      <c r="AT553" s="65">
        <v>19.0</v>
      </c>
      <c r="AU553" s="33" t="str">
        <f t="shared" si="506"/>
        <v>S</v>
      </c>
      <c r="AV553" s="33" t="s">
        <v>300</v>
      </c>
      <c r="AW553" s="28">
        <v>18.0</v>
      </c>
      <c r="AX553" s="26" t="str">
        <f t="shared" si="507"/>
        <v>R</v>
      </c>
      <c r="AY553" s="67">
        <v>22.0</v>
      </c>
      <c r="AZ553" s="37" t="str">
        <f t="shared" si="508"/>
        <v>I</v>
      </c>
      <c r="BA553" s="66">
        <v>35.0</v>
      </c>
      <c r="BB553" s="36" t="str">
        <f t="shared" si="509"/>
        <v>S</v>
      </c>
      <c r="BC553" s="39" t="s">
        <v>357</v>
      </c>
      <c r="BD553" s="39" t="s">
        <v>357</v>
      </c>
      <c r="BE553" s="66">
        <v>26.0</v>
      </c>
      <c r="BF553" s="36" t="str">
        <f t="shared" si="510"/>
        <v>S</v>
      </c>
      <c r="BG553" s="68">
        <v>25.0</v>
      </c>
      <c r="BH553" s="41" t="str">
        <f t="shared" si="511"/>
        <v>S</v>
      </c>
      <c r="BI553" s="41"/>
    </row>
    <row r="554">
      <c r="A554" s="21" t="s">
        <v>624</v>
      </c>
      <c r="B554" s="21" t="s">
        <v>444</v>
      </c>
      <c r="C554" s="21" t="s">
        <v>2035</v>
      </c>
      <c r="D554" s="69" t="s">
        <v>190</v>
      </c>
      <c r="E554" s="18" t="s">
        <v>190</v>
      </c>
      <c r="F554" s="18" t="s">
        <v>192</v>
      </c>
      <c r="G554" s="63" t="s">
        <v>2036</v>
      </c>
      <c r="H554" s="22" t="s">
        <v>198</v>
      </c>
      <c r="I554" s="28">
        <v>20.0</v>
      </c>
      <c r="J554" s="26" t="str">
        <f t="shared" si="489"/>
        <v>S</v>
      </c>
      <c r="K554" s="28">
        <v>28.0</v>
      </c>
      <c r="L554" s="26" t="str">
        <f t="shared" si="490"/>
        <v>S</v>
      </c>
      <c r="M554" s="28">
        <v>18.0</v>
      </c>
      <c r="N554" s="26" t="str">
        <f t="shared" si="491"/>
        <v>R</v>
      </c>
      <c r="O554" s="28">
        <v>26.0</v>
      </c>
      <c r="P554" s="26" t="str">
        <f t="shared" si="492"/>
        <v>S</v>
      </c>
      <c r="Q554" s="28">
        <v>16.0</v>
      </c>
      <c r="R554" s="26" t="str">
        <f t="shared" si="493"/>
        <v>R</v>
      </c>
      <c r="S554" s="28">
        <v>25.0</v>
      </c>
      <c r="T554" s="26" t="str">
        <f t="shared" si="494"/>
        <v>S</v>
      </c>
      <c r="U554" s="28">
        <v>19.0</v>
      </c>
      <c r="V554" s="26" t="str">
        <f t="shared" si="495"/>
        <v>I</v>
      </c>
      <c r="W554" s="32" t="s">
        <v>299</v>
      </c>
      <c r="X554" s="65">
        <v>20.0</v>
      </c>
      <c r="Y554" s="33" t="str">
        <f t="shared" si="496"/>
        <v>S</v>
      </c>
      <c r="Z554" s="65">
        <v>26.0</v>
      </c>
      <c r="AA554" s="33" t="str">
        <f t="shared" si="497"/>
        <v>S</v>
      </c>
      <c r="AB554" s="65">
        <v>32.0</v>
      </c>
      <c r="AC554" s="33" t="str">
        <f t="shared" si="498"/>
        <v>S</v>
      </c>
      <c r="AD554" s="65">
        <v>22.0</v>
      </c>
      <c r="AE554" s="33" t="str">
        <f t="shared" si="499"/>
        <v>S</v>
      </c>
      <c r="AF554" s="65">
        <v>35.0</v>
      </c>
      <c r="AG554" s="33" t="str">
        <f t="shared" si="500"/>
        <v>S</v>
      </c>
      <c r="AH554" s="33" t="s">
        <v>300</v>
      </c>
      <c r="AI554" s="66">
        <v>25.0</v>
      </c>
      <c r="AJ554" s="36" t="str">
        <f t="shared" si="501"/>
        <v>S</v>
      </c>
      <c r="AK554" s="66">
        <v>25.0</v>
      </c>
      <c r="AL554" s="36" t="str">
        <f t="shared" si="502"/>
        <v>S</v>
      </c>
      <c r="AM554" s="66">
        <v>15.0</v>
      </c>
      <c r="AN554" s="36" t="str">
        <f t="shared" si="503"/>
        <v>S</v>
      </c>
      <c r="AO554" s="36" t="s">
        <v>300</v>
      </c>
      <c r="AP554" s="67">
        <v>29.0</v>
      </c>
      <c r="AQ554" s="37" t="str">
        <f t="shared" si="504"/>
        <v>S</v>
      </c>
      <c r="AR554" s="65">
        <v>25.0</v>
      </c>
      <c r="AS554" s="33" t="str">
        <f t="shared" si="505"/>
        <v>S</v>
      </c>
      <c r="AT554" s="65">
        <v>19.0</v>
      </c>
      <c r="AU554" s="33" t="str">
        <f t="shared" si="506"/>
        <v>S</v>
      </c>
      <c r="AV554" s="33" t="s">
        <v>300</v>
      </c>
      <c r="AW554" s="28">
        <v>18.0</v>
      </c>
      <c r="AX554" s="26" t="str">
        <f t="shared" si="507"/>
        <v>R</v>
      </c>
      <c r="AY554" s="67">
        <v>22.0</v>
      </c>
      <c r="AZ554" s="37" t="str">
        <f t="shared" si="508"/>
        <v>I</v>
      </c>
      <c r="BA554" s="66">
        <v>35.0</v>
      </c>
      <c r="BB554" s="36" t="str">
        <f t="shared" si="509"/>
        <v>S</v>
      </c>
      <c r="BC554" s="39" t="s">
        <v>357</v>
      </c>
      <c r="BD554" s="39" t="s">
        <v>357</v>
      </c>
      <c r="BE554" s="66">
        <v>26.0</v>
      </c>
      <c r="BF554" s="36" t="str">
        <f t="shared" si="510"/>
        <v>S</v>
      </c>
      <c r="BG554" s="68">
        <v>25.0</v>
      </c>
      <c r="BH554" s="41" t="str">
        <f t="shared" si="511"/>
        <v>S</v>
      </c>
      <c r="BI554" s="41"/>
    </row>
    <row r="555">
      <c r="A555" s="21" t="s">
        <v>624</v>
      </c>
      <c r="B555" s="23">
        <v>239.0</v>
      </c>
      <c r="C555" s="21" t="s">
        <v>1032</v>
      </c>
      <c r="D555" s="69" t="s">
        <v>190</v>
      </c>
      <c r="E555" s="18" t="s">
        <v>190</v>
      </c>
      <c r="F555" s="18" t="s">
        <v>192</v>
      </c>
      <c r="G555" s="63" t="s">
        <v>1033</v>
      </c>
      <c r="H555" s="22" t="s">
        <v>198</v>
      </c>
      <c r="I555" s="28">
        <v>18.0</v>
      </c>
      <c r="J555" s="26" t="str">
        <f t="shared" si="489"/>
        <v>R</v>
      </c>
      <c r="K555" s="28">
        <v>15.0</v>
      </c>
      <c r="L555" s="26" t="str">
        <f t="shared" si="490"/>
        <v>R</v>
      </c>
      <c r="M555" s="28">
        <v>19.0</v>
      </c>
      <c r="N555" s="26" t="str">
        <f t="shared" si="491"/>
        <v>R</v>
      </c>
      <c r="O555" s="28">
        <v>20.0</v>
      </c>
      <c r="P555" s="26" t="str">
        <f t="shared" si="492"/>
        <v>I</v>
      </c>
      <c r="Q555" s="28">
        <v>12.0</v>
      </c>
      <c r="R555" s="26" t="str">
        <f t="shared" si="493"/>
        <v>R</v>
      </c>
      <c r="S555" s="28">
        <v>13.0</v>
      </c>
      <c r="T555" s="26" t="str">
        <f t="shared" si="494"/>
        <v>R</v>
      </c>
      <c r="U555" s="28">
        <v>18.0</v>
      </c>
      <c r="V555" s="26" t="str">
        <f t="shared" si="495"/>
        <v>I</v>
      </c>
      <c r="W555" s="32" t="s">
        <v>299</v>
      </c>
      <c r="X555" s="65">
        <v>11.0</v>
      </c>
      <c r="Y555" s="33" t="str">
        <f t="shared" si="496"/>
        <v>R</v>
      </c>
      <c r="Z555" s="65">
        <v>13.0</v>
      </c>
      <c r="AA555" s="33" t="str">
        <f t="shared" si="497"/>
        <v>R</v>
      </c>
      <c r="AB555" s="65">
        <v>6.0</v>
      </c>
      <c r="AC555" s="33" t="str">
        <f t="shared" si="498"/>
        <v>R</v>
      </c>
      <c r="AD555" s="65">
        <v>6.0</v>
      </c>
      <c r="AE555" s="33" t="str">
        <f t="shared" si="499"/>
        <v>R</v>
      </c>
      <c r="AF555" s="65">
        <v>6.0</v>
      </c>
      <c r="AG555" s="33" t="str">
        <f t="shared" si="500"/>
        <v>R</v>
      </c>
      <c r="AH555" s="65" t="s">
        <v>299</v>
      </c>
      <c r="AI555" s="66">
        <v>13.0</v>
      </c>
      <c r="AJ555" s="36" t="str">
        <f t="shared" si="501"/>
        <v>R</v>
      </c>
      <c r="AK555" s="66">
        <v>13.0</v>
      </c>
      <c r="AL555" s="36" t="str">
        <f t="shared" si="502"/>
        <v>R</v>
      </c>
      <c r="AM555" s="66">
        <v>6.0</v>
      </c>
      <c r="AN555" s="36" t="str">
        <f t="shared" si="503"/>
        <v>R</v>
      </c>
      <c r="AO555" s="66" t="s">
        <v>299</v>
      </c>
      <c r="AP555" s="67">
        <v>6.0</v>
      </c>
      <c r="AQ555" s="37" t="str">
        <f t="shared" si="504"/>
        <v>R</v>
      </c>
      <c r="AR555" s="65">
        <v>10.0</v>
      </c>
      <c r="AS555" s="33" t="str">
        <f t="shared" si="505"/>
        <v>R</v>
      </c>
      <c r="AT555" s="65">
        <v>11.0</v>
      </c>
      <c r="AU555" s="33" t="str">
        <f t="shared" si="506"/>
        <v>R</v>
      </c>
      <c r="AV555" s="65" t="s">
        <v>299</v>
      </c>
      <c r="AW555" s="28">
        <v>17.0</v>
      </c>
      <c r="AX555" s="26" t="str">
        <f t="shared" si="507"/>
        <v>R</v>
      </c>
      <c r="AY555" s="67">
        <v>6.0</v>
      </c>
      <c r="AZ555" s="37" t="str">
        <f t="shared" si="508"/>
        <v>R</v>
      </c>
      <c r="BA555" s="66">
        <v>12.0</v>
      </c>
      <c r="BB555" s="36" t="str">
        <f t="shared" si="509"/>
        <v>R</v>
      </c>
      <c r="BC555" s="39" t="s">
        <v>357</v>
      </c>
      <c r="BD555" s="39" t="s">
        <v>357</v>
      </c>
      <c r="BE555" s="66">
        <v>21.0</v>
      </c>
      <c r="BF555" s="36" t="str">
        <f t="shared" si="510"/>
        <v>I</v>
      </c>
      <c r="BG555" s="68">
        <v>15.0</v>
      </c>
      <c r="BH555" s="41" t="str">
        <f t="shared" si="511"/>
        <v>R</v>
      </c>
      <c r="BI555" s="41"/>
    </row>
    <row r="556">
      <c r="A556" s="21" t="s">
        <v>624</v>
      </c>
      <c r="B556" s="21" t="s">
        <v>444</v>
      </c>
      <c r="C556" s="21" t="s">
        <v>2037</v>
      </c>
      <c r="D556" s="69" t="s">
        <v>190</v>
      </c>
      <c r="E556" s="18" t="s">
        <v>190</v>
      </c>
      <c r="F556" s="18" t="s">
        <v>192</v>
      </c>
      <c r="G556" s="63" t="s">
        <v>2038</v>
      </c>
      <c r="H556" s="22" t="s">
        <v>198</v>
      </c>
      <c r="I556" s="28">
        <v>6.0</v>
      </c>
      <c r="J556" s="26" t="str">
        <f t="shared" si="489"/>
        <v>R</v>
      </c>
      <c r="K556" s="28">
        <v>19.0</v>
      </c>
      <c r="L556" s="26" t="str">
        <f t="shared" si="490"/>
        <v>S</v>
      </c>
      <c r="M556" s="28">
        <v>6.0</v>
      </c>
      <c r="N556" s="26" t="str">
        <f t="shared" si="491"/>
        <v>R</v>
      </c>
      <c r="O556" s="28">
        <v>22.0</v>
      </c>
      <c r="P556" s="26" t="str">
        <f t="shared" si="492"/>
        <v>I</v>
      </c>
      <c r="Q556" s="28">
        <v>6.0</v>
      </c>
      <c r="R556" s="26" t="str">
        <f t="shared" si="493"/>
        <v>R</v>
      </c>
      <c r="S556" s="28">
        <v>15.0</v>
      </c>
      <c r="T556" s="26" t="str">
        <f t="shared" si="494"/>
        <v>R</v>
      </c>
      <c r="U556" s="28">
        <v>18.0</v>
      </c>
      <c r="V556" s="26" t="str">
        <f t="shared" si="495"/>
        <v>I</v>
      </c>
      <c r="W556" s="32" t="s">
        <v>299</v>
      </c>
      <c r="X556" s="65">
        <v>11.0</v>
      </c>
      <c r="Y556" s="33" t="str">
        <f t="shared" si="496"/>
        <v>R</v>
      </c>
      <c r="Z556" s="65">
        <v>19.0</v>
      </c>
      <c r="AA556" s="33" t="str">
        <f t="shared" si="497"/>
        <v>S</v>
      </c>
      <c r="AB556" s="65">
        <v>15.0</v>
      </c>
      <c r="AC556" s="33" t="str">
        <f t="shared" si="498"/>
        <v>R</v>
      </c>
      <c r="AD556" s="65">
        <v>18.0</v>
      </c>
      <c r="AE556" s="33" t="str">
        <f t="shared" si="499"/>
        <v>S</v>
      </c>
      <c r="AF556" s="65">
        <v>16.0</v>
      </c>
      <c r="AG556" s="33" t="str">
        <f t="shared" si="500"/>
        <v>R</v>
      </c>
      <c r="AH556" s="65" t="s">
        <v>299</v>
      </c>
      <c r="AI556" s="66">
        <v>17.0</v>
      </c>
      <c r="AJ556" s="36" t="str">
        <f t="shared" si="501"/>
        <v>R</v>
      </c>
      <c r="AK556" s="66">
        <v>17.0</v>
      </c>
      <c r="AL556" s="36" t="str">
        <f t="shared" si="502"/>
        <v>R</v>
      </c>
      <c r="AM556" s="66">
        <v>15.0</v>
      </c>
      <c r="AN556" s="36" t="str">
        <f t="shared" si="503"/>
        <v>S</v>
      </c>
      <c r="AO556" s="66" t="s">
        <v>299</v>
      </c>
      <c r="AP556" s="67">
        <v>6.0</v>
      </c>
      <c r="AQ556" s="37" t="str">
        <f t="shared" si="504"/>
        <v>R</v>
      </c>
      <c r="AR556" s="65">
        <v>16.0</v>
      </c>
      <c r="AS556" s="33" t="str">
        <f t="shared" si="505"/>
        <v>R</v>
      </c>
      <c r="AT556" s="65">
        <v>15.0</v>
      </c>
      <c r="AU556" s="33" t="str">
        <f t="shared" si="506"/>
        <v>R</v>
      </c>
      <c r="AV556" s="65" t="s">
        <v>299</v>
      </c>
      <c r="AW556" s="28">
        <v>9.0</v>
      </c>
      <c r="AX556" s="26" t="str">
        <f t="shared" si="507"/>
        <v>R</v>
      </c>
      <c r="AY556" s="67">
        <v>10.0</v>
      </c>
      <c r="AZ556" s="37" t="str">
        <f t="shared" si="508"/>
        <v>R</v>
      </c>
      <c r="BA556" s="66">
        <v>21.0</v>
      </c>
      <c r="BB556" s="36" t="str">
        <f t="shared" si="509"/>
        <v>R</v>
      </c>
      <c r="BC556" s="39" t="s">
        <v>357</v>
      </c>
      <c r="BD556" s="39" t="s">
        <v>357</v>
      </c>
      <c r="BE556" s="66">
        <v>20.0</v>
      </c>
      <c r="BF556" s="36" t="str">
        <f t="shared" si="510"/>
        <v>I</v>
      </c>
      <c r="BG556" s="68">
        <v>12.0</v>
      </c>
      <c r="BH556" s="41" t="str">
        <f t="shared" si="511"/>
        <v>R</v>
      </c>
      <c r="BI556" s="41"/>
    </row>
    <row r="557">
      <c r="A557" s="21" t="s">
        <v>624</v>
      </c>
      <c r="B557" s="21" t="s">
        <v>444</v>
      </c>
      <c r="C557" s="21" t="s">
        <v>2039</v>
      </c>
      <c r="D557" s="69" t="s">
        <v>190</v>
      </c>
      <c r="E557" s="18" t="s">
        <v>190</v>
      </c>
      <c r="F557" s="18" t="s">
        <v>192</v>
      </c>
      <c r="G557" s="63" t="s">
        <v>2040</v>
      </c>
      <c r="H557" s="22" t="s">
        <v>198</v>
      </c>
      <c r="I557" s="28">
        <v>6.0</v>
      </c>
      <c r="J557" s="26" t="str">
        <f t="shared" si="489"/>
        <v>R</v>
      </c>
      <c r="K557" s="28">
        <v>20.0</v>
      </c>
      <c r="L557" s="26" t="str">
        <f t="shared" si="490"/>
        <v>S</v>
      </c>
      <c r="M557" s="28">
        <v>6.0</v>
      </c>
      <c r="N557" s="26" t="str">
        <f t="shared" si="491"/>
        <v>R</v>
      </c>
      <c r="O557" s="28">
        <v>22.0</v>
      </c>
      <c r="P557" s="26" t="str">
        <f t="shared" si="492"/>
        <v>I</v>
      </c>
      <c r="Q557" s="28">
        <v>6.0</v>
      </c>
      <c r="R557" s="26" t="str">
        <f t="shared" si="493"/>
        <v>R</v>
      </c>
      <c r="S557" s="28">
        <v>15.0</v>
      </c>
      <c r="T557" s="26" t="str">
        <f t="shared" si="494"/>
        <v>R</v>
      </c>
      <c r="U557" s="28">
        <v>18.0</v>
      </c>
      <c r="V557" s="26" t="str">
        <f t="shared" si="495"/>
        <v>I</v>
      </c>
      <c r="W557" s="32" t="s">
        <v>299</v>
      </c>
      <c r="X557" s="65">
        <v>10.0</v>
      </c>
      <c r="Y557" s="33" t="str">
        <f t="shared" si="496"/>
        <v>R</v>
      </c>
      <c r="Z557" s="65">
        <v>20.0</v>
      </c>
      <c r="AA557" s="33" t="str">
        <f t="shared" si="497"/>
        <v>S</v>
      </c>
      <c r="AB557" s="65">
        <v>14.0</v>
      </c>
      <c r="AC557" s="33" t="str">
        <f t="shared" si="498"/>
        <v>R</v>
      </c>
      <c r="AD557" s="65">
        <v>18.0</v>
      </c>
      <c r="AE557" s="33" t="str">
        <f t="shared" si="499"/>
        <v>S</v>
      </c>
      <c r="AF557" s="65">
        <v>17.0</v>
      </c>
      <c r="AG557" s="33" t="str">
        <f t="shared" si="500"/>
        <v>R</v>
      </c>
      <c r="AH557" s="65" t="s">
        <v>299</v>
      </c>
      <c r="AI557" s="66">
        <v>17.0</v>
      </c>
      <c r="AJ557" s="36" t="str">
        <f t="shared" si="501"/>
        <v>R</v>
      </c>
      <c r="AK557" s="66">
        <v>15.0</v>
      </c>
      <c r="AL557" s="36" t="str">
        <f t="shared" si="502"/>
        <v>R</v>
      </c>
      <c r="AM557" s="66">
        <v>15.0</v>
      </c>
      <c r="AN557" s="36" t="str">
        <f t="shared" si="503"/>
        <v>S</v>
      </c>
      <c r="AO557" s="66" t="s">
        <v>299</v>
      </c>
      <c r="AP557" s="67">
        <v>6.0</v>
      </c>
      <c r="AQ557" s="37" t="str">
        <f t="shared" si="504"/>
        <v>R</v>
      </c>
      <c r="AR557" s="65">
        <v>17.0</v>
      </c>
      <c r="AS557" s="33" t="str">
        <f t="shared" si="505"/>
        <v>R</v>
      </c>
      <c r="AT557" s="65">
        <v>15.0</v>
      </c>
      <c r="AU557" s="33" t="str">
        <f t="shared" si="506"/>
        <v>R</v>
      </c>
      <c r="AV557" s="65" t="s">
        <v>299</v>
      </c>
      <c r="AW557" s="28">
        <v>9.0</v>
      </c>
      <c r="AX557" s="26" t="str">
        <f t="shared" si="507"/>
        <v>R</v>
      </c>
      <c r="AY557" s="67">
        <v>11.0</v>
      </c>
      <c r="AZ557" s="37" t="str">
        <f t="shared" si="508"/>
        <v>R</v>
      </c>
      <c r="BA557" s="66">
        <v>18.0</v>
      </c>
      <c r="BB557" s="36" t="str">
        <f t="shared" si="509"/>
        <v>R</v>
      </c>
      <c r="BC557" s="39" t="s">
        <v>357</v>
      </c>
      <c r="BD557" s="39" t="s">
        <v>357</v>
      </c>
      <c r="BE557" s="66">
        <v>19.0</v>
      </c>
      <c r="BF557" s="36" t="str">
        <f t="shared" si="510"/>
        <v>I</v>
      </c>
      <c r="BG557" s="68">
        <v>12.0</v>
      </c>
      <c r="BH557" s="41" t="str">
        <f t="shared" si="511"/>
        <v>R</v>
      </c>
      <c r="BI557" s="41"/>
    </row>
    <row r="558">
      <c r="A558" s="21" t="s">
        <v>624</v>
      </c>
      <c r="B558" s="23">
        <v>240.0</v>
      </c>
      <c r="C558" s="21" t="s">
        <v>1034</v>
      </c>
      <c r="D558" s="69" t="s">
        <v>571</v>
      </c>
      <c r="E558" s="18" t="s">
        <v>572</v>
      </c>
      <c r="F558" s="18" t="s">
        <v>192</v>
      </c>
      <c r="G558" s="63" t="s">
        <v>1035</v>
      </c>
      <c r="H558" s="22" t="s">
        <v>198</v>
      </c>
      <c r="I558" s="28">
        <v>6.0</v>
      </c>
      <c r="J558" s="26" t="str">
        <f t="shared" si="489"/>
        <v>R</v>
      </c>
      <c r="K558" s="28">
        <v>6.0</v>
      </c>
      <c r="L558" s="26" t="str">
        <f t="shared" si="490"/>
        <v>R</v>
      </c>
      <c r="M558" s="28">
        <v>6.0</v>
      </c>
      <c r="N558" s="26" t="str">
        <f t="shared" si="491"/>
        <v>R</v>
      </c>
      <c r="O558" s="28">
        <v>25.0</v>
      </c>
      <c r="P558" s="26" t="str">
        <f t="shared" si="492"/>
        <v>S</v>
      </c>
      <c r="Q558" s="28">
        <v>6.0</v>
      </c>
      <c r="R558" s="26" t="str">
        <f t="shared" si="493"/>
        <v>R</v>
      </c>
      <c r="S558" s="28">
        <v>6.0</v>
      </c>
      <c r="T558" s="26" t="str">
        <f t="shared" si="494"/>
        <v>R</v>
      </c>
      <c r="U558" s="28">
        <v>12.0</v>
      </c>
      <c r="V558" s="26" t="str">
        <f t="shared" si="495"/>
        <v>R</v>
      </c>
      <c r="W558" s="32" t="s">
        <v>299</v>
      </c>
      <c r="X558" s="65">
        <v>6.0</v>
      </c>
      <c r="Y558" s="33" t="str">
        <f t="shared" si="496"/>
        <v>R</v>
      </c>
      <c r="Z558" s="65">
        <v>6.0</v>
      </c>
      <c r="AA558" s="33" t="str">
        <f t="shared" si="497"/>
        <v>R</v>
      </c>
      <c r="AB558" s="65">
        <v>6.0</v>
      </c>
      <c r="AC558" s="33" t="str">
        <f t="shared" si="498"/>
        <v>R</v>
      </c>
      <c r="AD558" s="65">
        <v>13.0</v>
      </c>
      <c r="AE558" s="33" t="str">
        <f t="shared" si="499"/>
        <v>S</v>
      </c>
      <c r="AF558" s="65">
        <v>6.0</v>
      </c>
      <c r="AG558" s="33" t="str">
        <f t="shared" si="500"/>
        <v>R</v>
      </c>
      <c r="AH558" s="65" t="s">
        <v>299</v>
      </c>
      <c r="AI558" s="66">
        <v>6.0</v>
      </c>
      <c r="AJ558" s="36" t="str">
        <f t="shared" si="501"/>
        <v>R</v>
      </c>
      <c r="AK558" s="66">
        <v>6.0</v>
      </c>
      <c r="AL558" s="36" t="str">
        <f t="shared" si="502"/>
        <v>R</v>
      </c>
      <c r="AM558" s="66">
        <v>6.0</v>
      </c>
      <c r="AN558" s="36" t="str">
        <f t="shared" si="503"/>
        <v>R</v>
      </c>
      <c r="AO558" s="66" t="s">
        <v>299</v>
      </c>
      <c r="AP558" s="67">
        <v>6.0</v>
      </c>
      <c r="AQ558" s="37" t="str">
        <f t="shared" si="504"/>
        <v>R</v>
      </c>
      <c r="AR558" s="65">
        <v>13.0</v>
      </c>
      <c r="AS558" s="33" t="str">
        <f t="shared" si="505"/>
        <v>R</v>
      </c>
      <c r="AT558" s="65">
        <v>17.0</v>
      </c>
      <c r="AU558" s="33" t="str">
        <f t="shared" si="506"/>
        <v>S</v>
      </c>
      <c r="AV558" s="65" t="s">
        <v>299</v>
      </c>
      <c r="AW558" s="28">
        <v>6.0</v>
      </c>
      <c r="AX558" s="26" t="str">
        <f t="shared" si="507"/>
        <v>R</v>
      </c>
      <c r="AY558" s="67">
        <v>6.0</v>
      </c>
      <c r="AZ558" s="37" t="str">
        <f t="shared" si="508"/>
        <v>R</v>
      </c>
      <c r="BA558" s="66">
        <v>13.0</v>
      </c>
      <c r="BB558" s="36" t="str">
        <f t="shared" si="509"/>
        <v>R</v>
      </c>
      <c r="BC558" s="39" t="s">
        <v>357</v>
      </c>
      <c r="BD558" s="39" t="s">
        <v>357</v>
      </c>
      <c r="BE558" s="66">
        <v>21.0</v>
      </c>
      <c r="BF558" s="36" t="str">
        <f t="shared" si="510"/>
        <v>I</v>
      </c>
      <c r="BG558" s="68">
        <v>6.0</v>
      </c>
      <c r="BH558" s="41" t="str">
        <f t="shared" si="511"/>
        <v>R</v>
      </c>
      <c r="BI558" s="41"/>
    </row>
    <row r="559">
      <c r="A559" s="21" t="s">
        <v>624</v>
      </c>
      <c r="B559" s="21" t="s">
        <v>444</v>
      </c>
      <c r="C559" s="21" t="s">
        <v>2041</v>
      </c>
      <c r="D559" s="69" t="s">
        <v>571</v>
      </c>
      <c r="E559" s="18" t="s">
        <v>572</v>
      </c>
      <c r="F559" s="18" t="s">
        <v>192</v>
      </c>
      <c r="G559" s="63" t="s">
        <v>2042</v>
      </c>
      <c r="H559" s="22" t="s">
        <v>198</v>
      </c>
      <c r="I559" s="28">
        <v>6.0</v>
      </c>
      <c r="J559" s="26" t="str">
        <f t="shared" si="489"/>
        <v>R</v>
      </c>
      <c r="K559" s="28">
        <v>6.0</v>
      </c>
      <c r="L559" s="26" t="str">
        <f t="shared" si="490"/>
        <v>R</v>
      </c>
      <c r="M559" s="28">
        <v>6.0</v>
      </c>
      <c r="N559" s="26" t="str">
        <f t="shared" si="491"/>
        <v>R</v>
      </c>
      <c r="O559" s="28">
        <v>27.0</v>
      </c>
      <c r="P559" s="26" t="str">
        <f t="shared" si="492"/>
        <v>S</v>
      </c>
      <c r="Q559" s="28">
        <v>6.0</v>
      </c>
      <c r="R559" s="26" t="str">
        <f t="shared" si="493"/>
        <v>R</v>
      </c>
      <c r="S559" s="28">
        <v>6.0</v>
      </c>
      <c r="T559" s="26" t="str">
        <f t="shared" si="494"/>
        <v>R</v>
      </c>
      <c r="U559" s="28">
        <v>12.0</v>
      </c>
      <c r="V559" s="26" t="str">
        <f t="shared" si="495"/>
        <v>R</v>
      </c>
      <c r="W559" s="32" t="s">
        <v>299</v>
      </c>
      <c r="X559" s="65">
        <v>6.0</v>
      </c>
      <c r="Y559" s="33" t="str">
        <f t="shared" si="496"/>
        <v>R</v>
      </c>
      <c r="Z559" s="65">
        <v>6.0</v>
      </c>
      <c r="AA559" s="33" t="str">
        <f t="shared" si="497"/>
        <v>R</v>
      </c>
      <c r="AB559" s="65">
        <v>6.0</v>
      </c>
      <c r="AC559" s="33" t="str">
        <f t="shared" si="498"/>
        <v>R</v>
      </c>
      <c r="AD559" s="65">
        <v>13.0</v>
      </c>
      <c r="AE559" s="33" t="str">
        <f t="shared" si="499"/>
        <v>S</v>
      </c>
      <c r="AF559" s="65">
        <v>6.0</v>
      </c>
      <c r="AG559" s="33" t="str">
        <f t="shared" si="500"/>
        <v>R</v>
      </c>
      <c r="AH559" s="65" t="s">
        <v>299</v>
      </c>
      <c r="AI559" s="66">
        <v>6.0</v>
      </c>
      <c r="AJ559" s="36" t="str">
        <f t="shared" si="501"/>
        <v>R</v>
      </c>
      <c r="AK559" s="66">
        <v>6.0</v>
      </c>
      <c r="AL559" s="36" t="str">
        <f t="shared" si="502"/>
        <v>R</v>
      </c>
      <c r="AM559" s="66">
        <v>6.0</v>
      </c>
      <c r="AN559" s="36" t="str">
        <f t="shared" si="503"/>
        <v>R</v>
      </c>
      <c r="AO559" s="66" t="s">
        <v>299</v>
      </c>
      <c r="AP559" s="67">
        <v>6.0</v>
      </c>
      <c r="AQ559" s="37" t="str">
        <f t="shared" si="504"/>
        <v>R</v>
      </c>
      <c r="AR559" s="65">
        <v>14.0</v>
      </c>
      <c r="AS559" s="33" t="str">
        <f t="shared" si="505"/>
        <v>R</v>
      </c>
      <c r="AT559" s="65">
        <v>17.0</v>
      </c>
      <c r="AU559" s="33" t="str">
        <f t="shared" si="506"/>
        <v>S</v>
      </c>
      <c r="AV559" s="65" t="s">
        <v>299</v>
      </c>
      <c r="AW559" s="28">
        <v>6.0</v>
      </c>
      <c r="AX559" s="26" t="str">
        <f t="shared" si="507"/>
        <v>R</v>
      </c>
      <c r="AY559" s="67">
        <v>6.0</v>
      </c>
      <c r="AZ559" s="37" t="str">
        <f t="shared" si="508"/>
        <v>R</v>
      </c>
      <c r="BA559" s="66">
        <v>14.0</v>
      </c>
      <c r="BB559" s="36" t="str">
        <f t="shared" si="509"/>
        <v>R</v>
      </c>
      <c r="BC559" s="39" t="s">
        <v>357</v>
      </c>
      <c r="BD559" s="39" t="s">
        <v>357</v>
      </c>
      <c r="BE559" s="66">
        <v>21.0</v>
      </c>
      <c r="BF559" s="36" t="str">
        <f t="shared" si="510"/>
        <v>I</v>
      </c>
      <c r="BG559" s="68">
        <v>6.0</v>
      </c>
      <c r="BH559" s="41" t="str">
        <f t="shared" si="511"/>
        <v>R</v>
      </c>
      <c r="BI559" s="41"/>
    </row>
    <row r="560">
      <c r="A560" s="21" t="s">
        <v>624</v>
      </c>
      <c r="B560" s="21" t="s">
        <v>444</v>
      </c>
      <c r="C560" s="21" t="s">
        <v>2043</v>
      </c>
      <c r="D560" s="69" t="s">
        <v>571</v>
      </c>
      <c r="E560" s="18" t="s">
        <v>572</v>
      </c>
      <c r="F560" s="18" t="s">
        <v>192</v>
      </c>
      <c r="G560" s="63" t="s">
        <v>2044</v>
      </c>
      <c r="H560" s="22" t="s">
        <v>198</v>
      </c>
      <c r="I560" s="28">
        <v>6.0</v>
      </c>
      <c r="J560" s="26" t="str">
        <f t="shared" si="489"/>
        <v>R</v>
      </c>
      <c r="K560" s="28">
        <v>6.0</v>
      </c>
      <c r="L560" s="26" t="str">
        <f t="shared" si="490"/>
        <v>R</v>
      </c>
      <c r="M560" s="28">
        <v>6.0</v>
      </c>
      <c r="N560" s="26" t="str">
        <f t="shared" si="491"/>
        <v>R</v>
      </c>
      <c r="O560" s="28">
        <v>25.0</v>
      </c>
      <c r="P560" s="26" t="str">
        <f t="shared" si="492"/>
        <v>S</v>
      </c>
      <c r="Q560" s="28">
        <v>6.0</v>
      </c>
      <c r="R560" s="26" t="str">
        <f t="shared" si="493"/>
        <v>R</v>
      </c>
      <c r="S560" s="28">
        <v>6.0</v>
      </c>
      <c r="T560" s="26" t="str">
        <f t="shared" si="494"/>
        <v>R</v>
      </c>
      <c r="U560" s="28">
        <v>12.0</v>
      </c>
      <c r="V560" s="26" t="str">
        <f t="shared" si="495"/>
        <v>R</v>
      </c>
      <c r="W560" s="32" t="s">
        <v>299</v>
      </c>
      <c r="X560" s="65">
        <v>6.0</v>
      </c>
      <c r="Y560" s="33" t="str">
        <f t="shared" si="496"/>
        <v>R</v>
      </c>
      <c r="Z560" s="65">
        <v>8.0</v>
      </c>
      <c r="AA560" s="33" t="str">
        <f t="shared" si="497"/>
        <v>R</v>
      </c>
      <c r="AB560" s="65">
        <v>6.0</v>
      </c>
      <c r="AC560" s="33" t="str">
        <f t="shared" si="498"/>
        <v>R</v>
      </c>
      <c r="AD560" s="65">
        <v>13.0</v>
      </c>
      <c r="AE560" s="33" t="str">
        <f t="shared" si="499"/>
        <v>S</v>
      </c>
      <c r="AF560" s="65">
        <v>6.0</v>
      </c>
      <c r="AG560" s="33" t="str">
        <f t="shared" si="500"/>
        <v>R</v>
      </c>
      <c r="AH560" s="65" t="s">
        <v>299</v>
      </c>
      <c r="AI560" s="66">
        <v>6.0</v>
      </c>
      <c r="AJ560" s="36" t="str">
        <f t="shared" si="501"/>
        <v>R</v>
      </c>
      <c r="AK560" s="66">
        <v>6.0</v>
      </c>
      <c r="AL560" s="36" t="str">
        <f t="shared" si="502"/>
        <v>R</v>
      </c>
      <c r="AM560" s="66">
        <v>6.0</v>
      </c>
      <c r="AN560" s="36" t="str">
        <f t="shared" si="503"/>
        <v>R</v>
      </c>
      <c r="AO560" s="66" t="s">
        <v>299</v>
      </c>
      <c r="AP560" s="67">
        <v>6.0</v>
      </c>
      <c r="AQ560" s="37" t="str">
        <f t="shared" si="504"/>
        <v>R</v>
      </c>
      <c r="AR560" s="65">
        <v>13.0</v>
      </c>
      <c r="AS560" s="33" t="str">
        <f t="shared" si="505"/>
        <v>R</v>
      </c>
      <c r="AT560" s="65">
        <v>17.0</v>
      </c>
      <c r="AU560" s="33" t="str">
        <f t="shared" si="506"/>
        <v>S</v>
      </c>
      <c r="AV560" s="65" t="s">
        <v>299</v>
      </c>
      <c r="AW560" s="28">
        <v>6.0</v>
      </c>
      <c r="AX560" s="26" t="str">
        <f t="shared" si="507"/>
        <v>R</v>
      </c>
      <c r="AY560" s="67">
        <v>6.0</v>
      </c>
      <c r="AZ560" s="37" t="str">
        <f t="shared" si="508"/>
        <v>R</v>
      </c>
      <c r="BA560" s="66">
        <v>16.0</v>
      </c>
      <c r="BB560" s="36" t="str">
        <f t="shared" si="509"/>
        <v>R</v>
      </c>
      <c r="BC560" s="39" t="s">
        <v>357</v>
      </c>
      <c r="BD560" s="39" t="s">
        <v>357</v>
      </c>
      <c r="BE560" s="66">
        <v>21.0</v>
      </c>
      <c r="BF560" s="36" t="str">
        <f t="shared" si="510"/>
        <v>I</v>
      </c>
      <c r="BG560" s="68">
        <v>6.0</v>
      </c>
      <c r="BH560" s="41" t="str">
        <f t="shared" si="511"/>
        <v>R</v>
      </c>
      <c r="BI560" s="41"/>
    </row>
    <row r="561">
      <c r="A561" s="51" t="s">
        <v>1026</v>
      </c>
      <c r="B561" s="53">
        <v>241.0</v>
      </c>
      <c r="C561" s="51" t="s">
        <v>1210</v>
      </c>
      <c r="D561" s="69" t="s">
        <v>190</v>
      </c>
      <c r="E561" s="18" t="s">
        <v>190</v>
      </c>
      <c r="F561" s="18" t="s">
        <v>192</v>
      </c>
      <c r="G561" s="63" t="s">
        <v>1211</v>
      </c>
      <c r="H561" s="22" t="s">
        <v>198</v>
      </c>
      <c r="I561" s="28">
        <v>6.0</v>
      </c>
      <c r="J561" s="26" t="str">
        <f t="shared" si="489"/>
        <v>R</v>
      </c>
      <c r="K561" s="28">
        <v>19.0</v>
      </c>
      <c r="L561" s="26" t="str">
        <f t="shared" si="490"/>
        <v>S</v>
      </c>
      <c r="M561" s="28">
        <v>13.0</v>
      </c>
      <c r="N561" s="26" t="str">
        <f t="shared" si="491"/>
        <v>R</v>
      </c>
      <c r="O561" s="28">
        <v>23.0</v>
      </c>
      <c r="P561" s="26" t="str">
        <f t="shared" si="492"/>
        <v>S</v>
      </c>
      <c r="Q561" s="28">
        <v>12.0</v>
      </c>
      <c r="R561" s="26" t="str">
        <f t="shared" si="493"/>
        <v>R</v>
      </c>
      <c r="S561" s="28">
        <v>16.0</v>
      </c>
      <c r="T561" s="26" t="str">
        <f t="shared" si="494"/>
        <v>R</v>
      </c>
      <c r="U561" s="28">
        <v>18.0</v>
      </c>
      <c r="V561" s="26" t="str">
        <f t="shared" si="495"/>
        <v>I</v>
      </c>
      <c r="W561" s="32" t="s">
        <v>299</v>
      </c>
      <c r="X561" s="65">
        <v>18.0</v>
      </c>
      <c r="Y561" s="33" t="str">
        <f t="shared" si="496"/>
        <v>I</v>
      </c>
      <c r="Z561" s="65">
        <v>25.0</v>
      </c>
      <c r="AA561" s="33" t="str">
        <f t="shared" si="497"/>
        <v>S</v>
      </c>
      <c r="AB561" s="65">
        <v>16.0</v>
      </c>
      <c r="AC561" s="33" t="str">
        <f t="shared" si="498"/>
        <v>R</v>
      </c>
      <c r="AD561" s="65">
        <v>18.0</v>
      </c>
      <c r="AE561" s="33" t="str">
        <f t="shared" si="499"/>
        <v>S</v>
      </c>
      <c r="AF561" s="65">
        <v>23.0</v>
      </c>
      <c r="AG561" s="33" t="str">
        <f t="shared" si="500"/>
        <v>R</v>
      </c>
      <c r="AH561" s="65" t="s">
        <v>299</v>
      </c>
      <c r="AI561" s="66">
        <v>18.0</v>
      </c>
      <c r="AJ561" s="36" t="str">
        <f t="shared" si="501"/>
        <v>R</v>
      </c>
      <c r="AK561" s="66">
        <v>12.0</v>
      </c>
      <c r="AL561" s="36" t="str">
        <f t="shared" si="502"/>
        <v>R</v>
      </c>
      <c r="AM561" s="66">
        <v>12.0</v>
      </c>
      <c r="AN561" s="36" t="str">
        <f t="shared" si="503"/>
        <v>R</v>
      </c>
      <c r="AO561" s="66" t="s">
        <v>299</v>
      </c>
      <c r="AP561" s="67">
        <v>11.0</v>
      </c>
      <c r="AQ561" s="37" t="str">
        <f t="shared" si="504"/>
        <v>I</v>
      </c>
      <c r="AR561" s="65">
        <v>20.0</v>
      </c>
      <c r="AS561" s="33" t="str">
        <f t="shared" si="505"/>
        <v>S</v>
      </c>
      <c r="AT561" s="65">
        <v>18.0</v>
      </c>
      <c r="AU561" s="33" t="str">
        <f t="shared" si="506"/>
        <v>S</v>
      </c>
      <c r="AV561" s="33" t="s">
        <v>300</v>
      </c>
      <c r="AW561" s="28">
        <v>15.0</v>
      </c>
      <c r="AX561" s="26" t="str">
        <f t="shared" si="507"/>
        <v>R</v>
      </c>
      <c r="AY561" s="67">
        <v>21.0</v>
      </c>
      <c r="AZ561" s="37" t="str">
        <f t="shared" si="508"/>
        <v>I</v>
      </c>
      <c r="BA561" s="66">
        <v>26.0</v>
      </c>
      <c r="BB561" s="36" t="str">
        <f t="shared" si="509"/>
        <v>S</v>
      </c>
      <c r="BC561" s="39" t="s">
        <v>357</v>
      </c>
      <c r="BD561" s="39" t="s">
        <v>357</v>
      </c>
      <c r="BE561" s="66">
        <v>23.0</v>
      </c>
      <c r="BF561" s="36" t="str">
        <f t="shared" si="510"/>
        <v>S</v>
      </c>
      <c r="BG561" s="68">
        <v>20.0</v>
      </c>
      <c r="BH561" s="41" t="str">
        <f t="shared" si="511"/>
        <v>S</v>
      </c>
      <c r="BI561" s="41"/>
    </row>
    <row r="562">
      <c r="A562" s="51" t="s">
        <v>1026</v>
      </c>
      <c r="B562" s="51" t="s">
        <v>444</v>
      </c>
      <c r="C562" s="51" t="s">
        <v>2045</v>
      </c>
      <c r="D562" s="69" t="s">
        <v>190</v>
      </c>
      <c r="E562" s="18" t="s">
        <v>190</v>
      </c>
      <c r="F562" s="18" t="s">
        <v>192</v>
      </c>
      <c r="G562" s="63" t="s">
        <v>2046</v>
      </c>
      <c r="H562" s="22" t="s">
        <v>198</v>
      </c>
      <c r="I562" s="28">
        <v>6.0</v>
      </c>
      <c r="J562" s="26" t="str">
        <f t="shared" si="489"/>
        <v>R</v>
      </c>
      <c r="K562" s="28">
        <v>19.0</v>
      </c>
      <c r="L562" s="26" t="str">
        <f t="shared" si="490"/>
        <v>S</v>
      </c>
      <c r="M562" s="28">
        <v>13.0</v>
      </c>
      <c r="N562" s="26" t="str">
        <f t="shared" si="491"/>
        <v>R</v>
      </c>
      <c r="O562" s="28">
        <v>23.0</v>
      </c>
      <c r="P562" s="26" t="str">
        <f t="shared" si="492"/>
        <v>S</v>
      </c>
      <c r="Q562" s="28">
        <v>12.0</v>
      </c>
      <c r="R562" s="26" t="str">
        <f t="shared" si="493"/>
        <v>R</v>
      </c>
      <c r="S562" s="28">
        <v>16.0</v>
      </c>
      <c r="T562" s="26" t="str">
        <f t="shared" si="494"/>
        <v>R</v>
      </c>
      <c r="U562" s="28">
        <v>18.0</v>
      </c>
      <c r="V562" s="26" t="str">
        <f t="shared" si="495"/>
        <v>I</v>
      </c>
      <c r="W562" s="32" t="s">
        <v>299</v>
      </c>
      <c r="X562" s="65">
        <v>18.0</v>
      </c>
      <c r="Y562" s="33" t="str">
        <f t="shared" si="496"/>
        <v>I</v>
      </c>
      <c r="Z562" s="65">
        <v>25.0</v>
      </c>
      <c r="AA562" s="33" t="str">
        <f t="shared" si="497"/>
        <v>S</v>
      </c>
      <c r="AB562" s="65">
        <v>16.0</v>
      </c>
      <c r="AC562" s="33" t="str">
        <f t="shared" si="498"/>
        <v>R</v>
      </c>
      <c r="AD562" s="65">
        <v>17.0</v>
      </c>
      <c r="AE562" s="33" t="str">
        <f t="shared" si="499"/>
        <v>S</v>
      </c>
      <c r="AF562" s="65">
        <v>23.0</v>
      </c>
      <c r="AG562" s="33" t="str">
        <f t="shared" si="500"/>
        <v>R</v>
      </c>
      <c r="AH562" s="65" t="s">
        <v>299</v>
      </c>
      <c r="AI562" s="66">
        <v>18.0</v>
      </c>
      <c r="AJ562" s="36" t="str">
        <f t="shared" si="501"/>
        <v>R</v>
      </c>
      <c r="AK562" s="66">
        <v>12.0</v>
      </c>
      <c r="AL562" s="36" t="str">
        <f t="shared" si="502"/>
        <v>R</v>
      </c>
      <c r="AM562" s="66">
        <v>12.0</v>
      </c>
      <c r="AN562" s="36" t="str">
        <f t="shared" si="503"/>
        <v>R</v>
      </c>
      <c r="AO562" s="66" t="s">
        <v>299</v>
      </c>
      <c r="AP562" s="67">
        <v>11.0</v>
      </c>
      <c r="AQ562" s="37" t="str">
        <f t="shared" si="504"/>
        <v>I</v>
      </c>
      <c r="AR562" s="65">
        <v>22.0</v>
      </c>
      <c r="AS562" s="33" t="str">
        <f t="shared" si="505"/>
        <v>S</v>
      </c>
      <c r="AT562" s="65">
        <v>18.0</v>
      </c>
      <c r="AU562" s="33" t="str">
        <f t="shared" si="506"/>
        <v>S</v>
      </c>
      <c r="AV562" s="33" t="s">
        <v>300</v>
      </c>
      <c r="AW562" s="28">
        <v>15.0</v>
      </c>
      <c r="AX562" s="26" t="str">
        <f t="shared" si="507"/>
        <v>R</v>
      </c>
      <c r="AY562" s="67">
        <v>21.0</v>
      </c>
      <c r="AZ562" s="37" t="str">
        <f t="shared" si="508"/>
        <v>I</v>
      </c>
      <c r="BA562" s="66">
        <v>22.0</v>
      </c>
      <c r="BB562" s="36" t="str">
        <f t="shared" si="509"/>
        <v>R</v>
      </c>
      <c r="BC562" s="39" t="s">
        <v>357</v>
      </c>
      <c r="BD562" s="39" t="s">
        <v>357</v>
      </c>
      <c r="BE562" s="66">
        <v>23.0</v>
      </c>
      <c r="BF562" s="36" t="str">
        <f t="shared" si="510"/>
        <v>S</v>
      </c>
      <c r="BG562" s="68">
        <v>20.0</v>
      </c>
      <c r="BH562" s="41" t="str">
        <f t="shared" si="511"/>
        <v>S</v>
      </c>
      <c r="BI562" s="41"/>
    </row>
    <row r="563">
      <c r="A563" s="51" t="s">
        <v>1026</v>
      </c>
      <c r="B563" s="51" t="s">
        <v>444</v>
      </c>
      <c r="C563" s="51" t="s">
        <v>2047</v>
      </c>
      <c r="D563" s="69" t="s">
        <v>190</v>
      </c>
      <c r="E563" s="18" t="s">
        <v>190</v>
      </c>
      <c r="F563" s="18" t="s">
        <v>192</v>
      </c>
      <c r="G563" s="63" t="s">
        <v>2048</v>
      </c>
      <c r="H563" s="22" t="s">
        <v>198</v>
      </c>
      <c r="I563" s="28">
        <v>6.0</v>
      </c>
      <c r="J563" s="26" t="str">
        <f t="shared" si="489"/>
        <v>R</v>
      </c>
      <c r="K563" s="28">
        <v>19.0</v>
      </c>
      <c r="L563" s="26" t="str">
        <f t="shared" si="490"/>
        <v>S</v>
      </c>
      <c r="M563" s="28">
        <v>13.0</v>
      </c>
      <c r="N563" s="26" t="str">
        <f t="shared" si="491"/>
        <v>R</v>
      </c>
      <c r="O563" s="28">
        <v>23.0</v>
      </c>
      <c r="P563" s="26" t="str">
        <f t="shared" si="492"/>
        <v>S</v>
      </c>
      <c r="Q563" s="28">
        <v>12.0</v>
      </c>
      <c r="R563" s="26" t="str">
        <f t="shared" si="493"/>
        <v>R</v>
      </c>
      <c r="S563" s="28">
        <v>16.0</v>
      </c>
      <c r="T563" s="26" t="str">
        <f t="shared" si="494"/>
        <v>R</v>
      </c>
      <c r="U563" s="28">
        <v>18.0</v>
      </c>
      <c r="V563" s="26" t="str">
        <f t="shared" si="495"/>
        <v>I</v>
      </c>
      <c r="W563" s="32" t="s">
        <v>299</v>
      </c>
      <c r="X563" s="65">
        <v>18.0</v>
      </c>
      <c r="Y563" s="33" t="str">
        <f t="shared" si="496"/>
        <v>I</v>
      </c>
      <c r="Z563" s="65">
        <v>25.0</v>
      </c>
      <c r="AA563" s="33" t="str">
        <f t="shared" si="497"/>
        <v>S</v>
      </c>
      <c r="AB563" s="65">
        <v>16.0</v>
      </c>
      <c r="AC563" s="33" t="str">
        <f t="shared" si="498"/>
        <v>R</v>
      </c>
      <c r="AD563" s="65">
        <v>17.0</v>
      </c>
      <c r="AE563" s="33" t="str">
        <f t="shared" si="499"/>
        <v>S</v>
      </c>
      <c r="AF563" s="65">
        <v>23.0</v>
      </c>
      <c r="AG563" s="33" t="str">
        <f t="shared" si="500"/>
        <v>R</v>
      </c>
      <c r="AH563" s="65" t="s">
        <v>299</v>
      </c>
      <c r="AI563" s="66">
        <v>18.0</v>
      </c>
      <c r="AJ563" s="36" t="str">
        <f t="shared" si="501"/>
        <v>R</v>
      </c>
      <c r="AK563" s="66">
        <v>12.0</v>
      </c>
      <c r="AL563" s="36" t="str">
        <f t="shared" si="502"/>
        <v>R</v>
      </c>
      <c r="AM563" s="66">
        <v>12.0</v>
      </c>
      <c r="AN563" s="36" t="str">
        <f t="shared" si="503"/>
        <v>R</v>
      </c>
      <c r="AO563" s="66" t="s">
        <v>299</v>
      </c>
      <c r="AP563" s="67">
        <v>11.0</v>
      </c>
      <c r="AQ563" s="37" t="str">
        <f t="shared" si="504"/>
        <v>I</v>
      </c>
      <c r="AR563" s="65">
        <v>20.0</v>
      </c>
      <c r="AS563" s="33" t="str">
        <f t="shared" si="505"/>
        <v>S</v>
      </c>
      <c r="AT563" s="65">
        <v>18.0</v>
      </c>
      <c r="AU563" s="33" t="str">
        <f t="shared" si="506"/>
        <v>S</v>
      </c>
      <c r="AV563" s="33" t="s">
        <v>300</v>
      </c>
      <c r="AW563" s="28">
        <v>15.0</v>
      </c>
      <c r="AX563" s="26" t="str">
        <f t="shared" si="507"/>
        <v>R</v>
      </c>
      <c r="AY563" s="67">
        <v>21.0</v>
      </c>
      <c r="AZ563" s="37" t="str">
        <f t="shared" si="508"/>
        <v>I</v>
      </c>
      <c r="BA563" s="66">
        <v>26.0</v>
      </c>
      <c r="BB563" s="36" t="str">
        <f t="shared" si="509"/>
        <v>S</v>
      </c>
      <c r="BC563" s="39" t="s">
        <v>357</v>
      </c>
      <c r="BD563" s="39" t="s">
        <v>357</v>
      </c>
      <c r="BE563" s="66">
        <v>23.0</v>
      </c>
      <c r="BF563" s="36" t="str">
        <f t="shared" si="510"/>
        <v>S</v>
      </c>
      <c r="BG563" s="68">
        <v>20.0</v>
      </c>
      <c r="BH563" s="41" t="str">
        <f t="shared" si="511"/>
        <v>S</v>
      </c>
      <c r="BI563" s="41"/>
    </row>
    <row r="564">
      <c r="A564" s="51" t="s">
        <v>1026</v>
      </c>
      <c r="B564" s="53">
        <v>242.0</v>
      </c>
      <c r="C564" s="51" t="s">
        <v>1212</v>
      </c>
      <c r="D564" s="69" t="s">
        <v>190</v>
      </c>
      <c r="E564" s="18" t="s">
        <v>190</v>
      </c>
      <c r="F564" s="18" t="s">
        <v>192</v>
      </c>
      <c r="G564" s="63" t="s">
        <v>1213</v>
      </c>
      <c r="H564" s="42" t="s">
        <v>479</v>
      </c>
      <c r="I564" s="28">
        <v>6.0</v>
      </c>
      <c r="J564" s="26" t="str">
        <f t="shared" si="489"/>
        <v>R</v>
      </c>
      <c r="K564" s="28">
        <v>13.0</v>
      </c>
      <c r="L564" s="26" t="str">
        <f t="shared" si="490"/>
        <v>R</v>
      </c>
      <c r="M564" s="28">
        <v>10.0</v>
      </c>
      <c r="N564" s="26" t="str">
        <f t="shared" si="491"/>
        <v>R</v>
      </c>
      <c r="O564" s="28">
        <v>18.0</v>
      </c>
      <c r="P564" s="26" t="str">
        <f t="shared" si="492"/>
        <v>R</v>
      </c>
      <c r="Q564" s="28">
        <v>9.0</v>
      </c>
      <c r="R564" s="26" t="str">
        <f t="shared" si="493"/>
        <v>R</v>
      </c>
      <c r="S564" s="28">
        <v>9.0</v>
      </c>
      <c r="T564" s="26" t="str">
        <f t="shared" si="494"/>
        <v>R</v>
      </c>
      <c r="U564" s="28">
        <v>6.0</v>
      </c>
      <c r="V564" s="26" t="str">
        <f t="shared" si="495"/>
        <v>R</v>
      </c>
      <c r="W564" s="32" t="s">
        <v>299</v>
      </c>
      <c r="X564" s="65">
        <v>16.0</v>
      </c>
      <c r="Y564" s="33" t="str">
        <f t="shared" si="496"/>
        <v>R</v>
      </c>
      <c r="Z564" s="65">
        <v>6.0</v>
      </c>
      <c r="AA564" s="33" t="str">
        <f t="shared" si="497"/>
        <v>R</v>
      </c>
      <c r="AB564" s="65">
        <v>11.0</v>
      </c>
      <c r="AC564" s="33" t="str">
        <f t="shared" si="498"/>
        <v>R</v>
      </c>
      <c r="AD564" s="65">
        <v>11.0</v>
      </c>
      <c r="AE564" s="33" t="str">
        <f t="shared" si="499"/>
        <v>R</v>
      </c>
      <c r="AF564" s="65">
        <v>19.0</v>
      </c>
      <c r="AG564" s="33" t="str">
        <f t="shared" si="500"/>
        <v>R</v>
      </c>
      <c r="AH564" s="65" t="s">
        <v>299</v>
      </c>
      <c r="AI564" s="66">
        <v>13.0</v>
      </c>
      <c r="AJ564" s="36" t="str">
        <f t="shared" si="501"/>
        <v>R</v>
      </c>
      <c r="AK564" s="66">
        <v>10.0</v>
      </c>
      <c r="AL564" s="36" t="str">
        <f t="shared" si="502"/>
        <v>R</v>
      </c>
      <c r="AM564" s="66">
        <v>6.0</v>
      </c>
      <c r="AN564" s="36" t="str">
        <f t="shared" si="503"/>
        <v>R</v>
      </c>
      <c r="AO564" s="66" t="s">
        <v>299</v>
      </c>
      <c r="AP564" s="67">
        <v>6.0</v>
      </c>
      <c r="AQ564" s="37" t="str">
        <f t="shared" si="504"/>
        <v>R</v>
      </c>
      <c r="AR564" s="65">
        <v>15.0</v>
      </c>
      <c r="AS564" s="33" t="str">
        <f t="shared" si="505"/>
        <v>R</v>
      </c>
      <c r="AT564" s="65">
        <v>12.0</v>
      </c>
      <c r="AU564" s="33" t="str">
        <f t="shared" si="506"/>
        <v>R</v>
      </c>
      <c r="AV564" s="65" t="s">
        <v>299</v>
      </c>
      <c r="AW564" s="28">
        <v>6.0</v>
      </c>
      <c r="AX564" s="26" t="str">
        <f t="shared" si="507"/>
        <v>R</v>
      </c>
      <c r="AY564" s="67">
        <v>14.0</v>
      </c>
      <c r="AZ564" s="37" t="str">
        <f t="shared" si="508"/>
        <v>R</v>
      </c>
      <c r="BA564" s="66">
        <v>17.0</v>
      </c>
      <c r="BB564" s="36" t="str">
        <f t="shared" si="509"/>
        <v>R</v>
      </c>
      <c r="BC564" s="39" t="s">
        <v>357</v>
      </c>
      <c r="BD564" s="39" t="s">
        <v>357</v>
      </c>
      <c r="BE564" s="66">
        <v>19.0</v>
      </c>
      <c r="BF564" s="36" t="str">
        <f t="shared" si="510"/>
        <v>I</v>
      </c>
      <c r="BG564" s="68">
        <v>15.0</v>
      </c>
      <c r="BH564" s="41" t="str">
        <f t="shared" si="511"/>
        <v>R</v>
      </c>
      <c r="BI564" s="41"/>
    </row>
    <row r="565">
      <c r="A565" s="51" t="s">
        <v>1026</v>
      </c>
      <c r="B565" s="51" t="s">
        <v>444</v>
      </c>
      <c r="C565" s="51" t="s">
        <v>2049</v>
      </c>
      <c r="D565" s="69" t="s">
        <v>190</v>
      </c>
      <c r="E565" s="18" t="s">
        <v>190</v>
      </c>
      <c r="F565" s="18" t="s">
        <v>192</v>
      </c>
      <c r="G565" s="63" t="s">
        <v>2050</v>
      </c>
      <c r="H565" s="42" t="s">
        <v>479</v>
      </c>
      <c r="I565" s="28">
        <v>6.0</v>
      </c>
      <c r="J565" s="26" t="str">
        <f t="shared" si="489"/>
        <v>R</v>
      </c>
      <c r="K565" s="28">
        <v>11.0</v>
      </c>
      <c r="L565" s="26" t="str">
        <f t="shared" si="490"/>
        <v>R</v>
      </c>
      <c r="M565" s="28">
        <v>10.0</v>
      </c>
      <c r="N565" s="26" t="str">
        <f t="shared" si="491"/>
        <v>R</v>
      </c>
      <c r="O565" s="28">
        <v>18.0</v>
      </c>
      <c r="P565" s="26" t="str">
        <f t="shared" si="492"/>
        <v>R</v>
      </c>
      <c r="Q565" s="28">
        <v>9.0</v>
      </c>
      <c r="R565" s="26" t="str">
        <f t="shared" si="493"/>
        <v>R</v>
      </c>
      <c r="S565" s="28">
        <v>11.0</v>
      </c>
      <c r="T565" s="26" t="str">
        <f t="shared" si="494"/>
        <v>R</v>
      </c>
      <c r="U565" s="28">
        <v>6.0</v>
      </c>
      <c r="V565" s="26" t="str">
        <f t="shared" si="495"/>
        <v>R</v>
      </c>
      <c r="W565" s="32" t="s">
        <v>299</v>
      </c>
      <c r="X565" s="65">
        <v>14.0</v>
      </c>
      <c r="Y565" s="33" t="str">
        <f t="shared" si="496"/>
        <v>R</v>
      </c>
      <c r="Z565" s="65">
        <v>7.0</v>
      </c>
      <c r="AA565" s="33" t="str">
        <f t="shared" si="497"/>
        <v>R</v>
      </c>
      <c r="AB565" s="65">
        <v>11.0</v>
      </c>
      <c r="AC565" s="33" t="str">
        <f t="shared" si="498"/>
        <v>R</v>
      </c>
      <c r="AD565" s="65">
        <v>11.0</v>
      </c>
      <c r="AE565" s="33" t="str">
        <f t="shared" si="499"/>
        <v>R</v>
      </c>
      <c r="AF565" s="65">
        <v>19.0</v>
      </c>
      <c r="AG565" s="33" t="str">
        <f t="shared" si="500"/>
        <v>R</v>
      </c>
      <c r="AH565" s="65" t="s">
        <v>299</v>
      </c>
      <c r="AI565" s="66">
        <v>9.0</v>
      </c>
      <c r="AJ565" s="36" t="str">
        <f t="shared" si="501"/>
        <v>R</v>
      </c>
      <c r="AK565" s="66">
        <v>9.0</v>
      </c>
      <c r="AL565" s="36" t="str">
        <f t="shared" si="502"/>
        <v>R</v>
      </c>
      <c r="AM565" s="66">
        <v>6.0</v>
      </c>
      <c r="AN565" s="36" t="str">
        <f t="shared" si="503"/>
        <v>R</v>
      </c>
      <c r="AO565" s="66" t="s">
        <v>299</v>
      </c>
      <c r="AP565" s="67">
        <v>6.0</v>
      </c>
      <c r="AQ565" s="37" t="str">
        <f t="shared" si="504"/>
        <v>R</v>
      </c>
      <c r="AR565" s="65">
        <v>16.0</v>
      </c>
      <c r="AS565" s="33" t="str">
        <f t="shared" si="505"/>
        <v>R</v>
      </c>
      <c r="AT565" s="65">
        <v>12.0</v>
      </c>
      <c r="AU565" s="33" t="str">
        <f t="shared" si="506"/>
        <v>R</v>
      </c>
      <c r="AV565" s="65" t="s">
        <v>299</v>
      </c>
      <c r="AW565" s="28">
        <v>6.0</v>
      </c>
      <c r="AX565" s="26" t="str">
        <f t="shared" si="507"/>
        <v>R</v>
      </c>
      <c r="AY565" s="67">
        <v>14.0</v>
      </c>
      <c r="AZ565" s="37" t="str">
        <f t="shared" si="508"/>
        <v>R</v>
      </c>
      <c r="BA565" s="66">
        <v>16.0</v>
      </c>
      <c r="BB565" s="36" t="str">
        <f t="shared" si="509"/>
        <v>R</v>
      </c>
      <c r="BC565" s="39" t="s">
        <v>357</v>
      </c>
      <c r="BD565" s="39" t="s">
        <v>357</v>
      </c>
      <c r="BE565" s="66">
        <v>19.0</v>
      </c>
      <c r="BF565" s="36" t="str">
        <f t="shared" si="510"/>
        <v>I</v>
      </c>
      <c r="BG565" s="68">
        <v>15.0</v>
      </c>
      <c r="BH565" s="41" t="str">
        <f t="shared" si="511"/>
        <v>R</v>
      </c>
      <c r="BI565" s="41"/>
    </row>
    <row r="566">
      <c r="A566" s="51" t="s">
        <v>1026</v>
      </c>
      <c r="B566" s="51" t="s">
        <v>444</v>
      </c>
      <c r="C566" s="51" t="s">
        <v>2051</v>
      </c>
      <c r="D566" s="69" t="s">
        <v>190</v>
      </c>
      <c r="E566" s="18" t="s">
        <v>190</v>
      </c>
      <c r="F566" s="18" t="s">
        <v>192</v>
      </c>
      <c r="G566" s="63" t="s">
        <v>2052</v>
      </c>
      <c r="H566" s="42" t="s">
        <v>479</v>
      </c>
      <c r="I566" s="28">
        <v>6.0</v>
      </c>
      <c r="J566" s="26" t="str">
        <f t="shared" si="489"/>
        <v>R</v>
      </c>
      <c r="K566" s="28">
        <v>11.0</v>
      </c>
      <c r="L566" s="26" t="str">
        <f t="shared" si="490"/>
        <v>R</v>
      </c>
      <c r="M566" s="28">
        <v>10.0</v>
      </c>
      <c r="N566" s="26" t="str">
        <f t="shared" si="491"/>
        <v>R</v>
      </c>
      <c r="O566" s="28">
        <v>18.0</v>
      </c>
      <c r="P566" s="26" t="str">
        <f t="shared" si="492"/>
        <v>R</v>
      </c>
      <c r="Q566" s="28">
        <v>9.0</v>
      </c>
      <c r="R566" s="26" t="str">
        <f t="shared" si="493"/>
        <v>R</v>
      </c>
      <c r="S566" s="28">
        <v>11.0</v>
      </c>
      <c r="T566" s="26" t="str">
        <f t="shared" si="494"/>
        <v>R</v>
      </c>
      <c r="U566" s="28">
        <v>6.0</v>
      </c>
      <c r="V566" s="26" t="str">
        <f t="shared" si="495"/>
        <v>R</v>
      </c>
      <c r="W566" s="32" t="s">
        <v>299</v>
      </c>
      <c r="X566" s="65">
        <v>14.0</v>
      </c>
      <c r="Y566" s="33" t="str">
        <f t="shared" si="496"/>
        <v>R</v>
      </c>
      <c r="Z566" s="65">
        <v>6.0</v>
      </c>
      <c r="AA566" s="33" t="str">
        <f t="shared" si="497"/>
        <v>R</v>
      </c>
      <c r="AB566" s="65">
        <v>11.0</v>
      </c>
      <c r="AC566" s="33" t="str">
        <f t="shared" si="498"/>
        <v>R</v>
      </c>
      <c r="AD566" s="65">
        <v>11.0</v>
      </c>
      <c r="AE566" s="33" t="str">
        <f t="shared" si="499"/>
        <v>R</v>
      </c>
      <c r="AF566" s="65">
        <v>19.0</v>
      </c>
      <c r="AG566" s="33" t="str">
        <f t="shared" si="500"/>
        <v>R</v>
      </c>
      <c r="AH566" s="65" t="s">
        <v>299</v>
      </c>
      <c r="AI566" s="66">
        <v>9.0</v>
      </c>
      <c r="AJ566" s="36" t="str">
        <f t="shared" si="501"/>
        <v>R</v>
      </c>
      <c r="AK566" s="66">
        <v>9.0</v>
      </c>
      <c r="AL566" s="36" t="str">
        <f t="shared" si="502"/>
        <v>R</v>
      </c>
      <c r="AM566" s="66">
        <v>6.0</v>
      </c>
      <c r="AN566" s="36" t="str">
        <f t="shared" si="503"/>
        <v>R</v>
      </c>
      <c r="AO566" s="66" t="s">
        <v>299</v>
      </c>
      <c r="AP566" s="67">
        <v>6.0</v>
      </c>
      <c r="AQ566" s="37" t="str">
        <f t="shared" si="504"/>
        <v>R</v>
      </c>
      <c r="AR566" s="65">
        <v>15.0</v>
      </c>
      <c r="AS566" s="33" t="str">
        <f t="shared" si="505"/>
        <v>R</v>
      </c>
      <c r="AT566" s="65">
        <v>12.0</v>
      </c>
      <c r="AU566" s="33" t="str">
        <f t="shared" si="506"/>
        <v>R</v>
      </c>
      <c r="AV566" s="65" t="s">
        <v>299</v>
      </c>
      <c r="AW566" s="28">
        <v>6.0</v>
      </c>
      <c r="AX566" s="26" t="str">
        <f t="shared" si="507"/>
        <v>R</v>
      </c>
      <c r="AY566" s="67">
        <v>14.0</v>
      </c>
      <c r="AZ566" s="37" t="str">
        <f t="shared" si="508"/>
        <v>R</v>
      </c>
      <c r="BA566" s="66">
        <v>18.0</v>
      </c>
      <c r="BB566" s="36" t="str">
        <f t="shared" si="509"/>
        <v>R</v>
      </c>
      <c r="BC566" s="39" t="s">
        <v>357</v>
      </c>
      <c r="BD566" s="39" t="s">
        <v>357</v>
      </c>
      <c r="BE566" s="66">
        <v>19.0</v>
      </c>
      <c r="BF566" s="36" t="str">
        <f t="shared" si="510"/>
        <v>I</v>
      </c>
      <c r="BG566" s="68">
        <v>15.0</v>
      </c>
      <c r="BH566" s="41" t="str">
        <f t="shared" si="511"/>
        <v>R</v>
      </c>
      <c r="BI566" s="41"/>
    </row>
    <row r="567">
      <c r="A567" s="51" t="s">
        <v>1026</v>
      </c>
      <c r="B567" s="53">
        <v>243.0</v>
      </c>
      <c r="C567" s="51" t="s">
        <v>1214</v>
      </c>
      <c r="D567" s="69" t="s">
        <v>571</v>
      </c>
      <c r="E567" s="18" t="s">
        <v>572</v>
      </c>
      <c r="F567" s="18" t="s">
        <v>192</v>
      </c>
      <c r="G567" s="63" t="s">
        <v>1215</v>
      </c>
      <c r="H567" s="22" t="s">
        <v>198</v>
      </c>
      <c r="I567" s="28">
        <v>6.0</v>
      </c>
      <c r="J567" s="26" t="str">
        <f t="shared" si="489"/>
        <v>R</v>
      </c>
      <c r="K567" s="28">
        <v>18.0</v>
      </c>
      <c r="L567" s="26" t="str">
        <f t="shared" si="490"/>
        <v>R</v>
      </c>
      <c r="M567" s="28">
        <v>6.0</v>
      </c>
      <c r="N567" s="26" t="str">
        <f t="shared" si="491"/>
        <v>R</v>
      </c>
      <c r="O567" s="28">
        <v>22.0</v>
      </c>
      <c r="P567" s="26" t="str">
        <f t="shared" si="492"/>
        <v>I</v>
      </c>
      <c r="Q567" s="28">
        <v>6.0</v>
      </c>
      <c r="R567" s="26" t="str">
        <f t="shared" si="493"/>
        <v>R</v>
      </c>
      <c r="S567" s="28">
        <v>20.0</v>
      </c>
      <c r="T567" s="26" t="str">
        <f t="shared" si="494"/>
        <v>S</v>
      </c>
      <c r="U567" s="28">
        <v>19.0</v>
      </c>
      <c r="V567" s="26" t="str">
        <f t="shared" si="495"/>
        <v>I</v>
      </c>
      <c r="W567" s="32" t="s">
        <v>299</v>
      </c>
      <c r="X567" s="65">
        <v>6.0</v>
      </c>
      <c r="Y567" s="33" t="str">
        <f t="shared" si="496"/>
        <v>R</v>
      </c>
      <c r="Z567" s="65">
        <v>19.0</v>
      </c>
      <c r="AA567" s="33" t="str">
        <f t="shared" si="497"/>
        <v>S</v>
      </c>
      <c r="AB567" s="65">
        <v>6.0</v>
      </c>
      <c r="AC567" s="33" t="str">
        <f t="shared" si="498"/>
        <v>R</v>
      </c>
      <c r="AD567" s="65">
        <v>21.0</v>
      </c>
      <c r="AE567" s="33" t="str">
        <f t="shared" si="499"/>
        <v>S</v>
      </c>
      <c r="AF567" s="65">
        <v>17.0</v>
      </c>
      <c r="AG567" s="33" t="str">
        <f t="shared" si="500"/>
        <v>R</v>
      </c>
      <c r="AH567" s="65" t="s">
        <v>299</v>
      </c>
      <c r="AI567" s="66">
        <v>6.0</v>
      </c>
      <c r="AJ567" s="36" t="str">
        <f t="shared" si="501"/>
        <v>R</v>
      </c>
      <c r="AK567" s="66">
        <v>6.0</v>
      </c>
      <c r="AL567" s="36" t="str">
        <f t="shared" si="502"/>
        <v>R</v>
      </c>
      <c r="AM567" s="66">
        <v>6.0</v>
      </c>
      <c r="AN567" s="36" t="str">
        <f t="shared" si="503"/>
        <v>R</v>
      </c>
      <c r="AO567" s="66" t="s">
        <v>299</v>
      </c>
      <c r="AP567" s="67">
        <v>6.0</v>
      </c>
      <c r="AQ567" s="37" t="str">
        <f t="shared" si="504"/>
        <v>R</v>
      </c>
      <c r="AR567" s="65">
        <v>20.0</v>
      </c>
      <c r="AS567" s="33" t="str">
        <f t="shared" si="505"/>
        <v>S</v>
      </c>
      <c r="AT567" s="65">
        <v>19.0</v>
      </c>
      <c r="AU567" s="33" t="str">
        <f t="shared" si="506"/>
        <v>S</v>
      </c>
      <c r="AV567" s="33" t="s">
        <v>300</v>
      </c>
      <c r="AW567" s="28">
        <v>6.0</v>
      </c>
      <c r="AX567" s="26" t="str">
        <f t="shared" si="507"/>
        <v>R</v>
      </c>
      <c r="AY567" s="67">
        <v>15.0</v>
      </c>
      <c r="AZ567" s="37" t="str">
        <f t="shared" si="508"/>
        <v>R</v>
      </c>
      <c r="BA567" s="66">
        <v>27.0</v>
      </c>
      <c r="BB567" s="36" t="str">
        <f t="shared" si="509"/>
        <v>S</v>
      </c>
      <c r="BC567" s="39" t="s">
        <v>357</v>
      </c>
      <c r="BD567" s="39" t="s">
        <v>357</v>
      </c>
      <c r="BE567" s="66">
        <v>21.0</v>
      </c>
      <c r="BF567" s="36" t="str">
        <f t="shared" si="510"/>
        <v>I</v>
      </c>
      <c r="BG567" s="68">
        <v>21.0</v>
      </c>
      <c r="BH567" s="41" t="str">
        <f t="shared" si="511"/>
        <v>S</v>
      </c>
      <c r="BI567" s="41"/>
    </row>
    <row r="568">
      <c r="A568" s="51" t="s">
        <v>1026</v>
      </c>
      <c r="B568" s="51" t="s">
        <v>444</v>
      </c>
      <c r="C568" s="51" t="s">
        <v>2053</v>
      </c>
      <c r="D568" s="69" t="s">
        <v>571</v>
      </c>
      <c r="E568" s="18" t="s">
        <v>572</v>
      </c>
      <c r="F568" s="18" t="s">
        <v>192</v>
      </c>
      <c r="G568" s="63" t="s">
        <v>2054</v>
      </c>
      <c r="H568" s="22" t="s">
        <v>198</v>
      </c>
      <c r="I568" s="28">
        <v>6.0</v>
      </c>
      <c r="J568" s="26" t="str">
        <f t="shared" si="489"/>
        <v>R</v>
      </c>
      <c r="K568" s="28">
        <v>18.0</v>
      </c>
      <c r="L568" s="26" t="str">
        <f t="shared" si="490"/>
        <v>R</v>
      </c>
      <c r="M568" s="28">
        <v>6.0</v>
      </c>
      <c r="N568" s="26" t="str">
        <f t="shared" si="491"/>
        <v>R</v>
      </c>
      <c r="O568" s="28">
        <v>22.0</v>
      </c>
      <c r="P568" s="26" t="str">
        <f t="shared" si="492"/>
        <v>I</v>
      </c>
      <c r="Q568" s="28">
        <v>6.0</v>
      </c>
      <c r="R568" s="26" t="str">
        <f t="shared" si="493"/>
        <v>R</v>
      </c>
      <c r="S568" s="28">
        <v>20.0</v>
      </c>
      <c r="T568" s="26" t="str">
        <f t="shared" si="494"/>
        <v>S</v>
      </c>
      <c r="U568" s="28">
        <v>19.0</v>
      </c>
      <c r="V568" s="26" t="str">
        <f t="shared" si="495"/>
        <v>I</v>
      </c>
      <c r="W568" s="32" t="s">
        <v>299</v>
      </c>
      <c r="X568" s="65">
        <v>6.0</v>
      </c>
      <c r="Y568" s="33" t="str">
        <f t="shared" si="496"/>
        <v>R</v>
      </c>
      <c r="Z568" s="65">
        <v>19.0</v>
      </c>
      <c r="AA568" s="33" t="str">
        <f t="shared" si="497"/>
        <v>S</v>
      </c>
      <c r="AB568" s="65">
        <v>6.0</v>
      </c>
      <c r="AC568" s="33" t="str">
        <f t="shared" si="498"/>
        <v>R</v>
      </c>
      <c r="AD568" s="65">
        <v>21.0</v>
      </c>
      <c r="AE568" s="33" t="str">
        <f t="shared" si="499"/>
        <v>S</v>
      </c>
      <c r="AF568" s="65">
        <v>17.0</v>
      </c>
      <c r="AG568" s="33" t="str">
        <f t="shared" si="500"/>
        <v>R</v>
      </c>
      <c r="AH568" s="65" t="s">
        <v>299</v>
      </c>
      <c r="AI568" s="66">
        <v>6.0</v>
      </c>
      <c r="AJ568" s="36" t="str">
        <f t="shared" si="501"/>
        <v>R</v>
      </c>
      <c r="AK568" s="66">
        <v>6.0</v>
      </c>
      <c r="AL568" s="36" t="str">
        <f t="shared" si="502"/>
        <v>R</v>
      </c>
      <c r="AM568" s="66">
        <v>6.0</v>
      </c>
      <c r="AN568" s="36" t="str">
        <f t="shared" si="503"/>
        <v>R</v>
      </c>
      <c r="AO568" s="66" t="s">
        <v>299</v>
      </c>
      <c r="AP568" s="67">
        <v>6.0</v>
      </c>
      <c r="AQ568" s="37" t="str">
        <f t="shared" si="504"/>
        <v>R</v>
      </c>
      <c r="AR568" s="65">
        <v>20.0</v>
      </c>
      <c r="AS568" s="33" t="str">
        <f t="shared" si="505"/>
        <v>S</v>
      </c>
      <c r="AT568" s="65">
        <v>19.0</v>
      </c>
      <c r="AU568" s="33" t="str">
        <f t="shared" si="506"/>
        <v>S</v>
      </c>
      <c r="AV568" s="33" t="s">
        <v>300</v>
      </c>
      <c r="AW568" s="28">
        <v>6.0</v>
      </c>
      <c r="AX568" s="26" t="str">
        <f t="shared" si="507"/>
        <v>R</v>
      </c>
      <c r="AY568" s="67">
        <v>15.0</v>
      </c>
      <c r="AZ568" s="37" t="str">
        <f t="shared" si="508"/>
        <v>R</v>
      </c>
      <c r="BA568" s="66">
        <v>27.0</v>
      </c>
      <c r="BB568" s="36" t="str">
        <f t="shared" si="509"/>
        <v>S</v>
      </c>
      <c r="BC568" s="39" t="s">
        <v>357</v>
      </c>
      <c r="BD568" s="39" t="s">
        <v>357</v>
      </c>
      <c r="BE568" s="66">
        <v>21.0</v>
      </c>
      <c r="BF568" s="36" t="str">
        <f t="shared" si="510"/>
        <v>I</v>
      </c>
      <c r="BG568" s="68">
        <v>21.0</v>
      </c>
      <c r="BH568" s="41" t="str">
        <f t="shared" si="511"/>
        <v>S</v>
      </c>
      <c r="BI568" s="41"/>
    </row>
    <row r="569">
      <c r="A569" s="51" t="s">
        <v>1026</v>
      </c>
      <c r="B569" s="51" t="s">
        <v>444</v>
      </c>
      <c r="C569" s="51" t="s">
        <v>2055</v>
      </c>
      <c r="D569" s="69" t="s">
        <v>571</v>
      </c>
      <c r="E569" s="18" t="s">
        <v>572</v>
      </c>
      <c r="F569" s="18" t="s">
        <v>192</v>
      </c>
      <c r="G569" s="63" t="s">
        <v>2056</v>
      </c>
      <c r="H569" s="22" t="s">
        <v>198</v>
      </c>
      <c r="I569" s="28">
        <v>6.0</v>
      </c>
      <c r="J569" s="26" t="str">
        <f t="shared" si="489"/>
        <v>R</v>
      </c>
      <c r="K569" s="28">
        <v>18.0</v>
      </c>
      <c r="L569" s="26" t="str">
        <f t="shared" si="490"/>
        <v>R</v>
      </c>
      <c r="M569" s="28">
        <v>6.0</v>
      </c>
      <c r="N569" s="26" t="str">
        <f t="shared" si="491"/>
        <v>R</v>
      </c>
      <c r="O569" s="28">
        <v>22.0</v>
      </c>
      <c r="P569" s="26" t="str">
        <f t="shared" si="492"/>
        <v>I</v>
      </c>
      <c r="Q569" s="28">
        <v>6.0</v>
      </c>
      <c r="R569" s="26" t="str">
        <f t="shared" si="493"/>
        <v>R</v>
      </c>
      <c r="S569" s="28">
        <v>20.0</v>
      </c>
      <c r="T569" s="26" t="str">
        <f t="shared" si="494"/>
        <v>S</v>
      </c>
      <c r="U569" s="28">
        <v>19.0</v>
      </c>
      <c r="V569" s="26" t="str">
        <f t="shared" si="495"/>
        <v>I</v>
      </c>
      <c r="W569" s="32" t="s">
        <v>299</v>
      </c>
      <c r="X569" s="65">
        <v>6.0</v>
      </c>
      <c r="Y569" s="33" t="str">
        <f t="shared" si="496"/>
        <v>R</v>
      </c>
      <c r="Z569" s="65">
        <v>19.0</v>
      </c>
      <c r="AA569" s="33" t="str">
        <f t="shared" si="497"/>
        <v>S</v>
      </c>
      <c r="AB569" s="65">
        <v>6.0</v>
      </c>
      <c r="AC569" s="33" t="str">
        <f t="shared" si="498"/>
        <v>R</v>
      </c>
      <c r="AD569" s="65">
        <v>21.0</v>
      </c>
      <c r="AE569" s="33" t="str">
        <f t="shared" si="499"/>
        <v>S</v>
      </c>
      <c r="AF569" s="65">
        <v>17.0</v>
      </c>
      <c r="AG569" s="33" t="str">
        <f t="shared" si="500"/>
        <v>R</v>
      </c>
      <c r="AH569" s="65" t="s">
        <v>299</v>
      </c>
      <c r="AI569" s="66">
        <v>6.0</v>
      </c>
      <c r="AJ569" s="36" t="str">
        <f t="shared" si="501"/>
        <v>R</v>
      </c>
      <c r="AK569" s="66">
        <v>6.0</v>
      </c>
      <c r="AL569" s="36" t="str">
        <f t="shared" si="502"/>
        <v>R</v>
      </c>
      <c r="AM569" s="66">
        <v>6.0</v>
      </c>
      <c r="AN569" s="36" t="str">
        <f t="shared" si="503"/>
        <v>R</v>
      </c>
      <c r="AO569" s="66" t="s">
        <v>299</v>
      </c>
      <c r="AP569" s="67">
        <v>6.0</v>
      </c>
      <c r="AQ569" s="37" t="str">
        <f t="shared" si="504"/>
        <v>R</v>
      </c>
      <c r="AR569" s="65">
        <v>20.0</v>
      </c>
      <c r="AS569" s="33" t="str">
        <f t="shared" si="505"/>
        <v>S</v>
      </c>
      <c r="AT569" s="65">
        <v>19.0</v>
      </c>
      <c r="AU569" s="33" t="str">
        <f t="shared" si="506"/>
        <v>S</v>
      </c>
      <c r="AV569" s="33" t="s">
        <v>300</v>
      </c>
      <c r="AW569" s="28">
        <v>6.0</v>
      </c>
      <c r="AX569" s="26" t="str">
        <f t="shared" si="507"/>
        <v>R</v>
      </c>
      <c r="AY569" s="67">
        <v>15.0</v>
      </c>
      <c r="AZ569" s="37" t="str">
        <f t="shared" si="508"/>
        <v>R</v>
      </c>
      <c r="BA569" s="66">
        <v>27.0</v>
      </c>
      <c r="BB569" s="36" t="str">
        <f t="shared" si="509"/>
        <v>S</v>
      </c>
      <c r="BC569" s="39" t="s">
        <v>357</v>
      </c>
      <c r="BD569" s="39" t="s">
        <v>357</v>
      </c>
      <c r="BE569" s="66">
        <v>21.0</v>
      </c>
      <c r="BF569" s="36" t="str">
        <f t="shared" si="510"/>
        <v>I</v>
      </c>
      <c r="BG569" s="68">
        <v>21.0</v>
      </c>
      <c r="BH569" s="41" t="str">
        <f t="shared" si="511"/>
        <v>S</v>
      </c>
      <c r="BI569" s="41"/>
    </row>
    <row r="570">
      <c r="A570" s="21" t="s">
        <v>1029</v>
      </c>
      <c r="B570" s="23">
        <v>244.0</v>
      </c>
      <c r="C570" s="21" t="s">
        <v>1217</v>
      </c>
      <c r="D570" s="69" t="s">
        <v>190</v>
      </c>
      <c r="E570" s="18" t="s">
        <v>190</v>
      </c>
      <c r="F570" s="18" t="s">
        <v>192</v>
      </c>
      <c r="G570" s="63" t="s">
        <v>1218</v>
      </c>
      <c r="H570" s="22" t="s">
        <v>198</v>
      </c>
      <c r="I570" s="28">
        <v>6.0</v>
      </c>
      <c r="J570" s="26" t="str">
        <f t="shared" si="489"/>
        <v>R</v>
      </c>
      <c r="K570" s="28">
        <v>18.0</v>
      </c>
      <c r="L570" s="26" t="str">
        <f t="shared" si="490"/>
        <v>R</v>
      </c>
      <c r="M570" s="28">
        <v>6.0</v>
      </c>
      <c r="N570" s="26" t="str">
        <f t="shared" si="491"/>
        <v>R</v>
      </c>
      <c r="O570" s="28">
        <v>23.0</v>
      </c>
      <c r="P570" s="26" t="str">
        <f t="shared" si="492"/>
        <v>S</v>
      </c>
      <c r="Q570" s="28">
        <v>11.0</v>
      </c>
      <c r="R570" s="26" t="str">
        <f t="shared" si="493"/>
        <v>R</v>
      </c>
      <c r="S570" s="28">
        <v>18.0</v>
      </c>
      <c r="T570" s="26" t="str">
        <f t="shared" si="494"/>
        <v>R</v>
      </c>
      <c r="U570" s="28">
        <v>16.0</v>
      </c>
      <c r="V570" s="26" t="str">
        <f t="shared" si="495"/>
        <v>R</v>
      </c>
      <c r="W570" s="32" t="s">
        <v>299</v>
      </c>
      <c r="X570" s="65">
        <v>6.0</v>
      </c>
      <c r="Y570" s="33" t="str">
        <f t="shared" si="496"/>
        <v>R</v>
      </c>
      <c r="Z570" s="65">
        <v>21.0</v>
      </c>
      <c r="AA570" s="33" t="str">
        <f t="shared" si="497"/>
        <v>S</v>
      </c>
      <c r="AB570" s="65">
        <v>18.0</v>
      </c>
      <c r="AC570" s="33" t="str">
        <f t="shared" si="498"/>
        <v>R</v>
      </c>
      <c r="AD570" s="65">
        <v>16.0</v>
      </c>
      <c r="AE570" s="33" t="str">
        <f t="shared" si="499"/>
        <v>S</v>
      </c>
      <c r="AF570" s="65">
        <v>16.0</v>
      </c>
      <c r="AG570" s="33" t="str">
        <f t="shared" si="500"/>
        <v>R</v>
      </c>
      <c r="AH570" s="65" t="s">
        <v>299</v>
      </c>
      <c r="AI570" s="66">
        <v>21.0</v>
      </c>
      <c r="AJ570" s="36" t="str">
        <f t="shared" si="501"/>
        <v>R</v>
      </c>
      <c r="AK570" s="66">
        <v>20.0</v>
      </c>
      <c r="AL570" s="36" t="str">
        <f t="shared" si="502"/>
        <v>I</v>
      </c>
      <c r="AM570" s="66">
        <v>20.0</v>
      </c>
      <c r="AN570" s="36" t="str">
        <f t="shared" si="503"/>
        <v>S</v>
      </c>
      <c r="AO570" s="66" t="s">
        <v>299</v>
      </c>
      <c r="AP570" s="67">
        <v>18.0</v>
      </c>
      <c r="AQ570" s="37" t="str">
        <f t="shared" si="504"/>
        <v>S</v>
      </c>
      <c r="AR570" s="65">
        <v>14.0</v>
      </c>
      <c r="AS570" s="33" t="str">
        <f t="shared" si="505"/>
        <v>R</v>
      </c>
      <c r="AT570" s="65">
        <v>16.0</v>
      </c>
      <c r="AU570" s="33" t="str">
        <f t="shared" si="506"/>
        <v>S</v>
      </c>
      <c r="AV570" s="65" t="s">
        <v>299</v>
      </c>
      <c r="AW570" s="28">
        <v>16.0</v>
      </c>
      <c r="AX570" s="26" t="str">
        <f t="shared" si="507"/>
        <v>R</v>
      </c>
      <c r="AY570" s="67">
        <v>18.0</v>
      </c>
      <c r="AZ570" s="37" t="str">
        <f t="shared" si="508"/>
        <v>R</v>
      </c>
      <c r="BA570" s="66">
        <v>12.0</v>
      </c>
      <c r="BB570" s="36" t="str">
        <f t="shared" si="509"/>
        <v>R</v>
      </c>
      <c r="BC570" s="39" t="s">
        <v>357</v>
      </c>
      <c r="BD570" s="39" t="s">
        <v>357</v>
      </c>
      <c r="BE570" s="66">
        <v>24.0</v>
      </c>
      <c r="BF570" s="36" t="str">
        <f t="shared" si="510"/>
        <v>S</v>
      </c>
      <c r="BG570" s="68">
        <v>18.0</v>
      </c>
      <c r="BH570" s="41" t="str">
        <f t="shared" si="511"/>
        <v>S</v>
      </c>
      <c r="BI570" s="41"/>
    </row>
    <row r="571">
      <c r="A571" s="21" t="s">
        <v>1029</v>
      </c>
      <c r="B571" s="21" t="s">
        <v>444</v>
      </c>
      <c r="C571" s="21" t="s">
        <v>2057</v>
      </c>
      <c r="D571" s="69" t="s">
        <v>190</v>
      </c>
      <c r="E571" s="18" t="s">
        <v>190</v>
      </c>
      <c r="F571" s="18" t="s">
        <v>192</v>
      </c>
      <c r="G571" s="63" t="s">
        <v>2058</v>
      </c>
      <c r="H571" s="22" t="s">
        <v>198</v>
      </c>
      <c r="I571" s="28">
        <v>6.0</v>
      </c>
      <c r="J571" s="26" t="str">
        <f t="shared" si="489"/>
        <v>R</v>
      </c>
      <c r="K571" s="28">
        <v>16.0</v>
      </c>
      <c r="L571" s="26" t="str">
        <f t="shared" si="490"/>
        <v>R</v>
      </c>
      <c r="M571" s="28">
        <v>6.0</v>
      </c>
      <c r="N571" s="26" t="str">
        <f t="shared" si="491"/>
        <v>R</v>
      </c>
      <c r="O571" s="28">
        <v>23.0</v>
      </c>
      <c r="P571" s="26" t="str">
        <f t="shared" si="492"/>
        <v>S</v>
      </c>
      <c r="Q571" s="28">
        <v>11.0</v>
      </c>
      <c r="R571" s="26" t="str">
        <f t="shared" si="493"/>
        <v>R</v>
      </c>
      <c r="S571" s="28">
        <v>18.0</v>
      </c>
      <c r="T571" s="26" t="str">
        <f t="shared" si="494"/>
        <v>R</v>
      </c>
      <c r="U571" s="28">
        <v>16.0</v>
      </c>
      <c r="V571" s="26" t="str">
        <f t="shared" si="495"/>
        <v>R</v>
      </c>
      <c r="W571" s="32" t="s">
        <v>299</v>
      </c>
      <c r="X571" s="65">
        <v>6.0</v>
      </c>
      <c r="Y571" s="33" t="str">
        <f t="shared" si="496"/>
        <v>R</v>
      </c>
      <c r="Z571" s="65">
        <v>21.0</v>
      </c>
      <c r="AA571" s="33" t="str">
        <f t="shared" si="497"/>
        <v>S</v>
      </c>
      <c r="AB571" s="65">
        <v>16.0</v>
      </c>
      <c r="AC571" s="33" t="str">
        <f t="shared" si="498"/>
        <v>R</v>
      </c>
      <c r="AD571" s="65">
        <v>16.0</v>
      </c>
      <c r="AE571" s="33" t="str">
        <f t="shared" si="499"/>
        <v>S</v>
      </c>
      <c r="AF571" s="65">
        <v>18.0</v>
      </c>
      <c r="AG571" s="33" t="str">
        <f t="shared" si="500"/>
        <v>R</v>
      </c>
      <c r="AH571" s="65" t="s">
        <v>299</v>
      </c>
      <c r="AI571" s="66">
        <v>21.0</v>
      </c>
      <c r="AJ571" s="36" t="str">
        <f t="shared" si="501"/>
        <v>R</v>
      </c>
      <c r="AK571" s="66">
        <v>20.0</v>
      </c>
      <c r="AL571" s="36" t="str">
        <f t="shared" si="502"/>
        <v>I</v>
      </c>
      <c r="AM571" s="66">
        <v>21.0</v>
      </c>
      <c r="AN571" s="36" t="str">
        <f t="shared" si="503"/>
        <v>S</v>
      </c>
      <c r="AO571" s="66" t="s">
        <v>299</v>
      </c>
      <c r="AP571" s="67">
        <v>18.0</v>
      </c>
      <c r="AQ571" s="37" t="str">
        <f t="shared" si="504"/>
        <v>S</v>
      </c>
      <c r="AR571" s="65">
        <v>13.0</v>
      </c>
      <c r="AS571" s="33" t="str">
        <f t="shared" si="505"/>
        <v>R</v>
      </c>
      <c r="AT571" s="65">
        <v>16.0</v>
      </c>
      <c r="AU571" s="33" t="str">
        <f t="shared" si="506"/>
        <v>S</v>
      </c>
      <c r="AV571" s="65" t="s">
        <v>299</v>
      </c>
      <c r="AW571" s="28">
        <v>18.0</v>
      </c>
      <c r="AX571" s="26" t="str">
        <f t="shared" si="507"/>
        <v>R</v>
      </c>
      <c r="AY571" s="67">
        <v>18.0</v>
      </c>
      <c r="AZ571" s="37" t="str">
        <f t="shared" si="508"/>
        <v>R</v>
      </c>
      <c r="BA571" s="66">
        <v>17.0</v>
      </c>
      <c r="BB571" s="36" t="str">
        <f t="shared" si="509"/>
        <v>R</v>
      </c>
      <c r="BC571" s="39" t="s">
        <v>357</v>
      </c>
      <c r="BD571" s="39" t="s">
        <v>357</v>
      </c>
      <c r="BE571" s="66">
        <v>24.0</v>
      </c>
      <c r="BF571" s="36" t="str">
        <f t="shared" si="510"/>
        <v>S</v>
      </c>
      <c r="BG571" s="68">
        <v>18.0</v>
      </c>
      <c r="BH571" s="41" t="str">
        <f t="shared" si="511"/>
        <v>S</v>
      </c>
      <c r="BI571" s="41"/>
    </row>
    <row r="572">
      <c r="A572" s="21" t="s">
        <v>1029</v>
      </c>
      <c r="B572" s="21" t="s">
        <v>444</v>
      </c>
      <c r="C572" s="21" t="s">
        <v>2059</v>
      </c>
      <c r="D572" s="69" t="s">
        <v>190</v>
      </c>
      <c r="E572" s="18" t="s">
        <v>190</v>
      </c>
      <c r="F572" s="18" t="s">
        <v>192</v>
      </c>
      <c r="G572" s="63" t="s">
        <v>2060</v>
      </c>
      <c r="H572" s="22" t="s">
        <v>198</v>
      </c>
      <c r="I572" s="28">
        <v>6.0</v>
      </c>
      <c r="J572" s="26" t="str">
        <f t="shared" si="489"/>
        <v>R</v>
      </c>
      <c r="K572" s="28">
        <v>17.0</v>
      </c>
      <c r="L572" s="26" t="str">
        <f t="shared" si="490"/>
        <v>R</v>
      </c>
      <c r="M572" s="28">
        <v>6.0</v>
      </c>
      <c r="N572" s="26" t="str">
        <f t="shared" si="491"/>
        <v>R</v>
      </c>
      <c r="O572" s="28">
        <v>23.0</v>
      </c>
      <c r="P572" s="26" t="str">
        <f t="shared" si="492"/>
        <v>S</v>
      </c>
      <c r="Q572" s="28">
        <v>11.0</v>
      </c>
      <c r="R572" s="26" t="str">
        <f t="shared" si="493"/>
        <v>R</v>
      </c>
      <c r="S572" s="28">
        <v>18.0</v>
      </c>
      <c r="T572" s="26" t="str">
        <f t="shared" si="494"/>
        <v>R</v>
      </c>
      <c r="U572" s="28">
        <v>16.0</v>
      </c>
      <c r="V572" s="26" t="str">
        <f t="shared" si="495"/>
        <v>R</v>
      </c>
      <c r="W572" s="32" t="s">
        <v>299</v>
      </c>
      <c r="X572" s="65">
        <v>6.0</v>
      </c>
      <c r="Y572" s="33" t="str">
        <f t="shared" si="496"/>
        <v>R</v>
      </c>
      <c r="Z572" s="65">
        <v>23.0</v>
      </c>
      <c r="AA572" s="33" t="str">
        <f t="shared" si="497"/>
        <v>S</v>
      </c>
      <c r="AB572" s="65">
        <v>18.0</v>
      </c>
      <c r="AC572" s="33" t="str">
        <f t="shared" si="498"/>
        <v>R</v>
      </c>
      <c r="AD572" s="65">
        <v>16.0</v>
      </c>
      <c r="AE572" s="33" t="str">
        <f t="shared" si="499"/>
        <v>S</v>
      </c>
      <c r="AF572" s="65">
        <v>18.0</v>
      </c>
      <c r="AG572" s="33" t="str">
        <f t="shared" si="500"/>
        <v>R</v>
      </c>
      <c r="AH572" s="65" t="s">
        <v>299</v>
      </c>
      <c r="AI572" s="66">
        <v>21.0</v>
      </c>
      <c r="AJ572" s="36" t="str">
        <f t="shared" si="501"/>
        <v>R</v>
      </c>
      <c r="AK572" s="66">
        <v>20.0</v>
      </c>
      <c r="AL572" s="36" t="str">
        <f t="shared" si="502"/>
        <v>I</v>
      </c>
      <c r="AM572" s="66">
        <v>20.0</v>
      </c>
      <c r="AN572" s="36" t="str">
        <f t="shared" si="503"/>
        <v>S</v>
      </c>
      <c r="AO572" s="66" t="s">
        <v>299</v>
      </c>
      <c r="AP572" s="67">
        <v>18.0</v>
      </c>
      <c r="AQ572" s="37" t="str">
        <f t="shared" si="504"/>
        <v>S</v>
      </c>
      <c r="AR572" s="65">
        <v>14.0</v>
      </c>
      <c r="AS572" s="33" t="str">
        <f t="shared" si="505"/>
        <v>R</v>
      </c>
      <c r="AT572" s="65">
        <v>16.0</v>
      </c>
      <c r="AU572" s="33" t="str">
        <f t="shared" si="506"/>
        <v>S</v>
      </c>
      <c r="AV572" s="65" t="s">
        <v>299</v>
      </c>
      <c r="AW572" s="28">
        <v>19.0</v>
      </c>
      <c r="AX572" s="26" t="str">
        <f t="shared" si="507"/>
        <v>R</v>
      </c>
      <c r="AY572" s="67">
        <v>18.0</v>
      </c>
      <c r="AZ572" s="37" t="str">
        <f t="shared" si="508"/>
        <v>R</v>
      </c>
      <c r="BA572" s="66">
        <v>15.0</v>
      </c>
      <c r="BB572" s="36" t="str">
        <f t="shared" si="509"/>
        <v>R</v>
      </c>
      <c r="BC572" s="39" t="s">
        <v>357</v>
      </c>
      <c r="BD572" s="39" t="s">
        <v>357</v>
      </c>
      <c r="BE572" s="66">
        <v>24.0</v>
      </c>
      <c r="BF572" s="36" t="str">
        <f t="shared" si="510"/>
        <v>S</v>
      </c>
      <c r="BG572" s="68">
        <v>18.0</v>
      </c>
      <c r="BH572" s="41" t="str">
        <f t="shared" si="511"/>
        <v>S</v>
      </c>
      <c r="BI572" s="41"/>
    </row>
    <row r="573">
      <c r="A573" s="21" t="s">
        <v>1029</v>
      </c>
      <c r="B573" s="23">
        <v>245.0</v>
      </c>
      <c r="C573" s="21" t="s">
        <v>1219</v>
      </c>
      <c r="D573" s="69" t="s">
        <v>190</v>
      </c>
      <c r="E573" s="18" t="s">
        <v>190</v>
      </c>
      <c r="F573" s="18" t="s">
        <v>192</v>
      </c>
      <c r="G573" s="63" t="s">
        <v>1220</v>
      </c>
      <c r="H573" s="22" t="s">
        <v>198</v>
      </c>
      <c r="I573" s="28">
        <v>6.0</v>
      </c>
      <c r="J573" s="26" t="str">
        <f t="shared" si="489"/>
        <v>R</v>
      </c>
      <c r="K573" s="28">
        <v>14.0</v>
      </c>
      <c r="L573" s="26" t="str">
        <f t="shared" si="490"/>
        <v>R</v>
      </c>
      <c r="M573" s="28">
        <v>6.0</v>
      </c>
      <c r="N573" s="26" t="str">
        <f t="shared" si="491"/>
        <v>R</v>
      </c>
      <c r="O573" s="28">
        <v>25.0</v>
      </c>
      <c r="P573" s="26" t="str">
        <f t="shared" si="492"/>
        <v>S</v>
      </c>
      <c r="Q573" s="28">
        <v>11.0</v>
      </c>
      <c r="R573" s="26" t="str">
        <f t="shared" si="493"/>
        <v>R</v>
      </c>
      <c r="S573" s="28">
        <v>17.0</v>
      </c>
      <c r="T573" s="26" t="str">
        <f t="shared" si="494"/>
        <v>R</v>
      </c>
      <c r="U573" s="28">
        <v>21.0</v>
      </c>
      <c r="V573" s="26" t="str">
        <f t="shared" si="495"/>
        <v>S</v>
      </c>
      <c r="W573" s="32" t="s">
        <v>299</v>
      </c>
      <c r="X573" s="65">
        <v>6.0</v>
      </c>
      <c r="Y573" s="33" t="str">
        <f t="shared" si="496"/>
        <v>R</v>
      </c>
      <c r="Z573" s="65">
        <v>17.0</v>
      </c>
      <c r="AA573" s="33" t="str">
        <f t="shared" si="497"/>
        <v>R</v>
      </c>
      <c r="AB573" s="65">
        <v>6.0</v>
      </c>
      <c r="AC573" s="33" t="str">
        <f t="shared" si="498"/>
        <v>R</v>
      </c>
      <c r="AD573" s="65">
        <v>22.0</v>
      </c>
      <c r="AE573" s="33" t="str">
        <f t="shared" si="499"/>
        <v>S</v>
      </c>
      <c r="AF573" s="65">
        <v>6.0</v>
      </c>
      <c r="AG573" s="33" t="str">
        <f t="shared" si="500"/>
        <v>R</v>
      </c>
      <c r="AH573" s="65" t="s">
        <v>299</v>
      </c>
      <c r="AI573" s="66">
        <v>20.0</v>
      </c>
      <c r="AJ573" s="36" t="str">
        <f t="shared" si="501"/>
        <v>R</v>
      </c>
      <c r="AK573" s="66">
        <v>19.0</v>
      </c>
      <c r="AL573" s="36" t="str">
        <f t="shared" si="502"/>
        <v>I</v>
      </c>
      <c r="AM573" s="66">
        <v>16.0</v>
      </c>
      <c r="AN573" s="36" t="str">
        <f t="shared" si="503"/>
        <v>S</v>
      </c>
      <c r="AO573" s="66" t="s">
        <v>299</v>
      </c>
      <c r="AP573" s="67">
        <v>18.0</v>
      </c>
      <c r="AQ573" s="37" t="str">
        <f t="shared" si="504"/>
        <v>S</v>
      </c>
      <c r="AR573" s="65">
        <v>19.0</v>
      </c>
      <c r="AS573" s="33" t="str">
        <f t="shared" si="505"/>
        <v>S</v>
      </c>
      <c r="AT573" s="65">
        <v>16.0</v>
      </c>
      <c r="AU573" s="33" t="str">
        <f t="shared" si="506"/>
        <v>S</v>
      </c>
      <c r="AV573" s="33" t="s">
        <v>300</v>
      </c>
      <c r="AW573" s="28">
        <v>20.0</v>
      </c>
      <c r="AX573" s="26" t="str">
        <f t="shared" si="507"/>
        <v>S</v>
      </c>
      <c r="AY573" s="67">
        <v>6.0</v>
      </c>
      <c r="AZ573" s="37" t="str">
        <f t="shared" si="508"/>
        <v>R</v>
      </c>
      <c r="BA573" s="66">
        <v>25.0</v>
      </c>
      <c r="BB573" s="36" t="str">
        <f t="shared" si="509"/>
        <v>S</v>
      </c>
      <c r="BC573" s="39" t="s">
        <v>357</v>
      </c>
      <c r="BD573" s="39" t="s">
        <v>357</v>
      </c>
      <c r="BE573" s="66">
        <v>26.0</v>
      </c>
      <c r="BF573" s="36" t="str">
        <f t="shared" si="510"/>
        <v>S</v>
      </c>
      <c r="BG573" s="68">
        <v>18.0</v>
      </c>
      <c r="BH573" s="41" t="str">
        <f t="shared" si="511"/>
        <v>S</v>
      </c>
      <c r="BI573" s="41"/>
    </row>
    <row r="574">
      <c r="A574" s="21" t="s">
        <v>1029</v>
      </c>
      <c r="B574" s="21" t="s">
        <v>444</v>
      </c>
      <c r="C574" s="21" t="s">
        <v>2061</v>
      </c>
      <c r="D574" s="69" t="s">
        <v>190</v>
      </c>
      <c r="E574" s="18" t="s">
        <v>190</v>
      </c>
      <c r="F574" s="18" t="s">
        <v>192</v>
      </c>
      <c r="G574" s="63" t="s">
        <v>2062</v>
      </c>
      <c r="H574" s="22" t="s">
        <v>198</v>
      </c>
      <c r="I574" s="28">
        <v>6.0</v>
      </c>
      <c r="J574" s="26" t="str">
        <f t="shared" si="489"/>
        <v>R</v>
      </c>
      <c r="K574" s="28">
        <v>12.0</v>
      </c>
      <c r="L574" s="26" t="str">
        <f t="shared" si="490"/>
        <v>R</v>
      </c>
      <c r="M574" s="28">
        <v>6.0</v>
      </c>
      <c r="N574" s="26" t="str">
        <f t="shared" si="491"/>
        <v>R</v>
      </c>
      <c r="O574" s="28">
        <v>25.0</v>
      </c>
      <c r="P574" s="26" t="str">
        <f t="shared" si="492"/>
        <v>S</v>
      </c>
      <c r="Q574" s="28">
        <v>11.0</v>
      </c>
      <c r="R574" s="26" t="str">
        <f t="shared" si="493"/>
        <v>R</v>
      </c>
      <c r="S574" s="28">
        <v>17.0</v>
      </c>
      <c r="T574" s="26" t="str">
        <f t="shared" si="494"/>
        <v>R</v>
      </c>
      <c r="U574" s="28">
        <v>21.0</v>
      </c>
      <c r="V574" s="26" t="str">
        <f t="shared" si="495"/>
        <v>S</v>
      </c>
      <c r="W574" s="32" t="s">
        <v>299</v>
      </c>
      <c r="X574" s="65">
        <v>6.0</v>
      </c>
      <c r="Y574" s="33" t="str">
        <f t="shared" si="496"/>
        <v>R</v>
      </c>
      <c r="Z574" s="65">
        <v>15.0</v>
      </c>
      <c r="AA574" s="33" t="str">
        <f t="shared" si="497"/>
        <v>R</v>
      </c>
      <c r="AB574" s="65">
        <v>6.0</v>
      </c>
      <c r="AC574" s="33" t="str">
        <f t="shared" si="498"/>
        <v>R</v>
      </c>
      <c r="AD574" s="65">
        <v>22.0</v>
      </c>
      <c r="AE574" s="33" t="str">
        <f t="shared" si="499"/>
        <v>S</v>
      </c>
      <c r="AF574" s="65">
        <v>6.0</v>
      </c>
      <c r="AG574" s="33" t="str">
        <f t="shared" si="500"/>
        <v>R</v>
      </c>
      <c r="AH574" s="65" t="s">
        <v>299</v>
      </c>
      <c r="AI574" s="66">
        <v>20.0</v>
      </c>
      <c r="AJ574" s="36" t="str">
        <f t="shared" si="501"/>
        <v>R</v>
      </c>
      <c r="AK574" s="66">
        <v>19.0</v>
      </c>
      <c r="AL574" s="36" t="str">
        <f t="shared" si="502"/>
        <v>I</v>
      </c>
      <c r="AM574" s="66">
        <v>15.0</v>
      </c>
      <c r="AN574" s="36" t="str">
        <f t="shared" si="503"/>
        <v>S</v>
      </c>
      <c r="AO574" s="66" t="s">
        <v>299</v>
      </c>
      <c r="AP574" s="67">
        <v>18.0</v>
      </c>
      <c r="AQ574" s="37" t="str">
        <f t="shared" si="504"/>
        <v>S</v>
      </c>
      <c r="AR574" s="65">
        <v>18.0</v>
      </c>
      <c r="AS574" s="33" t="str">
        <f t="shared" si="505"/>
        <v>S</v>
      </c>
      <c r="AT574" s="65">
        <v>16.0</v>
      </c>
      <c r="AU574" s="33" t="str">
        <f t="shared" si="506"/>
        <v>S</v>
      </c>
      <c r="AV574" s="33" t="s">
        <v>300</v>
      </c>
      <c r="AW574" s="28">
        <v>22.0</v>
      </c>
      <c r="AX574" s="26" t="str">
        <f t="shared" si="507"/>
        <v>S</v>
      </c>
      <c r="AY574" s="67">
        <v>6.0</v>
      </c>
      <c r="AZ574" s="37" t="str">
        <f t="shared" si="508"/>
        <v>R</v>
      </c>
      <c r="BA574" s="66">
        <v>28.0</v>
      </c>
      <c r="BB574" s="36" t="str">
        <f t="shared" si="509"/>
        <v>S</v>
      </c>
      <c r="BC574" s="39" t="s">
        <v>357</v>
      </c>
      <c r="BD574" s="39" t="s">
        <v>357</v>
      </c>
      <c r="BE574" s="66">
        <v>26.0</v>
      </c>
      <c r="BF574" s="36" t="str">
        <f t="shared" si="510"/>
        <v>S</v>
      </c>
      <c r="BG574" s="68">
        <v>18.0</v>
      </c>
      <c r="BH574" s="41" t="str">
        <f t="shared" si="511"/>
        <v>S</v>
      </c>
      <c r="BI574" s="41"/>
    </row>
    <row r="575">
      <c r="A575" s="21" t="s">
        <v>1029</v>
      </c>
      <c r="B575" s="21" t="s">
        <v>444</v>
      </c>
      <c r="C575" s="21" t="s">
        <v>2063</v>
      </c>
      <c r="D575" s="69" t="s">
        <v>190</v>
      </c>
      <c r="E575" s="18" t="s">
        <v>190</v>
      </c>
      <c r="F575" s="18" t="s">
        <v>192</v>
      </c>
      <c r="G575" s="63" t="s">
        <v>2064</v>
      </c>
      <c r="H575" s="22" t="s">
        <v>198</v>
      </c>
      <c r="I575" s="28">
        <v>6.0</v>
      </c>
      <c r="J575" s="26" t="str">
        <f t="shared" si="489"/>
        <v>R</v>
      </c>
      <c r="K575" s="28">
        <v>11.0</v>
      </c>
      <c r="L575" s="26" t="str">
        <f t="shared" si="490"/>
        <v>R</v>
      </c>
      <c r="M575" s="28">
        <v>6.0</v>
      </c>
      <c r="N575" s="26" t="str">
        <f t="shared" si="491"/>
        <v>R</v>
      </c>
      <c r="O575" s="28">
        <v>25.0</v>
      </c>
      <c r="P575" s="26" t="str">
        <f t="shared" si="492"/>
        <v>S</v>
      </c>
      <c r="Q575" s="28">
        <v>11.0</v>
      </c>
      <c r="R575" s="26" t="str">
        <f t="shared" si="493"/>
        <v>R</v>
      </c>
      <c r="S575" s="28">
        <v>17.0</v>
      </c>
      <c r="T575" s="26" t="str">
        <f t="shared" si="494"/>
        <v>R</v>
      </c>
      <c r="U575" s="28">
        <v>21.0</v>
      </c>
      <c r="V575" s="26" t="str">
        <f t="shared" si="495"/>
        <v>S</v>
      </c>
      <c r="W575" s="32" t="s">
        <v>299</v>
      </c>
      <c r="X575" s="65">
        <v>6.0</v>
      </c>
      <c r="Y575" s="33" t="str">
        <f t="shared" si="496"/>
        <v>R</v>
      </c>
      <c r="Z575" s="65">
        <v>17.0</v>
      </c>
      <c r="AA575" s="33" t="str">
        <f t="shared" si="497"/>
        <v>R</v>
      </c>
      <c r="AB575" s="65">
        <v>6.0</v>
      </c>
      <c r="AC575" s="33" t="str">
        <f t="shared" si="498"/>
        <v>R</v>
      </c>
      <c r="AD575" s="65">
        <v>22.0</v>
      </c>
      <c r="AE575" s="33" t="str">
        <f t="shared" si="499"/>
        <v>S</v>
      </c>
      <c r="AF575" s="65">
        <v>6.0</v>
      </c>
      <c r="AG575" s="33" t="str">
        <f t="shared" si="500"/>
        <v>R</v>
      </c>
      <c r="AH575" s="65" t="s">
        <v>299</v>
      </c>
      <c r="AI575" s="66">
        <v>20.0</v>
      </c>
      <c r="AJ575" s="36" t="str">
        <f t="shared" si="501"/>
        <v>R</v>
      </c>
      <c r="AK575" s="66">
        <v>19.0</v>
      </c>
      <c r="AL575" s="36" t="str">
        <f t="shared" si="502"/>
        <v>I</v>
      </c>
      <c r="AM575" s="66">
        <v>16.0</v>
      </c>
      <c r="AN575" s="36" t="str">
        <f t="shared" si="503"/>
        <v>S</v>
      </c>
      <c r="AO575" s="66" t="s">
        <v>299</v>
      </c>
      <c r="AP575" s="67">
        <v>18.0</v>
      </c>
      <c r="AQ575" s="37" t="str">
        <f t="shared" si="504"/>
        <v>S</v>
      </c>
      <c r="AR575" s="65">
        <v>18.0</v>
      </c>
      <c r="AS575" s="33" t="str">
        <f t="shared" si="505"/>
        <v>S</v>
      </c>
      <c r="AT575" s="65">
        <v>16.0</v>
      </c>
      <c r="AU575" s="33" t="str">
        <f t="shared" si="506"/>
        <v>S</v>
      </c>
      <c r="AV575" s="33" t="s">
        <v>300</v>
      </c>
      <c r="AW575" s="28">
        <v>20.0</v>
      </c>
      <c r="AX575" s="26" t="str">
        <f t="shared" si="507"/>
        <v>S</v>
      </c>
      <c r="AY575" s="67">
        <v>6.0</v>
      </c>
      <c r="AZ575" s="37" t="str">
        <f t="shared" si="508"/>
        <v>R</v>
      </c>
      <c r="BA575" s="66">
        <v>25.0</v>
      </c>
      <c r="BB575" s="36" t="str">
        <f t="shared" si="509"/>
        <v>S</v>
      </c>
      <c r="BC575" s="39" t="s">
        <v>357</v>
      </c>
      <c r="BD575" s="39" t="s">
        <v>357</v>
      </c>
      <c r="BE575" s="66">
        <v>26.0</v>
      </c>
      <c r="BF575" s="36" t="str">
        <f t="shared" si="510"/>
        <v>S</v>
      </c>
      <c r="BG575" s="68">
        <v>18.0</v>
      </c>
      <c r="BH575" s="41" t="str">
        <f t="shared" si="511"/>
        <v>S</v>
      </c>
      <c r="BI575" s="41"/>
    </row>
    <row r="576">
      <c r="A576" s="21" t="s">
        <v>1029</v>
      </c>
      <c r="B576" s="23">
        <v>246.0</v>
      </c>
      <c r="C576" s="21" t="s">
        <v>1221</v>
      </c>
      <c r="D576" s="69" t="s">
        <v>571</v>
      </c>
      <c r="E576" s="18" t="s">
        <v>572</v>
      </c>
      <c r="F576" s="18" t="s">
        <v>192</v>
      </c>
      <c r="G576" s="63" t="s">
        <v>1222</v>
      </c>
      <c r="H576" s="52" t="s">
        <v>581</v>
      </c>
      <c r="I576" s="28">
        <v>6.0</v>
      </c>
      <c r="J576" s="26" t="str">
        <f t="shared" si="489"/>
        <v>R</v>
      </c>
      <c r="K576" s="28">
        <v>9.0</v>
      </c>
      <c r="L576" s="26" t="str">
        <f t="shared" si="490"/>
        <v>R</v>
      </c>
      <c r="M576" s="28">
        <v>6.0</v>
      </c>
      <c r="N576" s="26" t="str">
        <f t="shared" si="491"/>
        <v>R</v>
      </c>
      <c r="O576" s="28">
        <v>29.0</v>
      </c>
      <c r="P576" s="26" t="str">
        <f t="shared" si="492"/>
        <v>S</v>
      </c>
      <c r="Q576" s="28">
        <v>14.0</v>
      </c>
      <c r="R576" s="26" t="str">
        <f t="shared" si="493"/>
        <v>R</v>
      </c>
      <c r="S576" s="28">
        <v>13.0</v>
      </c>
      <c r="T576" s="26" t="str">
        <f t="shared" si="494"/>
        <v>R</v>
      </c>
      <c r="U576" s="28">
        <v>19.0</v>
      </c>
      <c r="V576" s="26" t="str">
        <f t="shared" si="495"/>
        <v>I</v>
      </c>
      <c r="W576" s="32" t="s">
        <v>299</v>
      </c>
      <c r="X576" s="65">
        <v>6.0</v>
      </c>
      <c r="Y576" s="33" t="str">
        <f t="shared" si="496"/>
        <v>R</v>
      </c>
      <c r="Z576" s="65">
        <v>16.0</v>
      </c>
      <c r="AA576" s="33" t="str">
        <f t="shared" si="497"/>
        <v>R</v>
      </c>
      <c r="AB576" s="65">
        <v>6.0</v>
      </c>
      <c r="AC576" s="33" t="str">
        <f t="shared" si="498"/>
        <v>R</v>
      </c>
      <c r="AD576" s="65">
        <v>12.0</v>
      </c>
      <c r="AE576" s="33" t="str">
        <f t="shared" si="499"/>
        <v>R</v>
      </c>
      <c r="AF576" s="65">
        <v>13.0</v>
      </c>
      <c r="AG576" s="33" t="str">
        <f t="shared" si="500"/>
        <v>R</v>
      </c>
      <c r="AH576" s="65" t="s">
        <v>299</v>
      </c>
      <c r="AI576" s="66">
        <v>23.0</v>
      </c>
      <c r="AJ576" s="36" t="str">
        <f t="shared" si="501"/>
        <v>I</v>
      </c>
      <c r="AK576" s="66">
        <v>21.0</v>
      </c>
      <c r="AL576" s="36" t="str">
        <f t="shared" si="502"/>
        <v>I</v>
      </c>
      <c r="AM576" s="66">
        <v>20.0</v>
      </c>
      <c r="AN576" s="36" t="str">
        <f t="shared" si="503"/>
        <v>S</v>
      </c>
      <c r="AO576" s="66" t="s">
        <v>299</v>
      </c>
      <c r="AP576" s="67">
        <v>24.0</v>
      </c>
      <c r="AQ576" s="37" t="str">
        <f t="shared" si="504"/>
        <v>S</v>
      </c>
      <c r="AR576" s="65">
        <v>16.0</v>
      </c>
      <c r="AS576" s="33" t="str">
        <f t="shared" si="505"/>
        <v>R</v>
      </c>
      <c r="AT576" s="65">
        <v>18.0</v>
      </c>
      <c r="AU576" s="33" t="str">
        <f t="shared" si="506"/>
        <v>S</v>
      </c>
      <c r="AV576" s="65" t="s">
        <v>299</v>
      </c>
      <c r="AW576" s="28">
        <v>18.0</v>
      </c>
      <c r="AX576" s="26" t="str">
        <f t="shared" si="507"/>
        <v>R</v>
      </c>
      <c r="AY576" s="67">
        <v>6.0</v>
      </c>
      <c r="AZ576" s="37" t="str">
        <f t="shared" si="508"/>
        <v>R</v>
      </c>
      <c r="BA576" s="66">
        <v>26.0</v>
      </c>
      <c r="BB576" s="36" t="str">
        <f t="shared" si="509"/>
        <v>S</v>
      </c>
      <c r="BC576" s="39" t="s">
        <v>357</v>
      </c>
      <c r="BD576" s="39" t="s">
        <v>357</v>
      </c>
      <c r="BE576" s="66">
        <v>14.0</v>
      </c>
      <c r="BF576" s="36" t="str">
        <f t="shared" si="510"/>
        <v>R</v>
      </c>
      <c r="BG576" s="68">
        <v>16.0</v>
      </c>
      <c r="BH576" s="41" t="str">
        <f t="shared" si="511"/>
        <v>R</v>
      </c>
      <c r="BI576" s="41"/>
    </row>
    <row r="577">
      <c r="A577" s="21" t="s">
        <v>1029</v>
      </c>
      <c r="B577" s="21" t="s">
        <v>444</v>
      </c>
      <c r="C577" s="21" t="s">
        <v>2065</v>
      </c>
      <c r="D577" s="69" t="s">
        <v>571</v>
      </c>
      <c r="E577" s="18" t="s">
        <v>572</v>
      </c>
      <c r="F577" s="18" t="s">
        <v>192</v>
      </c>
      <c r="G577" s="63" t="s">
        <v>2066</v>
      </c>
      <c r="H577" s="52" t="s">
        <v>581</v>
      </c>
      <c r="I577" s="28">
        <v>6.0</v>
      </c>
      <c r="J577" s="26" t="str">
        <f t="shared" si="489"/>
        <v>R</v>
      </c>
      <c r="K577" s="28">
        <v>12.0</v>
      </c>
      <c r="L577" s="26" t="str">
        <f t="shared" si="490"/>
        <v>R</v>
      </c>
      <c r="M577" s="28">
        <v>6.0</v>
      </c>
      <c r="N577" s="26" t="str">
        <f t="shared" si="491"/>
        <v>R</v>
      </c>
      <c r="O577" s="28">
        <v>29.0</v>
      </c>
      <c r="P577" s="26" t="str">
        <f t="shared" si="492"/>
        <v>S</v>
      </c>
      <c r="Q577" s="28">
        <v>14.0</v>
      </c>
      <c r="R577" s="26" t="str">
        <f t="shared" si="493"/>
        <v>R</v>
      </c>
      <c r="S577" s="28">
        <v>13.0</v>
      </c>
      <c r="T577" s="26" t="str">
        <f t="shared" si="494"/>
        <v>R</v>
      </c>
      <c r="U577" s="28">
        <v>19.0</v>
      </c>
      <c r="V577" s="26" t="str">
        <f t="shared" si="495"/>
        <v>I</v>
      </c>
      <c r="W577" s="32" t="s">
        <v>299</v>
      </c>
      <c r="X577" s="65">
        <v>6.0</v>
      </c>
      <c r="Y577" s="33" t="str">
        <f t="shared" si="496"/>
        <v>R</v>
      </c>
      <c r="Z577" s="65">
        <v>15.0</v>
      </c>
      <c r="AA577" s="33" t="str">
        <f t="shared" si="497"/>
        <v>R</v>
      </c>
      <c r="AB577" s="65">
        <v>6.0</v>
      </c>
      <c r="AC577" s="33" t="str">
        <f t="shared" si="498"/>
        <v>R</v>
      </c>
      <c r="AD577" s="65">
        <v>12.0</v>
      </c>
      <c r="AE577" s="33" t="str">
        <f t="shared" si="499"/>
        <v>R</v>
      </c>
      <c r="AF577" s="65">
        <v>12.0</v>
      </c>
      <c r="AG577" s="33" t="str">
        <f t="shared" si="500"/>
        <v>R</v>
      </c>
      <c r="AH577" s="65" t="s">
        <v>299</v>
      </c>
      <c r="AI577" s="66">
        <v>23.0</v>
      </c>
      <c r="AJ577" s="36" t="str">
        <f t="shared" si="501"/>
        <v>I</v>
      </c>
      <c r="AK577" s="66">
        <v>21.0</v>
      </c>
      <c r="AL577" s="36" t="str">
        <f t="shared" si="502"/>
        <v>I</v>
      </c>
      <c r="AM577" s="66">
        <v>22.0</v>
      </c>
      <c r="AN577" s="36" t="str">
        <f t="shared" si="503"/>
        <v>S</v>
      </c>
      <c r="AO577" s="66" t="s">
        <v>299</v>
      </c>
      <c r="AP577" s="67">
        <v>24.0</v>
      </c>
      <c r="AQ577" s="37" t="str">
        <f t="shared" si="504"/>
        <v>S</v>
      </c>
      <c r="AR577" s="65">
        <v>14.0</v>
      </c>
      <c r="AS577" s="33" t="str">
        <f t="shared" si="505"/>
        <v>R</v>
      </c>
      <c r="AT577" s="65">
        <v>18.0</v>
      </c>
      <c r="AU577" s="33" t="str">
        <f t="shared" si="506"/>
        <v>S</v>
      </c>
      <c r="AV577" s="65" t="s">
        <v>299</v>
      </c>
      <c r="AW577" s="28">
        <v>16.0</v>
      </c>
      <c r="AX577" s="26" t="str">
        <f t="shared" si="507"/>
        <v>R</v>
      </c>
      <c r="AY577" s="67">
        <v>6.0</v>
      </c>
      <c r="AZ577" s="37" t="str">
        <f t="shared" si="508"/>
        <v>R</v>
      </c>
      <c r="BA577" s="66">
        <v>25.0</v>
      </c>
      <c r="BB577" s="36" t="str">
        <f t="shared" si="509"/>
        <v>S</v>
      </c>
      <c r="BC577" s="39" t="s">
        <v>357</v>
      </c>
      <c r="BD577" s="39" t="s">
        <v>357</v>
      </c>
      <c r="BE577" s="66">
        <v>14.0</v>
      </c>
      <c r="BF577" s="36" t="str">
        <f t="shared" si="510"/>
        <v>R</v>
      </c>
      <c r="BG577" s="68">
        <v>16.0</v>
      </c>
      <c r="BH577" s="41" t="str">
        <f t="shared" si="511"/>
        <v>R</v>
      </c>
      <c r="BI577" s="41"/>
    </row>
    <row r="578">
      <c r="A578" s="21" t="s">
        <v>1029</v>
      </c>
      <c r="B578" s="21" t="s">
        <v>444</v>
      </c>
      <c r="C578" s="21" t="s">
        <v>2067</v>
      </c>
      <c r="D578" s="69" t="s">
        <v>571</v>
      </c>
      <c r="E578" s="18" t="s">
        <v>572</v>
      </c>
      <c r="F578" s="18" t="s">
        <v>192</v>
      </c>
      <c r="G578" s="63" t="s">
        <v>2068</v>
      </c>
      <c r="H578" s="52" t="s">
        <v>581</v>
      </c>
      <c r="I578" s="28">
        <v>6.0</v>
      </c>
      <c r="J578" s="26" t="str">
        <f t="shared" si="489"/>
        <v>R</v>
      </c>
      <c r="K578" s="28">
        <v>11.0</v>
      </c>
      <c r="L578" s="26" t="str">
        <f t="shared" si="490"/>
        <v>R</v>
      </c>
      <c r="M578" s="28">
        <v>6.0</v>
      </c>
      <c r="N578" s="26" t="str">
        <f t="shared" si="491"/>
        <v>R</v>
      </c>
      <c r="O578" s="28">
        <v>29.0</v>
      </c>
      <c r="P578" s="26" t="str">
        <f t="shared" si="492"/>
        <v>S</v>
      </c>
      <c r="Q578" s="28">
        <v>14.0</v>
      </c>
      <c r="R578" s="26" t="str">
        <f t="shared" si="493"/>
        <v>R</v>
      </c>
      <c r="S578" s="28">
        <v>13.0</v>
      </c>
      <c r="T578" s="26" t="str">
        <f t="shared" si="494"/>
        <v>R</v>
      </c>
      <c r="U578" s="28">
        <v>19.0</v>
      </c>
      <c r="V578" s="26" t="str">
        <f t="shared" si="495"/>
        <v>I</v>
      </c>
      <c r="W578" s="32" t="s">
        <v>299</v>
      </c>
      <c r="X578" s="65">
        <v>6.0</v>
      </c>
      <c r="Y578" s="33" t="str">
        <f t="shared" si="496"/>
        <v>R</v>
      </c>
      <c r="Z578" s="65">
        <v>16.0</v>
      </c>
      <c r="AA578" s="33" t="str">
        <f t="shared" si="497"/>
        <v>R</v>
      </c>
      <c r="AB578" s="65">
        <v>6.0</v>
      </c>
      <c r="AC578" s="33" t="str">
        <f t="shared" si="498"/>
        <v>R</v>
      </c>
      <c r="AD578" s="65">
        <v>12.0</v>
      </c>
      <c r="AE578" s="33" t="str">
        <f t="shared" si="499"/>
        <v>R</v>
      </c>
      <c r="AF578" s="65">
        <v>13.0</v>
      </c>
      <c r="AG578" s="33" t="str">
        <f t="shared" si="500"/>
        <v>R</v>
      </c>
      <c r="AH578" s="65" t="s">
        <v>299</v>
      </c>
      <c r="AI578" s="66">
        <v>23.0</v>
      </c>
      <c r="AJ578" s="36" t="str">
        <f t="shared" si="501"/>
        <v>I</v>
      </c>
      <c r="AK578" s="66">
        <v>21.0</v>
      </c>
      <c r="AL578" s="36" t="str">
        <f t="shared" si="502"/>
        <v>I</v>
      </c>
      <c r="AM578" s="66">
        <v>20.0</v>
      </c>
      <c r="AN578" s="36" t="str">
        <f t="shared" si="503"/>
        <v>S</v>
      </c>
      <c r="AO578" s="66" t="s">
        <v>299</v>
      </c>
      <c r="AP578" s="67">
        <v>24.0</v>
      </c>
      <c r="AQ578" s="37" t="str">
        <f t="shared" si="504"/>
        <v>S</v>
      </c>
      <c r="AR578" s="65">
        <v>15.0</v>
      </c>
      <c r="AS578" s="33" t="str">
        <f t="shared" si="505"/>
        <v>R</v>
      </c>
      <c r="AT578" s="65">
        <v>18.0</v>
      </c>
      <c r="AU578" s="33" t="str">
        <f t="shared" si="506"/>
        <v>S</v>
      </c>
      <c r="AV578" s="65" t="s">
        <v>299</v>
      </c>
      <c r="AW578" s="28">
        <v>17.0</v>
      </c>
      <c r="AX578" s="26" t="str">
        <f t="shared" si="507"/>
        <v>R</v>
      </c>
      <c r="AY578" s="67">
        <v>6.0</v>
      </c>
      <c r="AZ578" s="37" t="str">
        <f t="shared" si="508"/>
        <v>R</v>
      </c>
      <c r="BA578" s="66">
        <v>25.0</v>
      </c>
      <c r="BB578" s="36" t="str">
        <f t="shared" si="509"/>
        <v>S</v>
      </c>
      <c r="BC578" s="39" t="s">
        <v>357</v>
      </c>
      <c r="BD578" s="39" t="s">
        <v>357</v>
      </c>
      <c r="BE578" s="66">
        <v>14.0</v>
      </c>
      <c r="BF578" s="36" t="str">
        <f t="shared" si="510"/>
        <v>R</v>
      </c>
      <c r="BG578" s="68">
        <v>16.0</v>
      </c>
      <c r="BH578" s="41" t="str">
        <f t="shared" si="511"/>
        <v>R</v>
      </c>
      <c r="BI578" s="41"/>
    </row>
    <row r="579">
      <c r="A579" s="21" t="s">
        <v>1029</v>
      </c>
      <c r="B579" s="23">
        <v>247.0</v>
      </c>
      <c r="C579" s="21" t="s">
        <v>1223</v>
      </c>
      <c r="D579" s="69" t="s">
        <v>571</v>
      </c>
      <c r="E579" s="18" t="s">
        <v>572</v>
      </c>
      <c r="F579" s="18" t="s">
        <v>192</v>
      </c>
      <c r="G579" s="63" t="s">
        <v>1224</v>
      </c>
      <c r="H579" s="52" t="s">
        <v>581</v>
      </c>
      <c r="I579" s="28">
        <v>6.0</v>
      </c>
      <c r="J579" s="26" t="str">
        <f t="shared" si="489"/>
        <v>R</v>
      </c>
      <c r="K579" s="28">
        <v>16.0</v>
      </c>
      <c r="L579" s="26" t="str">
        <f t="shared" si="490"/>
        <v>R</v>
      </c>
      <c r="M579" s="28">
        <v>20.0</v>
      </c>
      <c r="N579" s="26" t="str">
        <f t="shared" si="491"/>
        <v>R</v>
      </c>
      <c r="O579" s="28">
        <v>21.0</v>
      </c>
      <c r="P579" s="26" t="str">
        <f t="shared" si="492"/>
        <v>I</v>
      </c>
      <c r="Q579" s="28">
        <v>15.0</v>
      </c>
      <c r="R579" s="26" t="str">
        <f t="shared" si="493"/>
        <v>R</v>
      </c>
      <c r="S579" s="28">
        <v>18.0</v>
      </c>
      <c r="T579" s="26" t="str">
        <f t="shared" si="494"/>
        <v>R</v>
      </c>
      <c r="U579" s="28">
        <v>15.0</v>
      </c>
      <c r="V579" s="26" t="str">
        <f t="shared" si="495"/>
        <v>R</v>
      </c>
      <c r="W579" s="32" t="s">
        <v>299</v>
      </c>
      <c r="X579" s="65">
        <v>6.0</v>
      </c>
      <c r="Y579" s="33" t="str">
        <f t="shared" si="496"/>
        <v>R</v>
      </c>
      <c r="Z579" s="65">
        <v>22.0</v>
      </c>
      <c r="AA579" s="33" t="str">
        <f t="shared" si="497"/>
        <v>S</v>
      </c>
      <c r="AB579" s="65">
        <v>18.0</v>
      </c>
      <c r="AC579" s="33" t="str">
        <f t="shared" si="498"/>
        <v>R</v>
      </c>
      <c r="AD579" s="65">
        <v>25.0</v>
      </c>
      <c r="AE579" s="33" t="str">
        <f t="shared" si="499"/>
        <v>S</v>
      </c>
      <c r="AF579" s="65">
        <v>18.0</v>
      </c>
      <c r="AG579" s="33" t="str">
        <f t="shared" si="500"/>
        <v>R</v>
      </c>
      <c r="AH579" s="65" t="s">
        <v>299</v>
      </c>
      <c r="AI579" s="66">
        <v>20.0</v>
      </c>
      <c r="AJ579" s="36" t="str">
        <f t="shared" si="501"/>
        <v>R</v>
      </c>
      <c r="AK579" s="66">
        <v>22.0</v>
      </c>
      <c r="AL579" s="36" t="str">
        <f t="shared" si="502"/>
        <v>I</v>
      </c>
      <c r="AM579" s="66">
        <v>16.0</v>
      </c>
      <c r="AN579" s="36" t="str">
        <f t="shared" si="503"/>
        <v>S</v>
      </c>
      <c r="AO579" s="66" t="s">
        <v>299</v>
      </c>
      <c r="AP579" s="67">
        <v>18.0</v>
      </c>
      <c r="AQ579" s="37" t="str">
        <f t="shared" si="504"/>
        <v>S</v>
      </c>
      <c r="AR579" s="65">
        <v>16.0</v>
      </c>
      <c r="AS579" s="33" t="str">
        <f t="shared" si="505"/>
        <v>R</v>
      </c>
      <c r="AT579" s="65">
        <v>21.0</v>
      </c>
      <c r="AU579" s="33" t="str">
        <f t="shared" si="506"/>
        <v>S</v>
      </c>
      <c r="AV579" s="65" t="s">
        <v>299</v>
      </c>
      <c r="AW579" s="28">
        <v>21.0</v>
      </c>
      <c r="AX579" s="26" t="str">
        <f t="shared" si="507"/>
        <v>S</v>
      </c>
      <c r="AY579" s="67">
        <v>6.0</v>
      </c>
      <c r="AZ579" s="37" t="str">
        <f t="shared" si="508"/>
        <v>R</v>
      </c>
      <c r="BA579" s="66">
        <v>18.0</v>
      </c>
      <c r="BB579" s="36" t="str">
        <f t="shared" si="509"/>
        <v>R</v>
      </c>
      <c r="BC579" s="39" t="s">
        <v>357</v>
      </c>
      <c r="BD579" s="39" t="s">
        <v>357</v>
      </c>
      <c r="BE579" s="66">
        <v>30.0</v>
      </c>
      <c r="BF579" s="36" t="str">
        <f t="shared" si="510"/>
        <v>S</v>
      </c>
      <c r="BG579" s="68">
        <v>21.0</v>
      </c>
      <c r="BH579" s="41" t="str">
        <f t="shared" si="511"/>
        <v>S</v>
      </c>
      <c r="BI579" s="41"/>
    </row>
    <row r="580">
      <c r="A580" s="21" t="s">
        <v>1029</v>
      </c>
      <c r="B580" s="21" t="s">
        <v>444</v>
      </c>
      <c r="C580" s="21" t="s">
        <v>2069</v>
      </c>
      <c r="D580" s="69" t="s">
        <v>571</v>
      </c>
      <c r="E580" s="18" t="s">
        <v>572</v>
      </c>
      <c r="F580" s="18" t="s">
        <v>192</v>
      </c>
      <c r="G580" s="63" t="s">
        <v>2070</v>
      </c>
      <c r="H580" s="52" t="s">
        <v>581</v>
      </c>
      <c r="I580" s="28">
        <v>6.0</v>
      </c>
      <c r="J580" s="26" t="str">
        <f t="shared" si="489"/>
        <v>R</v>
      </c>
      <c r="K580" s="28">
        <v>17.0</v>
      </c>
      <c r="L580" s="26" t="str">
        <f t="shared" si="490"/>
        <v>R</v>
      </c>
      <c r="M580" s="28">
        <v>20.0</v>
      </c>
      <c r="N580" s="26" t="str">
        <f t="shared" si="491"/>
        <v>R</v>
      </c>
      <c r="O580" s="28">
        <v>21.0</v>
      </c>
      <c r="P580" s="26" t="str">
        <f t="shared" si="492"/>
        <v>I</v>
      </c>
      <c r="Q580" s="28">
        <v>15.0</v>
      </c>
      <c r="R580" s="26" t="str">
        <f t="shared" si="493"/>
        <v>R</v>
      </c>
      <c r="S580" s="28">
        <v>18.0</v>
      </c>
      <c r="T580" s="26" t="str">
        <f t="shared" si="494"/>
        <v>R</v>
      </c>
      <c r="U580" s="28">
        <v>15.0</v>
      </c>
      <c r="V580" s="26" t="str">
        <f t="shared" si="495"/>
        <v>R</v>
      </c>
      <c r="W580" s="32" t="s">
        <v>299</v>
      </c>
      <c r="X580" s="65">
        <v>6.0</v>
      </c>
      <c r="Y580" s="33" t="str">
        <f t="shared" si="496"/>
        <v>R</v>
      </c>
      <c r="Z580" s="65">
        <v>25.0</v>
      </c>
      <c r="AA580" s="33" t="str">
        <f t="shared" si="497"/>
        <v>S</v>
      </c>
      <c r="AB580" s="65">
        <v>18.0</v>
      </c>
      <c r="AC580" s="33" t="str">
        <f t="shared" si="498"/>
        <v>R</v>
      </c>
      <c r="AD580" s="65">
        <v>25.0</v>
      </c>
      <c r="AE580" s="33" t="str">
        <f t="shared" si="499"/>
        <v>S</v>
      </c>
      <c r="AF580" s="65">
        <v>15.0</v>
      </c>
      <c r="AG580" s="33" t="str">
        <f t="shared" si="500"/>
        <v>R</v>
      </c>
      <c r="AH580" s="65" t="s">
        <v>299</v>
      </c>
      <c r="AI580" s="66">
        <v>20.0</v>
      </c>
      <c r="AJ580" s="36" t="str">
        <f t="shared" si="501"/>
        <v>R</v>
      </c>
      <c r="AK580" s="66">
        <v>22.0</v>
      </c>
      <c r="AL580" s="36" t="str">
        <f t="shared" si="502"/>
        <v>I</v>
      </c>
      <c r="AM580" s="66">
        <v>14.0</v>
      </c>
      <c r="AN580" s="36" t="str">
        <f t="shared" si="503"/>
        <v>S</v>
      </c>
      <c r="AO580" s="66" t="s">
        <v>299</v>
      </c>
      <c r="AP580" s="67">
        <v>18.0</v>
      </c>
      <c r="AQ580" s="37" t="str">
        <f t="shared" si="504"/>
        <v>S</v>
      </c>
      <c r="AR580" s="65">
        <v>15.0</v>
      </c>
      <c r="AS580" s="33" t="str">
        <f t="shared" si="505"/>
        <v>R</v>
      </c>
      <c r="AT580" s="65">
        <v>21.0</v>
      </c>
      <c r="AU580" s="33" t="str">
        <f t="shared" si="506"/>
        <v>S</v>
      </c>
      <c r="AV580" s="65" t="s">
        <v>299</v>
      </c>
      <c r="AW580" s="28">
        <v>23.0</v>
      </c>
      <c r="AX580" s="26" t="str">
        <f t="shared" si="507"/>
        <v>S</v>
      </c>
      <c r="AY580" s="67">
        <v>6.0</v>
      </c>
      <c r="AZ580" s="37" t="str">
        <f t="shared" si="508"/>
        <v>R</v>
      </c>
      <c r="BA580" s="66">
        <v>17.0</v>
      </c>
      <c r="BB580" s="36" t="str">
        <f t="shared" si="509"/>
        <v>R</v>
      </c>
      <c r="BC580" s="39" t="s">
        <v>357</v>
      </c>
      <c r="BD580" s="39" t="s">
        <v>357</v>
      </c>
      <c r="BE580" s="66">
        <v>30.0</v>
      </c>
      <c r="BF580" s="36" t="str">
        <f t="shared" si="510"/>
        <v>S</v>
      </c>
      <c r="BG580" s="68">
        <v>21.0</v>
      </c>
      <c r="BH580" s="41" t="str">
        <f t="shared" si="511"/>
        <v>S</v>
      </c>
      <c r="BI580" s="41"/>
    </row>
    <row r="581">
      <c r="A581" s="21" t="s">
        <v>1029</v>
      </c>
      <c r="B581" s="21" t="s">
        <v>444</v>
      </c>
      <c r="C581" s="21" t="s">
        <v>2071</v>
      </c>
      <c r="D581" s="69" t="s">
        <v>571</v>
      </c>
      <c r="E581" s="18" t="s">
        <v>572</v>
      </c>
      <c r="F581" s="18" t="s">
        <v>192</v>
      </c>
      <c r="G581" s="63" t="s">
        <v>2072</v>
      </c>
      <c r="H581" s="52" t="s">
        <v>581</v>
      </c>
      <c r="I581" s="28">
        <v>6.0</v>
      </c>
      <c r="J581" s="26" t="str">
        <f t="shared" si="489"/>
        <v>R</v>
      </c>
      <c r="K581" s="28">
        <v>18.0</v>
      </c>
      <c r="L581" s="26" t="str">
        <f t="shared" si="490"/>
        <v>R</v>
      </c>
      <c r="M581" s="28">
        <v>20.0</v>
      </c>
      <c r="N581" s="26" t="str">
        <f t="shared" si="491"/>
        <v>R</v>
      </c>
      <c r="O581" s="28">
        <v>21.0</v>
      </c>
      <c r="P581" s="26" t="str">
        <f t="shared" si="492"/>
        <v>I</v>
      </c>
      <c r="Q581" s="28">
        <v>15.0</v>
      </c>
      <c r="R581" s="26" t="str">
        <f t="shared" si="493"/>
        <v>R</v>
      </c>
      <c r="S581" s="28">
        <v>18.0</v>
      </c>
      <c r="T581" s="26" t="str">
        <f t="shared" si="494"/>
        <v>R</v>
      </c>
      <c r="U581" s="28">
        <v>15.0</v>
      </c>
      <c r="V581" s="26" t="str">
        <f t="shared" si="495"/>
        <v>R</v>
      </c>
      <c r="W581" s="32" t="s">
        <v>299</v>
      </c>
      <c r="X581" s="65">
        <v>6.0</v>
      </c>
      <c r="Y581" s="33" t="str">
        <f t="shared" si="496"/>
        <v>R</v>
      </c>
      <c r="Z581" s="65">
        <v>22.0</v>
      </c>
      <c r="AA581" s="33" t="str">
        <f t="shared" si="497"/>
        <v>S</v>
      </c>
      <c r="AB581" s="65">
        <v>17.0</v>
      </c>
      <c r="AC581" s="33" t="str">
        <f t="shared" si="498"/>
        <v>R</v>
      </c>
      <c r="AD581" s="65">
        <v>25.0</v>
      </c>
      <c r="AE581" s="33" t="str">
        <f t="shared" si="499"/>
        <v>S</v>
      </c>
      <c r="AF581" s="65">
        <v>18.0</v>
      </c>
      <c r="AG581" s="33" t="str">
        <f t="shared" si="500"/>
        <v>R</v>
      </c>
      <c r="AH581" s="65" t="s">
        <v>299</v>
      </c>
      <c r="AI581" s="66">
        <v>20.0</v>
      </c>
      <c r="AJ581" s="36" t="str">
        <f t="shared" si="501"/>
        <v>R</v>
      </c>
      <c r="AK581" s="66">
        <v>22.0</v>
      </c>
      <c r="AL581" s="36" t="str">
        <f t="shared" si="502"/>
        <v>I</v>
      </c>
      <c r="AM581" s="66">
        <v>15.0</v>
      </c>
      <c r="AN581" s="36" t="str">
        <f t="shared" si="503"/>
        <v>S</v>
      </c>
      <c r="AO581" s="66" t="s">
        <v>299</v>
      </c>
      <c r="AP581" s="67">
        <v>18.0</v>
      </c>
      <c r="AQ581" s="37" t="str">
        <f t="shared" si="504"/>
        <v>S</v>
      </c>
      <c r="AR581" s="65">
        <v>15.0</v>
      </c>
      <c r="AS581" s="33" t="str">
        <f t="shared" si="505"/>
        <v>R</v>
      </c>
      <c r="AT581" s="65">
        <v>21.0</v>
      </c>
      <c r="AU581" s="33" t="str">
        <f t="shared" si="506"/>
        <v>S</v>
      </c>
      <c r="AV581" s="65" t="s">
        <v>299</v>
      </c>
      <c r="AW581" s="28">
        <v>22.0</v>
      </c>
      <c r="AX581" s="26" t="str">
        <f t="shared" si="507"/>
        <v>S</v>
      </c>
      <c r="AY581" s="67">
        <v>6.0</v>
      </c>
      <c r="AZ581" s="37" t="str">
        <f t="shared" si="508"/>
        <v>R</v>
      </c>
      <c r="BA581" s="66">
        <v>18.0</v>
      </c>
      <c r="BB581" s="36" t="str">
        <f t="shared" si="509"/>
        <v>R</v>
      </c>
      <c r="BC581" s="39" t="s">
        <v>357</v>
      </c>
      <c r="BD581" s="39" t="s">
        <v>357</v>
      </c>
      <c r="BE581" s="66">
        <v>30.0</v>
      </c>
      <c r="BF581" s="36" t="str">
        <f t="shared" si="510"/>
        <v>S</v>
      </c>
      <c r="BG581" s="68">
        <v>21.0</v>
      </c>
      <c r="BH581" s="41" t="str">
        <f t="shared" si="511"/>
        <v>S</v>
      </c>
      <c r="BI581" s="41"/>
    </row>
    <row r="582">
      <c r="A582" s="21" t="s">
        <v>1029</v>
      </c>
      <c r="B582" s="23">
        <v>248.0</v>
      </c>
      <c r="C582" s="21" t="s">
        <v>1225</v>
      </c>
      <c r="D582" s="69" t="s">
        <v>705</v>
      </c>
      <c r="E582" s="18" t="s">
        <v>572</v>
      </c>
      <c r="F582" s="18" t="s">
        <v>192</v>
      </c>
      <c r="G582" s="63" t="s">
        <v>1226</v>
      </c>
      <c r="H582" s="42" t="s">
        <v>479</v>
      </c>
      <c r="I582" s="28">
        <v>6.0</v>
      </c>
      <c r="J582" s="26" t="str">
        <f t="shared" si="489"/>
        <v>R</v>
      </c>
      <c r="K582" s="28">
        <v>16.0</v>
      </c>
      <c r="L582" s="26" t="str">
        <f t="shared" si="490"/>
        <v>R</v>
      </c>
      <c r="M582" s="28">
        <v>6.0</v>
      </c>
      <c r="N582" s="26" t="str">
        <f t="shared" si="491"/>
        <v>R</v>
      </c>
      <c r="O582" s="28">
        <v>23.0</v>
      </c>
      <c r="P582" s="26" t="str">
        <f t="shared" si="492"/>
        <v>S</v>
      </c>
      <c r="Q582" s="28">
        <v>6.0</v>
      </c>
      <c r="R582" s="26" t="str">
        <f t="shared" si="493"/>
        <v>R</v>
      </c>
      <c r="S582" s="28">
        <v>17.0</v>
      </c>
      <c r="T582" s="26" t="str">
        <f t="shared" si="494"/>
        <v>R</v>
      </c>
      <c r="U582" s="28">
        <v>17.0</v>
      </c>
      <c r="V582" s="26" t="str">
        <f t="shared" si="495"/>
        <v>I</v>
      </c>
      <c r="W582" s="32" t="s">
        <v>299</v>
      </c>
      <c r="X582" s="65">
        <v>6.0</v>
      </c>
      <c r="Y582" s="33" t="str">
        <f t="shared" si="496"/>
        <v>R</v>
      </c>
      <c r="Z582" s="65">
        <v>18.0</v>
      </c>
      <c r="AA582" s="33" t="str">
        <f t="shared" si="497"/>
        <v>S</v>
      </c>
      <c r="AB582" s="65">
        <v>6.0</v>
      </c>
      <c r="AC582" s="33" t="str">
        <f t="shared" si="498"/>
        <v>R</v>
      </c>
      <c r="AD582" s="65">
        <v>17.0</v>
      </c>
      <c r="AE582" s="33" t="str">
        <f t="shared" si="499"/>
        <v>S</v>
      </c>
      <c r="AF582" s="65">
        <v>6.0</v>
      </c>
      <c r="AG582" s="33" t="str">
        <f t="shared" si="500"/>
        <v>R</v>
      </c>
      <c r="AH582" s="65" t="s">
        <v>299</v>
      </c>
      <c r="AI582" s="66">
        <v>12.0</v>
      </c>
      <c r="AJ582" s="36" t="str">
        <f t="shared" si="501"/>
        <v>R</v>
      </c>
      <c r="AK582" s="66">
        <v>13.0</v>
      </c>
      <c r="AL582" s="36" t="str">
        <f t="shared" si="502"/>
        <v>R</v>
      </c>
      <c r="AM582" s="66">
        <v>15.0</v>
      </c>
      <c r="AN582" s="36" t="str">
        <f t="shared" si="503"/>
        <v>S</v>
      </c>
      <c r="AO582" s="66" t="s">
        <v>299</v>
      </c>
      <c r="AP582" s="67">
        <v>15.0</v>
      </c>
      <c r="AQ582" s="37" t="str">
        <f t="shared" si="504"/>
        <v>S</v>
      </c>
      <c r="AR582" s="65">
        <v>12.0</v>
      </c>
      <c r="AS582" s="33" t="str">
        <f t="shared" si="505"/>
        <v>R</v>
      </c>
      <c r="AT582" s="65">
        <v>11.0</v>
      </c>
      <c r="AU582" s="33" t="str">
        <f t="shared" si="506"/>
        <v>R</v>
      </c>
      <c r="AV582" s="65" t="s">
        <v>299</v>
      </c>
      <c r="AW582" s="28">
        <v>17.0</v>
      </c>
      <c r="AX582" s="26" t="str">
        <f t="shared" si="507"/>
        <v>R</v>
      </c>
      <c r="AY582" s="67">
        <v>6.0</v>
      </c>
      <c r="AZ582" s="37" t="str">
        <f t="shared" si="508"/>
        <v>R</v>
      </c>
      <c r="BA582" s="66">
        <v>20.0</v>
      </c>
      <c r="BB582" s="36" t="str">
        <f t="shared" si="509"/>
        <v>R</v>
      </c>
      <c r="BC582" s="39" t="s">
        <v>357</v>
      </c>
      <c r="BD582" s="39" t="s">
        <v>357</v>
      </c>
      <c r="BE582" s="66">
        <v>19.0</v>
      </c>
      <c r="BF582" s="36" t="str">
        <f t="shared" si="510"/>
        <v>I</v>
      </c>
      <c r="BG582" s="68">
        <v>15.0</v>
      </c>
      <c r="BH582" s="41" t="str">
        <f t="shared" si="511"/>
        <v>R</v>
      </c>
      <c r="BI582" s="41"/>
    </row>
    <row r="583">
      <c r="A583" s="21" t="s">
        <v>1029</v>
      </c>
      <c r="B583" s="21" t="s">
        <v>444</v>
      </c>
      <c r="C583" s="21" t="s">
        <v>2073</v>
      </c>
      <c r="D583" s="69" t="s">
        <v>705</v>
      </c>
      <c r="E583" s="18" t="s">
        <v>572</v>
      </c>
      <c r="F583" s="18" t="s">
        <v>192</v>
      </c>
      <c r="G583" s="63" t="s">
        <v>2074</v>
      </c>
      <c r="H583" s="42" t="s">
        <v>479</v>
      </c>
      <c r="I583" s="28">
        <v>6.0</v>
      </c>
      <c r="J583" s="26" t="str">
        <f t="shared" si="489"/>
        <v>R</v>
      </c>
      <c r="K583" s="28">
        <v>16.0</v>
      </c>
      <c r="L583" s="26" t="str">
        <f t="shared" si="490"/>
        <v>R</v>
      </c>
      <c r="M583" s="28">
        <v>6.0</v>
      </c>
      <c r="N583" s="26" t="str">
        <f t="shared" si="491"/>
        <v>R</v>
      </c>
      <c r="O583" s="28">
        <v>23.0</v>
      </c>
      <c r="P583" s="26" t="str">
        <f t="shared" si="492"/>
        <v>S</v>
      </c>
      <c r="Q583" s="28">
        <v>6.0</v>
      </c>
      <c r="R583" s="26" t="str">
        <f t="shared" si="493"/>
        <v>R</v>
      </c>
      <c r="S583" s="28">
        <v>17.0</v>
      </c>
      <c r="T583" s="26" t="str">
        <f t="shared" si="494"/>
        <v>R</v>
      </c>
      <c r="U583" s="28">
        <v>17.0</v>
      </c>
      <c r="V583" s="26" t="str">
        <f t="shared" si="495"/>
        <v>I</v>
      </c>
      <c r="W583" s="32" t="s">
        <v>299</v>
      </c>
      <c r="X583" s="65">
        <v>6.0</v>
      </c>
      <c r="Y583" s="33" t="str">
        <f t="shared" si="496"/>
        <v>R</v>
      </c>
      <c r="Z583" s="65">
        <v>18.0</v>
      </c>
      <c r="AA583" s="33" t="str">
        <f t="shared" si="497"/>
        <v>S</v>
      </c>
      <c r="AB583" s="65">
        <v>6.0</v>
      </c>
      <c r="AC583" s="33" t="str">
        <f t="shared" si="498"/>
        <v>R</v>
      </c>
      <c r="AD583" s="65">
        <v>17.0</v>
      </c>
      <c r="AE583" s="33" t="str">
        <f t="shared" si="499"/>
        <v>S</v>
      </c>
      <c r="AF583" s="65">
        <v>6.0</v>
      </c>
      <c r="AG583" s="33" t="str">
        <f t="shared" si="500"/>
        <v>R</v>
      </c>
      <c r="AH583" s="65" t="s">
        <v>299</v>
      </c>
      <c r="AI583" s="66">
        <v>12.0</v>
      </c>
      <c r="AJ583" s="36" t="str">
        <f t="shared" si="501"/>
        <v>R</v>
      </c>
      <c r="AK583" s="66">
        <v>13.0</v>
      </c>
      <c r="AL583" s="36" t="str">
        <f t="shared" si="502"/>
        <v>R</v>
      </c>
      <c r="AM583" s="66">
        <v>15.0</v>
      </c>
      <c r="AN583" s="36" t="str">
        <f t="shared" si="503"/>
        <v>S</v>
      </c>
      <c r="AO583" s="66" t="s">
        <v>299</v>
      </c>
      <c r="AP583" s="67">
        <v>15.0</v>
      </c>
      <c r="AQ583" s="37" t="str">
        <f t="shared" si="504"/>
        <v>S</v>
      </c>
      <c r="AR583" s="65">
        <v>12.0</v>
      </c>
      <c r="AS583" s="33" t="str">
        <f t="shared" si="505"/>
        <v>R</v>
      </c>
      <c r="AT583" s="65">
        <v>11.0</v>
      </c>
      <c r="AU583" s="33" t="str">
        <f t="shared" si="506"/>
        <v>R</v>
      </c>
      <c r="AV583" s="65" t="s">
        <v>299</v>
      </c>
      <c r="AW583" s="28">
        <v>17.0</v>
      </c>
      <c r="AX583" s="26" t="str">
        <f t="shared" si="507"/>
        <v>R</v>
      </c>
      <c r="AY583" s="67">
        <v>6.0</v>
      </c>
      <c r="AZ583" s="37" t="str">
        <f t="shared" si="508"/>
        <v>R</v>
      </c>
      <c r="BA583" s="66">
        <v>20.0</v>
      </c>
      <c r="BB583" s="36" t="str">
        <f t="shared" si="509"/>
        <v>R</v>
      </c>
      <c r="BC583" s="39" t="s">
        <v>357</v>
      </c>
      <c r="BD583" s="39" t="s">
        <v>357</v>
      </c>
      <c r="BE583" s="66">
        <v>19.0</v>
      </c>
      <c r="BF583" s="36" t="str">
        <f t="shared" si="510"/>
        <v>I</v>
      </c>
      <c r="BG583" s="68">
        <v>15.0</v>
      </c>
      <c r="BH583" s="41" t="str">
        <f t="shared" si="511"/>
        <v>R</v>
      </c>
      <c r="BI583" s="41"/>
    </row>
    <row r="584">
      <c r="A584" s="21" t="s">
        <v>1029</v>
      </c>
      <c r="B584" s="21" t="s">
        <v>444</v>
      </c>
      <c r="C584" s="21" t="s">
        <v>2075</v>
      </c>
      <c r="D584" s="69" t="s">
        <v>705</v>
      </c>
      <c r="E584" s="18" t="s">
        <v>572</v>
      </c>
      <c r="F584" s="18" t="s">
        <v>192</v>
      </c>
      <c r="G584" s="63" t="s">
        <v>2076</v>
      </c>
      <c r="H584" s="42" t="s">
        <v>479</v>
      </c>
      <c r="I584" s="28">
        <v>6.0</v>
      </c>
      <c r="J584" s="26" t="str">
        <f t="shared" si="489"/>
        <v>R</v>
      </c>
      <c r="K584" s="28">
        <v>16.0</v>
      </c>
      <c r="L584" s="26" t="str">
        <f t="shared" si="490"/>
        <v>R</v>
      </c>
      <c r="M584" s="28">
        <v>6.0</v>
      </c>
      <c r="N584" s="26" t="str">
        <f t="shared" si="491"/>
        <v>R</v>
      </c>
      <c r="O584" s="28">
        <v>23.0</v>
      </c>
      <c r="P584" s="26" t="str">
        <f t="shared" si="492"/>
        <v>S</v>
      </c>
      <c r="Q584" s="28">
        <v>6.0</v>
      </c>
      <c r="R584" s="26" t="str">
        <f t="shared" si="493"/>
        <v>R</v>
      </c>
      <c r="S584" s="28">
        <v>17.0</v>
      </c>
      <c r="T584" s="26" t="str">
        <f t="shared" si="494"/>
        <v>R</v>
      </c>
      <c r="U584" s="28">
        <v>17.0</v>
      </c>
      <c r="V584" s="26" t="str">
        <f t="shared" si="495"/>
        <v>I</v>
      </c>
      <c r="W584" s="32" t="s">
        <v>299</v>
      </c>
      <c r="X584" s="65">
        <v>6.0</v>
      </c>
      <c r="Y584" s="33" t="str">
        <f t="shared" si="496"/>
        <v>R</v>
      </c>
      <c r="Z584" s="65">
        <v>18.0</v>
      </c>
      <c r="AA584" s="33" t="str">
        <f t="shared" si="497"/>
        <v>S</v>
      </c>
      <c r="AB584" s="65">
        <v>6.0</v>
      </c>
      <c r="AC584" s="33" t="str">
        <f t="shared" si="498"/>
        <v>R</v>
      </c>
      <c r="AD584" s="65">
        <v>17.0</v>
      </c>
      <c r="AE584" s="33" t="str">
        <f t="shared" si="499"/>
        <v>S</v>
      </c>
      <c r="AF584" s="65">
        <v>6.0</v>
      </c>
      <c r="AG584" s="33" t="str">
        <f t="shared" si="500"/>
        <v>R</v>
      </c>
      <c r="AH584" s="65" t="s">
        <v>299</v>
      </c>
      <c r="AI584" s="66">
        <v>12.0</v>
      </c>
      <c r="AJ584" s="36" t="str">
        <f t="shared" si="501"/>
        <v>R</v>
      </c>
      <c r="AK584" s="66">
        <v>13.0</v>
      </c>
      <c r="AL584" s="36" t="str">
        <f t="shared" si="502"/>
        <v>R</v>
      </c>
      <c r="AM584" s="66">
        <v>15.0</v>
      </c>
      <c r="AN584" s="36" t="str">
        <f t="shared" si="503"/>
        <v>S</v>
      </c>
      <c r="AO584" s="66" t="s">
        <v>299</v>
      </c>
      <c r="AP584" s="67">
        <v>15.0</v>
      </c>
      <c r="AQ584" s="37" t="str">
        <f t="shared" si="504"/>
        <v>S</v>
      </c>
      <c r="AR584" s="65">
        <v>12.0</v>
      </c>
      <c r="AS584" s="33" t="str">
        <f t="shared" si="505"/>
        <v>R</v>
      </c>
      <c r="AT584" s="65">
        <v>11.0</v>
      </c>
      <c r="AU584" s="33" t="str">
        <f t="shared" si="506"/>
        <v>R</v>
      </c>
      <c r="AV584" s="65" t="s">
        <v>299</v>
      </c>
      <c r="AW584" s="28">
        <v>17.0</v>
      </c>
      <c r="AX584" s="26" t="str">
        <f t="shared" si="507"/>
        <v>R</v>
      </c>
      <c r="AY584" s="67">
        <v>6.0</v>
      </c>
      <c r="AZ584" s="37" t="str">
        <f t="shared" si="508"/>
        <v>R</v>
      </c>
      <c r="BA584" s="66">
        <v>20.0</v>
      </c>
      <c r="BB584" s="36" t="str">
        <f t="shared" si="509"/>
        <v>R</v>
      </c>
      <c r="BC584" s="39" t="s">
        <v>357</v>
      </c>
      <c r="BD584" s="39" t="s">
        <v>357</v>
      </c>
      <c r="BE584" s="66">
        <v>19.0</v>
      </c>
      <c r="BF584" s="36" t="str">
        <f t="shared" si="510"/>
        <v>I</v>
      </c>
      <c r="BG584" s="68">
        <v>15.0</v>
      </c>
      <c r="BH584" s="41" t="str">
        <f t="shared" si="511"/>
        <v>R</v>
      </c>
      <c r="BI584" s="41"/>
    </row>
    <row r="585">
      <c r="A585" s="51" t="s">
        <v>633</v>
      </c>
      <c r="B585" s="53">
        <v>249.0</v>
      </c>
      <c r="C585" s="51" t="s">
        <v>1036</v>
      </c>
      <c r="D585" s="69" t="s">
        <v>190</v>
      </c>
      <c r="E585" s="18" t="s">
        <v>190</v>
      </c>
      <c r="F585" s="18" t="s">
        <v>192</v>
      </c>
      <c r="G585" s="63" t="s">
        <v>2077</v>
      </c>
      <c r="H585" s="22" t="s">
        <v>198</v>
      </c>
      <c r="I585" s="28">
        <v>6.0</v>
      </c>
      <c r="J585" s="26" t="str">
        <f t="shared" si="489"/>
        <v>R</v>
      </c>
      <c r="K585" s="28">
        <v>17.0</v>
      </c>
      <c r="L585" s="26" t="str">
        <f t="shared" si="490"/>
        <v>R</v>
      </c>
      <c r="M585" s="28">
        <v>6.0</v>
      </c>
      <c r="N585" s="26" t="str">
        <f t="shared" si="491"/>
        <v>R</v>
      </c>
      <c r="O585" s="28">
        <v>18.0</v>
      </c>
      <c r="P585" s="26" t="str">
        <f t="shared" si="492"/>
        <v>R</v>
      </c>
      <c r="Q585" s="28">
        <v>6.0</v>
      </c>
      <c r="R585" s="26" t="str">
        <f t="shared" si="493"/>
        <v>R</v>
      </c>
      <c r="S585" s="28">
        <v>14.0</v>
      </c>
      <c r="T585" s="26" t="str">
        <f t="shared" si="494"/>
        <v>R</v>
      </c>
      <c r="U585" s="28">
        <v>19.0</v>
      </c>
      <c r="V585" s="26" t="str">
        <f t="shared" si="495"/>
        <v>I</v>
      </c>
      <c r="W585" s="32" t="s">
        <v>299</v>
      </c>
      <c r="X585" s="65">
        <v>10.0</v>
      </c>
      <c r="Y585" s="33" t="str">
        <f t="shared" si="496"/>
        <v>R</v>
      </c>
      <c r="Z585" s="65">
        <v>20.0</v>
      </c>
      <c r="AA585" s="33" t="str">
        <f t="shared" si="497"/>
        <v>S</v>
      </c>
      <c r="AB585" s="65">
        <v>8.0</v>
      </c>
      <c r="AC585" s="33" t="str">
        <f t="shared" si="498"/>
        <v>R</v>
      </c>
      <c r="AD585" s="65">
        <v>23.0</v>
      </c>
      <c r="AE585" s="33" t="str">
        <f t="shared" si="499"/>
        <v>S</v>
      </c>
      <c r="AF585" s="65">
        <v>14.0</v>
      </c>
      <c r="AG585" s="33" t="str">
        <f t="shared" si="500"/>
        <v>R</v>
      </c>
      <c r="AH585" s="65" t="s">
        <v>299</v>
      </c>
      <c r="AI585" s="66">
        <v>6.0</v>
      </c>
      <c r="AJ585" s="36" t="str">
        <f t="shared" si="501"/>
        <v>R</v>
      </c>
      <c r="AK585" s="66">
        <v>9.0</v>
      </c>
      <c r="AL585" s="36" t="str">
        <f t="shared" si="502"/>
        <v>R</v>
      </c>
      <c r="AM585" s="66">
        <v>6.0</v>
      </c>
      <c r="AN585" s="36" t="str">
        <f t="shared" si="503"/>
        <v>R</v>
      </c>
      <c r="AO585" s="66" t="s">
        <v>299</v>
      </c>
      <c r="AP585" s="67">
        <v>6.0</v>
      </c>
      <c r="AQ585" s="37" t="str">
        <f t="shared" si="504"/>
        <v>R</v>
      </c>
      <c r="AR585" s="65">
        <v>18.0</v>
      </c>
      <c r="AS585" s="33" t="str">
        <f t="shared" si="505"/>
        <v>S</v>
      </c>
      <c r="AT585" s="65">
        <v>6.0</v>
      </c>
      <c r="AU585" s="33" t="str">
        <f t="shared" si="506"/>
        <v>R</v>
      </c>
      <c r="AV585" s="65" t="s">
        <v>299</v>
      </c>
      <c r="AW585" s="28">
        <v>6.0</v>
      </c>
      <c r="AX585" s="26" t="str">
        <f t="shared" si="507"/>
        <v>R</v>
      </c>
      <c r="AY585" s="67">
        <v>14.0</v>
      </c>
      <c r="AZ585" s="37" t="str">
        <f t="shared" si="508"/>
        <v>R</v>
      </c>
      <c r="BA585" s="66">
        <v>26.0</v>
      </c>
      <c r="BB585" s="36" t="str">
        <f t="shared" si="509"/>
        <v>S</v>
      </c>
      <c r="BC585" s="39" t="s">
        <v>357</v>
      </c>
      <c r="BD585" s="39" t="s">
        <v>357</v>
      </c>
      <c r="BE585" s="66">
        <v>29.0</v>
      </c>
      <c r="BF585" s="36" t="str">
        <f t="shared" si="510"/>
        <v>S</v>
      </c>
      <c r="BG585" s="68">
        <v>20.0</v>
      </c>
      <c r="BH585" s="41" t="str">
        <f t="shared" si="511"/>
        <v>S</v>
      </c>
      <c r="BI585" s="41"/>
    </row>
    <row r="586">
      <c r="A586" s="51" t="s">
        <v>633</v>
      </c>
      <c r="B586" s="51" t="s">
        <v>444</v>
      </c>
      <c r="C586" s="51" t="s">
        <v>2078</v>
      </c>
      <c r="D586" s="69" t="s">
        <v>190</v>
      </c>
      <c r="E586" s="18" t="s">
        <v>190</v>
      </c>
      <c r="F586" s="18" t="s">
        <v>192</v>
      </c>
      <c r="G586" s="63" t="s">
        <v>2079</v>
      </c>
      <c r="H586" s="22" t="s">
        <v>198</v>
      </c>
      <c r="I586" s="28">
        <v>9.0</v>
      </c>
      <c r="J586" s="26" t="str">
        <f t="shared" si="489"/>
        <v>R</v>
      </c>
      <c r="K586" s="28">
        <v>16.0</v>
      </c>
      <c r="L586" s="26" t="str">
        <f t="shared" si="490"/>
        <v>R</v>
      </c>
      <c r="M586" s="28">
        <v>6.0</v>
      </c>
      <c r="N586" s="26" t="str">
        <f t="shared" si="491"/>
        <v>R</v>
      </c>
      <c r="O586" s="28">
        <v>18.0</v>
      </c>
      <c r="P586" s="26" t="str">
        <f t="shared" si="492"/>
        <v>R</v>
      </c>
      <c r="Q586" s="28">
        <v>6.0</v>
      </c>
      <c r="R586" s="26" t="str">
        <f t="shared" si="493"/>
        <v>R</v>
      </c>
      <c r="S586" s="28">
        <v>16.0</v>
      </c>
      <c r="T586" s="26" t="str">
        <f t="shared" si="494"/>
        <v>R</v>
      </c>
      <c r="U586" s="28">
        <v>19.0</v>
      </c>
      <c r="V586" s="26" t="str">
        <f t="shared" si="495"/>
        <v>I</v>
      </c>
      <c r="W586" s="32" t="s">
        <v>299</v>
      </c>
      <c r="X586" s="65">
        <v>10.0</v>
      </c>
      <c r="Y586" s="33" t="str">
        <f t="shared" si="496"/>
        <v>R</v>
      </c>
      <c r="Z586" s="65">
        <v>21.0</v>
      </c>
      <c r="AA586" s="33" t="str">
        <f t="shared" si="497"/>
        <v>S</v>
      </c>
      <c r="AB586" s="65">
        <v>9.0</v>
      </c>
      <c r="AC586" s="33" t="str">
        <f t="shared" si="498"/>
        <v>R</v>
      </c>
      <c r="AD586" s="65">
        <v>22.0</v>
      </c>
      <c r="AE586" s="33" t="str">
        <f t="shared" si="499"/>
        <v>S</v>
      </c>
      <c r="AF586" s="65">
        <v>14.0</v>
      </c>
      <c r="AG586" s="33" t="str">
        <f t="shared" si="500"/>
        <v>R</v>
      </c>
      <c r="AH586" s="65" t="s">
        <v>299</v>
      </c>
      <c r="AI586" s="66">
        <v>12.0</v>
      </c>
      <c r="AJ586" s="36" t="str">
        <f t="shared" si="501"/>
        <v>R</v>
      </c>
      <c r="AK586" s="66">
        <v>6.0</v>
      </c>
      <c r="AL586" s="36" t="str">
        <f t="shared" si="502"/>
        <v>R</v>
      </c>
      <c r="AM586" s="66">
        <v>9.0</v>
      </c>
      <c r="AN586" s="36" t="str">
        <f t="shared" si="503"/>
        <v>R</v>
      </c>
      <c r="AO586" s="66" t="s">
        <v>299</v>
      </c>
      <c r="AP586" s="67">
        <v>9.0</v>
      </c>
      <c r="AQ586" s="37" t="str">
        <f t="shared" si="504"/>
        <v>R</v>
      </c>
      <c r="AR586" s="65">
        <v>18.0</v>
      </c>
      <c r="AS586" s="33" t="str">
        <f t="shared" si="505"/>
        <v>S</v>
      </c>
      <c r="AT586" s="65">
        <v>6.0</v>
      </c>
      <c r="AU586" s="33" t="str">
        <f t="shared" si="506"/>
        <v>R</v>
      </c>
      <c r="AV586" s="65" t="s">
        <v>299</v>
      </c>
      <c r="AW586" s="28">
        <v>6.0</v>
      </c>
      <c r="AX586" s="26" t="str">
        <f t="shared" si="507"/>
        <v>R</v>
      </c>
      <c r="AY586" s="67">
        <v>15.0</v>
      </c>
      <c r="AZ586" s="37" t="str">
        <f t="shared" si="508"/>
        <v>R</v>
      </c>
      <c r="BA586" s="66">
        <v>25.0</v>
      </c>
      <c r="BB586" s="36" t="str">
        <f t="shared" si="509"/>
        <v>S</v>
      </c>
      <c r="BC586" s="39" t="s">
        <v>357</v>
      </c>
      <c r="BD586" s="39" t="s">
        <v>357</v>
      </c>
      <c r="BE586" s="66">
        <v>28.0</v>
      </c>
      <c r="BF586" s="36" t="str">
        <f t="shared" si="510"/>
        <v>S</v>
      </c>
      <c r="BG586" s="68">
        <v>20.0</v>
      </c>
      <c r="BH586" s="41" t="str">
        <f t="shared" si="511"/>
        <v>S</v>
      </c>
      <c r="BI586" s="41"/>
    </row>
    <row r="587">
      <c r="A587" s="51" t="s">
        <v>633</v>
      </c>
      <c r="B587" s="51" t="s">
        <v>444</v>
      </c>
      <c r="C587" s="51" t="s">
        <v>2080</v>
      </c>
      <c r="D587" s="69" t="s">
        <v>190</v>
      </c>
      <c r="E587" s="18" t="s">
        <v>190</v>
      </c>
      <c r="F587" s="18" t="s">
        <v>192</v>
      </c>
      <c r="G587" s="63" t="s">
        <v>2081</v>
      </c>
      <c r="H587" s="22" t="s">
        <v>198</v>
      </c>
      <c r="I587" s="28">
        <v>9.0</v>
      </c>
      <c r="J587" s="26" t="str">
        <f t="shared" si="489"/>
        <v>R</v>
      </c>
      <c r="K587" s="28">
        <v>17.0</v>
      </c>
      <c r="L587" s="26" t="str">
        <f t="shared" si="490"/>
        <v>R</v>
      </c>
      <c r="M587" s="28">
        <v>6.0</v>
      </c>
      <c r="N587" s="26" t="str">
        <f t="shared" si="491"/>
        <v>R</v>
      </c>
      <c r="O587" s="28">
        <v>18.0</v>
      </c>
      <c r="P587" s="26" t="str">
        <f t="shared" si="492"/>
        <v>R</v>
      </c>
      <c r="Q587" s="28">
        <v>6.0</v>
      </c>
      <c r="R587" s="26" t="str">
        <f t="shared" si="493"/>
        <v>R</v>
      </c>
      <c r="S587" s="28">
        <v>11.0</v>
      </c>
      <c r="T587" s="26" t="str">
        <f t="shared" si="494"/>
        <v>R</v>
      </c>
      <c r="U587" s="28">
        <v>19.0</v>
      </c>
      <c r="V587" s="26" t="str">
        <f t="shared" si="495"/>
        <v>I</v>
      </c>
      <c r="W587" s="32" t="s">
        <v>299</v>
      </c>
      <c r="X587" s="65">
        <v>11.0</v>
      </c>
      <c r="Y587" s="33" t="str">
        <f t="shared" si="496"/>
        <v>R</v>
      </c>
      <c r="Z587" s="65">
        <v>19.0</v>
      </c>
      <c r="AA587" s="33" t="str">
        <f t="shared" si="497"/>
        <v>S</v>
      </c>
      <c r="AB587" s="65">
        <v>6.0</v>
      </c>
      <c r="AC587" s="33" t="str">
        <f t="shared" si="498"/>
        <v>R</v>
      </c>
      <c r="AD587" s="65">
        <v>23.0</v>
      </c>
      <c r="AE587" s="33" t="str">
        <f t="shared" si="499"/>
        <v>S</v>
      </c>
      <c r="AF587" s="65">
        <v>14.0</v>
      </c>
      <c r="AG587" s="33" t="str">
        <f t="shared" si="500"/>
        <v>R</v>
      </c>
      <c r="AH587" s="65" t="s">
        <v>299</v>
      </c>
      <c r="AI587" s="66">
        <v>9.0</v>
      </c>
      <c r="AJ587" s="36" t="str">
        <f t="shared" si="501"/>
        <v>R</v>
      </c>
      <c r="AK587" s="66">
        <v>11.0</v>
      </c>
      <c r="AL587" s="36" t="str">
        <f t="shared" si="502"/>
        <v>R</v>
      </c>
      <c r="AM587" s="66">
        <v>9.0</v>
      </c>
      <c r="AN587" s="36" t="str">
        <f t="shared" si="503"/>
        <v>R</v>
      </c>
      <c r="AO587" s="66" t="s">
        <v>299</v>
      </c>
      <c r="AP587" s="67">
        <v>6.0</v>
      </c>
      <c r="AQ587" s="37" t="str">
        <f t="shared" si="504"/>
        <v>R</v>
      </c>
      <c r="AR587" s="65">
        <v>18.0</v>
      </c>
      <c r="AS587" s="33" t="str">
        <f t="shared" si="505"/>
        <v>S</v>
      </c>
      <c r="AT587" s="65">
        <v>9.0</v>
      </c>
      <c r="AU587" s="33" t="str">
        <f t="shared" si="506"/>
        <v>R</v>
      </c>
      <c r="AV587" s="65" t="s">
        <v>299</v>
      </c>
      <c r="AW587" s="28">
        <v>6.0</v>
      </c>
      <c r="AX587" s="26" t="str">
        <f t="shared" si="507"/>
        <v>R</v>
      </c>
      <c r="AY587" s="67">
        <v>12.0</v>
      </c>
      <c r="AZ587" s="37" t="str">
        <f t="shared" si="508"/>
        <v>R</v>
      </c>
      <c r="BA587" s="66">
        <v>25.0</v>
      </c>
      <c r="BB587" s="36" t="str">
        <f t="shared" si="509"/>
        <v>S</v>
      </c>
      <c r="BC587" s="39" t="s">
        <v>357</v>
      </c>
      <c r="BD587" s="39" t="s">
        <v>357</v>
      </c>
      <c r="BE587" s="66">
        <v>26.0</v>
      </c>
      <c r="BF587" s="36" t="str">
        <f t="shared" si="510"/>
        <v>S</v>
      </c>
      <c r="BG587" s="68">
        <v>19.0</v>
      </c>
      <c r="BH587" s="41" t="str">
        <f t="shared" si="511"/>
        <v>S</v>
      </c>
      <c r="BI587" s="41"/>
    </row>
    <row r="588">
      <c r="A588" s="51" t="s">
        <v>633</v>
      </c>
      <c r="B588" s="53">
        <v>250.0</v>
      </c>
      <c r="C588" s="51" t="s">
        <v>1043</v>
      </c>
      <c r="D588" s="69" t="s">
        <v>571</v>
      </c>
      <c r="E588" s="18" t="s">
        <v>572</v>
      </c>
      <c r="F588" s="18" t="s">
        <v>192</v>
      </c>
      <c r="G588" s="63" t="s">
        <v>2082</v>
      </c>
      <c r="H588" s="42" t="s">
        <v>479</v>
      </c>
      <c r="I588" s="28">
        <v>6.0</v>
      </c>
      <c r="J588" s="26" t="str">
        <f t="shared" si="489"/>
        <v>R</v>
      </c>
      <c r="K588" s="28">
        <v>18.0</v>
      </c>
      <c r="L588" s="26" t="str">
        <f t="shared" si="490"/>
        <v>R</v>
      </c>
      <c r="M588" s="28">
        <v>6.0</v>
      </c>
      <c r="N588" s="26" t="str">
        <f t="shared" si="491"/>
        <v>R</v>
      </c>
      <c r="O588" s="28">
        <v>21.0</v>
      </c>
      <c r="P588" s="26" t="str">
        <f t="shared" si="492"/>
        <v>I</v>
      </c>
      <c r="Q588" s="28">
        <v>6.0</v>
      </c>
      <c r="R588" s="26" t="str">
        <f t="shared" si="493"/>
        <v>R</v>
      </c>
      <c r="S588" s="28">
        <v>16.0</v>
      </c>
      <c r="T588" s="26" t="str">
        <f t="shared" si="494"/>
        <v>R</v>
      </c>
      <c r="U588" s="28">
        <v>18.0</v>
      </c>
      <c r="V588" s="26" t="str">
        <f t="shared" si="495"/>
        <v>I</v>
      </c>
      <c r="W588" s="32" t="s">
        <v>299</v>
      </c>
      <c r="X588" s="65">
        <v>6.0</v>
      </c>
      <c r="Y588" s="33" t="str">
        <f t="shared" si="496"/>
        <v>R</v>
      </c>
      <c r="Z588" s="65">
        <v>21.0</v>
      </c>
      <c r="AA588" s="33" t="str">
        <f t="shared" si="497"/>
        <v>S</v>
      </c>
      <c r="AB588" s="65">
        <v>6.0</v>
      </c>
      <c r="AC588" s="33" t="str">
        <f t="shared" si="498"/>
        <v>R</v>
      </c>
      <c r="AD588" s="65">
        <v>6.0</v>
      </c>
      <c r="AE588" s="33" t="str">
        <f t="shared" si="499"/>
        <v>R</v>
      </c>
      <c r="AF588" s="65">
        <v>11.0</v>
      </c>
      <c r="AG588" s="33" t="str">
        <f t="shared" si="500"/>
        <v>R</v>
      </c>
      <c r="AH588" s="65" t="s">
        <v>299</v>
      </c>
      <c r="AI588" s="66">
        <v>6.0</v>
      </c>
      <c r="AJ588" s="36" t="str">
        <f t="shared" si="501"/>
        <v>R</v>
      </c>
      <c r="AK588" s="66">
        <v>6.0</v>
      </c>
      <c r="AL588" s="36" t="str">
        <f t="shared" si="502"/>
        <v>R</v>
      </c>
      <c r="AM588" s="66">
        <v>6.0</v>
      </c>
      <c r="AN588" s="36" t="str">
        <f t="shared" si="503"/>
        <v>R</v>
      </c>
      <c r="AO588" s="66" t="s">
        <v>299</v>
      </c>
      <c r="AP588" s="67">
        <v>6.0</v>
      </c>
      <c r="AQ588" s="37" t="str">
        <f t="shared" si="504"/>
        <v>R</v>
      </c>
      <c r="AR588" s="65">
        <v>16.0</v>
      </c>
      <c r="AS588" s="33" t="str">
        <f t="shared" si="505"/>
        <v>R</v>
      </c>
      <c r="AT588" s="65">
        <v>13.0</v>
      </c>
      <c r="AU588" s="33" t="str">
        <f t="shared" si="506"/>
        <v>R</v>
      </c>
      <c r="AV588" s="65" t="s">
        <v>299</v>
      </c>
      <c r="AW588" s="28">
        <v>6.0</v>
      </c>
      <c r="AX588" s="26" t="str">
        <f t="shared" si="507"/>
        <v>R</v>
      </c>
      <c r="AY588" s="67">
        <v>13.0</v>
      </c>
      <c r="AZ588" s="37" t="str">
        <f t="shared" si="508"/>
        <v>R</v>
      </c>
      <c r="BA588" s="66">
        <v>18.0</v>
      </c>
      <c r="BB588" s="36" t="str">
        <f t="shared" si="509"/>
        <v>R</v>
      </c>
      <c r="BC588" s="39" t="s">
        <v>357</v>
      </c>
      <c r="BD588" s="39" t="s">
        <v>357</v>
      </c>
      <c r="BE588" s="66">
        <v>21.0</v>
      </c>
      <c r="BF588" s="36" t="str">
        <f t="shared" si="510"/>
        <v>I</v>
      </c>
      <c r="BG588" s="68">
        <v>17.0</v>
      </c>
      <c r="BH588" s="41" t="str">
        <f t="shared" si="511"/>
        <v>S</v>
      </c>
      <c r="BI588" s="41"/>
    </row>
    <row r="589">
      <c r="A589" s="51" t="s">
        <v>633</v>
      </c>
      <c r="B589" s="51" t="s">
        <v>444</v>
      </c>
      <c r="C589" s="51" t="s">
        <v>2083</v>
      </c>
      <c r="D589" s="69" t="s">
        <v>571</v>
      </c>
      <c r="E589" s="18" t="s">
        <v>572</v>
      </c>
      <c r="F589" s="18" t="s">
        <v>192</v>
      </c>
      <c r="G589" s="63" t="s">
        <v>2084</v>
      </c>
      <c r="H589" s="42" t="s">
        <v>479</v>
      </c>
      <c r="I589" s="28">
        <v>6.0</v>
      </c>
      <c r="J589" s="26" t="str">
        <f t="shared" si="489"/>
        <v>R</v>
      </c>
      <c r="K589" s="28">
        <v>18.0</v>
      </c>
      <c r="L589" s="26" t="str">
        <f t="shared" si="490"/>
        <v>R</v>
      </c>
      <c r="M589" s="28">
        <v>6.0</v>
      </c>
      <c r="N589" s="26" t="str">
        <f t="shared" si="491"/>
        <v>R</v>
      </c>
      <c r="O589" s="28">
        <v>20.0</v>
      </c>
      <c r="P589" s="26" t="str">
        <f t="shared" si="492"/>
        <v>I</v>
      </c>
      <c r="Q589" s="28">
        <v>6.0</v>
      </c>
      <c r="R589" s="26" t="str">
        <f t="shared" si="493"/>
        <v>R</v>
      </c>
      <c r="S589" s="28">
        <v>16.0</v>
      </c>
      <c r="T589" s="26" t="str">
        <f t="shared" si="494"/>
        <v>R</v>
      </c>
      <c r="U589" s="28">
        <v>18.0</v>
      </c>
      <c r="V589" s="26" t="str">
        <f t="shared" si="495"/>
        <v>I</v>
      </c>
      <c r="W589" s="32" t="s">
        <v>299</v>
      </c>
      <c r="X589" s="65">
        <v>6.0</v>
      </c>
      <c r="Y589" s="33" t="str">
        <f t="shared" si="496"/>
        <v>R</v>
      </c>
      <c r="Z589" s="65">
        <v>21.0</v>
      </c>
      <c r="AA589" s="33" t="str">
        <f t="shared" si="497"/>
        <v>S</v>
      </c>
      <c r="AB589" s="65">
        <v>6.0</v>
      </c>
      <c r="AC589" s="33" t="str">
        <f t="shared" si="498"/>
        <v>R</v>
      </c>
      <c r="AD589" s="65">
        <v>6.0</v>
      </c>
      <c r="AE589" s="33" t="str">
        <f t="shared" si="499"/>
        <v>R</v>
      </c>
      <c r="AF589" s="65">
        <v>11.0</v>
      </c>
      <c r="AG589" s="33" t="str">
        <f t="shared" si="500"/>
        <v>R</v>
      </c>
      <c r="AH589" s="65" t="s">
        <v>299</v>
      </c>
      <c r="AI589" s="66">
        <v>6.0</v>
      </c>
      <c r="AJ589" s="36" t="str">
        <f t="shared" si="501"/>
        <v>R</v>
      </c>
      <c r="AK589" s="66">
        <v>6.0</v>
      </c>
      <c r="AL589" s="36" t="str">
        <f t="shared" si="502"/>
        <v>R</v>
      </c>
      <c r="AM589" s="66">
        <v>6.0</v>
      </c>
      <c r="AN589" s="36" t="str">
        <f t="shared" si="503"/>
        <v>R</v>
      </c>
      <c r="AO589" s="66" t="s">
        <v>299</v>
      </c>
      <c r="AP589" s="67">
        <v>6.0</v>
      </c>
      <c r="AQ589" s="37" t="str">
        <f t="shared" si="504"/>
        <v>R</v>
      </c>
      <c r="AR589" s="65">
        <v>16.0</v>
      </c>
      <c r="AS589" s="33" t="str">
        <f t="shared" si="505"/>
        <v>R</v>
      </c>
      <c r="AT589" s="65">
        <v>13.0</v>
      </c>
      <c r="AU589" s="33" t="str">
        <f t="shared" si="506"/>
        <v>R</v>
      </c>
      <c r="AV589" s="65" t="s">
        <v>299</v>
      </c>
      <c r="AW589" s="28">
        <v>6.0</v>
      </c>
      <c r="AX589" s="26" t="str">
        <f t="shared" si="507"/>
        <v>R</v>
      </c>
      <c r="AY589" s="67">
        <v>12.0</v>
      </c>
      <c r="AZ589" s="37" t="str">
        <f t="shared" si="508"/>
        <v>R</v>
      </c>
      <c r="BA589" s="66">
        <v>16.0</v>
      </c>
      <c r="BB589" s="36" t="str">
        <f t="shared" si="509"/>
        <v>R</v>
      </c>
      <c r="BC589" s="39" t="s">
        <v>357</v>
      </c>
      <c r="BD589" s="39" t="s">
        <v>357</v>
      </c>
      <c r="BE589" s="66">
        <v>19.0</v>
      </c>
      <c r="BF589" s="36" t="str">
        <f t="shared" si="510"/>
        <v>I</v>
      </c>
      <c r="BG589" s="68">
        <v>18.0</v>
      </c>
      <c r="BH589" s="41" t="str">
        <f t="shared" si="511"/>
        <v>S</v>
      </c>
      <c r="BI589" s="41"/>
    </row>
    <row r="590">
      <c r="A590" s="51" t="s">
        <v>633</v>
      </c>
      <c r="B590" s="51" t="s">
        <v>444</v>
      </c>
      <c r="C590" s="51" t="s">
        <v>2085</v>
      </c>
      <c r="D590" s="69" t="s">
        <v>571</v>
      </c>
      <c r="E590" s="18" t="s">
        <v>572</v>
      </c>
      <c r="F590" s="18" t="s">
        <v>192</v>
      </c>
      <c r="G590" s="63" t="s">
        <v>2086</v>
      </c>
      <c r="H590" s="42" t="s">
        <v>479</v>
      </c>
      <c r="I590" s="28">
        <v>6.0</v>
      </c>
      <c r="J590" s="26" t="str">
        <f t="shared" si="489"/>
        <v>R</v>
      </c>
      <c r="K590" s="28">
        <v>17.0</v>
      </c>
      <c r="L590" s="26" t="str">
        <f t="shared" si="490"/>
        <v>R</v>
      </c>
      <c r="M590" s="28">
        <v>6.0</v>
      </c>
      <c r="N590" s="26" t="str">
        <f t="shared" si="491"/>
        <v>R</v>
      </c>
      <c r="O590" s="28">
        <v>20.0</v>
      </c>
      <c r="P590" s="26" t="str">
        <f t="shared" si="492"/>
        <v>I</v>
      </c>
      <c r="Q590" s="28">
        <v>6.0</v>
      </c>
      <c r="R590" s="26" t="str">
        <f t="shared" si="493"/>
        <v>R</v>
      </c>
      <c r="S590" s="28">
        <v>16.0</v>
      </c>
      <c r="T590" s="26" t="str">
        <f t="shared" si="494"/>
        <v>R</v>
      </c>
      <c r="U590" s="28">
        <v>18.0</v>
      </c>
      <c r="V590" s="26" t="str">
        <f t="shared" si="495"/>
        <v>I</v>
      </c>
      <c r="W590" s="32" t="s">
        <v>299</v>
      </c>
      <c r="X590" s="65">
        <v>6.0</v>
      </c>
      <c r="Y590" s="33" t="str">
        <f t="shared" si="496"/>
        <v>R</v>
      </c>
      <c r="Z590" s="65">
        <v>21.0</v>
      </c>
      <c r="AA590" s="33" t="str">
        <f t="shared" si="497"/>
        <v>S</v>
      </c>
      <c r="AB590" s="65">
        <v>6.0</v>
      </c>
      <c r="AC590" s="33" t="str">
        <f t="shared" si="498"/>
        <v>R</v>
      </c>
      <c r="AD590" s="65">
        <v>6.0</v>
      </c>
      <c r="AE590" s="33" t="str">
        <f t="shared" si="499"/>
        <v>R</v>
      </c>
      <c r="AF590" s="65">
        <v>11.0</v>
      </c>
      <c r="AG590" s="33" t="str">
        <f t="shared" si="500"/>
        <v>R</v>
      </c>
      <c r="AH590" s="65" t="s">
        <v>299</v>
      </c>
      <c r="AI590" s="66">
        <v>6.0</v>
      </c>
      <c r="AJ590" s="36" t="str">
        <f t="shared" si="501"/>
        <v>R</v>
      </c>
      <c r="AK590" s="66">
        <v>6.0</v>
      </c>
      <c r="AL590" s="36" t="str">
        <f t="shared" si="502"/>
        <v>R</v>
      </c>
      <c r="AM590" s="66">
        <v>6.0</v>
      </c>
      <c r="AN590" s="36" t="str">
        <f t="shared" si="503"/>
        <v>R</v>
      </c>
      <c r="AO590" s="66" t="s">
        <v>299</v>
      </c>
      <c r="AP590" s="67">
        <v>6.0</v>
      </c>
      <c r="AQ590" s="37" t="str">
        <f t="shared" si="504"/>
        <v>R</v>
      </c>
      <c r="AR590" s="65">
        <v>16.0</v>
      </c>
      <c r="AS590" s="33" t="str">
        <f t="shared" si="505"/>
        <v>R</v>
      </c>
      <c r="AT590" s="65">
        <v>13.0</v>
      </c>
      <c r="AU590" s="33" t="str">
        <f t="shared" si="506"/>
        <v>R</v>
      </c>
      <c r="AV590" s="65" t="s">
        <v>299</v>
      </c>
      <c r="AW590" s="28">
        <v>6.0</v>
      </c>
      <c r="AX590" s="26" t="str">
        <f t="shared" si="507"/>
        <v>R</v>
      </c>
      <c r="AY590" s="67">
        <v>12.0</v>
      </c>
      <c r="AZ590" s="37" t="str">
        <f t="shared" si="508"/>
        <v>R</v>
      </c>
      <c r="BA590" s="66">
        <v>22.0</v>
      </c>
      <c r="BB590" s="36" t="str">
        <f t="shared" si="509"/>
        <v>R</v>
      </c>
      <c r="BC590" s="39" t="s">
        <v>357</v>
      </c>
      <c r="BD590" s="39" t="s">
        <v>357</v>
      </c>
      <c r="BE590" s="66">
        <v>19.0</v>
      </c>
      <c r="BF590" s="36" t="str">
        <f t="shared" si="510"/>
        <v>I</v>
      </c>
      <c r="BG590" s="68">
        <v>17.0</v>
      </c>
      <c r="BH590" s="41" t="str">
        <f t="shared" si="511"/>
        <v>S</v>
      </c>
      <c r="BI590" s="41"/>
    </row>
    <row r="591">
      <c r="A591" s="51" t="s">
        <v>633</v>
      </c>
      <c r="B591" s="53">
        <v>251.0</v>
      </c>
      <c r="C591" s="51" t="s">
        <v>1045</v>
      </c>
      <c r="D591" s="69" t="s">
        <v>1046</v>
      </c>
      <c r="E591" s="18" t="s">
        <v>103</v>
      </c>
      <c r="F591" s="18" t="s">
        <v>192</v>
      </c>
      <c r="G591" s="63" t="s">
        <v>2087</v>
      </c>
      <c r="H591" s="42" t="s">
        <v>479</v>
      </c>
      <c r="I591" s="28">
        <v>6.0</v>
      </c>
      <c r="J591" s="26" t="str">
        <f t="shared" si="489"/>
        <v>R</v>
      </c>
      <c r="K591" s="28">
        <v>17.0</v>
      </c>
      <c r="L591" s="26" t="str">
        <f t="shared" si="490"/>
        <v>R</v>
      </c>
      <c r="M591" s="28">
        <v>6.0</v>
      </c>
      <c r="N591" s="26" t="str">
        <f t="shared" si="491"/>
        <v>R</v>
      </c>
      <c r="O591" s="28">
        <v>19.0</v>
      </c>
      <c r="P591" s="26" t="str">
        <f t="shared" si="492"/>
        <v>R</v>
      </c>
      <c r="Q591" s="28">
        <v>6.0</v>
      </c>
      <c r="R591" s="26" t="str">
        <f t="shared" si="493"/>
        <v>R</v>
      </c>
      <c r="S591" s="28">
        <v>18.0</v>
      </c>
      <c r="T591" s="26" t="str">
        <f t="shared" si="494"/>
        <v>R</v>
      </c>
      <c r="U591" s="28">
        <v>15.0</v>
      </c>
      <c r="V591" s="26" t="str">
        <f t="shared" si="495"/>
        <v>R</v>
      </c>
      <c r="W591" s="32" t="s">
        <v>299</v>
      </c>
      <c r="X591" s="65">
        <v>10.0</v>
      </c>
      <c r="Y591" s="33" t="str">
        <f t="shared" si="496"/>
        <v>R</v>
      </c>
      <c r="Z591" s="65">
        <v>18.0</v>
      </c>
      <c r="AA591" s="33" t="str">
        <f t="shared" si="497"/>
        <v>S</v>
      </c>
      <c r="AB591" s="65">
        <v>11.0</v>
      </c>
      <c r="AC591" s="33" t="str">
        <f t="shared" si="498"/>
        <v>R</v>
      </c>
      <c r="AD591" s="65">
        <v>15.0</v>
      </c>
      <c r="AE591" s="33" t="str">
        <f t="shared" si="499"/>
        <v>S</v>
      </c>
      <c r="AF591" s="65">
        <v>9.0</v>
      </c>
      <c r="AG591" s="33" t="str">
        <f t="shared" si="500"/>
        <v>R</v>
      </c>
      <c r="AH591" s="65" t="s">
        <v>299</v>
      </c>
      <c r="AI591" s="66">
        <v>16.0</v>
      </c>
      <c r="AJ591" s="36" t="str">
        <f t="shared" si="501"/>
        <v>R</v>
      </c>
      <c r="AK591" s="66">
        <v>11.0</v>
      </c>
      <c r="AL591" s="36" t="str">
        <f t="shared" si="502"/>
        <v>R</v>
      </c>
      <c r="AM591" s="66">
        <v>10.0</v>
      </c>
      <c r="AN591" s="36" t="str">
        <f t="shared" si="503"/>
        <v>R</v>
      </c>
      <c r="AO591" s="66" t="s">
        <v>299</v>
      </c>
      <c r="AP591" s="67">
        <v>6.0</v>
      </c>
      <c r="AQ591" s="37" t="str">
        <f t="shared" si="504"/>
        <v>R</v>
      </c>
      <c r="AR591" s="65">
        <v>15.0</v>
      </c>
      <c r="AS591" s="33" t="str">
        <f t="shared" si="505"/>
        <v>R</v>
      </c>
      <c r="AT591" s="65">
        <v>15.0</v>
      </c>
      <c r="AU591" s="33" t="str">
        <f t="shared" si="506"/>
        <v>R</v>
      </c>
      <c r="AV591" s="65" t="s">
        <v>299</v>
      </c>
      <c r="AW591" s="28">
        <v>6.0</v>
      </c>
      <c r="AX591" s="26" t="str">
        <f t="shared" si="507"/>
        <v>R</v>
      </c>
      <c r="AY591" s="67">
        <v>15.0</v>
      </c>
      <c r="AZ591" s="37" t="str">
        <f t="shared" si="508"/>
        <v>R</v>
      </c>
      <c r="BA591" s="66">
        <v>23.0</v>
      </c>
      <c r="BB591" s="36" t="str">
        <f t="shared" si="509"/>
        <v>S</v>
      </c>
      <c r="BC591" s="39" t="s">
        <v>357</v>
      </c>
      <c r="BD591" s="39" t="s">
        <v>357</v>
      </c>
      <c r="BE591" s="66">
        <v>20.0</v>
      </c>
      <c r="BF591" s="36" t="str">
        <f t="shared" si="510"/>
        <v>I</v>
      </c>
      <c r="BG591" s="68">
        <v>14.0</v>
      </c>
      <c r="BH591" s="41" t="str">
        <f t="shared" si="511"/>
        <v>R</v>
      </c>
      <c r="BI591" s="41"/>
    </row>
    <row r="592">
      <c r="A592" s="51" t="s">
        <v>633</v>
      </c>
      <c r="B592" s="51" t="s">
        <v>444</v>
      </c>
      <c r="C592" s="51" t="s">
        <v>2088</v>
      </c>
      <c r="D592" s="69" t="s">
        <v>1046</v>
      </c>
      <c r="E592" s="18" t="s">
        <v>103</v>
      </c>
      <c r="F592" s="18" t="s">
        <v>192</v>
      </c>
      <c r="G592" s="63" t="s">
        <v>2089</v>
      </c>
      <c r="H592" s="42" t="s">
        <v>479</v>
      </c>
      <c r="I592" s="28">
        <v>6.0</v>
      </c>
      <c r="J592" s="26" t="str">
        <f t="shared" si="489"/>
        <v>R</v>
      </c>
      <c r="K592" s="28">
        <v>17.0</v>
      </c>
      <c r="L592" s="26" t="str">
        <f t="shared" si="490"/>
        <v>R</v>
      </c>
      <c r="M592" s="28">
        <v>6.0</v>
      </c>
      <c r="N592" s="26" t="str">
        <f t="shared" si="491"/>
        <v>R</v>
      </c>
      <c r="O592" s="28">
        <v>19.0</v>
      </c>
      <c r="P592" s="26" t="str">
        <f t="shared" si="492"/>
        <v>R</v>
      </c>
      <c r="Q592" s="28">
        <v>6.0</v>
      </c>
      <c r="R592" s="26" t="str">
        <f t="shared" si="493"/>
        <v>R</v>
      </c>
      <c r="S592" s="28">
        <v>18.0</v>
      </c>
      <c r="T592" s="26" t="str">
        <f t="shared" si="494"/>
        <v>R</v>
      </c>
      <c r="U592" s="28">
        <v>15.0</v>
      </c>
      <c r="V592" s="26" t="str">
        <f t="shared" si="495"/>
        <v>R</v>
      </c>
      <c r="W592" s="32" t="s">
        <v>299</v>
      </c>
      <c r="X592" s="65">
        <v>10.0</v>
      </c>
      <c r="Y592" s="33" t="str">
        <f t="shared" si="496"/>
        <v>R</v>
      </c>
      <c r="Z592" s="65">
        <v>18.0</v>
      </c>
      <c r="AA592" s="33" t="str">
        <f t="shared" si="497"/>
        <v>S</v>
      </c>
      <c r="AB592" s="65">
        <v>11.0</v>
      </c>
      <c r="AC592" s="33" t="str">
        <f t="shared" si="498"/>
        <v>R</v>
      </c>
      <c r="AD592" s="65">
        <v>15.0</v>
      </c>
      <c r="AE592" s="33" t="str">
        <f t="shared" si="499"/>
        <v>S</v>
      </c>
      <c r="AF592" s="65">
        <v>9.0</v>
      </c>
      <c r="AG592" s="33" t="str">
        <f t="shared" si="500"/>
        <v>R</v>
      </c>
      <c r="AH592" s="65" t="s">
        <v>299</v>
      </c>
      <c r="AI592" s="66">
        <v>16.0</v>
      </c>
      <c r="AJ592" s="36" t="str">
        <f t="shared" si="501"/>
        <v>R</v>
      </c>
      <c r="AK592" s="66">
        <v>11.0</v>
      </c>
      <c r="AL592" s="36" t="str">
        <f t="shared" si="502"/>
        <v>R</v>
      </c>
      <c r="AM592" s="66">
        <v>10.0</v>
      </c>
      <c r="AN592" s="36" t="str">
        <f t="shared" si="503"/>
        <v>R</v>
      </c>
      <c r="AO592" s="66" t="s">
        <v>299</v>
      </c>
      <c r="AP592" s="67">
        <v>6.0</v>
      </c>
      <c r="AQ592" s="37" t="str">
        <f t="shared" si="504"/>
        <v>R</v>
      </c>
      <c r="AR592" s="65">
        <v>15.0</v>
      </c>
      <c r="AS592" s="33" t="str">
        <f t="shared" si="505"/>
        <v>R</v>
      </c>
      <c r="AT592" s="65">
        <v>15.0</v>
      </c>
      <c r="AU592" s="33" t="str">
        <f t="shared" si="506"/>
        <v>R</v>
      </c>
      <c r="AV592" s="65" t="s">
        <v>299</v>
      </c>
      <c r="AW592" s="28">
        <v>6.0</v>
      </c>
      <c r="AX592" s="26" t="str">
        <f t="shared" si="507"/>
        <v>R</v>
      </c>
      <c r="AY592" s="67">
        <v>15.0</v>
      </c>
      <c r="AZ592" s="37" t="str">
        <f t="shared" si="508"/>
        <v>R</v>
      </c>
      <c r="BA592" s="66">
        <v>21.0</v>
      </c>
      <c r="BB592" s="36" t="str">
        <f t="shared" si="509"/>
        <v>R</v>
      </c>
      <c r="BC592" s="39" t="s">
        <v>357</v>
      </c>
      <c r="BD592" s="39" t="s">
        <v>357</v>
      </c>
      <c r="BE592" s="66">
        <v>18.0</v>
      </c>
      <c r="BF592" s="36" t="str">
        <f t="shared" si="510"/>
        <v>R</v>
      </c>
      <c r="BG592" s="68">
        <v>14.0</v>
      </c>
      <c r="BH592" s="41" t="str">
        <f t="shared" si="511"/>
        <v>R</v>
      </c>
      <c r="BI592" s="41"/>
    </row>
    <row r="593">
      <c r="A593" s="51" t="s">
        <v>633</v>
      </c>
      <c r="B593" s="51" t="s">
        <v>444</v>
      </c>
      <c r="C593" s="51" t="s">
        <v>2090</v>
      </c>
      <c r="D593" s="69" t="s">
        <v>1046</v>
      </c>
      <c r="E593" s="18" t="s">
        <v>103</v>
      </c>
      <c r="F593" s="18" t="s">
        <v>192</v>
      </c>
      <c r="G593" s="63" t="s">
        <v>2091</v>
      </c>
      <c r="H593" s="42" t="s">
        <v>479</v>
      </c>
      <c r="I593" s="28">
        <v>6.0</v>
      </c>
      <c r="J593" s="26" t="str">
        <f t="shared" si="489"/>
        <v>R</v>
      </c>
      <c r="K593" s="28">
        <v>17.0</v>
      </c>
      <c r="L593" s="26" t="str">
        <f t="shared" si="490"/>
        <v>R</v>
      </c>
      <c r="M593" s="28">
        <v>6.0</v>
      </c>
      <c r="N593" s="26" t="str">
        <f t="shared" si="491"/>
        <v>R</v>
      </c>
      <c r="O593" s="28">
        <v>19.0</v>
      </c>
      <c r="P593" s="26" t="str">
        <f t="shared" si="492"/>
        <v>R</v>
      </c>
      <c r="Q593" s="28">
        <v>6.0</v>
      </c>
      <c r="R593" s="26" t="str">
        <f t="shared" si="493"/>
        <v>R</v>
      </c>
      <c r="S593" s="28">
        <v>18.0</v>
      </c>
      <c r="T593" s="26" t="str">
        <f t="shared" si="494"/>
        <v>R</v>
      </c>
      <c r="U593" s="28">
        <v>15.0</v>
      </c>
      <c r="V593" s="26" t="str">
        <f t="shared" si="495"/>
        <v>R</v>
      </c>
      <c r="W593" s="32" t="s">
        <v>299</v>
      </c>
      <c r="X593" s="65">
        <v>10.0</v>
      </c>
      <c r="Y593" s="33" t="str">
        <f t="shared" si="496"/>
        <v>R</v>
      </c>
      <c r="Z593" s="65">
        <v>18.0</v>
      </c>
      <c r="AA593" s="33" t="str">
        <f t="shared" si="497"/>
        <v>S</v>
      </c>
      <c r="AB593" s="65">
        <v>11.0</v>
      </c>
      <c r="AC593" s="33" t="str">
        <f t="shared" si="498"/>
        <v>R</v>
      </c>
      <c r="AD593" s="65">
        <v>15.0</v>
      </c>
      <c r="AE593" s="33" t="str">
        <f t="shared" si="499"/>
        <v>S</v>
      </c>
      <c r="AF593" s="65">
        <v>9.0</v>
      </c>
      <c r="AG593" s="33" t="str">
        <f t="shared" si="500"/>
        <v>R</v>
      </c>
      <c r="AH593" s="65" t="s">
        <v>299</v>
      </c>
      <c r="AI593" s="66">
        <v>16.0</v>
      </c>
      <c r="AJ593" s="36" t="str">
        <f t="shared" si="501"/>
        <v>R</v>
      </c>
      <c r="AK593" s="66">
        <v>11.0</v>
      </c>
      <c r="AL593" s="36" t="str">
        <f t="shared" si="502"/>
        <v>R</v>
      </c>
      <c r="AM593" s="66">
        <v>10.0</v>
      </c>
      <c r="AN593" s="36" t="str">
        <f t="shared" si="503"/>
        <v>R</v>
      </c>
      <c r="AO593" s="66" t="s">
        <v>299</v>
      </c>
      <c r="AP593" s="67">
        <v>6.0</v>
      </c>
      <c r="AQ593" s="37" t="str">
        <f t="shared" si="504"/>
        <v>R</v>
      </c>
      <c r="AR593" s="65">
        <v>15.0</v>
      </c>
      <c r="AS593" s="33" t="str">
        <f t="shared" si="505"/>
        <v>R</v>
      </c>
      <c r="AT593" s="65">
        <v>15.0</v>
      </c>
      <c r="AU593" s="33" t="str">
        <f t="shared" si="506"/>
        <v>R</v>
      </c>
      <c r="AV593" s="65" t="s">
        <v>299</v>
      </c>
      <c r="AW593" s="28">
        <v>6.0</v>
      </c>
      <c r="AX593" s="26" t="str">
        <f t="shared" si="507"/>
        <v>R</v>
      </c>
      <c r="AY593" s="67">
        <v>15.0</v>
      </c>
      <c r="AZ593" s="37" t="str">
        <f t="shared" si="508"/>
        <v>R</v>
      </c>
      <c r="BA593" s="66">
        <v>23.0</v>
      </c>
      <c r="BB593" s="36" t="str">
        <f t="shared" si="509"/>
        <v>S</v>
      </c>
      <c r="BC593" s="39" t="s">
        <v>357</v>
      </c>
      <c r="BD593" s="39" t="s">
        <v>357</v>
      </c>
      <c r="BE593" s="66">
        <v>18.0</v>
      </c>
      <c r="BF593" s="36" t="str">
        <f t="shared" si="510"/>
        <v>R</v>
      </c>
      <c r="BG593" s="68">
        <v>14.0</v>
      </c>
      <c r="BH593" s="41" t="str">
        <f t="shared" si="511"/>
        <v>R</v>
      </c>
      <c r="BI593" s="41"/>
    </row>
    <row r="594">
      <c r="A594" s="21" t="s">
        <v>637</v>
      </c>
      <c r="B594" s="23">
        <v>252.0</v>
      </c>
      <c r="C594" s="21" t="s">
        <v>1052</v>
      </c>
      <c r="D594" s="69" t="s">
        <v>190</v>
      </c>
      <c r="E594" s="18" t="s">
        <v>190</v>
      </c>
      <c r="F594" s="18" t="s">
        <v>192</v>
      </c>
      <c r="G594" s="63" t="s">
        <v>1053</v>
      </c>
      <c r="H594" s="22" t="s">
        <v>198</v>
      </c>
      <c r="I594" s="28">
        <v>6.0</v>
      </c>
      <c r="J594" s="26" t="str">
        <f t="shared" si="489"/>
        <v>R</v>
      </c>
      <c r="K594" s="28">
        <v>19.0</v>
      </c>
      <c r="L594" s="26" t="str">
        <f t="shared" si="490"/>
        <v>S</v>
      </c>
      <c r="M594" s="28">
        <v>6.0</v>
      </c>
      <c r="N594" s="26" t="str">
        <f t="shared" si="491"/>
        <v>R</v>
      </c>
      <c r="O594" s="28">
        <v>23.0</v>
      </c>
      <c r="P594" s="26" t="str">
        <f t="shared" si="492"/>
        <v>S</v>
      </c>
      <c r="Q594" s="28">
        <v>11.0</v>
      </c>
      <c r="R594" s="26" t="str">
        <f t="shared" si="493"/>
        <v>R</v>
      </c>
      <c r="S594" s="28">
        <v>23.0</v>
      </c>
      <c r="T594" s="26" t="str">
        <f t="shared" si="494"/>
        <v>S</v>
      </c>
      <c r="U594" s="28">
        <v>27.0</v>
      </c>
      <c r="V594" s="26" t="str">
        <f t="shared" si="495"/>
        <v>S</v>
      </c>
      <c r="W594" s="32" t="s">
        <v>299</v>
      </c>
      <c r="X594" s="65">
        <v>17.0</v>
      </c>
      <c r="Y594" s="33" t="str">
        <f t="shared" si="496"/>
        <v>I</v>
      </c>
      <c r="Z594" s="65">
        <v>24.0</v>
      </c>
      <c r="AA594" s="33" t="str">
        <f t="shared" si="497"/>
        <v>S</v>
      </c>
      <c r="AB594" s="65">
        <v>21.0</v>
      </c>
      <c r="AC594" s="33" t="str">
        <f t="shared" si="498"/>
        <v>I</v>
      </c>
      <c r="AD594" s="65">
        <v>24.0</v>
      </c>
      <c r="AE594" s="33" t="str">
        <f t="shared" si="499"/>
        <v>S</v>
      </c>
      <c r="AF594" s="65">
        <v>23.0</v>
      </c>
      <c r="AG594" s="33" t="str">
        <f t="shared" si="500"/>
        <v>R</v>
      </c>
      <c r="AH594" s="65" t="s">
        <v>299</v>
      </c>
      <c r="AI594" s="66">
        <v>32.0</v>
      </c>
      <c r="AJ594" s="36" t="str">
        <f t="shared" si="501"/>
        <v>S</v>
      </c>
      <c r="AK594" s="66">
        <v>26.0</v>
      </c>
      <c r="AL594" s="36" t="str">
        <f t="shared" si="502"/>
        <v>S</v>
      </c>
      <c r="AM594" s="66">
        <v>26.0</v>
      </c>
      <c r="AN594" s="36" t="str">
        <f t="shared" si="503"/>
        <v>S</v>
      </c>
      <c r="AO594" s="36" t="s">
        <v>300</v>
      </c>
      <c r="AP594" s="67">
        <v>6.0</v>
      </c>
      <c r="AQ594" s="37" t="str">
        <f t="shared" si="504"/>
        <v>R</v>
      </c>
      <c r="AR594" s="65">
        <v>24.0</v>
      </c>
      <c r="AS594" s="33" t="str">
        <f t="shared" si="505"/>
        <v>S</v>
      </c>
      <c r="AT594" s="65">
        <v>24.0</v>
      </c>
      <c r="AU594" s="33" t="str">
        <f t="shared" si="506"/>
        <v>S</v>
      </c>
      <c r="AV594" s="33" t="s">
        <v>300</v>
      </c>
      <c r="AW594" s="28">
        <v>6.0</v>
      </c>
      <c r="AX594" s="26" t="str">
        <f t="shared" si="507"/>
        <v>R</v>
      </c>
      <c r="AY594" s="67">
        <v>26.0</v>
      </c>
      <c r="AZ594" s="37" t="str">
        <f t="shared" si="508"/>
        <v>S</v>
      </c>
      <c r="BA594" s="66">
        <v>34.0</v>
      </c>
      <c r="BB594" s="36" t="str">
        <f t="shared" si="509"/>
        <v>S</v>
      </c>
      <c r="BC594" s="39" t="s">
        <v>357</v>
      </c>
      <c r="BD594" s="39" t="s">
        <v>357</v>
      </c>
      <c r="BE594" s="66">
        <v>27.0</v>
      </c>
      <c r="BF594" s="36" t="str">
        <f t="shared" si="510"/>
        <v>S</v>
      </c>
      <c r="BG594" s="68">
        <v>23.0</v>
      </c>
      <c r="BH594" s="41" t="str">
        <f t="shared" si="511"/>
        <v>S</v>
      </c>
      <c r="BI594" s="41"/>
    </row>
    <row r="595">
      <c r="A595" s="21" t="s">
        <v>637</v>
      </c>
      <c r="B595" s="21" t="s">
        <v>444</v>
      </c>
      <c r="C595" s="21" t="s">
        <v>2092</v>
      </c>
      <c r="D595" s="69" t="s">
        <v>190</v>
      </c>
      <c r="E595" s="18" t="s">
        <v>190</v>
      </c>
      <c r="F595" s="18" t="s">
        <v>192</v>
      </c>
      <c r="G595" s="63" t="s">
        <v>2093</v>
      </c>
      <c r="H595" s="22" t="s">
        <v>198</v>
      </c>
      <c r="I595" s="28">
        <v>6.0</v>
      </c>
      <c r="J595" s="26" t="str">
        <f t="shared" si="489"/>
        <v>R</v>
      </c>
      <c r="K595" s="28">
        <v>19.0</v>
      </c>
      <c r="L595" s="26" t="str">
        <f t="shared" si="490"/>
        <v>S</v>
      </c>
      <c r="M595" s="28">
        <v>6.0</v>
      </c>
      <c r="N595" s="26" t="str">
        <f t="shared" si="491"/>
        <v>R</v>
      </c>
      <c r="O595" s="28">
        <v>23.0</v>
      </c>
      <c r="P595" s="26" t="str">
        <f t="shared" si="492"/>
        <v>S</v>
      </c>
      <c r="Q595" s="28">
        <v>11.0</v>
      </c>
      <c r="R595" s="26" t="str">
        <f t="shared" si="493"/>
        <v>R</v>
      </c>
      <c r="S595" s="28">
        <v>23.0</v>
      </c>
      <c r="T595" s="26" t="str">
        <f t="shared" si="494"/>
        <v>S</v>
      </c>
      <c r="U595" s="28">
        <v>27.0</v>
      </c>
      <c r="V595" s="26" t="str">
        <f t="shared" si="495"/>
        <v>S</v>
      </c>
      <c r="W595" s="32" t="s">
        <v>299</v>
      </c>
      <c r="X595" s="65">
        <v>17.0</v>
      </c>
      <c r="Y595" s="33" t="str">
        <f t="shared" si="496"/>
        <v>I</v>
      </c>
      <c r="Z595" s="65">
        <v>24.0</v>
      </c>
      <c r="AA595" s="33" t="str">
        <f t="shared" si="497"/>
        <v>S</v>
      </c>
      <c r="AB595" s="65">
        <v>21.0</v>
      </c>
      <c r="AC595" s="33" t="str">
        <f t="shared" si="498"/>
        <v>I</v>
      </c>
      <c r="AD595" s="65">
        <v>24.0</v>
      </c>
      <c r="AE595" s="33" t="str">
        <f t="shared" si="499"/>
        <v>S</v>
      </c>
      <c r="AF595" s="65">
        <v>23.0</v>
      </c>
      <c r="AG595" s="33" t="str">
        <f t="shared" si="500"/>
        <v>R</v>
      </c>
      <c r="AH595" s="65" t="s">
        <v>299</v>
      </c>
      <c r="AI595" s="66">
        <v>32.0</v>
      </c>
      <c r="AJ595" s="36" t="str">
        <f t="shared" si="501"/>
        <v>S</v>
      </c>
      <c r="AK595" s="66">
        <v>26.0</v>
      </c>
      <c r="AL595" s="36" t="str">
        <f t="shared" si="502"/>
        <v>S</v>
      </c>
      <c r="AM595" s="66">
        <v>26.0</v>
      </c>
      <c r="AN595" s="36" t="str">
        <f t="shared" si="503"/>
        <v>S</v>
      </c>
      <c r="AO595" s="36" t="s">
        <v>300</v>
      </c>
      <c r="AP595" s="67">
        <v>6.0</v>
      </c>
      <c r="AQ595" s="37" t="str">
        <f t="shared" si="504"/>
        <v>R</v>
      </c>
      <c r="AR595" s="65">
        <v>24.0</v>
      </c>
      <c r="AS595" s="33" t="str">
        <f t="shared" si="505"/>
        <v>S</v>
      </c>
      <c r="AT595" s="65">
        <v>24.0</v>
      </c>
      <c r="AU595" s="33" t="str">
        <f t="shared" si="506"/>
        <v>S</v>
      </c>
      <c r="AV595" s="33" t="s">
        <v>300</v>
      </c>
      <c r="AW595" s="28">
        <v>6.0</v>
      </c>
      <c r="AX595" s="26" t="str">
        <f t="shared" si="507"/>
        <v>R</v>
      </c>
      <c r="AY595" s="67">
        <v>26.0</v>
      </c>
      <c r="AZ595" s="37" t="str">
        <f t="shared" si="508"/>
        <v>S</v>
      </c>
      <c r="BA595" s="66">
        <v>34.0</v>
      </c>
      <c r="BB595" s="36" t="str">
        <f t="shared" si="509"/>
        <v>S</v>
      </c>
      <c r="BC595" s="39" t="s">
        <v>357</v>
      </c>
      <c r="BD595" s="39" t="s">
        <v>357</v>
      </c>
      <c r="BE595" s="66">
        <v>27.0</v>
      </c>
      <c r="BF595" s="36" t="str">
        <f t="shared" si="510"/>
        <v>S</v>
      </c>
      <c r="BG595" s="68">
        <v>23.0</v>
      </c>
      <c r="BH595" s="41" t="str">
        <f t="shared" si="511"/>
        <v>S</v>
      </c>
      <c r="BI595" s="41"/>
    </row>
    <row r="596">
      <c r="A596" s="21" t="s">
        <v>637</v>
      </c>
      <c r="B596" s="21" t="s">
        <v>444</v>
      </c>
      <c r="C596" s="21" t="s">
        <v>2094</v>
      </c>
      <c r="D596" s="69" t="s">
        <v>190</v>
      </c>
      <c r="E596" s="18" t="s">
        <v>190</v>
      </c>
      <c r="F596" s="18" t="s">
        <v>192</v>
      </c>
      <c r="G596" s="63" t="s">
        <v>2095</v>
      </c>
      <c r="H596" s="22" t="s">
        <v>198</v>
      </c>
      <c r="I596" s="28">
        <v>6.0</v>
      </c>
      <c r="J596" s="26" t="str">
        <f t="shared" si="489"/>
        <v>R</v>
      </c>
      <c r="K596" s="28">
        <v>18.0</v>
      </c>
      <c r="L596" s="26" t="str">
        <f t="shared" si="490"/>
        <v>R</v>
      </c>
      <c r="M596" s="28">
        <v>6.0</v>
      </c>
      <c r="N596" s="26" t="str">
        <f t="shared" si="491"/>
        <v>R</v>
      </c>
      <c r="O596" s="28">
        <v>21.0</v>
      </c>
      <c r="P596" s="26" t="str">
        <f t="shared" si="492"/>
        <v>I</v>
      </c>
      <c r="Q596" s="28">
        <v>6.0</v>
      </c>
      <c r="R596" s="26" t="str">
        <f t="shared" si="493"/>
        <v>R</v>
      </c>
      <c r="S596" s="28">
        <v>16.0</v>
      </c>
      <c r="T596" s="26" t="str">
        <f t="shared" si="494"/>
        <v>R</v>
      </c>
      <c r="U596" s="28">
        <v>18.0</v>
      </c>
      <c r="V596" s="26" t="str">
        <f t="shared" si="495"/>
        <v>I</v>
      </c>
      <c r="W596" s="32" t="s">
        <v>299</v>
      </c>
      <c r="X596" s="65">
        <v>6.0</v>
      </c>
      <c r="Y596" s="33" t="str">
        <f t="shared" si="496"/>
        <v>R</v>
      </c>
      <c r="Z596" s="65">
        <v>21.0</v>
      </c>
      <c r="AA596" s="33" t="str">
        <f t="shared" si="497"/>
        <v>S</v>
      </c>
      <c r="AB596" s="65">
        <v>6.0</v>
      </c>
      <c r="AC596" s="33" t="str">
        <f t="shared" si="498"/>
        <v>R</v>
      </c>
      <c r="AD596" s="65">
        <v>6.0</v>
      </c>
      <c r="AE596" s="33" t="str">
        <f t="shared" si="499"/>
        <v>R</v>
      </c>
      <c r="AF596" s="65">
        <v>11.0</v>
      </c>
      <c r="AG596" s="33" t="str">
        <f t="shared" si="500"/>
        <v>R</v>
      </c>
      <c r="AH596" s="65" t="s">
        <v>299</v>
      </c>
      <c r="AI596" s="66">
        <v>6.0</v>
      </c>
      <c r="AJ596" s="36" t="str">
        <f t="shared" si="501"/>
        <v>R</v>
      </c>
      <c r="AK596" s="66">
        <v>6.0</v>
      </c>
      <c r="AL596" s="36" t="str">
        <f t="shared" si="502"/>
        <v>R</v>
      </c>
      <c r="AM596" s="66">
        <v>6.0</v>
      </c>
      <c r="AN596" s="36" t="str">
        <f t="shared" si="503"/>
        <v>R</v>
      </c>
      <c r="AO596" s="66" t="s">
        <v>299</v>
      </c>
      <c r="AP596" s="67">
        <v>6.0</v>
      </c>
      <c r="AQ596" s="37" t="str">
        <f t="shared" si="504"/>
        <v>R</v>
      </c>
      <c r="AR596" s="65">
        <v>16.0</v>
      </c>
      <c r="AS596" s="33" t="str">
        <f t="shared" si="505"/>
        <v>R</v>
      </c>
      <c r="AT596" s="65">
        <v>13.0</v>
      </c>
      <c r="AU596" s="33" t="str">
        <f t="shared" si="506"/>
        <v>R</v>
      </c>
      <c r="AV596" s="65" t="s">
        <v>299</v>
      </c>
      <c r="AW596" s="28">
        <v>6.0</v>
      </c>
      <c r="AX596" s="26" t="str">
        <f t="shared" si="507"/>
        <v>R</v>
      </c>
      <c r="AY596" s="67">
        <v>13.0</v>
      </c>
      <c r="AZ596" s="37" t="str">
        <f t="shared" si="508"/>
        <v>R</v>
      </c>
      <c r="BA596" s="66">
        <v>22.0</v>
      </c>
      <c r="BB596" s="36" t="str">
        <f t="shared" si="509"/>
        <v>R</v>
      </c>
      <c r="BC596" s="39" t="s">
        <v>357</v>
      </c>
      <c r="BD596" s="39" t="s">
        <v>357</v>
      </c>
      <c r="BE596" s="66">
        <v>23.0</v>
      </c>
      <c r="BF596" s="36" t="str">
        <f t="shared" si="510"/>
        <v>S</v>
      </c>
      <c r="BG596" s="68">
        <v>17.0</v>
      </c>
      <c r="BH596" s="41" t="str">
        <f t="shared" si="511"/>
        <v>S</v>
      </c>
      <c r="BI596" s="41"/>
    </row>
    <row r="597">
      <c r="A597" s="21" t="s">
        <v>637</v>
      </c>
      <c r="B597" s="23">
        <v>253.0</v>
      </c>
      <c r="C597" s="21" t="s">
        <v>1058</v>
      </c>
      <c r="D597" s="69" t="s">
        <v>571</v>
      </c>
      <c r="E597" s="18" t="s">
        <v>572</v>
      </c>
      <c r="F597" s="18" t="s">
        <v>192</v>
      </c>
      <c r="G597" s="63" t="s">
        <v>1059</v>
      </c>
      <c r="H597" s="52" t="s">
        <v>581</v>
      </c>
      <c r="I597" s="28">
        <v>6.0</v>
      </c>
      <c r="J597" s="26" t="str">
        <f t="shared" si="489"/>
        <v>R</v>
      </c>
      <c r="K597" s="28">
        <v>18.0</v>
      </c>
      <c r="L597" s="26" t="str">
        <f t="shared" si="490"/>
        <v>R</v>
      </c>
      <c r="M597" s="28">
        <v>20.0</v>
      </c>
      <c r="N597" s="26" t="str">
        <f t="shared" si="491"/>
        <v>R</v>
      </c>
      <c r="O597" s="28">
        <v>37.0</v>
      </c>
      <c r="P597" s="26" t="str">
        <f t="shared" si="492"/>
        <v>S</v>
      </c>
      <c r="Q597" s="28">
        <v>19.0</v>
      </c>
      <c r="R597" s="26" t="str">
        <f t="shared" si="493"/>
        <v>R</v>
      </c>
      <c r="S597" s="28">
        <v>15.0</v>
      </c>
      <c r="T597" s="26" t="str">
        <f t="shared" si="494"/>
        <v>R</v>
      </c>
      <c r="U597" s="28">
        <v>12.0</v>
      </c>
      <c r="V597" s="26" t="str">
        <f t="shared" si="495"/>
        <v>R</v>
      </c>
      <c r="W597" s="32" t="s">
        <v>299</v>
      </c>
      <c r="X597" s="65">
        <v>18.0</v>
      </c>
      <c r="Y597" s="33" t="str">
        <f t="shared" si="496"/>
        <v>I</v>
      </c>
      <c r="Z597" s="65">
        <v>25.0</v>
      </c>
      <c r="AA597" s="33" t="str">
        <f t="shared" si="497"/>
        <v>S</v>
      </c>
      <c r="AB597" s="65">
        <v>18.0</v>
      </c>
      <c r="AC597" s="33" t="str">
        <f t="shared" si="498"/>
        <v>R</v>
      </c>
      <c r="AD597" s="65">
        <v>18.0</v>
      </c>
      <c r="AE597" s="33" t="str">
        <f t="shared" si="499"/>
        <v>S</v>
      </c>
      <c r="AF597" s="65">
        <v>18.0</v>
      </c>
      <c r="AG597" s="33" t="str">
        <f t="shared" si="500"/>
        <v>R</v>
      </c>
      <c r="AH597" s="65" t="s">
        <v>299</v>
      </c>
      <c r="AI597" s="66">
        <v>22.0</v>
      </c>
      <c r="AJ597" s="36" t="str">
        <f t="shared" si="501"/>
        <v>I</v>
      </c>
      <c r="AK597" s="66">
        <v>15.0</v>
      </c>
      <c r="AL597" s="36" t="str">
        <f t="shared" si="502"/>
        <v>R</v>
      </c>
      <c r="AM597" s="66">
        <v>12.0</v>
      </c>
      <c r="AN597" s="36" t="str">
        <f t="shared" si="503"/>
        <v>R</v>
      </c>
      <c r="AO597" s="66" t="s">
        <v>299</v>
      </c>
      <c r="AP597" s="67">
        <v>11.0</v>
      </c>
      <c r="AQ597" s="37" t="str">
        <f t="shared" si="504"/>
        <v>I</v>
      </c>
      <c r="AR597" s="65">
        <v>21.0</v>
      </c>
      <c r="AS597" s="33" t="str">
        <f t="shared" si="505"/>
        <v>S</v>
      </c>
      <c r="AT597" s="65">
        <v>17.0</v>
      </c>
      <c r="AU597" s="33" t="str">
        <f t="shared" si="506"/>
        <v>S</v>
      </c>
      <c r="AV597" s="33" t="s">
        <v>300</v>
      </c>
      <c r="AW597" s="28">
        <v>6.0</v>
      </c>
      <c r="AX597" s="26" t="str">
        <f t="shared" si="507"/>
        <v>R</v>
      </c>
      <c r="AY597" s="67">
        <v>6.0</v>
      </c>
      <c r="AZ597" s="37" t="str">
        <f t="shared" si="508"/>
        <v>R</v>
      </c>
      <c r="BA597" s="66">
        <v>25.0</v>
      </c>
      <c r="BB597" s="36" t="str">
        <f t="shared" si="509"/>
        <v>S</v>
      </c>
      <c r="BC597" s="39" t="s">
        <v>357</v>
      </c>
      <c r="BD597" s="39" t="s">
        <v>357</v>
      </c>
      <c r="BE597" s="66">
        <v>25.0</v>
      </c>
      <c r="BF597" s="36" t="str">
        <f t="shared" si="510"/>
        <v>S</v>
      </c>
      <c r="BG597" s="68">
        <v>15.0</v>
      </c>
      <c r="BH597" s="41" t="str">
        <f t="shared" si="511"/>
        <v>R</v>
      </c>
      <c r="BI597" s="41"/>
    </row>
    <row r="598">
      <c r="A598" s="21" t="s">
        <v>637</v>
      </c>
      <c r="B598" s="21" t="s">
        <v>444</v>
      </c>
      <c r="C598" s="21" t="s">
        <v>2096</v>
      </c>
      <c r="D598" s="69" t="s">
        <v>571</v>
      </c>
      <c r="E598" s="18" t="s">
        <v>572</v>
      </c>
      <c r="F598" s="18" t="s">
        <v>192</v>
      </c>
      <c r="G598" s="63" t="s">
        <v>2097</v>
      </c>
      <c r="H598" s="52" t="s">
        <v>581</v>
      </c>
      <c r="I598" s="28">
        <v>6.0</v>
      </c>
      <c r="J598" s="26" t="str">
        <f t="shared" si="489"/>
        <v>R</v>
      </c>
      <c r="K598" s="28">
        <v>18.0</v>
      </c>
      <c r="L598" s="26" t="str">
        <f t="shared" si="490"/>
        <v>R</v>
      </c>
      <c r="M598" s="28">
        <v>20.0</v>
      </c>
      <c r="N598" s="26" t="str">
        <f t="shared" si="491"/>
        <v>R</v>
      </c>
      <c r="O598" s="28">
        <v>37.0</v>
      </c>
      <c r="P598" s="26" t="str">
        <f t="shared" si="492"/>
        <v>S</v>
      </c>
      <c r="Q598" s="28">
        <v>19.0</v>
      </c>
      <c r="R598" s="26" t="str">
        <f t="shared" si="493"/>
        <v>R</v>
      </c>
      <c r="S598" s="28">
        <v>15.0</v>
      </c>
      <c r="T598" s="26" t="str">
        <f t="shared" si="494"/>
        <v>R</v>
      </c>
      <c r="U598" s="28">
        <v>12.0</v>
      </c>
      <c r="V598" s="26" t="str">
        <f t="shared" si="495"/>
        <v>R</v>
      </c>
      <c r="W598" s="32" t="s">
        <v>299</v>
      </c>
      <c r="X598" s="65">
        <v>18.0</v>
      </c>
      <c r="Y598" s="33" t="str">
        <f t="shared" si="496"/>
        <v>I</v>
      </c>
      <c r="Z598" s="65">
        <v>26.0</v>
      </c>
      <c r="AA598" s="33" t="str">
        <f t="shared" si="497"/>
        <v>S</v>
      </c>
      <c r="AB598" s="65">
        <v>18.0</v>
      </c>
      <c r="AC598" s="33" t="str">
        <f t="shared" si="498"/>
        <v>R</v>
      </c>
      <c r="AD598" s="65">
        <v>18.0</v>
      </c>
      <c r="AE598" s="33" t="str">
        <f t="shared" si="499"/>
        <v>S</v>
      </c>
      <c r="AF598" s="65">
        <v>18.0</v>
      </c>
      <c r="AG598" s="33" t="str">
        <f t="shared" si="500"/>
        <v>R</v>
      </c>
      <c r="AH598" s="65" t="s">
        <v>299</v>
      </c>
      <c r="AI598" s="66">
        <v>22.0</v>
      </c>
      <c r="AJ598" s="36" t="str">
        <f t="shared" si="501"/>
        <v>I</v>
      </c>
      <c r="AK598" s="66">
        <v>15.0</v>
      </c>
      <c r="AL598" s="36" t="str">
        <f t="shared" si="502"/>
        <v>R</v>
      </c>
      <c r="AM598" s="66">
        <v>12.0</v>
      </c>
      <c r="AN598" s="36" t="str">
        <f t="shared" si="503"/>
        <v>R</v>
      </c>
      <c r="AO598" s="66" t="s">
        <v>299</v>
      </c>
      <c r="AP598" s="67">
        <v>11.0</v>
      </c>
      <c r="AQ598" s="37" t="str">
        <f t="shared" si="504"/>
        <v>I</v>
      </c>
      <c r="AR598" s="65">
        <v>20.0</v>
      </c>
      <c r="AS598" s="33" t="str">
        <f t="shared" si="505"/>
        <v>S</v>
      </c>
      <c r="AT598" s="65">
        <v>17.0</v>
      </c>
      <c r="AU598" s="33" t="str">
        <f t="shared" si="506"/>
        <v>S</v>
      </c>
      <c r="AV598" s="33" t="s">
        <v>300</v>
      </c>
      <c r="AW598" s="28">
        <v>6.0</v>
      </c>
      <c r="AX598" s="26" t="str">
        <f t="shared" si="507"/>
        <v>R</v>
      </c>
      <c r="AY598" s="67">
        <v>6.0</v>
      </c>
      <c r="AZ598" s="37" t="str">
        <f t="shared" si="508"/>
        <v>R</v>
      </c>
      <c r="BA598" s="66">
        <v>25.0</v>
      </c>
      <c r="BB598" s="36" t="str">
        <f t="shared" si="509"/>
        <v>S</v>
      </c>
      <c r="BC598" s="39" t="s">
        <v>357</v>
      </c>
      <c r="BD598" s="39" t="s">
        <v>357</v>
      </c>
      <c r="BE598" s="66">
        <v>25.0</v>
      </c>
      <c r="BF598" s="36" t="str">
        <f t="shared" si="510"/>
        <v>S</v>
      </c>
      <c r="BG598" s="68">
        <v>15.0</v>
      </c>
      <c r="BH598" s="41" t="str">
        <f t="shared" si="511"/>
        <v>R</v>
      </c>
      <c r="BI598" s="41"/>
    </row>
    <row r="599">
      <c r="A599" s="21" t="s">
        <v>637</v>
      </c>
      <c r="B599" s="21" t="s">
        <v>444</v>
      </c>
      <c r="C599" s="21" t="s">
        <v>2098</v>
      </c>
      <c r="D599" s="69" t="s">
        <v>571</v>
      </c>
      <c r="E599" s="18" t="s">
        <v>572</v>
      </c>
      <c r="F599" s="18" t="s">
        <v>192</v>
      </c>
      <c r="G599" s="63" t="s">
        <v>2099</v>
      </c>
      <c r="H599" s="52" t="s">
        <v>581</v>
      </c>
      <c r="I599" s="28">
        <v>6.0</v>
      </c>
      <c r="J599" s="26" t="str">
        <f t="shared" si="489"/>
        <v>R</v>
      </c>
      <c r="K599" s="28">
        <v>18.0</v>
      </c>
      <c r="L599" s="26" t="str">
        <f t="shared" si="490"/>
        <v>R</v>
      </c>
      <c r="M599" s="28">
        <v>20.0</v>
      </c>
      <c r="N599" s="26" t="str">
        <f t="shared" si="491"/>
        <v>R</v>
      </c>
      <c r="O599" s="28">
        <v>37.0</v>
      </c>
      <c r="P599" s="26" t="str">
        <f t="shared" si="492"/>
        <v>S</v>
      </c>
      <c r="Q599" s="28">
        <v>19.0</v>
      </c>
      <c r="R599" s="26" t="str">
        <f t="shared" si="493"/>
        <v>R</v>
      </c>
      <c r="S599" s="28">
        <v>15.0</v>
      </c>
      <c r="T599" s="26" t="str">
        <f t="shared" si="494"/>
        <v>R</v>
      </c>
      <c r="U599" s="28">
        <v>12.0</v>
      </c>
      <c r="V599" s="26" t="str">
        <f t="shared" si="495"/>
        <v>R</v>
      </c>
      <c r="W599" s="32" t="s">
        <v>299</v>
      </c>
      <c r="X599" s="65">
        <v>18.0</v>
      </c>
      <c r="Y599" s="33" t="str">
        <f t="shared" si="496"/>
        <v>I</v>
      </c>
      <c r="Z599" s="65">
        <v>25.0</v>
      </c>
      <c r="AA599" s="33" t="str">
        <f t="shared" si="497"/>
        <v>S</v>
      </c>
      <c r="AB599" s="65">
        <v>18.0</v>
      </c>
      <c r="AC599" s="33" t="str">
        <f t="shared" si="498"/>
        <v>R</v>
      </c>
      <c r="AD599" s="65">
        <v>18.0</v>
      </c>
      <c r="AE599" s="33" t="str">
        <f t="shared" si="499"/>
        <v>S</v>
      </c>
      <c r="AF599" s="65">
        <v>18.0</v>
      </c>
      <c r="AG599" s="33" t="str">
        <f t="shared" si="500"/>
        <v>R</v>
      </c>
      <c r="AH599" s="65" t="s">
        <v>299</v>
      </c>
      <c r="AI599" s="66">
        <v>22.0</v>
      </c>
      <c r="AJ599" s="36" t="str">
        <f t="shared" si="501"/>
        <v>I</v>
      </c>
      <c r="AK599" s="66">
        <v>15.0</v>
      </c>
      <c r="AL599" s="36" t="str">
        <f t="shared" si="502"/>
        <v>R</v>
      </c>
      <c r="AM599" s="66">
        <v>12.0</v>
      </c>
      <c r="AN599" s="36" t="str">
        <f t="shared" si="503"/>
        <v>R</v>
      </c>
      <c r="AO599" s="66" t="s">
        <v>299</v>
      </c>
      <c r="AP599" s="67">
        <v>11.0</v>
      </c>
      <c r="AQ599" s="37" t="str">
        <f t="shared" si="504"/>
        <v>I</v>
      </c>
      <c r="AR599" s="65">
        <v>21.0</v>
      </c>
      <c r="AS599" s="33" t="str">
        <f t="shared" si="505"/>
        <v>S</v>
      </c>
      <c r="AT599" s="65">
        <v>17.0</v>
      </c>
      <c r="AU599" s="33" t="str">
        <f t="shared" si="506"/>
        <v>S</v>
      </c>
      <c r="AV599" s="33" t="s">
        <v>300</v>
      </c>
      <c r="AW599" s="28">
        <v>6.0</v>
      </c>
      <c r="AX599" s="26" t="str">
        <f t="shared" si="507"/>
        <v>R</v>
      </c>
      <c r="AY599" s="67">
        <v>6.0</v>
      </c>
      <c r="AZ599" s="37" t="str">
        <f t="shared" si="508"/>
        <v>R</v>
      </c>
      <c r="BA599" s="66">
        <v>25.0</v>
      </c>
      <c r="BB599" s="36" t="str">
        <f t="shared" si="509"/>
        <v>S</v>
      </c>
      <c r="BC599" s="39" t="s">
        <v>357</v>
      </c>
      <c r="BD599" s="39" t="s">
        <v>357</v>
      </c>
      <c r="BE599" s="66">
        <v>25.0</v>
      </c>
      <c r="BF599" s="36" t="str">
        <f t="shared" si="510"/>
        <v>S</v>
      </c>
      <c r="BG599" s="68">
        <v>15.0</v>
      </c>
      <c r="BH599" s="41" t="str">
        <f t="shared" si="511"/>
        <v>R</v>
      </c>
      <c r="BI599" s="41"/>
    </row>
    <row r="600">
      <c r="A600" s="51" t="s">
        <v>647</v>
      </c>
      <c r="B600" s="53">
        <v>254.0</v>
      </c>
      <c r="C600" s="51" t="s">
        <v>1061</v>
      </c>
      <c r="D600" s="69" t="s">
        <v>190</v>
      </c>
      <c r="E600" s="18" t="s">
        <v>190</v>
      </c>
      <c r="F600" s="18" t="s">
        <v>192</v>
      </c>
      <c r="G600" s="63" t="s">
        <v>1062</v>
      </c>
      <c r="H600" s="22" t="s">
        <v>198</v>
      </c>
      <c r="I600" s="28">
        <v>9.0</v>
      </c>
      <c r="J600" s="26" t="str">
        <f t="shared" si="489"/>
        <v>R</v>
      </c>
      <c r="K600" s="28">
        <v>19.0</v>
      </c>
      <c r="L600" s="26" t="str">
        <f t="shared" si="490"/>
        <v>S</v>
      </c>
      <c r="M600" s="28">
        <v>21.0</v>
      </c>
      <c r="N600" s="26" t="str">
        <f t="shared" si="491"/>
        <v>R</v>
      </c>
      <c r="O600" s="28">
        <v>26.0</v>
      </c>
      <c r="P600" s="26" t="str">
        <f t="shared" si="492"/>
        <v>S</v>
      </c>
      <c r="Q600" s="28">
        <v>15.0</v>
      </c>
      <c r="R600" s="26" t="str">
        <f t="shared" si="493"/>
        <v>R</v>
      </c>
      <c r="S600" s="28">
        <v>18.0</v>
      </c>
      <c r="T600" s="26" t="str">
        <f t="shared" si="494"/>
        <v>R</v>
      </c>
      <c r="U600" s="28">
        <v>19.0</v>
      </c>
      <c r="V600" s="26" t="str">
        <f t="shared" si="495"/>
        <v>I</v>
      </c>
      <c r="W600" s="32" t="s">
        <v>299</v>
      </c>
      <c r="X600" s="65">
        <v>16.0</v>
      </c>
      <c r="Y600" s="33" t="str">
        <f t="shared" si="496"/>
        <v>R</v>
      </c>
      <c r="Z600" s="65">
        <v>24.0</v>
      </c>
      <c r="AA600" s="33" t="str">
        <f t="shared" si="497"/>
        <v>S</v>
      </c>
      <c r="AB600" s="65">
        <v>18.0</v>
      </c>
      <c r="AC600" s="33" t="str">
        <f t="shared" si="498"/>
        <v>R</v>
      </c>
      <c r="AD600" s="65">
        <v>17.0</v>
      </c>
      <c r="AE600" s="33" t="str">
        <f t="shared" si="499"/>
        <v>S</v>
      </c>
      <c r="AF600" s="65">
        <v>22.0</v>
      </c>
      <c r="AG600" s="33" t="str">
        <f t="shared" si="500"/>
        <v>R</v>
      </c>
      <c r="AH600" s="65" t="s">
        <v>299</v>
      </c>
      <c r="AI600" s="66">
        <v>20.0</v>
      </c>
      <c r="AJ600" s="36" t="str">
        <f t="shared" si="501"/>
        <v>R</v>
      </c>
      <c r="AK600" s="66">
        <v>11.0</v>
      </c>
      <c r="AL600" s="36" t="str">
        <f t="shared" si="502"/>
        <v>R</v>
      </c>
      <c r="AM600" s="66">
        <v>10.0</v>
      </c>
      <c r="AN600" s="36" t="str">
        <f t="shared" si="503"/>
        <v>R</v>
      </c>
      <c r="AO600" s="66" t="s">
        <v>299</v>
      </c>
      <c r="AP600" s="67">
        <v>12.0</v>
      </c>
      <c r="AQ600" s="37" t="str">
        <f t="shared" si="504"/>
        <v>I</v>
      </c>
      <c r="AR600" s="65">
        <v>17.0</v>
      </c>
      <c r="AS600" s="33" t="str">
        <f t="shared" si="505"/>
        <v>R</v>
      </c>
      <c r="AT600" s="65">
        <v>15.0</v>
      </c>
      <c r="AU600" s="33" t="str">
        <f t="shared" si="506"/>
        <v>R</v>
      </c>
      <c r="AV600" s="65" t="s">
        <v>299</v>
      </c>
      <c r="AW600" s="28">
        <v>12.0</v>
      </c>
      <c r="AX600" s="26" t="str">
        <f t="shared" si="507"/>
        <v>R</v>
      </c>
      <c r="AY600" s="67">
        <v>21.0</v>
      </c>
      <c r="AZ600" s="37" t="str">
        <f t="shared" si="508"/>
        <v>I</v>
      </c>
      <c r="BA600" s="66">
        <v>23.0</v>
      </c>
      <c r="BB600" s="36" t="str">
        <f t="shared" si="509"/>
        <v>S</v>
      </c>
      <c r="BC600" s="39" t="s">
        <v>357</v>
      </c>
      <c r="BD600" s="39" t="s">
        <v>357</v>
      </c>
      <c r="BE600" s="66">
        <v>25.0</v>
      </c>
      <c r="BF600" s="36" t="str">
        <f t="shared" si="510"/>
        <v>S</v>
      </c>
      <c r="BG600" s="68">
        <v>18.0</v>
      </c>
      <c r="BH600" s="41" t="str">
        <f t="shared" si="511"/>
        <v>S</v>
      </c>
      <c r="BI600" s="41"/>
    </row>
    <row r="601">
      <c r="A601" s="51" t="s">
        <v>647</v>
      </c>
      <c r="B601" s="51" t="s">
        <v>444</v>
      </c>
      <c r="C601" s="51" t="s">
        <v>2100</v>
      </c>
      <c r="D601" s="69" t="s">
        <v>190</v>
      </c>
      <c r="E601" s="18" t="s">
        <v>190</v>
      </c>
      <c r="F601" s="18" t="s">
        <v>192</v>
      </c>
      <c r="G601" s="63" t="s">
        <v>2101</v>
      </c>
      <c r="H601" s="22" t="s">
        <v>198</v>
      </c>
      <c r="I601" s="28">
        <v>9.0</v>
      </c>
      <c r="J601" s="26" t="str">
        <f t="shared" si="489"/>
        <v>R</v>
      </c>
      <c r="K601" s="28">
        <v>19.0</v>
      </c>
      <c r="L601" s="26" t="str">
        <f t="shared" si="490"/>
        <v>S</v>
      </c>
      <c r="M601" s="28">
        <v>21.0</v>
      </c>
      <c r="N601" s="26" t="str">
        <f t="shared" si="491"/>
        <v>R</v>
      </c>
      <c r="O601" s="28">
        <v>26.0</v>
      </c>
      <c r="P601" s="26" t="str">
        <f t="shared" si="492"/>
        <v>S</v>
      </c>
      <c r="Q601" s="28">
        <v>15.0</v>
      </c>
      <c r="R601" s="26" t="str">
        <f t="shared" si="493"/>
        <v>R</v>
      </c>
      <c r="S601" s="28">
        <v>18.0</v>
      </c>
      <c r="T601" s="26" t="str">
        <f t="shared" si="494"/>
        <v>R</v>
      </c>
      <c r="U601" s="28">
        <v>19.0</v>
      </c>
      <c r="V601" s="26" t="str">
        <f t="shared" si="495"/>
        <v>I</v>
      </c>
      <c r="W601" s="32" t="s">
        <v>299</v>
      </c>
      <c r="X601" s="65">
        <v>16.0</v>
      </c>
      <c r="Y601" s="33" t="str">
        <f t="shared" si="496"/>
        <v>R</v>
      </c>
      <c r="Z601" s="65">
        <v>24.0</v>
      </c>
      <c r="AA601" s="33" t="str">
        <f t="shared" si="497"/>
        <v>S</v>
      </c>
      <c r="AB601" s="65">
        <v>18.0</v>
      </c>
      <c r="AC601" s="33" t="str">
        <f t="shared" si="498"/>
        <v>R</v>
      </c>
      <c r="AD601" s="65">
        <v>17.0</v>
      </c>
      <c r="AE601" s="33" t="str">
        <f t="shared" si="499"/>
        <v>S</v>
      </c>
      <c r="AF601" s="65">
        <v>22.0</v>
      </c>
      <c r="AG601" s="33" t="str">
        <f t="shared" si="500"/>
        <v>R</v>
      </c>
      <c r="AH601" s="65" t="s">
        <v>299</v>
      </c>
      <c r="AI601" s="66">
        <v>20.0</v>
      </c>
      <c r="AJ601" s="36" t="str">
        <f t="shared" si="501"/>
        <v>R</v>
      </c>
      <c r="AK601" s="66">
        <v>11.0</v>
      </c>
      <c r="AL601" s="36" t="str">
        <f t="shared" si="502"/>
        <v>R</v>
      </c>
      <c r="AM601" s="66">
        <v>10.0</v>
      </c>
      <c r="AN601" s="36" t="str">
        <f t="shared" si="503"/>
        <v>R</v>
      </c>
      <c r="AO601" s="66" t="s">
        <v>299</v>
      </c>
      <c r="AP601" s="67">
        <v>12.0</v>
      </c>
      <c r="AQ601" s="37" t="str">
        <f t="shared" si="504"/>
        <v>I</v>
      </c>
      <c r="AR601" s="65">
        <v>17.0</v>
      </c>
      <c r="AS601" s="33" t="str">
        <f t="shared" si="505"/>
        <v>R</v>
      </c>
      <c r="AT601" s="65">
        <v>15.0</v>
      </c>
      <c r="AU601" s="33" t="str">
        <f t="shared" si="506"/>
        <v>R</v>
      </c>
      <c r="AV601" s="65" t="s">
        <v>299</v>
      </c>
      <c r="AW601" s="28">
        <v>12.0</v>
      </c>
      <c r="AX601" s="26" t="str">
        <f t="shared" si="507"/>
        <v>R</v>
      </c>
      <c r="AY601" s="67">
        <v>21.0</v>
      </c>
      <c r="AZ601" s="37" t="str">
        <f t="shared" si="508"/>
        <v>I</v>
      </c>
      <c r="BA601" s="66">
        <v>23.0</v>
      </c>
      <c r="BB601" s="36" t="str">
        <f t="shared" si="509"/>
        <v>S</v>
      </c>
      <c r="BC601" s="39" t="s">
        <v>357</v>
      </c>
      <c r="BD601" s="39" t="s">
        <v>357</v>
      </c>
      <c r="BE601" s="66">
        <v>25.0</v>
      </c>
      <c r="BF601" s="36" t="str">
        <f t="shared" si="510"/>
        <v>S</v>
      </c>
      <c r="BG601" s="68">
        <v>18.0</v>
      </c>
      <c r="BH601" s="41" t="str">
        <f t="shared" si="511"/>
        <v>S</v>
      </c>
      <c r="BI601" s="41"/>
    </row>
    <row r="602">
      <c r="A602" s="51" t="s">
        <v>647</v>
      </c>
      <c r="B602" s="51" t="s">
        <v>444</v>
      </c>
      <c r="C602" s="51" t="s">
        <v>2102</v>
      </c>
      <c r="D602" s="69" t="s">
        <v>190</v>
      </c>
      <c r="E602" s="18" t="s">
        <v>190</v>
      </c>
      <c r="F602" s="18" t="s">
        <v>192</v>
      </c>
      <c r="G602" s="63" t="s">
        <v>2103</v>
      </c>
      <c r="H602" s="22" t="s">
        <v>198</v>
      </c>
      <c r="I602" s="28">
        <v>9.0</v>
      </c>
      <c r="J602" s="26" t="str">
        <f t="shared" si="489"/>
        <v>R</v>
      </c>
      <c r="K602" s="28">
        <v>19.0</v>
      </c>
      <c r="L602" s="26" t="str">
        <f t="shared" si="490"/>
        <v>S</v>
      </c>
      <c r="M602" s="28">
        <v>21.0</v>
      </c>
      <c r="N602" s="26" t="str">
        <f t="shared" si="491"/>
        <v>R</v>
      </c>
      <c r="O602" s="28">
        <v>26.0</v>
      </c>
      <c r="P602" s="26" t="str">
        <f t="shared" si="492"/>
        <v>S</v>
      </c>
      <c r="Q602" s="28">
        <v>15.0</v>
      </c>
      <c r="R602" s="26" t="str">
        <f t="shared" si="493"/>
        <v>R</v>
      </c>
      <c r="S602" s="28">
        <v>18.0</v>
      </c>
      <c r="T602" s="26" t="str">
        <f t="shared" si="494"/>
        <v>R</v>
      </c>
      <c r="U602" s="28">
        <v>19.0</v>
      </c>
      <c r="V602" s="26" t="str">
        <f t="shared" si="495"/>
        <v>I</v>
      </c>
      <c r="W602" s="32" t="s">
        <v>299</v>
      </c>
      <c r="X602" s="65">
        <v>16.0</v>
      </c>
      <c r="Y602" s="33" t="str">
        <f t="shared" si="496"/>
        <v>R</v>
      </c>
      <c r="Z602" s="65">
        <v>24.0</v>
      </c>
      <c r="AA602" s="33" t="str">
        <f t="shared" si="497"/>
        <v>S</v>
      </c>
      <c r="AB602" s="65">
        <v>18.0</v>
      </c>
      <c r="AC602" s="33" t="str">
        <f t="shared" si="498"/>
        <v>R</v>
      </c>
      <c r="AD602" s="65">
        <v>17.0</v>
      </c>
      <c r="AE602" s="33" t="str">
        <f t="shared" si="499"/>
        <v>S</v>
      </c>
      <c r="AF602" s="65">
        <v>22.0</v>
      </c>
      <c r="AG602" s="33" t="str">
        <f t="shared" si="500"/>
        <v>R</v>
      </c>
      <c r="AH602" s="65" t="s">
        <v>299</v>
      </c>
      <c r="AI602" s="66">
        <v>20.0</v>
      </c>
      <c r="AJ602" s="36" t="str">
        <f t="shared" si="501"/>
        <v>R</v>
      </c>
      <c r="AK602" s="66">
        <v>11.0</v>
      </c>
      <c r="AL602" s="36" t="str">
        <f t="shared" si="502"/>
        <v>R</v>
      </c>
      <c r="AM602" s="66">
        <v>10.0</v>
      </c>
      <c r="AN602" s="36" t="str">
        <f t="shared" si="503"/>
        <v>R</v>
      </c>
      <c r="AO602" s="66" t="s">
        <v>299</v>
      </c>
      <c r="AP602" s="67">
        <v>12.0</v>
      </c>
      <c r="AQ602" s="37" t="str">
        <f t="shared" si="504"/>
        <v>I</v>
      </c>
      <c r="AR602" s="65">
        <v>17.0</v>
      </c>
      <c r="AS602" s="33" t="str">
        <f t="shared" si="505"/>
        <v>R</v>
      </c>
      <c r="AT602" s="65">
        <v>15.0</v>
      </c>
      <c r="AU602" s="33" t="str">
        <f t="shared" si="506"/>
        <v>R</v>
      </c>
      <c r="AV602" s="65" t="s">
        <v>299</v>
      </c>
      <c r="AW602" s="28">
        <v>12.0</v>
      </c>
      <c r="AX602" s="26" t="str">
        <f t="shared" si="507"/>
        <v>R</v>
      </c>
      <c r="AY602" s="67">
        <v>21.0</v>
      </c>
      <c r="AZ602" s="37" t="str">
        <f t="shared" si="508"/>
        <v>I</v>
      </c>
      <c r="BA602" s="66">
        <v>23.0</v>
      </c>
      <c r="BB602" s="36" t="str">
        <f t="shared" si="509"/>
        <v>S</v>
      </c>
      <c r="BC602" s="39" t="s">
        <v>357</v>
      </c>
      <c r="BD602" s="39" t="s">
        <v>357</v>
      </c>
      <c r="BE602" s="66">
        <v>25.0</v>
      </c>
      <c r="BF602" s="36" t="str">
        <f t="shared" si="510"/>
        <v>S</v>
      </c>
      <c r="BG602" s="68">
        <v>18.0</v>
      </c>
      <c r="BH602" s="41" t="str">
        <f t="shared" si="511"/>
        <v>S</v>
      </c>
      <c r="BI602" s="41"/>
    </row>
    <row r="603">
      <c r="A603" s="51" t="s">
        <v>647</v>
      </c>
      <c r="B603" s="53">
        <v>255.0</v>
      </c>
      <c r="C603" s="51" t="s">
        <v>1067</v>
      </c>
      <c r="D603" s="69" t="s">
        <v>571</v>
      </c>
      <c r="E603" s="18" t="s">
        <v>572</v>
      </c>
      <c r="F603" s="18" t="s">
        <v>192</v>
      </c>
      <c r="G603" s="63" t="s">
        <v>1068</v>
      </c>
      <c r="H603" s="22" t="s">
        <v>198</v>
      </c>
      <c r="I603" s="28">
        <v>9.0</v>
      </c>
      <c r="J603" s="26" t="str">
        <f t="shared" si="489"/>
        <v>R</v>
      </c>
      <c r="K603" s="28">
        <v>12.0</v>
      </c>
      <c r="L603" s="26" t="str">
        <f t="shared" si="490"/>
        <v>R</v>
      </c>
      <c r="M603" s="28">
        <v>16.0</v>
      </c>
      <c r="N603" s="26" t="str">
        <f t="shared" si="491"/>
        <v>R</v>
      </c>
      <c r="O603" s="28">
        <v>16.0</v>
      </c>
      <c r="P603" s="26" t="str">
        <f t="shared" si="492"/>
        <v>R</v>
      </c>
      <c r="Q603" s="28">
        <v>9.0</v>
      </c>
      <c r="R603" s="26" t="str">
        <f t="shared" si="493"/>
        <v>R</v>
      </c>
      <c r="S603" s="28">
        <v>12.0</v>
      </c>
      <c r="T603" s="26" t="str">
        <f t="shared" si="494"/>
        <v>R</v>
      </c>
      <c r="U603" s="28">
        <v>12.0</v>
      </c>
      <c r="V603" s="26" t="str">
        <f t="shared" si="495"/>
        <v>R</v>
      </c>
      <c r="W603" s="32" t="s">
        <v>299</v>
      </c>
      <c r="X603" s="65">
        <v>11.0</v>
      </c>
      <c r="Y603" s="33" t="str">
        <f t="shared" si="496"/>
        <v>R</v>
      </c>
      <c r="Z603" s="65">
        <v>18.0</v>
      </c>
      <c r="AA603" s="33" t="str">
        <f t="shared" si="497"/>
        <v>S</v>
      </c>
      <c r="AB603" s="65">
        <v>13.0</v>
      </c>
      <c r="AC603" s="33" t="str">
        <f t="shared" si="498"/>
        <v>R</v>
      </c>
      <c r="AD603" s="65">
        <v>12.0</v>
      </c>
      <c r="AE603" s="33" t="str">
        <f t="shared" si="499"/>
        <v>R</v>
      </c>
      <c r="AF603" s="65">
        <v>16.0</v>
      </c>
      <c r="AG603" s="33" t="str">
        <f t="shared" si="500"/>
        <v>R</v>
      </c>
      <c r="AH603" s="65" t="s">
        <v>299</v>
      </c>
      <c r="AI603" s="66">
        <v>15.0</v>
      </c>
      <c r="AJ603" s="36" t="str">
        <f t="shared" si="501"/>
        <v>R</v>
      </c>
      <c r="AK603" s="66">
        <v>13.0</v>
      </c>
      <c r="AL603" s="36" t="str">
        <f t="shared" si="502"/>
        <v>R</v>
      </c>
      <c r="AM603" s="66">
        <v>6.0</v>
      </c>
      <c r="AN603" s="36" t="str">
        <f t="shared" si="503"/>
        <v>R</v>
      </c>
      <c r="AO603" s="66" t="s">
        <v>299</v>
      </c>
      <c r="AP603" s="67">
        <v>10.0</v>
      </c>
      <c r="AQ603" s="37" t="str">
        <f t="shared" si="504"/>
        <v>R</v>
      </c>
      <c r="AR603" s="65">
        <v>15.0</v>
      </c>
      <c r="AS603" s="33" t="str">
        <f t="shared" si="505"/>
        <v>R</v>
      </c>
      <c r="AT603" s="65">
        <v>13.0</v>
      </c>
      <c r="AU603" s="33" t="str">
        <f t="shared" si="506"/>
        <v>R</v>
      </c>
      <c r="AV603" s="65" t="s">
        <v>299</v>
      </c>
      <c r="AW603" s="28">
        <v>6.0</v>
      </c>
      <c r="AX603" s="26" t="str">
        <f t="shared" si="507"/>
        <v>R</v>
      </c>
      <c r="AY603" s="67">
        <v>14.0</v>
      </c>
      <c r="AZ603" s="37" t="str">
        <f t="shared" si="508"/>
        <v>R</v>
      </c>
      <c r="BA603" s="66">
        <v>17.0</v>
      </c>
      <c r="BB603" s="36" t="str">
        <f t="shared" si="509"/>
        <v>R</v>
      </c>
      <c r="BC603" s="39" t="s">
        <v>357</v>
      </c>
      <c r="BD603" s="39" t="s">
        <v>357</v>
      </c>
      <c r="BE603" s="66">
        <v>19.0</v>
      </c>
      <c r="BF603" s="36" t="str">
        <f t="shared" si="510"/>
        <v>I</v>
      </c>
      <c r="BG603" s="68">
        <v>13.0</v>
      </c>
      <c r="BH603" s="41" t="str">
        <f t="shared" si="511"/>
        <v>R</v>
      </c>
      <c r="BI603" s="41"/>
    </row>
    <row r="604">
      <c r="A604" s="51" t="s">
        <v>647</v>
      </c>
      <c r="B604" s="51" t="s">
        <v>444</v>
      </c>
      <c r="C604" s="51" t="s">
        <v>2104</v>
      </c>
      <c r="D604" s="69" t="s">
        <v>571</v>
      </c>
      <c r="E604" s="18" t="s">
        <v>572</v>
      </c>
      <c r="F604" s="18" t="s">
        <v>192</v>
      </c>
      <c r="G604" s="63" t="s">
        <v>2105</v>
      </c>
      <c r="H604" s="22" t="s">
        <v>198</v>
      </c>
      <c r="I604" s="28">
        <v>9.0</v>
      </c>
      <c r="J604" s="26" t="str">
        <f t="shared" si="489"/>
        <v>R</v>
      </c>
      <c r="K604" s="28">
        <v>12.0</v>
      </c>
      <c r="L604" s="26" t="str">
        <f t="shared" si="490"/>
        <v>R</v>
      </c>
      <c r="M604" s="28">
        <v>16.0</v>
      </c>
      <c r="N604" s="26" t="str">
        <f t="shared" si="491"/>
        <v>R</v>
      </c>
      <c r="O604" s="28">
        <v>16.0</v>
      </c>
      <c r="P604" s="26" t="str">
        <f t="shared" si="492"/>
        <v>R</v>
      </c>
      <c r="Q604" s="28">
        <v>9.0</v>
      </c>
      <c r="R604" s="26" t="str">
        <f t="shared" si="493"/>
        <v>R</v>
      </c>
      <c r="S604" s="28">
        <v>12.0</v>
      </c>
      <c r="T604" s="26" t="str">
        <f t="shared" si="494"/>
        <v>R</v>
      </c>
      <c r="U604" s="28">
        <v>12.0</v>
      </c>
      <c r="V604" s="26" t="str">
        <f t="shared" si="495"/>
        <v>R</v>
      </c>
      <c r="W604" s="32" t="s">
        <v>299</v>
      </c>
      <c r="X604" s="65">
        <v>11.0</v>
      </c>
      <c r="Y604" s="33" t="str">
        <f t="shared" si="496"/>
        <v>R</v>
      </c>
      <c r="Z604" s="65">
        <v>18.0</v>
      </c>
      <c r="AA604" s="33" t="str">
        <f t="shared" si="497"/>
        <v>S</v>
      </c>
      <c r="AB604" s="65">
        <v>13.0</v>
      </c>
      <c r="AC604" s="33" t="str">
        <f t="shared" si="498"/>
        <v>R</v>
      </c>
      <c r="AD604" s="65">
        <v>12.0</v>
      </c>
      <c r="AE604" s="33" t="str">
        <f t="shared" si="499"/>
        <v>R</v>
      </c>
      <c r="AF604" s="65">
        <v>16.0</v>
      </c>
      <c r="AG604" s="33" t="str">
        <f t="shared" si="500"/>
        <v>R</v>
      </c>
      <c r="AH604" s="65" t="s">
        <v>299</v>
      </c>
      <c r="AI604" s="66">
        <v>15.0</v>
      </c>
      <c r="AJ604" s="36" t="str">
        <f t="shared" si="501"/>
        <v>R</v>
      </c>
      <c r="AK604" s="66">
        <v>13.0</v>
      </c>
      <c r="AL604" s="36" t="str">
        <f t="shared" si="502"/>
        <v>R</v>
      </c>
      <c r="AM604" s="66">
        <v>6.0</v>
      </c>
      <c r="AN604" s="36" t="str">
        <f t="shared" si="503"/>
        <v>R</v>
      </c>
      <c r="AO604" s="66" t="s">
        <v>299</v>
      </c>
      <c r="AP604" s="67">
        <v>10.0</v>
      </c>
      <c r="AQ604" s="37" t="str">
        <f t="shared" si="504"/>
        <v>R</v>
      </c>
      <c r="AR604" s="65">
        <v>15.0</v>
      </c>
      <c r="AS604" s="33" t="str">
        <f t="shared" si="505"/>
        <v>R</v>
      </c>
      <c r="AT604" s="65">
        <v>13.0</v>
      </c>
      <c r="AU604" s="33" t="str">
        <f t="shared" si="506"/>
        <v>R</v>
      </c>
      <c r="AV604" s="65" t="s">
        <v>299</v>
      </c>
      <c r="AW604" s="28">
        <v>6.0</v>
      </c>
      <c r="AX604" s="26" t="str">
        <f t="shared" si="507"/>
        <v>R</v>
      </c>
      <c r="AY604" s="67">
        <v>14.0</v>
      </c>
      <c r="AZ604" s="37" t="str">
        <f t="shared" si="508"/>
        <v>R</v>
      </c>
      <c r="BA604" s="66">
        <v>20.0</v>
      </c>
      <c r="BB604" s="36" t="str">
        <f t="shared" si="509"/>
        <v>R</v>
      </c>
      <c r="BC604" s="39" t="s">
        <v>357</v>
      </c>
      <c r="BD604" s="39" t="s">
        <v>357</v>
      </c>
      <c r="BE604" s="66">
        <v>16.0</v>
      </c>
      <c r="BF604" s="36" t="str">
        <f t="shared" si="510"/>
        <v>R</v>
      </c>
      <c r="BG604" s="68">
        <v>13.0</v>
      </c>
      <c r="BH604" s="41" t="str">
        <f t="shared" si="511"/>
        <v>R</v>
      </c>
      <c r="BI604" s="41"/>
    </row>
    <row r="605">
      <c r="A605" s="51" t="s">
        <v>647</v>
      </c>
      <c r="B605" s="51" t="s">
        <v>444</v>
      </c>
      <c r="C605" s="51" t="s">
        <v>2106</v>
      </c>
      <c r="D605" s="69" t="s">
        <v>571</v>
      </c>
      <c r="E605" s="18" t="s">
        <v>572</v>
      </c>
      <c r="F605" s="18" t="s">
        <v>192</v>
      </c>
      <c r="G605" s="63" t="s">
        <v>2107</v>
      </c>
      <c r="H605" s="22" t="s">
        <v>198</v>
      </c>
      <c r="I605" s="28">
        <v>9.0</v>
      </c>
      <c r="J605" s="26" t="str">
        <f t="shared" si="489"/>
        <v>R</v>
      </c>
      <c r="K605" s="28">
        <v>12.0</v>
      </c>
      <c r="L605" s="26" t="str">
        <f t="shared" si="490"/>
        <v>R</v>
      </c>
      <c r="M605" s="28">
        <v>16.0</v>
      </c>
      <c r="N605" s="26" t="str">
        <f t="shared" si="491"/>
        <v>R</v>
      </c>
      <c r="O605" s="28">
        <v>16.0</v>
      </c>
      <c r="P605" s="26" t="str">
        <f t="shared" si="492"/>
        <v>R</v>
      </c>
      <c r="Q605" s="28">
        <v>9.0</v>
      </c>
      <c r="R605" s="26" t="str">
        <f t="shared" si="493"/>
        <v>R</v>
      </c>
      <c r="S605" s="28">
        <v>12.0</v>
      </c>
      <c r="T605" s="26" t="str">
        <f t="shared" si="494"/>
        <v>R</v>
      </c>
      <c r="U605" s="28">
        <v>12.0</v>
      </c>
      <c r="V605" s="26" t="str">
        <f t="shared" si="495"/>
        <v>R</v>
      </c>
      <c r="W605" s="32" t="s">
        <v>299</v>
      </c>
      <c r="X605" s="65">
        <v>11.0</v>
      </c>
      <c r="Y605" s="33" t="str">
        <f t="shared" si="496"/>
        <v>R</v>
      </c>
      <c r="Z605" s="65">
        <v>18.0</v>
      </c>
      <c r="AA605" s="33" t="str">
        <f t="shared" si="497"/>
        <v>S</v>
      </c>
      <c r="AB605" s="65">
        <v>13.0</v>
      </c>
      <c r="AC605" s="33" t="str">
        <f t="shared" si="498"/>
        <v>R</v>
      </c>
      <c r="AD605" s="65">
        <v>12.0</v>
      </c>
      <c r="AE605" s="33" t="str">
        <f t="shared" si="499"/>
        <v>R</v>
      </c>
      <c r="AF605" s="65">
        <v>16.0</v>
      </c>
      <c r="AG605" s="33" t="str">
        <f t="shared" si="500"/>
        <v>R</v>
      </c>
      <c r="AH605" s="65" t="s">
        <v>299</v>
      </c>
      <c r="AI605" s="66">
        <v>15.0</v>
      </c>
      <c r="AJ605" s="36" t="str">
        <f t="shared" si="501"/>
        <v>R</v>
      </c>
      <c r="AK605" s="66">
        <v>13.0</v>
      </c>
      <c r="AL605" s="36" t="str">
        <f t="shared" si="502"/>
        <v>R</v>
      </c>
      <c r="AM605" s="66">
        <v>6.0</v>
      </c>
      <c r="AN605" s="36" t="str">
        <f t="shared" si="503"/>
        <v>R</v>
      </c>
      <c r="AO605" s="66" t="s">
        <v>299</v>
      </c>
      <c r="AP605" s="67">
        <v>10.0</v>
      </c>
      <c r="AQ605" s="37" t="str">
        <f t="shared" si="504"/>
        <v>R</v>
      </c>
      <c r="AR605" s="65">
        <v>15.0</v>
      </c>
      <c r="AS605" s="33" t="str">
        <f t="shared" si="505"/>
        <v>R</v>
      </c>
      <c r="AT605" s="65">
        <v>13.0</v>
      </c>
      <c r="AU605" s="33" t="str">
        <f t="shared" si="506"/>
        <v>R</v>
      </c>
      <c r="AV605" s="65" t="s">
        <v>299</v>
      </c>
      <c r="AW605" s="28">
        <v>6.0</v>
      </c>
      <c r="AX605" s="26" t="str">
        <f t="shared" si="507"/>
        <v>R</v>
      </c>
      <c r="AY605" s="67">
        <v>14.0</v>
      </c>
      <c r="AZ605" s="37" t="str">
        <f t="shared" si="508"/>
        <v>R</v>
      </c>
      <c r="BA605" s="66">
        <v>22.0</v>
      </c>
      <c r="BB605" s="36" t="str">
        <f t="shared" si="509"/>
        <v>R</v>
      </c>
      <c r="BC605" s="39" t="s">
        <v>357</v>
      </c>
      <c r="BD605" s="39" t="s">
        <v>357</v>
      </c>
      <c r="BE605" s="66">
        <v>16.0</v>
      </c>
      <c r="BF605" s="36" t="str">
        <f t="shared" si="510"/>
        <v>R</v>
      </c>
      <c r="BG605" s="68">
        <v>13.0</v>
      </c>
      <c r="BH605" s="41" t="str">
        <f t="shared" si="511"/>
        <v>R</v>
      </c>
      <c r="BI605" s="41"/>
    </row>
    <row r="606">
      <c r="A606" s="51" t="s">
        <v>647</v>
      </c>
      <c r="B606" s="53">
        <v>256.0</v>
      </c>
      <c r="C606" s="51" t="s">
        <v>1073</v>
      </c>
      <c r="D606" s="69" t="s">
        <v>705</v>
      </c>
      <c r="E606" s="18" t="s">
        <v>572</v>
      </c>
      <c r="F606" s="18" t="s">
        <v>192</v>
      </c>
      <c r="G606" s="63" t="s">
        <v>1074</v>
      </c>
      <c r="H606" s="22" t="s">
        <v>198</v>
      </c>
      <c r="I606" s="28">
        <v>6.0</v>
      </c>
      <c r="J606" s="26" t="str">
        <f t="shared" si="489"/>
        <v>R</v>
      </c>
      <c r="K606" s="28">
        <v>15.0</v>
      </c>
      <c r="L606" s="26" t="str">
        <f t="shared" si="490"/>
        <v>R</v>
      </c>
      <c r="M606" s="28">
        <v>12.0</v>
      </c>
      <c r="N606" s="26" t="str">
        <f t="shared" si="491"/>
        <v>R</v>
      </c>
      <c r="O606" s="28">
        <v>18.0</v>
      </c>
      <c r="P606" s="26" t="str">
        <f t="shared" si="492"/>
        <v>R</v>
      </c>
      <c r="Q606" s="28">
        <v>6.0</v>
      </c>
      <c r="R606" s="26" t="str">
        <f t="shared" si="493"/>
        <v>R</v>
      </c>
      <c r="S606" s="28">
        <v>15.0</v>
      </c>
      <c r="T606" s="26" t="str">
        <f t="shared" si="494"/>
        <v>R</v>
      </c>
      <c r="U606" s="28">
        <v>11.0</v>
      </c>
      <c r="V606" s="26" t="str">
        <f t="shared" si="495"/>
        <v>R</v>
      </c>
      <c r="W606" s="32" t="s">
        <v>299</v>
      </c>
      <c r="X606" s="65">
        <v>14.0</v>
      </c>
      <c r="Y606" s="33" t="str">
        <f t="shared" si="496"/>
        <v>R</v>
      </c>
      <c r="Z606" s="65">
        <v>21.0</v>
      </c>
      <c r="AA606" s="33" t="str">
        <f t="shared" si="497"/>
        <v>S</v>
      </c>
      <c r="AB606" s="65">
        <v>14.0</v>
      </c>
      <c r="AC606" s="33" t="str">
        <f t="shared" si="498"/>
        <v>R</v>
      </c>
      <c r="AD606" s="65">
        <v>15.0</v>
      </c>
      <c r="AE606" s="33" t="str">
        <f t="shared" si="499"/>
        <v>S</v>
      </c>
      <c r="AF606" s="65">
        <v>13.0</v>
      </c>
      <c r="AG606" s="33" t="str">
        <f t="shared" si="500"/>
        <v>R</v>
      </c>
      <c r="AH606" s="65" t="s">
        <v>299</v>
      </c>
      <c r="AI606" s="66">
        <v>18.0</v>
      </c>
      <c r="AJ606" s="36" t="str">
        <f t="shared" si="501"/>
        <v>R</v>
      </c>
      <c r="AK606" s="66">
        <v>9.0</v>
      </c>
      <c r="AL606" s="36" t="str">
        <f t="shared" si="502"/>
        <v>R</v>
      </c>
      <c r="AM606" s="66">
        <v>6.0</v>
      </c>
      <c r="AN606" s="36" t="str">
        <f t="shared" si="503"/>
        <v>R</v>
      </c>
      <c r="AO606" s="66" t="s">
        <v>299</v>
      </c>
      <c r="AP606" s="67">
        <v>9.0</v>
      </c>
      <c r="AQ606" s="37" t="str">
        <f t="shared" si="504"/>
        <v>R</v>
      </c>
      <c r="AR606" s="65">
        <v>16.0</v>
      </c>
      <c r="AS606" s="33" t="str">
        <f t="shared" si="505"/>
        <v>R</v>
      </c>
      <c r="AT606" s="65">
        <v>16.0</v>
      </c>
      <c r="AU606" s="33" t="str">
        <f t="shared" si="506"/>
        <v>S</v>
      </c>
      <c r="AV606" s="65" t="s">
        <v>299</v>
      </c>
      <c r="AW606" s="28">
        <v>6.0</v>
      </c>
      <c r="AX606" s="26" t="str">
        <f t="shared" si="507"/>
        <v>R</v>
      </c>
      <c r="AY606" s="67">
        <v>13.0</v>
      </c>
      <c r="AZ606" s="37" t="str">
        <f t="shared" si="508"/>
        <v>R</v>
      </c>
      <c r="BA606" s="66">
        <v>15.0</v>
      </c>
      <c r="BB606" s="36" t="str">
        <f t="shared" si="509"/>
        <v>R</v>
      </c>
      <c r="BC606" s="39" t="s">
        <v>357</v>
      </c>
      <c r="BD606" s="39" t="s">
        <v>357</v>
      </c>
      <c r="BE606" s="66">
        <v>20.0</v>
      </c>
      <c r="BF606" s="36" t="str">
        <f t="shared" si="510"/>
        <v>I</v>
      </c>
      <c r="BG606" s="68">
        <v>15.0</v>
      </c>
      <c r="BH606" s="41" t="str">
        <f t="shared" si="511"/>
        <v>R</v>
      </c>
      <c r="BI606" s="41"/>
    </row>
    <row r="607">
      <c r="A607" s="51" t="s">
        <v>647</v>
      </c>
      <c r="B607" s="51" t="s">
        <v>444</v>
      </c>
      <c r="C607" s="51" t="s">
        <v>2108</v>
      </c>
      <c r="D607" s="69" t="s">
        <v>705</v>
      </c>
      <c r="E607" s="18" t="s">
        <v>572</v>
      </c>
      <c r="F607" s="18" t="s">
        <v>192</v>
      </c>
      <c r="G607" s="63" t="s">
        <v>2109</v>
      </c>
      <c r="H607" s="22" t="s">
        <v>198</v>
      </c>
      <c r="I607" s="28">
        <v>6.0</v>
      </c>
      <c r="J607" s="26" t="str">
        <f t="shared" si="489"/>
        <v>R</v>
      </c>
      <c r="K607" s="28">
        <v>15.0</v>
      </c>
      <c r="L607" s="26" t="str">
        <f t="shared" si="490"/>
        <v>R</v>
      </c>
      <c r="M607" s="28">
        <v>12.0</v>
      </c>
      <c r="N607" s="26" t="str">
        <f t="shared" si="491"/>
        <v>R</v>
      </c>
      <c r="O607" s="28">
        <v>18.0</v>
      </c>
      <c r="P607" s="26" t="str">
        <f t="shared" si="492"/>
        <v>R</v>
      </c>
      <c r="Q607" s="28">
        <v>6.0</v>
      </c>
      <c r="R607" s="26" t="str">
        <f t="shared" si="493"/>
        <v>R</v>
      </c>
      <c r="S607" s="28">
        <v>15.0</v>
      </c>
      <c r="T607" s="26" t="str">
        <f t="shared" si="494"/>
        <v>R</v>
      </c>
      <c r="U607" s="28">
        <v>11.0</v>
      </c>
      <c r="V607" s="26" t="str">
        <f t="shared" si="495"/>
        <v>R</v>
      </c>
      <c r="W607" s="32" t="s">
        <v>299</v>
      </c>
      <c r="X607" s="65">
        <v>14.0</v>
      </c>
      <c r="Y607" s="33" t="str">
        <f t="shared" si="496"/>
        <v>R</v>
      </c>
      <c r="Z607" s="65">
        <v>21.0</v>
      </c>
      <c r="AA607" s="33" t="str">
        <f t="shared" si="497"/>
        <v>S</v>
      </c>
      <c r="AB607" s="65">
        <v>14.0</v>
      </c>
      <c r="AC607" s="33" t="str">
        <f t="shared" si="498"/>
        <v>R</v>
      </c>
      <c r="AD607" s="65">
        <v>15.0</v>
      </c>
      <c r="AE607" s="33" t="str">
        <f t="shared" si="499"/>
        <v>S</v>
      </c>
      <c r="AF607" s="65">
        <v>13.0</v>
      </c>
      <c r="AG607" s="33" t="str">
        <f t="shared" si="500"/>
        <v>R</v>
      </c>
      <c r="AH607" s="65" t="s">
        <v>299</v>
      </c>
      <c r="AI607" s="66">
        <v>18.0</v>
      </c>
      <c r="AJ607" s="36" t="str">
        <f t="shared" si="501"/>
        <v>R</v>
      </c>
      <c r="AK607" s="66">
        <v>9.0</v>
      </c>
      <c r="AL607" s="36" t="str">
        <f t="shared" si="502"/>
        <v>R</v>
      </c>
      <c r="AM607" s="66">
        <v>6.0</v>
      </c>
      <c r="AN607" s="36" t="str">
        <f t="shared" si="503"/>
        <v>R</v>
      </c>
      <c r="AO607" s="66" t="s">
        <v>299</v>
      </c>
      <c r="AP607" s="67">
        <v>9.0</v>
      </c>
      <c r="AQ607" s="37" t="str">
        <f t="shared" si="504"/>
        <v>R</v>
      </c>
      <c r="AR607" s="65">
        <v>16.0</v>
      </c>
      <c r="AS607" s="33" t="str">
        <f t="shared" si="505"/>
        <v>R</v>
      </c>
      <c r="AT607" s="65">
        <v>16.0</v>
      </c>
      <c r="AU607" s="33" t="str">
        <f t="shared" si="506"/>
        <v>S</v>
      </c>
      <c r="AV607" s="65" t="s">
        <v>299</v>
      </c>
      <c r="AW607" s="28">
        <v>6.0</v>
      </c>
      <c r="AX607" s="26" t="str">
        <f t="shared" si="507"/>
        <v>R</v>
      </c>
      <c r="AY607" s="67">
        <v>13.0</v>
      </c>
      <c r="AZ607" s="37" t="str">
        <f t="shared" si="508"/>
        <v>R</v>
      </c>
      <c r="BA607" s="66">
        <v>18.0</v>
      </c>
      <c r="BB607" s="36" t="str">
        <f t="shared" si="509"/>
        <v>R</v>
      </c>
      <c r="BC607" s="39" t="s">
        <v>357</v>
      </c>
      <c r="BD607" s="39" t="s">
        <v>357</v>
      </c>
      <c r="BE607" s="66">
        <v>18.0</v>
      </c>
      <c r="BF607" s="36" t="str">
        <f t="shared" si="510"/>
        <v>R</v>
      </c>
      <c r="BG607" s="68">
        <v>15.0</v>
      </c>
      <c r="BH607" s="41" t="str">
        <f t="shared" si="511"/>
        <v>R</v>
      </c>
      <c r="BI607" s="41"/>
    </row>
    <row r="608">
      <c r="A608" s="51" t="s">
        <v>647</v>
      </c>
      <c r="B608" s="51" t="s">
        <v>444</v>
      </c>
      <c r="C608" s="51" t="s">
        <v>2110</v>
      </c>
      <c r="D608" s="69" t="s">
        <v>705</v>
      </c>
      <c r="E608" s="18" t="s">
        <v>572</v>
      </c>
      <c r="F608" s="18" t="s">
        <v>192</v>
      </c>
      <c r="G608" s="63" t="s">
        <v>2111</v>
      </c>
      <c r="H608" s="22" t="s">
        <v>198</v>
      </c>
      <c r="I608" s="28">
        <v>6.0</v>
      </c>
      <c r="J608" s="26" t="str">
        <f t="shared" si="489"/>
        <v>R</v>
      </c>
      <c r="K608" s="28">
        <v>15.0</v>
      </c>
      <c r="L608" s="26" t="str">
        <f t="shared" si="490"/>
        <v>R</v>
      </c>
      <c r="M608" s="28">
        <v>12.0</v>
      </c>
      <c r="N608" s="26" t="str">
        <f t="shared" si="491"/>
        <v>R</v>
      </c>
      <c r="O608" s="28">
        <v>18.0</v>
      </c>
      <c r="P608" s="26" t="str">
        <f t="shared" si="492"/>
        <v>R</v>
      </c>
      <c r="Q608" s="28">
        <v>6.0</v>
      </c>
      <c r="R608" s="26" t="str">
        <f t="shared" si="493"/>
        <v>R</v>
      </c>
      <c r="S608" s="28">
        <v>15.0</v>
      </c>
      <c r="T608" s="26" t="str">
        <f t="shared" si="494"/>
        <v>R</v>
      </c>
      <c r="U608" s="28">
        <v>11.0</v>
      </c>
      <c r="V608" s="26" t="str">
        <f t="shared" si="495"/>
        <v>R</v>
      </c>
      <c r="W608" s="32" t="s">
        <v>299</v>
      </c>
      <c r="X608" s="65">
        <v>14.0</v>
      </c>
      <c r="Y608" s="33" t="str">
        <f t="shared" si="496"/>
        <v>R</v>
      </c>
      <c r="Z608" s="65">
        <v>21.0</v>
      </c>
      <c r="AA608" s="33" t="str">
        <f t="shared" si="497"/>
        <v>S</v>
      </c>
      <c r="AB608" s="65">
        <v>14.0</v>
      </c>
      <c r="AC608" s="33" t="str">
        <f t="shared" si="498"/>
        <v>R</v>
      </c>
      <c r="AD608" s="65">
        <v>15.0</v>
      </c>
      <c r="AE608" s="33" t="str">
        <f t="shared" si="499"/>
        <v>S</v>
      </c>
      <c r="AF608" s="65">
        <v>13.0</v>
      </c>
      <c r="AG608" s="33" t="str">
        <f t="shared" si="500"/>
        <v>R</v>
      </c>
      <c r="AH608" s="65" t="s">
        <v>299</v>
      </c>
      <c r="AI608" s="66">
        <v>18.0</v>
      </c>
      <c r="AJ608" s="36" t="str">
        <f t="shared" si="501"/>
        <v>R</v>
      </c>
      <c r="AK608" s="66">
        <v>9.0</v>
      </c>
      <c r="AL608" s="36" t="str">
        <f t="shared" si="502"/>
        <v>R</v>
      </c>
      <c r="AM608" s="66">
        <v>6.0</v>
      </c>
      <c r="AN608" s="36" t="str">
        <f t="shared" si="503"/>
        <v>R</v>
      </c>
      <c r="AO608" s="66" t="s">
        <v>299</v>
      </c>
      <c r="AP608" s="67">
        <v>9.0</v>
      </c>
      <c r="AQ608" s="37" t="str">
        <f t="shared" si="504"/>
        <v>R</v>
      </c>
      <c r="AR608" s="65">
        <v>16.0</v>
      </c>
      <c r="AS608" s="33" t="str">
        <f t="shared" si="505"/>
        <v>R</v>
      </c>
      <c r="AT608" s="65">
        <v>16.0</v>
      </c>
      <c r="AU608" s="33" t="str">
        <f t="shared" si="506"/>
        <v>S</v>
      </c>
      <c r="AV608" s="65" t="s">
        <v>299</v>
      </c>
      <c r="AW608" s="28">
        <v>6.0</v>
      </c>
      <c r="AX608" s="26" t="str">
        <f t="shared" si="507"/>
        <v>R</v>
      </c>
      <c r="AY608" s="67">
        <v>13.0</v>
      </c>
      <c r="AZ608" s="37" t="str">
        <f t="shared" si="508"/>
        <v>R</v>
      </c>
      <c r="BA608" s="66">
        <v>17.0</v>
      </c>
      <c r="BB608" s="36" t="str">
        <f t="shared" si="509"/>
        <v>R</v>
      </c>
      <c r="BC608" s="39" t="s">
        <v>357</v>
      </c>
      <c r="BD608" s="39" t="s">
        <v>357</v>
      </c>
      <c r="BE608" s="66">
        <v>17.0</v>
      </c>
      <c r="BF608" s="36" t="str">
        <f t="shared" si="510"/>
        <v>R</v>
      </c>
      <c r="BG608" s="68">
        <v>15.0</v>
      </c>
      <c r="BH608" s="41" t="str">
        <f t="shared" si="511"/>
        <v>R</v>
      </c>
      <c r="BI608" s="41"/>
    </row>
    <row r="609">
      <c r="A609" s="21" t="s">
        <v>1040</v>
      </c>
      <c r="B609" s="23">
        <v>257.0</v>
      </c>
      <c r="C609" s="21" t="s">
        <v>1227</v>
      </c>
      <c r="D609" s="69" t="s">
        <v>190</v>
      </c>
      <c r="E609" s="18" t="s">
        <v>190</v>
      </c>
      <c r="F609" s="18" t="s">
        <v>192</v>
      </c>
      <c r="G609" s="63" t="s">
        <v>1228</v>
      </c>
      <c r="H609" s="22" t="s">
        <v>198</v>
      </c>
      <c r="I609" s="28">
        <v>6.0</v>
      </c>
      <c r="J609" s="26" t="str">
        <f t="shared" si="489"/>
        <v>R</v>
      </c>
      <c r="K609" s="28">
        <v>20.0</v>
      </c>
      <c r="L609" s="26" t="str">
        <f t="shared" si="490"/>
        <v>S</v>
      </c>
      <c r="M609" s="28">
        <v>6.0</v>
      </c>
      <c r="N609" s="26" t="str">
        <f t="shared" si="491"/>
        <v>R</v>
      </c>
      <c r="O609" s="28">
        <v>22.0</v>
      </c>
      <c r="P609" s="26" t="str">
        <f t="shared" si="492"/>
        <v>I</v>
      </c>
      <c r="Q609" s="28">
        <v>6.0</v>
      </c>
      <c r="R609" s="26" t="str">
        <f t="shared" si="493"/>
        <v>R</v>
      </c>
      <c r="S609" s="28">
        <v>18.0</v>
      </c>
      <c r="T609" s="26" t="str">
        <f t="shared" si="494"/>
        <v>R</v>
      </c>
      <c r="U609" s="28">
        <v>21.0</v>
      </c>
      <c r="V609" s="26" t="str">
        <f t="shared" si="495"/>
        <v>S</v>
      </c>
      <c r="W609" s="32" t="s">
        <v>299</v>
      </c>
      <c r="X609" s="65">
        <v>6.0</v>
      </c>
      <c r="Y609" s="33" t="str">
        <f t="shared" si="496"/>
        <v>R</v>
      </c>
      <c r="Z609" s="65">
        <v>17.0</v>
      </c>
      <c r="AA609" s="33" t="str">
        <f t="shared" si="497"/>
        <v>R</v>
      </c>
      <c r="AB609" s="65">
        <v>6.0</v>
      </c>
      <c r="AC609" s="33" t="str">
        <f t="shared" si="498"/>
        <v>R</v>
      </c>
      <c r="AD609" s="65">
        <v>20.0</v>
      </c>
      <c r="AE609" s="33" t="str">
        <f t="shared" si="499"/>
        <v>S</v>
      </c>
      <c r="AF609" s="65">
        <v>15.0</v>
      </c>
      <c r="AG609" s="33" t="str">
        <f t="shared" si="500"/>
        <v>R</v>
      </c>
      <c r="AH609" s="65" t="s">
        <v>299</v>
      </c>
      <c r="AI609" s="66">
        <v>6.0</v>
      </c>
      <c r="AJ609" s="36" t="str">
        <f t="shared" si="501"/>
        <v>R</v>
      </c>
      <c r="AK609" s="66">
        <v>6.0</v>
      </c>
      <c r="AL609" s="36" t="str">
        <f t="shared" si="502"/>
        <v>R</v>
      </c>
      <c r="AM609" s="66">
        <v>6.0</v>
      </c>
      <c r="AN609" s="36" t="str">
        <f t="shared" si="503"/>
        <v>R</v>
      </c>
      <c r="AO609" s="66" t="s">
        <v>299</v>
      </c>
      <c r="AP609" s="67">
        <v>6.0</v>
      </c>
      <c r="AQ609" s="37" t="str">
        <f t="shared" si="504"/>
        <v>R</v>
      </c>
      <c r="AR609" s="65">
        <v>18.0</v>
      </c>
      <c r="AS609" s="33" t="str">
        <f t="shared" si="505"/>
        <v>S</v>
      </c>
      <c r="AT609" s="65">
        <v>17.0</v>
      </c>
      <c r="AU609" s="33" t="str">
        <f t="shared" si="506"/>
        <v>S</v>
      </c>
      <c r="AV609" s="33" t="s">
        <v>300</v>
      </c>
      <c r="AW609" s="28">
        <v>6.0</v>
      </c>
      <c r="AX609" s="26" t="str">
        <f t="shared" si="507"/>
        <v>R</v>
      </c>
      <c r="AY609" s="67">
        <v>15.0</v>
      </c>
      <c r="AZ609" s="37" t="str">
        <f t="shared" si="508"/>
        <v>R</v>
      </c>
      <c r="BA609" s="66">
        <v>25.0</v>
      </c>
      <c r="BB609" s="36" t="str">
        <f t="shared" si="509"/>
        <v>S</v>
      </c>
      <c r="BC609" s="39" t="s">
        <v>357</v>
      </c>
      <c r="BD609" s="39" t="s">
        <v>357</v>
      </c>
      <c r="BE609" s="66">
        <v>25.0</v>
      </c>
      <c r="BF609" s="36" t="str">
        <f t="shared" si="510"/>
        <v>S</v>
      </c>
      <c r="BG609" s="68">
        <v>18.0</v>
      </c>
      <c r="BH609" s="41" t="str">
        <f t="shared" si="511"/>
        <v>S</v>
      </c>
      <c r="BI609" s="41"/>
    </row>
    <row r="610">
      <c r="A610" s="21" t="s">
        <v>1040</v>
      </c>
      <c r="B610" s="21" t="s">
        <v>444</v>
      </c>
      <c r="C610" s="21" t="s">
        <v>2112</v>
      </c>
      <c r="D610" s="69" t="s">
        <v>190</v>
      </c>
      <c r="E610" s="18" t="s">
        <v>190</v>
      </c>
      <c r="F610" s="18" t="s">
        <v>192</v>
      </c>
      <c r="G610" s="63" t="s">
        <v>2113</v>
      </c>
      <c r="H610" s="22" t="s">
        <v>198</v>
      </c>
      <c r="I610" s="28">
        <v>6.0</v>
      </c>
      <c r="J610" s="26" t="str">
        <f t="shared" si="489"/>
        <v>R</v>
      </c>
      <c r="K610" s="28">
        <v>20.0</v>
      </c>
      <c r="L610" s="26" t="str">
        <f t="shared" si="490"/>
        <v>S</v>
      </c>
      <c r="M610" s="28">
        <v>6.0</v>
      </c>
      <c r="N610" s="26" t="str">
        <f t="shared" si="491"/>
        <v>R</v>
      </c>
      <c r="O610" s="28">
        <v>22.0</v>
      </c>
      <c r="P610" s="26" t="str">
        <f t="shared" si="492"/>
        <v>I</v>
      </c>
      <c r="Q610" s="28">
        <v>6.0</v>
      </c>
      <c r="R610" s="26" t="str">
        <f t="shared" si="493"/>
        <v>R</v>
      </c>
      <c r="S610" s="28">
        <v>18.0</v>
      </c>
      <c r="T610" s="26" t="str">
        <f t="shared" si="494"/>
        <v>R</v>
      </c>
      <c r="U610" s="28">
        <v>21.0</v>
      </c>
      <c r="V610" s="26" t="str">
        <f t="shared" si="495"/>
        <v>S</v>
      </c>
      <c r="W610" s="32" t="s">
        <v>299</v>
      </c>
      <c r="X610" s="65">
        <v>6.0</v>
      </c>
      <c r="Y610" s="33" t="str">
        <f t="shared" si="496"/>
        <v>R</v>
      </c>
      <c r="Z610" s="65">
        <v>17.0</v>
      </c>
      <c r="AA610" s="33" t="str">
        <f t="shared" si="497"/>
        <v>R</v>
      </c>
      <c r="AB610" s="65">
        <v>6.0</v>
      </c>
      <c r="AC610" s="33" t="str">
        <f t="shared" si="498"/>
        <v>R</v>
      </c>
      <c r="AD610" s="65">
        <v>20.0</v>
      </c>
      <c r="AE610" s="33" t="str">
        <f t="shared" si="499"/>
        <v>S</v>
      </c>
      <c r="AF610" s="65">
        <v>15.0</v>
      </c>
      <c r="AG610" s="33" t="str">
        <f t="shared" si="500"/>
        <v>R</v>
      </c>
      <c r="AH610" s="65" t="s">
        <v>299</v>
      </c>
      <c r="AI610" s="66">
        <v>6.0</v>
      </c>
      <c r="AJ610" s="36" t="str">
        <f t="shared" si="501"/>
        <v>R</v>
      </c>
      <c r="AK610" s="66">
        <v>6.0</v>
      </c>
      <c r="AL610" s="36" t="str">
        <f t="shared" si="502"/>
        <v>R</v>
      </c>
      <c r="AM610" s="66">
        <v>6.0</v>
      </c>
      <c r="AN610" s="36" t="str">
        <f t="shared" si="503"/>
        <v>R</v>
      </c>
      <c r="AO610" s="66" t="s">
        <v>299</v>
      </c>
      <c r="AP610" s="67">
        <v>6.0</v>
      </c>
      <c r="AQ610" s="37" t="str">
        <f t="shared" si="504"/>
        <v>R</v>
      </c>
      <c r="AR610" s="65">
        <v>18.0</v>
      </c>
      <c r="AS610" s="33" t="str">
        <f t="shared" si="505"/>
        <v>S</v>
      </c>
      <c r="AT610" s="65">
        <v>17.0</v>
      </c>
      <c r="AU610" s="33" t="str">
        <f t="shared" si="506"/>
        <v>S</v>
      </c>
      <c r="AV610" s="33" t="s">
        <v>300</v>
      </c>
      <c r="AW610" s="28">
        <v>6.0</v>
      </c>
      <c r="AX610" s="26" t="str">
        <f t="shared" si="507"/>
        <v>R</v>
      </c>
      <c r="AY610" s="67">
        <v>15.0</v>
      </c>
      <c r="AZ610" s="37" t="str">
        <f t="shared" si="508"/>
        <v>R</v>
      </c>
      <c r="BA610" s="66">
        <v>25.0</v>
      </c>
      <c r="BB610" s="36" t="str">
        <f t="shared" si="509"/>
        <v>S</v>
      </c>
      <c r="BC610" s="39" t="s">
        <v>357</v>
      </c>
      <c r="BD610" s="39" t="s">
        <v>357</v>
      </c>
      <c r="BE610" s="66">
        <v>25.0</v>
      </c>
      <c r="BF610" s="36" t="str">
        <f t="shared" si="510"/>
        <v>S</v>
      </c>
      <c r="BG610" s="68">
        <v>18.0</v>
      </c>
      <c r="BH610" s="41" t="str">
        <f t="shared" si="511"/>
        <v>S</v>
      </c>
      <c r="BI610" s="41"/>
    </row>
    <row r="611">
      <c r="A611" s="21" t="s">
        <v>1040</v>
      </c>
      <c r="B611" s="21" t="s">
        <v>444</v>
      </c>
      <c r="C611" s="21" t="s">
        <v>2114</v>
      </c>
      <c r="D611" s="69" t="s">
        <v>190</v>
      </c>
      <c r="E611" s="18" t="s">
        <v>190</v>
      </c>
      <c r="F611" s="18" t="s">
        <v>192</v>
      </c>
      <c r="G611" s="63" t="s">
        <v>2115</v>
      </c>
      <c r="H611" s="22" t="s">
        <v>198</v>
      </c>
      <c r="I611" s="28">
        <v>6.0</v>
      </c>
      <c r="J611" s="26" t="str">
        <f t="shared" si="489"/>
        <v>R</v>
      </c>
      <c r="K611" s="28">
        <v>20.0</v>
      </c>
      <c r="L611" s="26" t="str">
        <f t="shared" si="490"/>
        <v>S</v>
      </c>
      <c r="M611" s="28">
        <v>6.0</v>
      </c>
      <c r="N611" s="26" t="str">
        <f t="shared" si="491"/>
        <v>R</v>
      </c>
      <c r="O611" s="28">
        <v>22.0</v>
      </c>
      <c r="P611" s="26" t="str">
        <f t="shared" si="492"/>
        <v>I</v>
      </c>
      <c r="Q611" s="28">
        <v>6.0</v>
      </c>
      <c r="R611" s="26" t="str">
        <f t="shared" si="493"/>
        <v>R</v>
      </c>
      <c r="S611" s="28">
        <v>18.0</v>
      </c>
      <c r="T611" s="26" t="str">
        <f t="shared" si="494"/>
        <v>R</v>
      </c>
      <c r="U611" s="28">
        <v>21.0</v>
      </c>
      <c r="V611" s="26" t="str">
        <f t="shared" si="495"/>
        <v>S</v>
      </c>
      <c r="W611" s="32" t="s">
        <v>299</v>
      </c>
      <c r="X611" s="65">
        <v>6.0</v>
      </c>
      <c r="Y611" s="33" t="str">
        <f t="shared" si="496"/>
        <v>R</v>
      </c>
      <c r="Z611" s="65">
        <v>17.0</v>
      </c>
      <c r="AA611" s="33" t="str">
        <f t="shared" si="497"/>
        <v>R</v>
      </c>
      <c r="AB611" s="65">
        <v>6.0</v>
      </c>
      <c r="AC611" s="33" t="str">
        <f t="shared" si="498"/>
        <v>R</v>
      </c>
      <c r="AD611" s="65">
        <v>20.0</v>
      </c>
      <c r="AE611" s="33" t="str">
        <f t="shared" si="499"/>
        <v>S</v>
      </c>
      <c r="AF611" s="65">
        <v>15.0</v>
      </c>
      <c r="AG611" s="33" t="str">
        <f t="shared" si="500"/>
        <v>R</v>
      </c>
      <c r="AH611" s="65" t="s">
        <v>299</v>
      </c>
      <c r="AI611" s="66">
        <v>6.0</v>
      </c>
      <c r="AJ611" s="36" t="str">
        <f t="shared" si="501"/>
        <v>R</v>
      </c>
      <c r="AK611" s="66">
        <v>6.0</v>
      </c>
      <c r="AL611" s="36" t="str">
        <f t="shared" si="502"/>
        <v>R</v>
      </c>
      <c r="AM611" s="66">
        <v>6.0</v>
      </c>
      <c r="AN611" s="36" t="str">
        <f t="shared" si="503"/>
        <v>R</v>
      </c>
      <c r="AO611" s="66" t="s">
        <v>299</v>
      </c>
      <c r="AP611" s="67">
        <v>6.0</v>
      </c>
      <c r="AQ611" s="37" t="str">
        <f t="shared" si="504"/>
        <v>R</v>
      </c>
      <c r="AR611" s="65">
        <v>18.0</v>
      </c>
      <c r="AS611" s="33" t="str">
        <f t="shared" si="505"/>
        <v>S</v>
      </c>
      <c r="AT611" s="65">
        <v>17.0</v>
      </c>
      <c r="AU611" s="33" t="str">
        <f t="shared" si="506"/>
        <v>S</v>
      </c>
      <c r="AV611" s="33" t="s">
        <v>300</v>
      </c>
      <c r="AW611" s="28">
        <v>6.0</v>
      </c>
      <c r="AX611" s="26" t="str">
        <f t="shared" si="507"/>
        <v>R</v>
      </c>
      <c r="AY611" s="67">
        <v>15.0</v>
      </c>
      <c r="AZ611" s="37" t="str">
        <f t="shared" si="508"/>
        <v>R</v>
      </c>
      <c r="BA611" s="66">
        <v>25.0</v>
      </c>
      <c r="BB611" s="36" t="str">
        <f t="shared" si="509"/>
        <v>S</v>
      </c>
      <c r="BC611" s="39" t="s">
        <v>357</v>
      </c>
      <c r="BD611" s="39" t="s">
        <v>357</v>
      </c>
      <c r="BE611" s="66">
        <v>25.0</v>
      </c>
      <c r="BF611" s="36" t="str">
        <f t="shared" si="510"/>
        <v>S</v>
      </c>
      <c r="BG611" s="68">
        <v>18.0</v>
      </c>
      <c r="BH611" s="41" t="str">
        <f t="shared" si="511"/>
        <v>S</v>
      </c>
      <c r="BI611" s="41"/>
    </row>
    <row r="612">
      <c r="A612" s="21" t="s">
        <v>1040</v>
      </c>
      <c r="B612" s="23">
        <v>258.0</v>
      </c>
      <c r="C612" s="21" t="s">
        <v>1229</v>
      </c>
      <c r="D612" s="69" t="s">
        <v>190</v>
      </c>
      <c r="E612" s="18" t="s">
        <v>190</v>
      </c>
      <c r="F612" s="18" t="s">
        <v>192</v>
      </c>
      <c r="G612" s="63" t="s">
        <v>1230</v>
      </c>
      <c r="H612" s="22" t="s">
        <v>198</v>
      </c>
      <c r="I612" s="28">
        <v>6.0</v>
      </c>
      <c r="J612" s="26" t="str">
        <f t="shared" si="489"/>
        <v>R</v>
      </c>
      <c r="K612" s="28">
        <v>19.0</v>
      </c>
      <c r="L612" s="26" t="str">
        <f t="shared" si="490"/>
        <v>S</v>
      </c>
      <c r="M612" s="28">
        <v>6.0</v>
      </c>
      <c r="N612" s="26" t="str">
        <f t="shared" si="491"/>
        <v>R</v>
      </c>
      <c r="O612" s="28">
        <v>28.0</v>
      </c>
      <c r="P612" s="26" t="str">
        <f t="shared" si="492"/>
        <v>S</v>
      </c>
      <c r="Q612" s="28">
        <v>6.0</v>
      </c>
      <c r="R612" s="26" t="str">
        <f t="shared" si="493"/>
        <v>R</v>
      </c>
      <c r="S612" s="28">
        <v>18.0</v>
      </c>
      <c r="T612" s="26" t="str">
        <f t="shared" si="494"/>
        <v>R</v>
      </c>
      <c r="U612" s="28">
        <v>14.0</v>
      </c>
      <c r="V612" s="26" t="str">
        <f t="shared" si="495"/>
        <v>R</v>
      </c>
      <c r="W612" s="32" t="s">
        <v>299</v>
      </c>
      <c r="X612" s="65">
        <v>11.0</v>
      </c>
      <c r="Y612" s="33" t="str">
        <f t="shared" si="496"/>
        <v>R</v>
      </c>
      <c r="Z612" s="65">
        <v>19.0</v>
      </c>
      <c r="AA612" s="33" t="str">
        <f t="shared" si="497"/>
        <v>S</v>
      </c>
      <c r="AB612" s="65">
        <v>15.0</v>
      </c>
      <c r="AC612" s="33" t="str">
        <f t="shared" si="498"/>
        <v>R</v>
      </c>
      <c r="AD612" s="65">
        <v>14.0</v>
      </c>
      <c r="AE612" s="33" t="str">
        <f t="shared" si="499"/>
        <v>S</v>
      </c>
      <c r="AF612" s="65">
        <v>14.0</v>
      </c>
      <c r="AG612" s="33" t="str">
        <f t="shared" si="500"/>
        <v>R</v>
      </c>
      <c r="AH612" s="65" t="s">
        <v>299</v>
      </c>
      <c r="AI612" s="66">
        <v>17.0</v>
      </c>
      <c r="AJ612" s="36" t="str">
        <f t="shared" si="501"/>
        <v>R</v>
      </c>
      <c r="AK612" s="66">
        <v>17.0</v>
      </c>
      <c r="AL612" s="36" t="str">
        <f t="shared" si="502"/>
        <v>R</v>
      </c>
      <c r="AM612" s="66">
        <v>15.0</v>
      </c>
      <c r="AN612" s="36" t="str">
        <f t="shared" si="503"/>
        <v>S</v>
      </c>
      <c r="AO612" s="66" t="s">
        <v>299</v>
      </c>
      <c r="AP612" s="67">
        <v>6.0</v>
      </c>
      <c r="AQ612" s="37" t="str">
        <f t="shared" si="504"/>
        <v>R</v>
      </c>
      <c r="AR612" s="65">
        <v>16.0</v>
      </c>
      <c r="AS612" s="33" t="str">
        <f t="shared" si="505"/>
        <v>R</v>
      </c>
      <c r="AT612" s="65">
        <v>15.0</v>
      </c>
      <c r="AU612" s="33" t="str">
        <f t="shared" si="506"/>
        <v>R</v>
      </c>
      <c r="AV612" s="65" t="s">
        <v>299</v>
      </c>
      <c r="AW612" s="28">
        <v>8.0</v>
      </c>
      <c r="AX612" s="26" t="str">
        <f t="shared" si="507"/>
        <v>R</v>
      </c>
      <c r="AY612" s="67">
        <v>12.0</v>
      </c>
      <c r="AZ612" s="37" t="str">
        <f t="shared" si="508"/>
        <v>R</v>
      </c>
      <c r="BA612" s="66">
        <v>22.0</v>
      </c>
      <c r="BB612" s="36" t="str">
        <f t="shared" si="509"/>
        <v>R</v>
      </c>
      <c r="BC612" s="39" t="s">
        <v>357</v>
      </c>
      <c r="BD612" s="39" t="s">
        <v>357</v>
      </c>
      <c r="BE612" s="66">
        <v>24.0</v>
      </c>
      <c r="BF612" s="36" t="str">
        <f t="shared" si="510"/>
        <v>S</v>
      </c>
      <c r="BG612" s="68">
        <v>16.0</v>
      </c>
      <c r="BH612" s="41" t="str">
        <f t="shared" si="511"/>
        <v>R</v>
      </c>
      <c r="BI612" s="41"/>
    </row>
    <row r="613">
      <c r="A613" s="21" t="s">
        <v>1040</v>
      </c>
      <c r="B613" s="21" t="s">
        <v>444</v>
      </c>
      <c r="C613" s="21" t="s">
        <v>2116</v>
      </c>
      <c r="D613" s="69" t="s">
        <v>190</v>
      </c>
      <c r="E613" s="18" t="s">
        <v>190</v>
      </c>
      <c r="F613" s="18" t="s">
        <v>192</v>
      </c>
      <c r="G613" s="63" t="s">
        <v>2117</v>
      </c>
      <c r="H613" s="22" t="s">
        <v>198</v>
      </c>
      <c r="I613" s="28">
        <v>6.0</v>
      </c>
      <c r="J613" s="26" t="str">
        <f t="shared" si="489"/>
        <v>R</v>
      </c>
      <c r="K613" s="28">
        <v>20.0</v>
      </c>
      <c r="L613" s="26" t="str">
        <f t="shared" si="490"/>
        <v>S</v>
      </c>
      <c r="M613" s="28">
        <v>6.0</v>
      </c>
      <c r="N613" s="26" t="str">
        <f t="shared" si="491"/>
        <v>R</v>
      </c>
      <c r="O613" s="28">
        <v>28.0</v>
      </c>
      <c r="P613" s="26" t="str">
        <f t="shared" si="492"/>
        <v>S</v>
      </c>
      <c r="Q613" s="28">
        <v>6.0</v>
      </c>
      <c r="R613" s="26" t="str">
        <f t="shared" si="493"/>
        <v>R</v>
      </c>
      <c r="S613" s="28">
        <v>18.0</v>
      </c>
      <c r="T613" s="26" t="str">
        <f t="shared" si="494"/>
        <v>R</v>
      </c>
      <c r="U613" s="28">
        <v>14.0</v>
      </c>
      <c r="V613" s="26" t="str">
        <f t="shared" si="495"/>
        <v>R</v>
      </c>
      <c r="W613" s="32" t="s">
        <v>299</v>
      </c>
      <c r="X613" s="65">
        <v>10.0</v>
      </c>
      <c r="Y613" s="33" t="str">
        <f t="shared" si="496"/>
        <v>R</v>
      </c>
      <c r="Z613" s="65">
        <v>20.0</v>
      </c>
      <c r="AA613" s="33" t="str">
        <f t="shared" si="497"/>
        <v>S</v>
      </c>
      <c r="AB613" s="65">
        <v>14.0</v>
      </c>
      <c r="AC613" s="33" t="str">
        <f t="shared" si="498"/>
        <v>R</v>
      </c>
      <c r="AD613" s="65">
        <v>13.0</v>
      </c>
      <c r="AE613" s="33" t="str">
        <f t="shared" si="499"/>
        <v>S</v>
      </c>
      <c r="AF613" s="65">
        <v>12.0</v>
      </c>
      <c r="AG613" s="33" t="str">
        <f t="shared" si="500"/>
        <v>R</v>
      </c>
      <c r="AH613" s="65" t="s">
        <v>299</v>
      </c>
      <c r="AI613" s="66">
        <v>17.0</v>
      </c>
      <c r="AJ613" s="36" t="str">
        <f t="shared" si="501"/>
        <v>R</v>
      </c>
      <c r="AK613" s="66">
        <v>17.0</v>
      </c>
      <c r="AL613" s="36" t="str">
        <f t="shared" si="502"/>
        <v>R</v>
      </c>
      <c r="AM613" s="66">
        <v>15.0</v>
      </c>
      <c r="AN613" s="36" t="str">
        <f t="shared" si="503"/>
        <v>S</v>
      </c>
      <c r="AO613" s="66" t="s">
        <v>299</v>
      </c>
      <c r="AP613" s="67">
        <v>6.0</v>
      </c>
      <c r="AQ613" s="37" t="str">
        <f t="shared" si="504"/>
        <v>R</v>
      </c>
      <c r="AR613" s="65">
        <v>17.0</v>
      </c>
      <c r="AS613" s="33" t="str">
        <f t="shared" si="505"/>
        <v>R</v>
      </c>
      <c r="AT613" s="65">
        <v>17.0</v>
      </c>
      <c r="AU613" s="33" t="str">
        <f t="shared" si="506"/>
        <v>S</v>
      </c>
      <c r="AV613" s="65" t="s">
        <v>299</v>
      </c>
      <c r="AW613" s="28">
        <v>8.0</v>
      </c>
      <c r="AX613" s="26" t="str">
        <f t="shared" si="507"/>
        <v>R</v>
      </c>
      <c r="AY613" s="67">
        <v>10.0</v>
      </c>
      <c r="AZ613" s="37" t="str">
        <f t="shared" si="508"/>
        <v>R</v>
      </c>
      <c r="BA613" s="66">
        <v>21.0</v>
      </c>
      <c r="BB613" s="36" t="str">
        <f t="shared" si="509"/>
        <v>R</v>
      </c>
      <c r="BC613" s="39" t="s">
        <v>357</v>
      </c>
      <c r="BD613" s="39" t="s">
        <v>357</v>
      </c>
      <c r="BE613" s="66">
        <v>24.0</v>
      </c>
      <c r="BF613" s="36" t="str">
        <f t="shared" si="510"/>
        <v>S</v>
      </c>
      <c r="BG613" s="68">
        <v>16.0</v>
      </c>
      <c r="BH613" s="41" t="str">
        <f t="shared" si="511"/>
        <v>R</v>
      </c>
      <c r="BI613" s="41"/>
    </row>
    <row r="614">
      <c r="A614" s="21" t="s">
        <v>1040</v>
      </c>
      <c r="B614" s="21" t="s">
        <v>444</v>
      </c>
      <c r="C614" s="21" t="s">
        <v>2118</v>
      </c>
      <c r="D614" s="69" t="s">
        <v>190</v>
      </c>
      <c r="E614" s="18" t="s">
        <v>190</v>
      </c>
      <c r="F614" s="18" t="s">
        <v>192</v>
      </c>
      <c r="G614" s="63" t="s">
        <v>2119</v>
      </c>
      <c r="H614" s="22" t="s">
        <v>198</v>
      </c>
      <c r="I614" s="28">
        <v>6.0</v>
      </c>
      <c r="J614" s="26" t="str">
        <f t="shared" si="489"/>
        <v>R</v>
      </c>
      <c r="K614" s="28">
        <v>24.0</v>
      </c>
      <c r="L614" s="26" t="str">
        <f t="shared" si="490"/>
        <v>S</v>
      </c>
      <c r="M614" s="28">
        <v>6.0</v>
      </c>
      <c r="N614" s="26" t="str">
        <f t="shared" si="491"/>
        <v>R</v>
      </c>
      <c r="O614" s="28">
        <v>28.0</v>
      </c>
      <c r="P614" s="26" t="str">
        <f t="shared" si="492"/>
        <v>S</v>
      </c>
      <c r="Q614" s="28">
        <v>6.0</v>
      </c>
      <c r="R614" s="26" t="str">
        <f t="shared" si="493"/>
        <v>R</v>
      </c>
      <c r="S614" s="28">
        <v>18.0</v>
      </c>
      <c r="T614" s="26" t="str">
        <f t="shared" si="494"/>
        <v>R</v>
      </c>
      <c r="U614" s="28">
        <v>14.0</v>
      </c>
      <c r="V614" s="26" t="str">
        <f t="shared" si="495"/>
        <v>R</v>
      </c>
      <c r="W614" s="32" t="s">
        <v>299</v>
      </c>
      <c r="X614" s="65">
        <v>10.0</v>
      </c>
      <c r="Y614" s="33" t="str">
        <f t="shared" si="496"/>
        <v>R</v>
      </c>
      <c r="Z614" s="65">
        <v>19.0</v>
      </c>
      <c r="AA614" s="33" t="str">
        <f t="shared" si="497"/>
        <v>S</v>
      </c>
      <c r="AB614" s="65">
        <v>15.0</v>
      </c>
      <c r="AC614" s="33" t="str">
        <f t="shared" si="498"/>
        <v>R</v>
      </c>
      <c r="AD614" s="65">
        <v>13.0</v>
      </c>
      <c r="AE614" s="33" t="str">
        <f t="shared" si="499"/>
        <v>S</v>
      </c>
      <c r="AF614" s="65">
        <v>12.0</v>
      </c>
      <c r="AG614" s="33" t="str">
        <f t="shared" si="500"/>
        <v>R</v>
      </c>
      <c r="AH614" s="65" t="s">
        <v>299</v>
      </c>
      <c r="AI614" s="66">
        <v>17.0</v>
      </c>
      <c r="AJ614" s="36" t="str">
        <f t="shared" si="501"/>
        <v>R</v>
      </c>
      <c r="AK614" s="66">
        <v>17.0</v>
      </c>
      <c r="AL614" s="36" t="str">
        <f t="shared" si="502"/>
        <v>R</v>
      </c>
      <c r="AM614" s="66">
        <v>16.0</v>
      </c>
      <c r="AN614" s="36" t="str">
        <f t="shared" si="503"/>
        <v>S</v>
      </c>
      <c r="AO614" s="66" t="s">
        <v>299</v>
      </c>
      <c r="AP614" s="67">
        <v>6.0</v>
      </c>
      <c r="AQ614" s="37" t="str">
        <f t="shared" si="504"/>
        <v>R</v>
      </c>
      <c r="AR614" s="65">
        <v>15.0</v>
      </c>
      <c r="AS614" s="33" t="str">
        <f t="shared" si="505"/>
        <v>R</v>
      </c>
      <c r="AT614" s="65">
        <v>17.0</v>
      </c>
      <c r="AU614" s="33" t="str">
        <f t="shared" si="506"/>
        <v>S</v>
      </c>
      <c r="AV614" s="65" t="s">
        <v>299</v>
      </c>
      <c r="AW614" s="28">
        <v>8.0</v>
      </c>
      <c r="AX614" s="26" t="str">
        <f t="shared" si="507"/>
        <v>R</v>
      </c>
      <c r="AY614" s="67">
        <v>12.0</v>
      </c>
      <c r="AZ614" s="37" t="str">
        <f t="shared" si="508"/>
        <v>R</v>
      </c>
      <c r="BA614" s="66">
        <v>22.0</v>
      </c>
      <c r="BB614" s="36" t="str">
        <f t="shared" si="509"/>
        <v>R</v>
      </c>
      <c r="BC614" s="39" t="s">
        <v>357</v>
      </c>
      <c r="BD614" s="39" t="s">
        <v>357</v>
      </c>
      <c r="BE614" s="66">
        <v>24.0</v>
      </c>
      <c r="BF614" s="36" t="str">
        <f t="shared" si="510"/>
        <v>S</v>
      </c>
      <c r="BG614" s="68">
        <v>16.0</v>
      </c>
      <c r="BH614" s="41" t="str">
        <f t="shared" si="511"/>
        <v>R</v>
      </c>
      <c r="BI614" s="41"/>
    </row>
    <row r="615">
      <c r="A615" s="21" t="s">
        <v>1040</v>
      </c>
      <c r="B615" s="23">
        <v>259.0</v>
      </c>
      <c r="C615" s="21" t="s">
        <v>1231</v>
      </c>
      <c r="D615" s="69" t="s">
        <v>190</v>
      </c>
      <c r="E615" s="18" t="s">
        <v>190</v>
      </c>
      <c r="F615" s="18" t="s">
        <v>192</v>
      </c>
      <c r="G615" s="63" t="s">
        <v>1232</v>
      </c>
      <c r="H615" s="22" t="s">
        <v>198</v>
      </c>
      <c r="I615" s="28">
        <v>6.0</v>
      </c>
      <c r="J615" s="26" t="str">
        <f t="shared" si="489"/>
        <v>R</v>
      </c>
      <c r="K615" s="28">
        <v>18.0</v>
      </c>
      <c r="L615" s="26" t="str">
        <f t="shared" si="490"/>
        <v>R</v>
      </c>
      <c r="M615" s="28">
        <v>6.0</v>
      </c>
      <c r="N615" s="26" t="str">
        <f t="shared" si="491"/>
        <v>R</v>
      </c>
      <c r="O615" s="28">
        <v>20.0</v>
      </c>
      <c r="P615" s="26" t="str">
        <f t="shared" si="492"/>
        <v>I</v>
      </c>
      <c r="Q615" s="28">
        <v>6.0</v>
      </c>
      <c r="R615" s="26" t="str">
        <f t="shared" si="493"/>
        <v>R</v>
      </c>
      <c r="S615" s="28">
        <v>20.0</v>
      </c>
      <c r="T615" s="26" t="str">
        <f t="shared" si="494"/>
        <v>S</v>
      </c>
      <c r="U615" s="28">
        <v>12.0</v>
      </c>
      <c r="V615" s="26" t="str">
        <f t="shared" si="495"/>
        <v>R</v>
      </c>
      <c r="W615" s="32" t="s">
        <v>299</v>
      </c>
      <c r="X615" s="65">
        <v>6.0</v>
      </c>
      <c r="Y615" s="33" t="str">
        <f t="shared" si="496"/>
        <v>R</v>
      </c>
      <c r="Z615" s="65">
        <v>17.0</v>
      </c>
      <c r="AA615" s="33" t="str">
        <f t="shared" si="497"/>
        <v>R</v>
      </c>
      <c r="AB615" s="65">
        <v>6.0</v>
      </c>
      <c r="AC615" s="33" t="str">
        <f t="shared" si="498"/>
        <v>R</v>
      </c>
      <c r="AD615" s="65">
        <v>22.0</v>
      </c>
      <c r="AE615" s="33" t="str">
        <f t="shared" si="499"/>
        <v>S</v>
      </c>
      <c r="AF615" s="65">
        <v>10.0</v>
      </c>
      <c r="AG615" s="33" t="str">
        <f t="shared" si="500"/>
        <v>R</v>
      </c>
      <c r="AH615" s="65" t="s">
        <v>299</v>
      </c>
      <c r="AI615" s="66">
        <v>16.0</v>
      </c>
      <c r="AJ615" s="36" t="str">
        <f t="shared" si="501"/>
        <v>R</v>
      </c>
      <c r="AK615" s="66">
        <v>18.0</v>
      </c>
      <c r="AL615" s="36" t="str">
        <f t="shared" si="502"/>
        <v>R</v>
      </c>
      <c r="AM615" s="66">
        <v>11.0</v>
      </c>
      <c r="AN615" s="36" t="str">
        <f t="shared" si="503"/>
        <v>R</v>
      </c>
      <c r="AO615" s="66" t="s">
        <v>299</v>
      </c>
      <c r="AP615" s="67">
        <v>12.0</v>
      </c>
      <c r="AQ615" s="37" t="str">
        <f t="shared" si="504"/>
        <v>I</v>
      </c>
      <c r="AR615" s="65">
        <v>18.0</v>
      </c>
      <c r="AS615" s="33" t="str">
        <f t="shared" si="505"/>
        <v>S</v>
      </c>
      <c r="AT615" s="65">
        <v>17.0</v>
      </c>
      <c r="AU615" s="33" t="str">
        <f t="shared" si="506"/>
        <v>S</v>
      </c>
      <c r="AV615" s="33" t="s">
        <v>300</v>
      </c>
      <c r="AW615" s="28">
        <v>21.0</v>
      </c>
      <c r="AX615" s="26" t="str">
        <f t="shared" si="507"/>
        <v>S</v>
      </c>
      <c r="AY615" s="67">
        <v>11.0</v>
      </c>
      <c r="AZ615" s="37" t="str">
        <f t="shared" si="508"/>
        <v>R</v>
      </c>
      <c r="BA615" s="66">
        <v>20.0</v>
      </c>
      <c r="BB615" s="36" t="str">
        <f t="shared" si="509"/>
        <v>R</v>
      </c>
      <c r="BC615" s="39" t="s">
        <v>357</v>
      </c>
      <c r="BD615" s="39" t="s">
        <v>357</v>
      </c>
      <c r="BE615" s="66">
        <v>18.0</v>
      </c>
      <c r="BF615" s="36" t="str">
        <f t="shared" si="510"/>
        <v>R</v>
      </c>
      <c r="BG615" s="68">
        <v>15.0</v>
      </c>
      <c r="BH615" s="41" t="str">
        <f t="shared" si="511"/>
        <v>R</v>
      </c>
      <c r="BI615" s="41"/>
    </row>
    <row r="616">
      <c r="A616" s="21" t="s">
        <v>1040</v>
      </c>
      <c r="B616" s="21" t="s">
        <v>444</v>
      </c>
      <c r="C616" s="21" t="s">
        <v>2120</v>
      </c>
      <c r="D616" s="69" t="s">
        <v>190</v>
      </c>
      <c r="E616" s="18" t="s">
        <v>190</v>
      </c>
      <c r="F616" s="18" t="s">
        <v>192</v>
      </c>
      <c r="G616" s="63" t="s">
        <v>2121</v>
      </c>
      <c r="H616" s="22" t="s">
        <v>198</v>
      </c>
      <c r="I616" s="28">
        <v>6.0</v>
      </c>
      <c r="J616" s="26" t="str">
        <f t="shared" si="489"/>
        <v>R</v>
      </c>
      <c r="K616" s="28">
        <v>16.0</v>
      </c>
      <c r="L616" s="26" t="str">
        <f t="shared" si="490"/>
        <v>R</v>
      </c>
      <c r="M616" s="28">
        <v>6.0</v>
      </c>
      <c r="N616" s="26" t="str">
        <f t="shared" si="491"/>
        <v>R</v>
      </c>
      <c r="O616" s="28">
        <v>20.0</v>
      </c>
      <c r="P616" s="26" t="str">
        <f t="shared" si="492"/>
        <v>I</v>
      </c>
      <c r="Q616" s="28">
        <v>6.0</v>
      </c>
      <c r="R616" s="26" t="str">
        <f t="shared" si="493"/>
        <v>R</v>
      </c>
      <c r="S616" s="28">
        <v>20.0</v>
      </c>
      <c r="T616" s="26" t="str">
        <f t="shared" si="494"/>
        <v>S</v>
      </c>
      <c r="U616" s="28">
        <v>12.0</v>
      </c>
      <c r="V616" s="26" t="str">
        <f t="shared" si="495"/>
        <v>R</v>
      </c>
      <c r="W616" s="32" t="s">
        <v>299</v>
      </c>
      <c r="X616" s="65">
        <v>6.0</v>
      </c>
      <c r="Y616" s="33" t="str">
        <f t="shared" si="496"/>
        <v>R</v>
      </c>
      <c r="Z616" s="65">
        <v>16.0</v>
      </c>
      <c r="AA616" s="33" t="str">
        <f t="shared" si="497"/>
        <v>R</v>
      </c>
      <c r="AB616" s="65">
        <v>6.0</v>
      </c>
      <c r="AC616" s="33" t="str">
        <f t="shared" si="498"/>
        <v>R</v>
      </c>
      <c r="AD616" s="65">
        <v>21.0</v>
      </c>
      <c r="AE616" s="33" t="str">
        <f t="shared" si="499"/>
        <v>S</v>
      </c>
      <c r="AF616" s="65">
        <v>14.0</v>
      </c>
      <c r="AG616" s="33" t="str">
        <f t="shared" si="500"/>
        <v>R</v>
      </c>
      <c r="AH616" s="65" t="s">
        <v>299</v>
      </c>
      <c r="AI616" s="66">
        <v>16.0</v>
      </c>
      <c r="AJ616" s="36" t="str">
        <f t="shared" si="501"/>
        <v>R</v>
      </c>
      <c r="AK616" s="66">
        <v>18.0</v>
      </c>
      <c r="AL616" s="36" t="str">
        <f t="shared" si="502"/>
        <v>R</v>
      </c>
      <c r="AM616" s="66">
        <v>11.0</v>
      </c>
      <c r="AN616" s="36" t="str">
        <f t="shared" si="503"/>
        <v>R</v>
      </c>
      <c r="AO616" s="66" t="s">
        <v>299</v>
      </c>
      <c r="AP616" s="67">
        <v>11.0</v>
      </c>
      <c r="AQ616" s="37" t="str">
        <f t="shared" si="504"/>
        <v>I</v>
      </c>
      <c r="AR616" s="65">
        <v>18.0</v>
      </c>
      <c r="AS616" s="33" t="str">
        <f t="shared" si="505"/>
        <v>S</v>
      </c>
      <c r="AT616" s="65">
        <v>17.0</v>
      </c>
      <c r="AU616" s="33" t="str">
        <f t="shared" si="506"/>
        <v>S</v>
      </c>
      <c r="AV616" s="33" t="s">
        <v>300</v>
      </c>
      <c r="AW616" s="28">
        <v>21.0</v>
      </c>
      <c r="AX616" s="26" t="str">
        <f t="shared" si="507"/>
        <v>S</v>
      </c>
      <c r="AY616" s="67">
        <v>10.0</v>
      </c>
      <c r="AZ616" s="37" t="str">
        <f t="shared" si="508"/>
        <v>R</v>
      </c>
      <c r="BA616" s="66">
        <v>20.0</v>
      </c>
      <c r="BB616" s="36" t="str">
        <f t="shared" si="509"/>
        <v>R</v>
      </c>
      <c r="BC616" s="39" t="s">
        <v>357</v>
      </c>
      <c r="BD616" s="39" t="s">
        <v>357</v>
      </c>
      <c r="BE616" s="66">
        <v>10.0</v>
      </c>
      <c r="BF616" s="36" t="str">
        <f t="shared" si="510"/>
        <v>R</v>
      </c>
      <c r="BG616" s="68">
        <v>12.0</v>
      </c>
      <c r="BH616" s="41" t="str">
        <f t="shared" si="511"/>
        <v>R</v>
      </c>
      <c r="BI616" s="41"/>
    </row>
    <row r="617">
      <c r="A617" s="21" t="s">
        <v>1040</v>
      </c>
      <c r="B617" s="21" t="s">
        <v>444</v>
      </c>
      <c r="C617" s="21" t="s">
        <v>2122</v>
      </c>
      <c r="D617" s="69" t="s">
        <v>190</v>
      </c>
      <c r="E617" s="18" t="s">
        <v>190</v>
      </c>
      <c r="F617" s="18" t="s">
        <v>192</v>
      </c>
      <c r="G617" s="63" t="s">
        <v>2123</v>
      </c>
      <c r="H617" s="22" t="s">
        <v>198</v>
      </c>
      <c r="I617" s="28">
        <v>6.0</v>
      </c>
      <c r="J617" s="26" t="str">
        <f t="shared" si="489"/>
        <v>R</v>
      </c>
      <c r="K617" s="28">
        <v>16.0</v>
      </c>
      <c r="L617" s="26" t="str">
        <f t="shared" si="490"/>
        <v>R</v>
      </c>
      <c r="M617" s="28">
        <v>6.0</v>
      </c>
      <c r="N617" s="26" t="str">
        <f t="shared" si="491"/>
        <v>R</v>
      </c>
      <c r="O617" s="28">
        <v>20.0</v>
      </c>
      <c r="P617" s="26" t="str">
        <f t="shared" si="492"/>
        <v>I</v>
      </c>
      <c r="Q617" s="28">
        <v>6.0</v>
      </c>
      <c r="R617" s="26" t="str">
        <f t="shared" si="493"/>
        <v>R</v>
      </c>
      <c r="S617" s="28">
        <v>20.0</v>
      </c>
      <c r="T617" s="26" t="str">
        <f t="shared" si="494"/>
        <v>S</v>
      </c>
      <c r="U617" s="28">
        <v>12.0</v>
      </c>
      <c r="V617" s="26" t="str">
        <f t="shared" si="495"/>
        <v>R</v>
      </c>
      <c r="W617" s="32" t="s">
        <v>299</v>
      </c>
      <c r="X617" s="65">
        <v>6.0</v>
      </c>
      <c r="Y617" s="33" t="str">
        <f t="shared" si="496"/>
        <v>R</v>
      </c>
      <c r="Z617" s="65">
        <v>14.0</v>
      </c>
      <c r="AA617" s="33" t="str">
        <f t="shared" si="497"/>
        <v>R</v>
      </c>
      <c r="AB617" s="65">
        <v>6.0</v>
      </c>
      <c r="AC617" s="33" t="str">
        <f t="shared" si="498"/>
        <v>R</v>
      </c>
      <c r="AD617" s="65">
        <v>20.0</v>
      </c>
      <c r="AE617" s="33" t="str">
        <f t="shared" si="499"/>
        <v>S</v>
      </c>
      <c r="AF617" s="65">
        <v>11.0</v>
      </c>
      <c r="AG617" s="33" t="str">
        <f t="shared" si="500"/>
        <v>R</v>
      </c>
      <c r="AH617" s="65" t="s">
        <v>299</v>
      </c>
      <c r="AI617" s="66">
        <v>16.0</v>
      </c>
      <c r="AJ617" s="36" t="str">
        <f t="shared" si="501"/>
        <v>R</v>
      </c>
      <c r="AK617" s="66">
        <v>18.0</v>
      </c>
      <c r="AL617" s="36" t="str">
        <f t="shared" si="502"/>
        <v>R</v>
      </c>
      <c r="AM617" s="66">
        <v>11.0</v>
      </c>
      <c r="AN617" s="36" t="str">
        <f t="shared" si="503"/>
        <v>R</v>
      </c>
      <c r="AO617" s="66" t="s">
        <v>299</v>
      </c>
      <c r="AP617" s="67">
        <v>12.0</v>
      </c>
      <c r="AQ617" s="37" t="str">
        <f t="shared" si="504"/>
        <v>I</v>
      </c>
      <c r="AR617" s="65">
        <v>18.0</v>
      </c>
      <c r="AS617" s="33" t="str">
        <f t="shared" si="505"/>
        <v>S</v>
      </c>
      <c r="AT617" s="65">
        <v>17.0</v>
      </c>
      <c r="AU617" s="33" t="str">
        <f t="shared" si="506"/>
        <v>S</v>
      </c>
      <c r="AV617" s="33" t="s">
        <v>300</v>
      </c>
      <c r="AW617" s="28">
        <v>21.0</v>
      </c>
      <c r="AX617" s="26" t="str">
        <f t="shared" si="507"/>
        <v>S</v>
      </c>
      <c r="AY617" s="67">
        <v>10.0</v>
      </c>
      <c r="AZ617" s="37" t="str">
        <f t="shared" si="508"/>
        <v>R</v>
      </c>
      <c r="BA617" s="66">
        <v>20.0</v>
      </c>
      <c r="BB617" s="36" t="str">
        <f t="shared" si="509"/>
        <v>R</v>
      </c>
      <c r="BC617" s="39" t="s">
        <v>357</v>
      </c>
      <c r="BD617" s="39" t="s">
        <v>357</v>
      </c>
      <c r="BE617" s="66">
        <v>16.0</v>
      </c>
      <c r="BF617" s="36" t="str">
        <f t="shared" si="510"/>
        <v>R</v>
      </c>
      <c r="BG617" s="68">
        <v>13.0</v>
      </c>
      <c r="BH617" s="41" t="str">
        <f t="shared" si="511"/>
        <v>R</v>
      </c>
      <c r="BI617" s="41"/>
    </row>
    <row r="618">
      <c r="A618" s="51" t="s">
        <v>659</v>
      </c>
      <c r="B618" s="53">
        <v>260.0</v>
      </c>
      <c r="C618" s="51" t="s">
        <v>1078</v>
      </c>
      <c r="D618" s="69" t="s">
        <v>190</v>
      </c>
      <c r="E618" s="18" t="s">
        <v>190</v>
      </c>
      <c r="F618" s="18" t="s">
        <v>192</v>
      </c>
      <c r="G618" s="63" t="s">
        <v>1080</v>
      </c>
      <c r="H618" s="42" t="s">
        <v>479</v>
      </c>
      <c r="I618" s="28">
        <v>6.0</v>
      </c>
      <c r="J618" s="26" t="str">
        <f t="shared" si="489"/>
        <v>R</v>
      </c>
      <c r="K618" s="28">
        <v>21.0</v>
      </c>
      <c r="L618" s="26" t="str">
        <f t="shared" si="490"/>
        <v>S</v>
      </c>
      <c r="M618" s="28">
        <v>6.0</v>
      </c>
      <c r="N618" s="26" t="str">
        <f t="shared" si="491"/>
        <v>R</v>
      </c>
      <c r="O618" s="28">
        <v>26.0</v>
      </c>
      <c r="P618" s="26" t="str">
        <f t="shared" si="492"/>
        <v>S</v>
      </c>
      <c r="Q618" s="28">
        <v>6.0</v>
      </c>
      <c r="R618" s="26" t="str">
        <f t="shared" si="493"/>
        <v>R</v>
      </c>
      <c r="S618" s="28">
        <v>20.0</v>
      </c>
      <c r="T618" s="26" t="str">
        <f t="shared" si="494"/>
        <v>S</v>
      </c>
      <c r="U618" s="28">
        <v>25.0</v>
      </c>
      <c r="V618" s="26" t="str">
        <f t="shared" si="495"/>
        <v>S</v>
      </c>
      <c r="W618" s="32" t="s">
        <v>299</v>
      </c>
      <c r="X618" s="65">
        <v>26.0</v>
      </c>
      <c r="Y618" s="33" t="str">
        <f t="shared" si="496"/>
        <v>S</v>
      </c>
      <c r="Z618" s="65">
        <v>18.0</v>
      </c>
      <c r="AA618" s="33" t="str">
        <f t="shared" si="497"/>
        <v>S</v>
      </c>
      <c r="AB618" s="65">
        <v>24.0</v>
      </c>
      <c r="AC618" s="33" t="str">
        <f t="shared" si="498"/>
        <v>S</v>
      </c>
      <c r="AD618" s="65">
        <v>13.0</v>
      </c>
      <c r="AE618" s="33" t="str">
        <f t="shared" si="499"/>
        <v>S</v>
      </c>
      <c r="AF618" s="65">
        <v>25.0</v>
      </c>
      <c r="AG618" s="33" t="str">
        <f t="shared" si="500"/>
        <v>I</v>
      </c>
      <c r="AH618" s="65" t="s">
        <v>299</v>
      </c>
      <c r="AI618" s="66">
        <v>19.0</v>
      </c>
      <c r="AJ618" s="36" t="str">
        <f t="shared" si="501"/>
        <v>R</v>
      </c>
      <c r="AK618" s="66">
        <v>19.0</v>
      </c>
      <c r="AL618" s="36" t="str">
        <f t="shared" si="502"/>
        <v>I</v>
      </c>
      <c r="AM618" s="66">
        <v>8.0</v>
      </c>
      <c r="AN618" s="36" t="str">
        <f t="shared" si="503"/>
        <v>R</v>
      </c>
      <c r="AO618" s="66" t="s">
        <v>299</v>
      </c>
      <c r="AP618" s="67">
        <v>21.0</v>
      </c>
      <c r="AQ618" s="37" t="str">
        <f t="shared" si="504"/>
        <v>S</v>
      </c>
      <c r="AR618" s="65">
        <v>16.0</v>
      </c>
      <c r="AS618" s="33" t="str">
        <f t="shared" si="505"/>
        <v>R</v>
      </c>
      <c r="AT618" s="65">
        <v>20.0</v>
      </c>
      <c r="AU618" s="33" t="str">
        <f t="shared" si="506"/>
        <v>S</v>
      </c>
      <c r="AV618" s="65" t="s">
        <v>299</v>
      </c>
      <c r="AW618" s="28">
        <v>20.0</v>
      </c>
      <c r="AX618" s="26" t="str">
        <f t="shared" si="507"/>
        <v>S</v>
      </c>
      <c r="AY618" s="67">
        <v>20.0</v>
      </c>
      <c r="AZ618" s="37" t="str">
        <f t="shared" si="508"/>
        <v>R</v>
      </c>
      <c r="BA618" s="66">
        <v>28.0</v>
      </c>
      <c r="BB618" s="36" t="str">
        <f t="shared" si="509"/>
        <v>S</v>
      </c>
      <c r="BC618" s="39" t="s">
        <v>357</v>
      </c>
      <c r="BD618" s="39" t="s">
        <v>357</v>
      </c>
      <c r="BE618" s="66">
        <v>26.0</v>
      </c>
      <c r="BF618" s="36" t="str">
        <f t="shared" si="510"/>
        <v>S</v>
      </c>
      <c r="BG618" s="68">
        <v>14.0</v>
      </c>
      <c r="BH618" s="41" t="str">
        <f t="shared" si="511"/>
        <v>R</v>
      </c>
      <c r="BI618" s="41"/>
    </row>
    <row r="619">
      <c r="A619" s="51" t="s">
        <v>659</v>
      </c>
      <c r="B619" s="51" t="s">
        <v>444</v>
      </c>
      <c r="C619" s="51" t="s">
        <v>2124</v>
      </c>
      <c r="D619" s="69" t="s">
        <v>190</v>
      </c>
      <c r="E619" s="18" t="s">
        <v>190</v>
      </c>
      <c r="F619" s="18" t="s">
        <v>192</v>
      </c>
      <c r="G619" s="63" t="s">
        <v>2125</v>
      </c>
      <c r="H619" s="42" t="s">
        <v>479</v>
      </c>
      <c r="I619" s="28">
        <v>6.0</v>
      </c>
      <c r="J619" s="26" t="str">
        <f t="shared" si="489"/>
        <v>R</v>
      </c>
      <c r="K619" s="28">
        <v>22.0</v>
      </c>
      <c r="L619" s="26" t="str">
        <f t="shared" si="490"/>
        <v>S</v>
      </c>
      <c r="M619" s="28">
        <v>6.0</v>
      </c>
      <c r="N619" s="26" t="str">
        <f t="shared" si="491"/>
        <v>R</v>
      </c>
      <c r="O619" s="28">
        <v>26.0</v>
      </c>
      <c r="P619" s="26" t="str">
        <f t="shared" si="492"/>
        <v>S</v>
      </c>
      <c r="Q619" s="28">
        <v>6.0</v>
      </c>
      <c r="R619" s="26" t="str">
        <f t="shared" si="493"/>
        <v>R</v>
      </c>
      <c r="S619" s="28">
        <v>20.0</v>
      </c>
      <c r="T619" s="26" t="str">
        <f t="shared" si="494"/>
        <v>S</v>
      </c>
      <c r="U619" s="28">
        <v>25.0</v>
      </c>
      <c r="V619" s="26" t="str">
        <f t="shared" si="495"/>
        <v>S</v>
      </c>
      <c r="W619" s="32" t="s">
        <v>299</v>
      </c>
      <c r="X619" s="65">
        <v>25.0</v>
      </c>
      <c r="Y619" s="33" t="str">
        <f t="shared" si="496"/>
        <v>S</v>
      </c>
      <c r="Z619" s="65">
        <v>19.0</v>
      </c>
      <c r="AA619" s="33" t="str">
        <f t="shared" si="497"/>
        <v>S</v>
      </c>
      <c r="AB619" s="65">
        <v>22.0</v>
      </c>
      <c r="AC619" s="33" t="str">
        <f t="shared" si="498"/>
        <v>S</v>
      </c>
      <c r="AD619" s="65">
        <v>13.0</v>
      </c>
      <c r="AE619" s="33" t="str">
        <f t="shared" si="499"/>
        <v>S</v>
      </c>
      <c r="AF619" s="65">
        <v>26.0</v>
      </c>
      <c r="AG619" s="33" t="str">
        <f t="shared" si="500"/>
        <v>I</v>
      </c>
      <c r="AH619" s="65" t="s">
        <v>299</v>
      </c>
      <c r="AI619" s="66">
        <v>19.0</v>
      </c>
      <c r="AJ619" s="36" t="str">
        <f t="shared" si="501"/>
        <v>R</v>
      </c>
      <c r="AK619" s="66">
        <v>19.0</v>
      </c>
      <c r="AL619" s="36" t="str">
        <f t="shared" si="502"/>
        <v>I</v>
      </c>
      <c r="AM619" s="66">
        <v>6.0</v>
      </c>
      <c r="AN619" s="36" t="str">
        <f t="shared" si="503"/>
        <v>R</v>
      </c>
      <c r="AO619" s="66" t="s">
        <v>299</v>
      </c>
      <c r="AP619" s="67">
        <v>21.0</v>
      </c>
      <c r="AQ619" s="37" t="str">
        <f t="shared" si="504"/>
        <v>S</v>
      </c>
      <c r="AR619" s="65">
        <v>17.0</v>
      </c>
      <c r="AS619" s="33" t="str">
        <f t="shared" si="505"/>
        <v>R</v>
      </c>
      <c r="AT619" s="65">
        <v>20.0</v>
      </c>
      <c r="AU619" s="33" t="str">
        <f t="shared" si="506"/>
        <v>S</v>
      </c>
      <c r="AV619" s="65" t="s">
        <v>299</v>
      </c>
      <c r="AW619" s="28">
        <v>20.0</v>
      </c>
      <c r="AX619" s="26" t="str">
        <f t="shared" si="507"/>
        <v>S</v>
      </c>
      <c r="AY619" s="67">
        <v>20.0</v>
      </c>
      <c r="AZ619" s="37" t="str">
        <f t="shared" si="508"/>
        <v>R</v>
      </c>
      <c r="BA619" s="66">
        <v>26.0</v>
      </c>
      <c r="BB619" s="36" t="str">
        <f t="shared" si="509"/>
        <v>S</v>
      </c>
      <c r="BC619" s="39" t="s">
        <v>357</v>
      </c>
      <c r="BD619" s="39" t="s">
        <v>357</v>
      </c>
      <c r="BE619" s="66">
        <v>26.0</v>
      </c>
      <c r="BF619" s="36" t="str">
        <f t="shared" si="510"/>
        <v>S</v>
      </c>
      <c r="BG619" s="68">
        <v>14.0</v>
      </c>
      <c r="BH619" s="41" t="str">
        <f t="shared" si="511"/>
        <v>R</v>
      </c>
      <c r="BI619" s="41"/>
    </row>
    <row r="620">
      <c r="A620" s="51" t="s">
        <v>659</v>
      </c>
      <c r="B620" s="51" t="s">
        <v>444</v>
      </c>
      <c r="C620" s="51" t="s">
        <v>2126</v>
      </c>
      <c r="D620" s="69" t="s">
        <v>190</v>
      </c>
      <c r="E620" s="18" t="s">
        <v>190</v>
      </c>
      <c r="F620" s="18" t="s">
        <v>192</v>
      </c>
      <c r="G620" s="63" t="s">
        <v>2127</v>
      </c>
      <c r="H620" s="42" t="s">
        <v>479</v>
      </c>
      <c r="I620" s="28">
        <v>6.0</v>
      </c>
      <c r="J620" s="26" t="str">
        <f t="shared" si="489"/>
        <v>R</v>
      </c>
      <c r="K620" s="28">
        <v>18.0</v>
      </c>
      <c r="L620" s="26" t="str">
        <f t="shared" si="490"/>
        <v>R</v>
      </c>
      <c r="M620" s="28">
        <v>6.0</v>
      </c>
      <c r="N620" s="26" t="str">
        <f t="shared" si="491"/>
        <v>R</v>
      </c>
      <c r="O620" s="28">
        <v>22.0</v>
      </c>
      <c r="P620" s="26" t="str">
        <f t="shared" si="492"/>
        <v>I</v>
      </c>
      <c r="Q620" s="28">
        <v>6.0</v>
      </c>
      <c r="R620" s="26" t="str">
        <f t="shared" si="493"/>
        <v>R</v>
      </c>
      <c r="S620" s="28">
        <v>17.0</v>
      </c>
      <c r="T620" s="26" t="str">
        <f t="shared" si="494"/>
        <v>R</v>
      </c>
      <c r="U620" s="28">
        <v>28.0</v>
      </c>
      <c r="V620" s="26" t="str">
        <f t="shared" si="495"/>
        <v>S</v>
      </c>
      <c r="W620" s="32" t="s">
        <v>299</v>
      </c>
      <c r="X620" s="65">
        <v>23.0</v>
      </c>
      <c r="Y620" s="33" t="str">
        <f t="shared" si="496"/>
        <v>S</v>
      </c>
      <c r="Z620" s="65">
        <v>17.0</v>
      </c>
      <c r="AA620" s="33" t="str">
        <f t="shared" si="497"/>
        <v>R</v>
      </c>
      <c r="AB620" s="65">
        <v>26.0</v>
      </c>
      <c r="AC620" s="33" t="str">
        <f t="shared" si="498"/>
        <v>S</v>
      </c>
      <c r="AD620" s="65">
        <v>19.0</v>
      </c>
      <c r="AE620" s="33" t="str">
        <f t="shared" si="499"/>
        <v>S</v>
      </c>
      <c r="AF620" s="65">
        <v>24.0</v>
      </c>
      <c r="AG620" s="33" t="str">
        <f t="shared" si="500"/>
        <v>I</v>
      </c>
      <c r="AH620" s="65" t="s">
        <v>299</v>
      </c>
      <c r="AI620" s="66">
        <v>22.0</v>
      </c>
      <c r="AJ620" s="36" t="str">
        <f t="shared" si="501"/>
        <v>I</v>
      </c>
      <c r="AK620" s="66">
        <v>18.0</v>
      </c>
      <c r="AL620" s="36" t="str">
        <f t="shared" si="502"/>
        <v>R</v>
      </c>
      <c r="AM620" s="66">
        <v>16.0</v>
      </c>
      <c r="AN620" s="36" t="str">
        <f t="shared" si="503"/>
        <v>S</v>
      </c>
      <c r="AO620" s="66" t="s">
        <v>299</v>
      </c>
      <c r="AP620" s="67">
        <v>6.0</v>
      </c>
      <c r="AQ620" s="37" t="str">
        <f t="shared" si="504"/>
        <v>R</v>
      </c>
      <c r="AR620" s="65">
        <v>16.0</v>
      </c>
      <c r="AS620" s="33" t="str">
        <f t="shared" si="505"/>
        <v>R</v>
      </c>
      <c r="AT620" s="65">
        <v>21.0</v>
      </c>
      <c r="AU620" s="33" t="str">
        <f t="shared" si="506"/>
        <v>S</v>
      </c>
      <c r="AV620" s="65" t="s">
        <v>299</v>
      </c>
      <c r="AW620" s="28">
        <v>6.0</v>
      </c>
      <c r="AX620" s="26" t="str">
        <f t="shared" si="507"/>
        <v>R</v>
      </c>
      <c r="AY620" s="67">
        <v>21.0</v>
      </c>
      <c r="AZ620" s="37" t="str">
        <f t="shared" si="508"/>
        <v>I</v>
      </c>
      <c r="BA620" s="66">
        <v>22.0</v>
      </c>
      <c r="BB620" s="36" t="str">
        <f t="shared" si="509"/>
        <v>R</v>
      </c>
      <c r="BC620" s="39" t="s">
        <v>357</v>
      </c>
      <c r="BD620" s="39" t="s">
        <v>357</v>
      </c>
      <c r="BE620" s="66">
        <v>27.0</v>
      </c>
      <c r="BF620" s="36" t="str">
        <f t="shared" si="510"/>
        <v>S</v>
      </c>
      <c r="BG620" s="68">
        <v>14.0</v>
      </c>
      <c r="BH620" s="41" t="str">
        <f t="shared" si="511"/>
        <v>R</v>
      </c>
      <c r="BI620" s="41"/>
    </row>
    <row r="621">
      <c r="A621" s="51" t="s">
        <v>659</v>
      </c>
      <c r="B621" s="53">
        <v>261.0</v>
      </c>
      <c r="C621" s="51" t="s">
        <v>1084</v>
      </c>
      <c r="D621" s="69" t="s">
        <v>571</v>
      </c>
      <c r="E621" s="18" t="s">
        <v>572</v>
      </c>
      <c r="F621" s="18" t="s">
        <v>192</v>
      </c>
      <c r="G621" s="63" t="s">
        <v>1086</v>
      </c>
      <c r="H621" s="22" t="s">
        <v>198</v>
      </c>
      <c r="I621" s="28">
        <v>6.0</v>
      </c>
      <c r="J621" s="26" t="str">
        <f t="shared" si="489"/>
        <v>R</v>
      </c>
      <c r="K621" s="28">
        <v>18.0</v>
      </c>
      <c r="L621" s="26" t="str">
        <f t="shared" si="490"/>
        <v>R</v>
      </c>
      <c r="M621" s="28">
        <v>6.0</v>
      </c>
      <c r="N621" s="26" t="str">
        <f t="shared" si="491"/>
        <v>R</v>
      </c>
      <c r="O621" s="28">
        <v>22.0</v>
      </c>
      <c r="P621" s="26" t="str">
        <f t="shared" si="492"/>
        <v>I</v>
      </c>
      <c r="Q621" s="28">
        <v>6.0</v>
      </c>
      <c r="R621" s="26" t="str">
        <f t="shared" si="493"/>
        <v>R</v>
      </c>
      <c r="S621" s="28">
        <v>20.0</v>
      </c>
      <c r="T621" s="26" t="str">
        <f t="shared" si="494"/>
        <v>S</v>
      </c>
      <c r="U621" s="28">
        <v>19.0</v>
      </c>
      <c r="V621" s="26" t="str">
        <f t="shared" si="495"/>
        <v>I</v>
      </c>
      <c r="W621" s="32" t="s">
        <v>299</v>
      </c>
      <c r="X621" s="65">
        <v>6.0</v>
      </c>
      <c r="Y621" s="33" t="str">
        <f t="shared" si="496"/>
        <v>R</v>
      </c>
      <c r="Z621" s="65">
        <v>19.0</v>
      </c>
      <c r="AA621" s="33" t="str">
        <f t="shared" si="497"/>
        <v>S</v>
      </c>
      <c r="AB621" s="65">
        <v>6.0</v>
      </c>
      <c r="AC621" s="33" t="str">
        <f t="shared" si="498"/>
        <v>R</v>
      </c>
      <c r="AD621" s="65">
        <v>21.0</v>
      </c>
      <c r="AE621" s="33" t="str">
        <f t="shared" si="499"/>
        <v>S</v>
      </c>
      <c r="AF621" s="65">
        <v>17.0</v>
      </c>
      <c r="AG621" s="33" t="str">
        <f t="shared" si="500"/>
        <v>R</v>
      </c>
      <c r="AH621" s="65" t="s">
        <v>299</v>
      </c>
      <c r="AI621" s="66">
        <v>6.0</v>
      </c>
      <c r="AJ621" s="36" t="str">
        <f t="shared" si="501"/>
        <v>R</v>
      </c>
      <c r="AK621" s="66">
        <v>6.0</v>
      </c>
      <c r="AL621" s="36" t="str">
        <f t="shared" si="502"/>
        <v>R</v>
      </c>
      <c r="AM621" s="66">
        <v>6.0</v>
      </c>
      <c r="AN621" s="36" t="str">
        <f t="shared" si="503"/>
        <v>R</v>
      </c>
      <c r="AO621" s="66" t="s">
        <v>299</v>
      </c>
      <c r="AP621" s="67">
        <v>6.0</v>
      </c>
      <c r="AQ621" s="37" t="str">
        <f t="shared" si="504"/>
        <v>R</v>
      </c>
      <c r="AR621" s="65">
        <v>20.0</v>
      </c>
      <c r="AS621" s="33" t="str">
        <f t="shared" si="505"/>
        <v>S</v>
      </c>
      <c r="AT621" s="65">
        <v>19.0</v>
      </c>
      <c r="AU621" s="33" t="str">
        <f t="shared" si="506"/>
        <v>S</v>
      </c>
      <c r="AV621" s="33" t="s">
        <v>300</v>
      </c>
      <c r="AW621" s="28">
        <v>6.0</v>
      </c>
      <c r="AX621" s="26" t="str">
        <f t="shared" si="507"/>
        <v>R</v>
      </c>
      <c r="AY621" s="67">
        <v>15.0</v>
      </c>
      <c r="AZ621" s="37" t="str">
        <f t="shared" si="508"/>
        <v>R</v>
      </c>
      <c r="BA621" s="66">
        <v>27.0</v>
      </c>
      <c r="BB621" s="36" t="str">
        <f t="shared" si="509"/>
        <v>S</v>
      </c>
      <c r="BC621" s="39" t="s">
        <v>357</v>
      </c>
      <c r="BD621" s="39" t="s">
        <v>357</v>
      </c>
      <c r="BE621" s="66">
        <v>21.0</v>
      </c>
      <c r="BF621" s="36" t="str">
        <f t="shared" si="510"/>
        <v>I</v>
      </c>
      <c r="BG621" s="68">
        <v>21.0</v>
      </c>
      <c r="BH621" s="41" t="str">
        <f t="shared" si="511"/>
        <v>S</v>
      </c>
      <c r="BI621" s="41"/>
    </row>
    <row r="622">
      <c r="A622" s="51" t="s">
        <v>659</v>
      </c>
      <c r="B622" s="51" t="s">
        <v>444</v>
      </c>
      <c r="C622" s="51" t="s">
        <v>2128</v>
      </c>
      <c r="D622" s="69" t="s">
        <v>571</v>
      </c>
      <c r="E622" s="18" t="s">
        <v>572</v>
      </c>
      <c r="F622" s="18" t="s">
        <v>192</v>
      </c>
      <c r="G622" s="63" t="s">
        <v>2129</v>
      </c>
      <c r="H622" s="22" t="s">
        <v>198</v>
      </c>
      <c r="I622" s="28">
        <v>6.0</v>
      </c>
      <c r="J622" s="26" t="str">
        <f t="shared" si="489"/>
        <v>R</v>
      </c>
      <c r="K622" s="28">
        <v>18.0</v>
      </c>
      <c r="L622" s="26" t="str">
        <f t="shared" si="490"/>
        <v>R</v>
      </c>
      <c r="M622" s="28">
        <v>6.0</v>
      </c>
      <c r="N622" s="26" t="str">
        <f t="shared" si="491"/>
        <v>R</v>
      </c>
      <c r="O622" s="28">
        <v>22.0</v>
      </c>
      <c r="P622" s="26" t="str">
        <f t="shared" si="492"/>
        <v>I</v>
      </c>
      <c r="Q622" s="28">
        <v>6.0</v>
      </c>
      <c r="R622" s="26" t="str">
        <f t="shared" si="493"/>
        <v>R</v>
      </c>
      <c r="S622" s="28">
        <v>20.0</v>
      </c>
      <c r="T622" s="26" t="str">
        <f t="shared" si="494"/>
        <v>S</v>
      </c>
      <c r="U622" s="28">
        <v>19.0</v>
      </c>
      <c r="V622" s="26" t="str">
        <f t="shared" si="495"/>
        <v>I</v>
      </c>
      <c r="W622" s="32" t="s">
        <v>299</v>
      </c>
      <c r="X622" s="65">
        <v>6.0</v>
      </c>
      <c r="Y622" s="33" t="str">
        <f t="shared" si="496"/>
        <v>R</v>
      </c>
      <c r="Z622" s="65">
        <v>19.0</v>
      </c>
      <c r="AA622" s="33" t="str">
        <f t="shared" si="497"/>
        <v>S</v>
      </c>
      <c r="AB622" s="65">
        <v>6.0</v>
      </c>
      <c r="AC622" s="33" t="str">
        <f t="shared" si="498"/>
        <v>R</v>
      </c>
      <c r="AD622" s="65">
        <v>21.0</v>
      </c>
      <c r="AE622" s="33" t="str">
        <f t="shared" si="499"/>
        <v>S</v>
      </c>
      <c r="AF622" s="65">
        <v>17.0</v>
      </c>
      <c r="AG622" s="33" t="str">
        <f t="shared" si="500"/>
        <v>R</v>
      </c>
      <c r="AH622" s="65" t="s">
        <v>299</v>
      </c>
      <c r="AI622" s="66">
        <v>6.0</v>
      </c>
      <c r="AJ622" s="36" t="str">
        <f t="shared" si="501"/>
        <v>R</v>
      </c>
      <c r="AK622" s="66">
        <v>6.0</v>
      </c>
      <c r="AL622" s="36" t="str">
        <f t="shared" si="502"/>
        <v>R</v>
      </c>
      <c r="AM622" s="66">
        <v>6.0</v>
      </c>
      <c r="AN622" s="36" t="str">
        <f t="shared" si="503"/>
        <v>R</v>
      </c>
      <c r="AO622" s="66" t="s">
        <v>299</v>
      </c>
      <c r="AP622" s="67">
        <v>6.0</v>
      </c>
      <c r="AQ622" s="37" t="str">
        <f t="shared" si="504"/>
        <v>R</v>
      </c>
      <c r="AR622" s="65">
        <v>20.0</v>
      </c>
      <c r="AS622" s="33" t="str">
        <f t="shared" si="505"/>
        <v>S</v>
      </c>
      <c r="AT622" s="65">
        <v>19.0</v>
      </c>
      <c r="AU622" s="33" t="str">
        <f t="shared" si="506"/>
        <v>S</v>
      </c>
      <c r="AV622" s="33" t="s">
        <v>300</v>
      </c>
      <c r="AW622" s="28">
        <v>6.0</v>
      </c>
      <c r="AX622" s="26" t="str">
        <f t="shared" si="507"/>
        <v>R</v>
      </c>
      <c r="AY622" s="67">
        <v>15.0</v>
      </c>
      <c r="AZ622" s="37" t="str">
        <f t="shared" si="508"/>
        <v>R</v>
      </c>
      <c r="BA622" s="66">
        <v>27.0</v>
      </c>
      <c r="BB622" s="36" t="str">
        <f t="shared" si="509"/>
        <v>S</v>
      </c>
      <c r="BC622" s="39" t="s">
        <v>357</v>
      </c>
      <c r="BD622" s="39" t="s">
        <v>357</v>
      </c>
      <c r="BE622" s="66">
        <v>21.0</v>
      </c>
      <c r="BF622" s="36" t="str">
        <f t="shared" si="510"/>
        <v>I</v>
      </c>
      <c r="BG622" s="68">
        <v>21.0</v>
      </c>
      <c r="BH622" s="41" t="str">
        <f t="shared" si="511"/>
        <v>S</v>
      </c>
      <c r="BI622" s="41"/>
    </row>
    <row r="623">
      <c r="A623" s="51" t="s">
        <v>659</v>
      </c>
      <c r="B623" s="51" t="s">
        <v>444</v>
      </c>
      <c r="C623" s="51" t="s">
        <v>2130</v>
      </c>
      <c r="D623" s="69" t="s">
        <v>571</v>
      </c>
      <c r="E623" s="18" t="s">
        <v>572</v>
      </c>
      <c r="F623" s="18" t="s">
        <v>192</v>
      </c>
      <c r="G623" s="63" t="s">
        <v>2131</v>
      </c>
      <c r="H623" s="22" t="s">
        <v>198</v>
      </c>
      <c r="I623" s="28">
        <v>6.0</v>
      </c>
      <c r="J623" s="26" t="str">
        <f t="shared" si="489"/>
        <v>R</v>
      </c>
      <c r="K623" s="28">
        <v>18.0</v>
      </c>
      <c r="L623" s="26" t="str">
        <f t="shared" si="490"/>
        <v>R</v>
      </c>
      <c r="M623" s="28">
        <v>6.0</v>
      </c>
      <c r="N623" s="26" t="str">
        <f t="shared" si="491"/>
        <v>R</v>
      </c>
      <c r="O623" s="28">
        <v>22.0</v>
      </c>
      <c r="P623" s="26" t="str">
        <f t="shared" si="492"/>
        <v>I</v>
      </c>
      <c r="Q623" s="28">
        <v>6.0</v>
      </c>
      <c r="R623" s="26" t="str">
        <f t="shared" si="493"/>
        <v>R</v>
      </c>
      <c r="S623" s="28">
        <v>20.0</v>
      </c>
      <c r="T623" s="26" t="str">
        <f t="shared" si="494"/>
        <v>S</v>
      </c>
      <c r="U623" s="28">
        <v>19.0</v>
      </c>
      <c r="V623" s="26" t="str">
        <f t="shared" si="495"/>
        <v>I</v>
      </c>
      <c r="W623" s="32" t="s">
        <v>299</v>
      </c>
      <c r="X623" s="65">
        <v>6.0</v>
      </c>
      <c r="Y623" s="33" t="str">
        <f t="shared" si="496"/>
        <v>R</v>
      </c>
      <c r="Z623" s="65">
        <v>19.0</v>
      </c>
      <c r="AA623" s="33" t="str">
        <f t="shared" si="497"/>
        <v>S</v>
      </c>
      <c r="AB623" s="65">
        <v>6.0</v>
      </c>
      <c r="AC623" s="33" t="str">
        <f t="shared" si="498"/>
        <v>R</v>
      </c>
      <c r="AD623" s="65">
        <v>21.0</v>
      </c>
      <c r="AE623" s="33" t="str">
        <f t="shared" si="499"/>
        <v>S</v>
      </c>
      <c r="AF623" s="65">
        <v>17.0</v>
      </c>
      <c r="AG623" s="33" t="str">
        <f t="shared" si="500"/>
        <v>R</v>
      </c>
      <c r="AH623" s="65" t="s">
        <v>299</v>
      </c>
      <c r="AI623" s="66">
        <v>6.0</v>
      </c>
      <c r="AJ623" s="36" t="str">
        <f t="shared" si="501"/>
        <v>R</v>
      </c>
      <c r="AK623" s="66">
        <v>6.0</v>
      </c>
      <c r="AL623" s="36" t="str">
        <f t="shared" si="502"/>
        <v>R</v>
      </c>
      <c r="AM623" s="66">
        <v>6.0</v>
      </c>
      <c r="AN623" s="36" t="str">
        <f t="shared" si="503"/>
        <v>R</v>
      </c>
      <c r="AO623" s="66" t="s">
        <v>299</v>
      </c>
      <c r="AP623" s="67">
        <v>6.0</v>
      </c>
      <c r="AQ623" s="37" t="str">
        <f t="shared" si="504"/>
        <v>R</v>
      </c>
      <c r="AR623" s="65">
        <v>20.0</v>
      </c>
      <c r="AS623" s="33" t="str">
        <f t="shared" si="505"/>
        <v>S</v>
      </c>
      <c r="AT623" s="65">
        <v>19.0</v>
      </c>
      <c r="AU623" s="33" t="str">
        <f t="shared" si="506"/>
        <v>S</v>
      </c>
      <c r="AV623" s="33" t="s">
        <v>300</v>
      </c>
      <c r="AW623" s="28">
        <v>6.0</v>
      </c>
      <c r="AX623" s="26" t="str">
        <f t="shared" si="507"/>
        <v>R</v>
      </c>
      <c r="AY623" s="67">
        <v>15.0</v>
      </c>
      <c r="AZ623" s="37" t="str">
        <f t="shared" si="508"/>
        <v>R</v>
      </c>
      <c r="BA623" s="66">
        <v>27.0</v>
      </c>
      <c r="BB623" s="36" t="str">
        <f t="shared" si="509"/>
        <v>S</v>
      </c>
      <c r="BC623" s="39" t="s">
        <v>357</v>
      </c>
      <c r="BD623" s="39" t="s">
        <v>357</v>
      </c>
      <c r="BE623" s="66">
        <v>21.0</v>
      </c>
      <c r="BF623" s="36" t="str">
        <f t="shared" si="510"/>
        <v>I</v>
      </c>
      <c r="BG623" s="68">
        <v>21.0</v>
      </c>
      <c r="BH623" s="41" t="str">
        <f t="shared" si="511"/>
        <v>S</v>
      </c>
      <c r="BI623" s="41"/>
    </row>
    <row r="624">
      <c r="A624" s="51" t="s">
        <v>659</v>
      </c>
      <c r="B624" s="53">
        <v>262.0</v>
      </c>
      <c r="C624" s="51" t="s">
        <v>1089</v>
      </c>
      <c r="D624" s="69" t="s">
        <v>705</v>
      </c>
      <c r="E624" s="18" t="s">
        <v>572</v>
      </c>
      <c r="F624" s="18" t="s">
        <v>192</v>
      </c>
      <c r="G624" s="63" t="s">
        <v>1091</v>
      </c>
      <c r="H624" s="42" t="s">
        <v>479</v>
      </c>
      <c r="I624" s="28">
        <v>6.0</v>
      </c>
      <c r="J624" s="26" t="str">
        <f t="shared" si="489"/>
        <v>R</v>
      </c>
      <c r="K624" s="28">
        <v>13.0</v>
      </c>
      <c r="L624" s="26" t="str">
        <f t="shared" si="490"/>
        <v>R</v>
      </c>
      <c r="M624" s="28">
        <v>16.0</v>
      </c>
      <c r="N624" s="26" t="str">
        <f t="shared" si="491"/>
        <v>R</v>
      </c>
      <c r="O624" s="28">
        <v>20.0</v>
      </c>
      <c r="P624" s="26" t="str">
        <f t="shared" si="492"/>
        <v>I</v>
      </c>
      <c r="Q624" s="28">
        <v>14.0</v>
      </c>
      <c r="R624" s="26" t="str">
        <f t="shared" si="493"/>
        <v>R</v>
      </c>
      <c r="S624" s="28">
        <v>15.0</v>
      </c>
      <c r="T624" s="26" t="str">
        <f t="shared" si="494"/>
        <v>R</v>
      </c>
      <c r="U624" s="28">
        <v>15.0</v>
      </c>
      <c r="V624" s="26" t="str">
        <f t="shared" si="495"/>
        <v>R</v>
      </c>
      <c r="W624" s="32" t="s">
        <v>299</v>
      </c>
      <c r="X624" s="65">
        <v>6.0</v>
      </c>
      <c r="Y624" s="33" t="str">
        <f t="shared" si="496"/>
        <v>R</v>
      </c>
      <c r="Z624" s="65">
        <v>18.0</v>
      </c>
      <c r="AA624" s="33" t="str">
        <f t="shared" si="497"/>
        <v>S</v>
      </c>
      <c r="AB624" s="65">
        <v>6.0</v>
      </c>
      <c r="AC624" s="33" t="str">
        <f t="shared" si="498"/>
        <v>R</v>
      </c>
      <c r="AD624" s="65">
        <v>12.0</v>
      </c>
      <c r="AE624" s="33" t="str">
        <f t="shared" si="499"/>
        <v>R</v>
      </c>
      <c r="AF624" s="65">
        <v>6.0</v>
      </c>
      <c r="AG624" s="33" t="str">
        <f t="shared" si="500"/>
        <v>R</v>
      </c>
      <c r="AH624" s="65" t="s">
        <v>299</v>
      </c>
      <c r="AI624" s="66">
        <v>26.0</v>
      </c>
      <c r="AJ624" s="36" t="str">
        <f t="shared" si="501"/>
        <v>S</v>
      </c>
      <c r="AK624" s="66">
        <v>23.0</v>
      </c>
      <c r="AL624" s="36" t="str">
        <f t="shared" si="502"/>
        <v>S</v>
      </c>
      <c r="AM624" s="66">
        <v>20.0</v>
      </c>
      <c r="AN624" s="36" t="str">
        <f t="shared" si="503"/>
        <v>S</v>
      </c>
      <c r="AO624" s="36" t="s">
        <v>300</v>
      </c>
      <c r="AP624" s="67">
        <v>26.0</v>
      </c>
      <c r="AQ624" s="37" t="str">
        <f t="shared" si="504"/>
        <v>S</v>
      </c>
      <c r="AR624" s="65">
        <v>17.0</v>
      </c>
      <c r="AS624" s="33" t="str">
        <f t="shared" si="505"/>
        <v>R</v>
      </c>
      <c r="AT624" s="65">
        <v>22.0</v>
      </c>
      <c r="AU624" s="33" t="str">
        <f t="shared" si="506"/>
        <v>S</v>
      </c>
      <c r="AV624" s="65" t="s">
        <v>299</v>
      </c>
      <c r="AW624" s="28">
        <v>28.0</v>
      </c>
      <c r="AX624" s="26" t="str">
        <f t="shared" si="507"/>
        <v>S</v>
      </c>
      <c r="AY624" s="67">
        <v>6.0</v>
      </c>
      <c r="AZ624" s="37" t="str">
        <f t="shared" si="508"/>
        <v>R</v>
      </c>
      <c r="BA624" s="66">
        <v>6.0</v>
      </c>
      <c r="BB624" s="36" t="str">
        <f t="shared" si="509"/>
        <v>R</v>
      </c>
      <c r="BC624" s="39" t="s">
        <v>357</v>
      </c>
      <c r="BD624" s="39" t="s">
        <v>357</v>
      </c>
      <c r="BE624" s="66">
        <v>6.0</v>
      </c>
      <c r="BF624" s="36" t="str">
        <f t="shared" si="510"/>
        <v>R</v>
      </c>
      <c r="BG624" s="68">
        <v>35.0</v>
      </c>
      <c r="BH624" s="41" t="str">
        <f t="shared" si="511"/>
        <v>S</v>
      </c>
      <c r="BI624" s="41"/>
    </row>
    <row r="625">
      <c r="A625" s="51" t="s">
        <v>659</v>
      </c>
      <c r="B625" s="51" t="s">
        <v>444</v>
      </c>
      <c r="C625" s="51" t="s">
        <v>2132</v>
      </c>
      <c r="D625" s="69" t="s">
        <v>705</v>
      </c>
      <c r="E625" s="18" t="s">
        <v>572</v>
      </c>
      <c r="F625" s="18" t="s">
        <v>192</v>
      </c>
      <c r="G625" s="63" t="s">
        <v>2133</v>
      </c>
      <c r="H625" s="42" t="s">
        <v>479</v>
      </c>
      <c r="I625" s="28">
        <v>6.0</v>
      </c>
      <c r="J625" s="26" t="str">
        <f t="shared" si="489"/>
        <v>R</v>
      </c>
      <c r="K625" s="28">
        <v>14.0</v>
      </c>
      <c r="L625" s="26" t="str">
        <f t="shared" si="490"/>
        <v>R</v>
      </c>
      <c r="M625" s="28">
        <v>16.0</v>
      </c>
      <c r="N625" s="26" t="str">
        <f t="shared" si="491"/>
        <v>R</v>
      </c>
      <c r="O625" s="28">
        <v>20.0</v>
      </c>
      <c r="P625" s="26" t="str">
        <f t="shared" si="492"/>
        <v>I</v>
      </c>
      <c r="Q625" s="28">
        <v>14.0</v>
      </c>
      <c r="R625" s="26" t="str">
        <f t="shared" si="493"/>
        <v>R</v>
      </c>
      <c r="S625" s="28">
        <v>15.0</v>
      </c>
      <c r="T625" s="26" t="str">
        <f t="shared" si="494"/>
        <v>R</v>
      </c>
      <c r="U625" s="28">
        <v>15.0</v>
      </c>
      <c r="V625" s="26" t="str">
        <f t="shared" si="495"/>
        <v>R</v>
      </c>
      <c r="W625" s="32" t="s">
        <v>299</v>
      </c>
      <c r="X625" s="65">
        <v>6.0</v>
      </c>
      <c r="Y625" s="33" t="str">
        <f t="shared" si="496"/>
        <v>R</v>
      </c>
      <c r="Z625" s="65">
        <v>19.0</v>
      </c>
      <c r="AA625" s="33" t="str">
        <f t="shared" si="497"/>
        <v>S</v>
      </c>
      <c r="AB625" s="65">
        <v>6.0</v>
      </c>
      <c r="AC625" s="33" t="str">
        <f t="shared" si="498"/>
        <v>R</v>
      </c>
      <c r="AD625" s="65">
        <v>12.0</v>
      </c>
      <c r="AE625" s="33" t="str">
        <f t="shared" si="499"/>
        <v>R</v>
      </c>
      <c r="AF625" s="65">
        <v>6.0</v>
      </c>
      <c r="AG625" s="33" t="str">
        <f t="shared" si="500"/>
        <v>R</v>
      </c>
      <c r="AH625" s="65" t="s">
        <v>299</v>
      </c>
      <c r="AI625" s="66">
        <v>26.0</v>
      </c>
      <c r="AJ625" s="36" t="str">
        <f t="shared" si="501"/>
        <v>S</v>
      </c>
      <c r="AK625" s="66">
        <v>23.0</v>
      </c>
      <c r="AL625" s="36" t="str">
        <f t="shared" si="502"/>
        <v>S</v>
      </c>
      <c r="AM625" s="66">
        <v>20.0</v>
      </c>
      <c r="AN625" s="36" t="str">
        <f t="shared" si="503"/>
        <v>S</v>
      </c>
      <c r="AO625" s="36" t="s">
        <v>300</v>
      </c>
      <c r="AP625" s="67">
        <v>26.0</v>
      </c>
      <c r="AQ625" s="37" t="str">
        <f t="shared" si="504"/>
        <v>S</v>
      </c>
      <c r="AR625" s="65">
        <v>15.0</v>
      </c>
      <c r="AS625" s="33" t="str">
        <f t="shared" si="505"/>
        <v>R</v>
      </c>
      <c r="AT625" s="65">
        <v>22.0</v>
      </c>
      <c r="AU625" s="33" t="str">
        <f t="shared" si="506"/>
        <v>S</v>
      </c>
      <c r="AV625" s="65" t="s">
        <v>299</v>
      </c>
      <c r="AW625" s="28">
        <v>26.0</v>
      </c>
      <c r="AX625" s="26" t="str">
        <f t="shared" si="507"/>
        <v>S</v>
      </c>
      <c r="AY625" s="67">
        <v>6.0</v>
      </c>
      <c r="AZ625" s="37" t="str">
        <f t="shared" si="508"/>
        <v>R</v>
      </c>
      <c r="BA625" s="66">
        <v>6.0</v>
      </c>
      <c r="BB625" s="36" t="str">
        <f t="shared" si="509"/>
        <v>R</v>
      </c>
      <c r="BC625" s="39" t="s">
        <v>357</v>
      </c>
      <c r="BD625" s="39" t="s">
        <v>357</v>
      </c>
      <c r="BE625" s="66">
        <v>6.0</v>
      </c>
      <c r="BF625" s="36" t="str">
        <f t="shared" si="510"/>
        <v>R</v>
      </c>
      <c r="BG625" s="68">
        <v>35.0</v>
      </c>
      <c r="BH625" s="41" t="str">
        <f t="shared" si="511"/>
        <v>S</v>
      </c>
      <c r="BI625" s="41"/>
    </row>
    <row r="626">
      <c r="A626" s="51" t="s">
        <v>659</v>
      </c>
      <c r="B626" s="51" t="s">
        <v>444</v>
      </c>
      <c r="C626" s="51" t="s">
        <v>2134</v>
      </c>
      <c r="D626" s="69" t="s">
        <v>705</v>
      </c>
      <c r="E626" s="18" t="s">
        <v>572</v>
      </c>
      <c r="F626" s="18" t="s">
        <v>192</v>
      </c>
      <c r="G626" s="63" t="s">
        <v>2135</v>
      </c>
      <c r="H626" s="42" t="s">
        <v>479</v>
      </c>
      <c r="I626" s="28">
        <v>6.0</v>
      </c>
      <c r="J626" s="26" t="str">
        <f t="shared" si="489"/>
        <v>R</v>
      </c>
      <c r="K626" s="28">
        <v>15.0</v>
      </c>
      <c r="L626" s="26" t="str">
        <f t="shared" si="490"/>
        <v>R</v>
      </c>
      <c r="M626" s="28">
        <v>16.0</v>
      </c>
      <c r="N626" s="26" t="str">
        <f t="shared" si="491"/>
        <v>R</v>
      </c>
      <c r="O626" s="28">
        <v>20.0</v>
      </c>
      <c r="P626" s="26" t="str">
        <f t="shared" si="492"/>
        <v>I</v>
      </c>
      <c r="Q626" s="28">
        <v>14.0</v>
      </c>
      <c r="R626" s="26" t="str">
        <f t="shared" si="493"/>
        <v>R</v>
      </c>
      <c r="S626" s="28">
        <v>15.0</v>
      </c>
      <c r="T626" s="26" t="str">
        <f t="shared" si="494"/>
        <v>R</v>
      </c>
      <c r="U626" s="28">
        <v>15.0</v>
      </c>
      <c r="V626" s="26" t="str">
        <f t="shared" si="495"/>
        <v>R</v>
      </c>
      <c r="W626" s="32" t="s">
        <v>299</v>
      </c>
      <c r="X626" s="65">
        <v>6.0</v>
      </c>
      <c r="Y626" s="33" t="str">
        <f t="shared" si="496"/>
        <v>R</v>
      </c>
      <c r="Z626" s="65">
        <v>18.0</v>
      </c>
      <c r="AA626" s="33" t="str">
        <f t="shared" si="497"/>
        <v>S</v>
      </c>
      <c r="AB626" s="65">
        <v>6.0</v>
      </c>
      <c r="AC626" s="33" t="str">
        <f t="shared" si="498"/>
        <v>R</v>
      </c>
      <c r="AD626" s="65">
        <v>12.0</v>
      </c>
      <c r="AE626" s="33" t="str">
        <f t="shared" si="499"/>
        <v>R</v>
      </c>
      <c r="AF626" s="65">
        <v>6.0</v>
      </c>
      <c r="AG626" s="33" t="str">
        <f t="shared" si="500"/>
        <v>R</v>
      </c>
      <c r="AH626" s="65" t="s">
        <v>299</v>
      </c>
      <c r="AI626" s="66">
        <v>26.0</v>
      </c>
      <c r="AJ626" s="36" t="str">
        <f t="shared" si="501"/>
        <v>S</v>
      </c>
      <c r="AK626" s="66">
        <v>23.0</v>
      </c>
      <c r="AL626" s="36" t="str">
        <f t="shared" si="502"/>
        <v>S</v>
      </c>
      <c r="AM626" s="66">
        <v>23.0</v>
      </c>
      <c r="AN626" s="36" t="str">
        <f t="shared" si="503"/>
        <v>S</v>
      </c>
      <c r="AO626" s="36" t="s">
        <v>300</v>
      </c>
      <c r="AP626" s="67">
        <v>26.0</v>
      </c>
      <c r="AQ626" s="37" t="str">
        <f t="shared" si="504"/>
        <v>S</v>
      </c>
      <c r="AR626" s="65">
        <v>17.0</v>
      </c>
      <c r="AS626" s="33" t="str">
        <f t="shared" si="505"/>
        <v>R</v>
      </c>
      <c r="AT626" s="65">
        <v>22.0</v>
      </c>
      <c r="AU626" s="33" t="str">
        <f t="shared" si="506"/>
        <v>S</v>
      </c>
      <c r="AV626" s="65" t="s">
        <v>299</v>
      </c>
      <c r="AW626" s="28">
        <v>28.0</v>
      </c>
      <c r="AX626" s="26" t="str">
        <f t="shared" si="507"/>
        <v>S</v>
      </c>
      <c r="AY626" s="67">
        <v>6.0</v>
      </c>
      <c r="AZ626" s="37" t="str">
        <f t="shared" si="508"/>
        <v>R</v>
      </c>
      <c r="BA626" s="66">
        <v>6.0</v>
      </c>
      <c r="BB626" s="36" t="str">
        <f t="shared" si="509"/>
        <v>R</v>
      </c>
      <c r="BC626" s="39" t="s">
        <v>357</v>
      </c>
      <c r="BD626" s="39" t="s">
        <v>357</v>
      </c>
      <c r="BE626" s="66">
        <v>6.0</v>
      </c>
      <c r="BF626" s="36" t="str">
        <f t="shared" si="510"/>
        <v>R</v>
      </c>
      <c r="BG626" s="68">
        <v>35.0</v>
      </c>
      <c r="BH626" s="41" t="str">
        <f t="shared" si="511"/>
        <v>S</v>
      </c>
      <c r="BI626" s="41"/>
    </row>
    <row r="627">
      <c r="A627" s="21" t="s">
        <v>1050</v>
      </c>
      <c r="B627" s="23">
        <v>263.0</v>
      </c>
      <c r="C627" s="21" t="s">
        <v>1234</v>
      </c>
      <c r="D627" s="69" t="s">
        <v>190</v>
      </c>
      <c r="E627" s="18" t="s">
        <v>190</v>
      </c>
      <c r="F627" s="18" t="s">
        <v>192</v>
      </c>
      <c r="G627" s="63" t="s">
        <v>1235</v>
      </c>
      <c r="H627" s="22" t="s">
        <v>198</v>
      </c>
      <c r="I627" s="28">
        <v>6.0</v>
      </c>
      <c r="J627" s="26" t="str">
        <f t="shared" si="489"/>
        <v>R</v>
      </c>
      <c r="K627" s="28">
        <v>18.0</v>
      </c>
      <c r="L627" s="26" t="str">
        <f t="shared" si="490"/>
        <v>R</v>
      </c>
      <c r="M627" s="28">
        <v>6.0</v>
      </c>
      <c r="N627" s="26" t="str">
        <f t="shared" si="491"/>
        <v>R</v>
      </c>
      <c r="O627" s="28">
        <v>21.0</v>
      </c>
      <c r="P627" s="26" t="str">
        <f t="shared" si="492"/>
        <v>I</v>
      </c>
      <c r="Q627" s="28">
        <v>6.0</v>
      </c>
      <c r="R627" s="26" t="str">
        <f t="shared" si="493"/>
        <v>R</v>
      </c>
      <c r="S627" s="28">
        <v>21.0</v>
      </c>
      <c r="T627" s="26" t="str">
        <f t="shared" si="494"/>
        <v>S</v>
      </c>
      <c r="U627" s="28">
        <v>21.0</v>
      </c>
      <c r="V627" s="26" t="str">
        <f t="shared" si="495"/>
        <v>S</v>
      </c>
      <c r="W627" s="32" t="s">
        <v>299</v>
      </c>
      <c r="X627" s="65">
        <v>6.0</v>
      </c>
      <c r="Y627" s="33" t="str">
        <f t="shared" si="496"/>
        <v>R</v>
      </c>
      <c r="Z627" s="65">
        <v>22.0</v>
      </c>
      <c r="AA627" s="33" t="str">
        <f t="shared" si="497"/>
        <v>S</v>
      </c>
      <c r="AB627" s="65">
        <v>12.0</v>
      </c>
      <c r="AC627" s="33" t="str">
        <f t="shared" si="498"/>
        <v>R</v>
      </c>
      <c r="AD627" s="65">
        <v>22.0</v>
      </c>
      <c r="AE627" s="33" t="str">
        <f t="shared" si="499"/>
        <v>S</v>
      </c>
      <c r="AF627" s="65">
        <v>13.0</v>
      </c>
      <c r="AG627" s="33" t="str">
        <f t="shared" si="500"/>
        <v>R</v>
      </c>
      <c r="AH627" s="65" t="s">
        <v>299</v>
      </c>
      <c r="AI627" s="66">
        <v>22.0</v>
      </c>
      <c r="AJ627" s="36" t="str">
        <f t="shared" si="501"/>
        <v>I</v>
      </c>
      <c r="AK627" s="66">
        <v>14.0</v>
      </c>
      <c r="AL627" s="36" t="str">
        <f t="shared" si="502"/>
        <v>R</v>
      </c>
      <c r="AM627" s="66">
        <v>11.0</v>
      </c>
      <c r="AN627" s="36" t="str">
        <f t="shared" si="503"/>
        <v>R</v>
      </c>
      <c r="AO627" s="66" t="s">
        <v>299</v>
      </c>
      <c r="AP627" s="67">
        <v>14.0</v>
      </c>
      <c r="AQ627" s="37" t="str">
        <f t="shared" si="504"/>
        <v>S</v>
      </c>
      <c r="AR627" s="65">
        <v>18.0</v>
      </c>
      <c r="AS627" s="33" t="str">
        <f t="shared" si="505"/>
        <v>S</v>
      </c>
      <c r="AT627" s="65">
        <v>17.0</v>
      </c>
      <c r="AU627" s="33" t="str">
        <f t="shared" si="506"/>
        <v>S</v>
      </c>
      <c r="AV627" s="33" t="s">
        <v>300</v>
      </c>
      <c r="AW627" s="28">
        <v>15.0</v>
      </c>
      <c r="AX627" s="26" t="str">
        <f t="shared" si="507"/>
        <v>R</v>
      </c>
      <c r="AY627" s="67">
        <v>12.0</v>
      </c>
      <c r="AZ627" s="37" t="str">
        <f t="shared" si="508"/>
        <v>R</v>
      </c>
      <c r="BA627" s="66">
        <v>14.0</v>
      </c>
      <c r="BB627" s="36" t="str">
        <f t="shared" si="509"/>
        <v>R</v>
      </c>
      <c r="BC627" s="39" t="s">
        <v>357</v>
      </c>
      <c r="BD627" s="39" t="s">
        <v>357</v>
      </c>
      <c r="BE627" s="66">
        <v>16.0</v>
      </c>
      <c r="BF627" s="36" t="str">
        <f t="shared" si="510"/>
        <v>R</v>
      </c>
      <c r="BG627" s="68">
        <v>20.0</v>
      </c>
      <c r="BH627" s="41" t="str">
        <f t="shared" si="511"/>
        <v>S</v>
      </c>
      <c r="BI627" s="41"/>
    </row>
    <row r="628">
      <c r="A628" s="21" t="s">
        <v>1050</v>
      </c>
      <c r="B628" s="21" t="s">
        <v>444</v>
      </c>
      <c r="C628" s="21" t="s">
        <v>2136</v>
      </c>
      <c r="D628" s="69" t="s">
        <v>190</v>
      </c>
      <c r="E628" s="18" t="s">
        <v>190</v>
      </c>
      <c r="F628" s="18" t="s">
        <v>192</v>
      </c>
      <c r="G628" s="63" t="s">
        <v>2137</v>
      </c>
      <c r="H628" s="22" t="s">
        <v>198</v>
      </c>
      <c r="I628" s="28">
        <v>6.0</v>
      </c>
      <c r="J628" s="26" t="str">
        <f t="shared" si="489"/>
        <v>R</v>
      </c>
      <c r="K628" s="28">
        <v>18.0</v>
      </c>
      <c r="L628" s="26" t="str">
        <f t="shared" si="490"/>
        <v>R</v>
      </c>
      <c r="M628" s="28">
        <v>6.0</v>
      </c>
      <c r="N628" s="26" t="str">
        <f t="shared" si="491"/>
        <v>R</v>
      </c>
      <c r="O628" s="28">
        <v>21.0</v>
      </c>
      <c r="P628" s="26" t="str">
        <f t="shared" si="492"/>
        <v>I</v>
      </c>
      <c r="Q628" s="28">
        <v>6.0</v>
      </c>
      <c r="R628" s="26" t="str">
        <f t="shared" si="493"/>
        <v>R</v>
      </c>
      <c r="S628" s="28">
        <v>21.0</v>
      </c>
      <c r="T628" s="26" t="str">
        <f t="shared" si="494"/>
        <v>S</v>
      </c>
      <c r="U628" s="28">
        <v>21.0</v>
      </c>
      <c r="V628" s="26" t="str">
        <f t="shared" si="495"/>
        <v>S</v>
      </c>
      <c r="W628" s="32" t="s">
        <v>299</v>
      </c>
      <c r="X628" s="65">
        <v>6.0</v>
      </c>
      <c r="Y628" s="33" t="str">
        <f t="shared" si="496"/>
        <v>R</v>
      </c>
      <c r="Z628" s="65">
        <v>22.0</v>
      </c>
      <c r="AA628" s="33" t="str">
        <f t="shared" si="497"/>
        <v>S</v>
      </c>
      <c r="AB628" s="65">
        <v>12.0</v>
      </c>
      <c r="AC628" s="33" t="str">
        <f t="shared" si="498"/>
        <v>R</v>
      </c>
      <c r="AD628" s="65">
        <v>22.0</v>
      </c>
      <c r="AE628" s="33" t="str">
        <f t="shared" si="499"/>
        <v>S</v>
      </c>
      <c r="AF628" s="65">
        <v>13.0</v>
      </c>
      <c r="AG628" s="33" t="str">
        <f t="shared" si="500"/>
        <v>R</v>
      </c>
      <c r="AH628" s="65" t="s">
        <v>299</v>
      </c>
      <c r="AI628" s="66">
        <v>22.0</v>
      </c>
      <c r="AJ628" s="36" t="str">
        <f t="shared" si="501"/>
        <v>I</v>
      </c>
      <c r="AK628" s="66">
        <v>14.0</v>
      </c>
      <c r="AL628" s="36" t="str">
        <f t="shared" si="502"/>
        <v>R</v>
      </c>
      <c r="AM628" s="66">
        <v>11.0</v>
      </c>
      <c r="AN628" s="36" t="str">
        <f t="shared" si="503"/>
        <v>R</v>
      </c>
      <c r="AO628" s="66" t="s">
        <v>299</v>
      </c>
      <c r="AP628" s="67">
        <v>14.0</v>
      </c>
      <c r="AQ628" s="37" t="str">
        <f t="shared" si="504"/>
        <v>S</v>
      </c>
      <c r="AR628" s="65">
        <v>18.0</v>
      </c>
      <c r="AS628" s="33" t="str">
        <f t="shared" si="505"/>
        <v>S</v>
      </c>
      <c r="AT628" s="65">
        <v>17.0</v>
      </c>
      <c r="AU628" s="33" t="str">
        <f t="shared" si="506"/>
        <v>S</v>
      </c>
      <c r="AV628" s="33" t="s">
        <v>300</v>
      </c>
      <c r="AW628" s="28">
        <v>15.0</v>
      </c>
      <c r="AX628" s="26" t="str">
        <f t="shared" si="507"/>
        <v>R</v>
      </c>
      <c r="AY628" s="67">
        <v>12.0</v>
      </c>
      <c r="AZ628" s="37" t="str">
        <f t="shared" si="508"/>
        <v>R</v>
      </c>
      <c r="BA628" s="66">
        <v>15.0</v>
      </c>
      <c r="BB628" s="36" t="str">
        <f t="shared" si="509"/>
        <v>R</v>
      </c>
      <c r="BC628" s="39" t="s">
        <v>357</v>
      </c>
      <c r="BD628" s="39" t="s">
        <v>357</v>
      </c>
      <c r="BE628" s="66">
        <v>14.0</v>
      </c>
      <c r="BF628" s="36" t="str">
        <f t="shared" si="510"/>
        <v>R</v>
      </c>
      <c r="BG628" s="68">
        <v>20.0</v>
      </c>
      <c r="BH628" s="41" t="str">
        <f t="shared" si="511"/>
        <v>S</v>
      </c>
      <c r="BI628" s="41"/>
    </row>
    <row r="629">
      <c r="A629" s="21" t="s">
        <v>1050</v>
      </c>
      <c r="B629" s="21" t="s">
        <v>444</v>
      </c>
      <c r="C629" s="21" t="s">
        <v>2138</v>
      </c>
      <c r="D629" s="69" t="s">
        <v>190</v>
      </c>
      <c r="E629" s="18" t="s">
        <v>190</v>
      </c>
      <c r="F629" s="18" t="s">
        <v>192</v>
      </c>
      <c r="G629" s="63" t="s">
        <v>2139</v>
      </c>
      <c r="H629" s="22" t="s">
        <v>198</v>
      </c>
      <c r="I629" s="28">
        <v>6.0</v>
      </c>
      <c r="J629" s="26" t="str">
        <f t="shared" si="489"/>
        <v>R</v>
      </c>
      <c r="K629" s="28">
        <v>18.0</v>
      </c>
      <c r="L629" s="26" t="str">
        <f t="shared" si="490"/>
        <v>R</v>
      </c>
      <c r="M629" s="28">
        <v>6.0</v>
      </c>
      <c r="N629" s="26" t="str">
        <f t="shared" si="491"/>
        <v>R</v>
      </c>
      <c r="O629" s="28">
        <v>21.0</v>
      </c>
      <c r="P629" s="26" t="str">
        <f t="shared" si="492"/>
        <v>I</v>
      </c>
      <c r="Q629" s="28">
        <v>6.0</v>
      </c>
      <c r="R629" s="26" t="str">
        <f t="shared" si="493"/>
        <v>R</v>
      </c>
      <c r="S629" s="28">
        <v>21.0</v>
      </c>
      <c r="T629" s="26" t="str">
        <f t="shared" si="494"/>
        <v>S</v>
      </c>
      <c r="U629" s="28">
        <v>21.0</v>
      </c>
      <c r="V629" s="26" t="str">
        <f t="shared" si="495"/>
        <v>S</v>
      </c>
      <c r="W629" s="32" t="s">
        <v>299</v>
      </c>
      <c r="X629" s="65">
        <v>6.0</v>
      </c>
      <c r="Y629" s="33" t="str">
        <f t="shared" si="496"/>
        <v>R</v>
      </c>
      <c r="Z629" s="65">
        <v>22.0</v>
      </c>
      <c r="AA629" s="33" t="str">
        <f t="shared" si="497"/>
        <v>S</v>
      </c>
      <c r="AB629" s="65">
        <v>12.0</v>
      </c>
      <c r="AC629" s="33" t="str">
        <f t="shared" si="498"/>
        <v>R</v>
      </c>
      <c r="AD629" s="65">
        <v>22.0</v>
      </c>
      <c r="AE629" s="33" t="str">
        <f t="shared" si="499"/>
        <v>S</v>
      </c>
      <c r="AF629" s="65">
        <v>13.0</v>
      </c>
      <c r="AG629" s="33" t="str">
        <f t="shared" si="500"/>
        <v>R</v>
      </c>
      <c r="AH629" s="65" t="s">
        <v>299</v>
      </c>
      <c r="AI629" s="66">
        <v>22.0</v>
      </c>
      <c r="AJ629" s="36" t="str">
        <f t="shared" si="501"/>
        <v>I</v>
      </c>
      <c r="AK629" s="66">
        <v>14.0</v>
      </c>
      <c r="AL629" s="36" t="str">
        <f t="shared" si="502"/>
        <v>R</v>
      </c>
      <c r="AM629" s="66">
        <v>11.0</v>
      </c>
      <c r="AN629" s="36" t="str">
        <f t="shared" si="503"/>
        <v>R</v>
      </c>
      <c r="AO629" s="66" t="s">
        <v>299</v>
      </c>
      <c r="AP629" s="67">
        <v>14.0</v>
      </c>
      <c r="AQ629" s="37" t="str">
        <f t="shared" si="504"/>
        <v>S</v>
      </c>
      <c r="AR629" s="65">
        <v>18.0</v>
      </c>
      <c r="AS629" s="33" t="str">
        <f t="shared" si="505"/>
        <v>S</v>
      </c>
      <c r="AT629" s="65">
        <v>17.0</v>
      </c>
      <c r="AU629" s="33" t="str">
        <f t="shared" si="506"/>
        <v>S</v>
      </c>
      <c r="AV629" s="33" t="s">
        <v>300</v>
      </c>
      <c r="AW629" s="28">
        <v>15.0</v>
      </c>
      <c r="AX629" s="26" t="str">
        <f t="shared" si="507"/>
        <v>R</v>
      </c>
      <c r="AY629" s="67">
        <v>12.0</v>
      </c>
      <c r="AZ629" s="37" t="str">
        <f t="shared" si="508"/>
        <v>R</v>
      </c>
      <c r="BA629" s="66">
        <v>14.0</v>
      </c>
      <c r="BB629" s="36" t="str">
        <f t="shared" si="509"/>
        <v>R</v>
      </c>
      <c r="BC629" s="39" t="s">
        <v>357</v>
      </c>
      <c r="BD629" s="39" t="s">
        <v>357</v>
      </c>
      <c r="BE629" s="66">
        <v>16.0</v>
      </c>
      <c r="BF629" s="36" t="str">
        <f t="shared" si="510"/>
        <v>R</v>
      </c>
      <c r="BG629" s="68">
        <v>20.0</v>
      </c>
      <c r="BH629" s="41" t="str">
        <f t="shared" si="511"/>
        <v>S</v>
      </c>
      <c r="BI629" s="41"/>
    </row>
    <row r="630">
      <c r="A630" s="21" t="s">
        <v>1050</v>
      </c>
      <c r="B630" s="23">
        <v>264.0</v>
      </c>
      <c r="C630" s="21" t="s">
        <v>1236</v>
      </c>
      <c r="D630" s="69" t="s">
        <v>190</v>
      </c>
      <c r="E630" s="18" t="s">
        <v>190</v>
      </c>
      <c r="F630" s="18" t="s">
        <v>192</v>
      </c>
      <c r="G630" s="63" t="s">
        <v>1237</v>
      </c>
      <c r="H630" s="22" t="s">
        <v>198</v>
      </c>
      <c r="I630" s="28">
        <v>6.0</v>
      </c>
      <c r="J630" s="26" t="str">
        <f t="shared" si="489"/>
        <v>R</v>
      </c>
      <c r="K630" s="28">
        <v>6.0</v>
      </c>
      <c r="L630" s="26" t="str">
        <f t="shared" si="490"/>
        <v>R</v>
      </c>
      <c r="M630" s="28">
        <v>6.0</v>
      </c>
      <c r="N630" s="26" t="str">
        <f t="shared" si="491"/>
        <v>R</v>
      </c>
      <c r="O630" s="28">
        <v>28.0</v>
      </c>
      <c r="P630" s="26" t="str">
        <f t="shared" si="492"/>
        <v>S</v>
      </c>
      <c r="Q630" s="28">
        <v>6.0</v>
      </c>
      <c r="R630" s="26" t="str">
        <f t="shared" si="493"/>
        <v>R</v>
      </c>
      <c r="S630" s="28">
        <v>21.0</v>
      </c>
      <c r="T630" s="26" t="str">
        <f t="shared" si="494"/>
        <v>S</v>
      </c>
      <c r="U630" s="28">
        <v>21.0</v>
      </c>
      <c r="V630" s="26" t="str">
        <f t="shared" si="495"/>
        <v>S</v>
      </c>
      <c r="W630" s="32" t="s">
        <v>299</v>
      </c>
      <c r="X630" s="65">
        <v>6.0</v>
      </c>
      <c r="Y630" s="33" t="str">
        <f t="shared" si="496"/>
        <v>R</v>
      </c>
      <c r="Z630" s="65">
        <v>6.0</v>
      </c>
      <c r="AA630" s="33" t="str">
        <f t="shared" si="497"/>
        <v>R</v>
      </c>
      <c r="AB630" s="65">
        <v>6.0</v>
      </c>
      <c r="AC630" s="33" t="str">
        <f t="shared" si="498"/>
        <v>R</v>
      </c>
      <c r="AD630" s="65">
        <v>23.0</v>
      </c>
      <c r="AE630" s="33" t="str">
        <f t="shared" si="499"/>
        <v>S</v>
      </c>
      <c r="AF630" s="65">
        <v>18.0</v>
      </c>
      <c r="AG630" s="33" t="str">
        <f t="shared" si="500"/>
        <v>R</v>
      </c>
      <c r="AH630" s="65" t="s">
        <v>299</v>
      </c>
      <c r="AI630" s="66">
        <v>6.0</v>
      </c>
      <c r="AJ630" s="36" t="str">
        <f t="shared" si="501"/>
        <v>R</v>
      </c>
      <c r="AK630" s="66">
        <v>6.0</v>
      </c>
      <c r="AL630" s="36" t="str">
        <f t="shared" si="502"/>
        <v>R</v>
      </c>
      <c r="AM630" s="66">
        <v>6.0</v>
      </c>
      <c r="AN630" s="36" t="str">
        <f t="shared" si="503"/>
        <v>R</v>
      </c>
      <c r="AO630" s="66" t="s">
        <v>299</v>
      </c>
      <c r="AP630" s="67">
        <v>6.0</v>
      </c>
      <c r="AQ630" s="37" t="str">
        <f t="shared" si="504"/>
        <v>R</v>
      </c>
      <c r="AR630" s="65">
        <v>20.0</v>
      </c>
      <c r="AS630" s="33" t="str">
        <f t="shared" si="505"/>
        <v>S</v>
      </c>
      <c r="AT630" s="65">
        <v>20.0</v>
      </c>
      <c r="AU630" s="33" t="str">
        <f t="shared" si="506"/>
        <v>S</v>
      </c>
      <c r="AV630" s="33" t="s">
        <v>300</v>
      </c>
      <c r="AW630" s="28">
        <v>6.0</v>
      </c>
      <c r="AX630" s="26" t="str">
        <f t="shared" si="507"/>
        <v>R</v>
      </c>
      <c r="AY630" s="67">
        <v>13.0</v>
      </c>
      <c r="AZ630" s="37" t="str">
        <f t="shared" si="508"/>
        <v>R</v>
      </c>
      <c r="BA630" s="66">
        <v>26.0</v>
      </c>
      <c r="BB630" s="36" t="str">
        <f t="shared" si="509"/>
        <v>S</v>
      </c>
      <c r="BC630" s="39" t="s">
        <v>357</v>
      </c>
      <c r="BD630" s="39" t="s">
        <v>357</v>
      </c>
      <c r="BE630" s="66">
        <v>20.0</v>
      </c>
      <c r="BF630" s="36" t="str">
        <f t="shared" si="510"/>
        <v>I</v>
      </c>
      <c r="BG630" s="68">
        <v>20.0</v>
      </c>
      <c r="BH630" s="41" t="str">
        <f t="shared" si="511"/>
        <v>S</v>
      </c>
      <c r="BI630" s="41"/>
    </row>
    <row r="631">
      <c r="A631" s="21" t="s">
        <v>1050</v>
      </c>
      <c r="B631" s="21" t="s">
        <v>444</v>
      </c>
      <c r="C631" s="21" t="s">
        <v>2140</v>
      </c>
      <c r="D631" s="69" t="s">
        <v>190</v>
      </c>
      <c r="E631" s="18" t="s">
        <v>190</v>
      </c>
      <c r="F631" s="18" t="s">
        <v>192</v>
      </c>
      <c r="G631" s="63" t="s">
        <v>2141</v>
      </c>
      <c r="H631" s="22" t="s">
        <v>198</v>
      </c>
      <c r="I631" s="28">
        <v>6.0</v>
      </c>
      <c r="J631" s="26" t="str">
        <f t="shared" si="489"/>
        <v>R</v>
      </c>
      <c r="K631" s="28">
        <v>15.0</v>
      </c>
      <c r="L631" s="26" t="str">
        <f t="shared" si="490"/>
        <v>R</v>
      </c>
      <c r="M631" s="28">
        <v>6.0</v>
      </c>
      <c r="N631" s="26" t="str">
        <f t="shared" si="491"/>
        <v>R</v>
      </c>
      <c r="O631" s="28">
        <v>28.0</v>
      </c>
      <c r="P631" s="26" t="str">
        <f t="shared" si="492"/>
        <v>S</v>
      </c>
      <c r="Q631" s="28">
        <v>6.0</v>
      </c>
      <c r="R631" s="26" t="str">
        <f t="shared" si="493"/>
        <v>R</v>
      </c>
      <c r="S631" s="28">
        <v>21.0</v>
      </c>
      <c r="T631" s="26" t="str">
        <f t="shared" si="494"/>
        <v>S</v>
      </c>
      <c r="U631" s="28">
        <v>21.0</v>
      </c>
      <c r="V631" s="26" t="str">
        <f t="shared" si="495"/>
        <v>S</v>
      </c>
      <c r="W631" s="32" t="s">
        <v>299</v>
      </c>
      <c r="X631" s="65">
        <v>8.0</v>
      </c>
      <c r="Y631" s="33" t="str">
        <f t="shared" si="496"/>
        <v>R</v>
      </c>
      <c r="Z631" s="65">
        <v>9.0</v>
      </c>
      <c r="AA631" s="33" t="str">
        <f t="shared" si="497"/>
        <v>R</v>
      </c>
      <c r="AB631" s="65">
        <v>10.0</v>
      </c>
      <c r="AC631" s="33" t="str">
        <f t="shared" si="498"/>
        <v>R</v>
      </c>
      <c r="AD631" s="65">
        <v>22.0</v>
      </c>
      <c r="AE631" s="33" t="str">
        <f t="shared" si="499"/>
        <v>S</v>
      </c>
      <c r="AF631" s="65">
        <v>18.0</v>
      </c>
      <c r="AG631" s="33" t="str">
        <f t="shared" si="500"/>
        <v>R</v>
      </c>
      <c r="AH631" s="65" t="s">
        <v>299</v>
      </c>
      <c r="AI631" s="66">
        <v>6.0</v>
      </c>
      <c r="AJ631" s="36" t="str">
        <f t="shared" si="501"/>
        <v>R</v>
      </c>
      <c r="AK631" s="66">
        <v>8.0</v>
      </c>
      <c r="AL631" s="36" t="str">
        <f t="shared" si="502"/>
        <v>R</v>
      </c>
      <c r="AM631" s="66">
        <v>12.0</v>
      </c>
      <c r="AN631" s="36" t="str">
        <f t="shared" si="503"/>
        <v>R</v>
      </c>
      <c r="AO631" s="66" t="s">
        <v>299</v>
      </c>
      <c r="AP631" s="67">
        <v>8.0</v>
      </c>
      <c r="AQ631" s="37" t="str">
        <f t="shared" si="504"/>
        <v>R</v>
      </c>
      <c r="AR631" s="65">
        <v>21.0</v>
      </c>
      <c r="AS631" s="33" t="str">
        <f t="shared" si="505"/>
        <v>S</v>
      </c>
      <c r="AT631" s="65">
        <v>22.0</v>
      </c>
      <c r="AU631" s="33" t="str">
        <f t="shared" si="506"/>
        <v>S</v>
      </c>
      <c r="AV631" s="33" t="s">
        <v>300</v>
      </c>
      <c r="AW631" s="28">
        <v>9.0</v>
      </c>
      <c r="AX631" s="26" t="str">
        <f t="shared" si="507"/>
        <v>R</v>
      </c>
      <c r="AY631" s="67">
        <v>12.0</v>
      </c>
      <c r="AZ631" s="37" t="str">
        <f t="shared" si="508"/>
        <v>R</v>
      </c>
      <c r="BA631" s="66">
        <v>25.0</v>
      </c>
      <c r="BB631" s="36" t="str">
        <f t="shared" si="509"/>
        <v>S</v>
      </c>
      <c r="BC631" s="39" t="s">
        <v>357</v>
      </c>
      <c r="BD631" s="39" t="s">
        <v>357</v>
      </c>
      <c r="BE631" s="66">
        <v>19.0</v>
      </c>
      <c r="BF631" s="36" t="str">
        <f t="shared" si="510"/>
        <v>I</v>
      </c>
      <c r="BG631" s="68">
        <v>21.0</v>
      </c>
      <c r="BH631" s="41" t="str">
        <f t="shared" si="511"/>
        <v>S</v>
      </c>
      <c r="BI631" s="41"/>
    </row>
    <row r="632">
      <c r="A632" s="21" t="s">
        <v>1050</v>
      </c>
      <c r="B632" s="21" t="s">
        <v>444</v>
      </c>
      <c r="C632" s="21" t="s">
        <v>2142</v>
      </c>
      <c r="D632" s="69" t="s">
        <v>190</v>
      </c>
      <c r="E632" s="18" t="s">
        <v>190</v>
      </c>
      <c r="F632" s="18" t="s">
        <v>192</v>
      </c>
      <c r="G632" s="63" t="s">
        <v>2143</v>
      </c>
      <c r="H632" s="22" t="s">
        <v>198</v>
      </c>
      <c r="I632" s="28">
        <v>6.0</v>
      </c>
      <c r="J632" s="26" t="str">
        <f t="shared" si="489"/>
        <v>R</v>
      </c>
      <c r="K632" s="28">
        <v>10.0</v>
      </c>
      <c r="L632" s="26" t="str">
        <f t="shared" si="490"/>
        <v>R</v>
      </c>
      <c r="M632" s="28">
        <v>6.0</v>
      </c>
      <c r="N632" s="26" t="str">
        <f t="shared" si="491"/>
        <v>R</v>
      </c>
      <c r="O632" s="28">
        <v>28.0</v>
      </c>
      <c r="P632" s="26" t="str">
        <f t="shared" si="492"/>
        <v>S</v>
      </c>
      <c r="Q632" s="28">
        <v>6.0</v>
      </c>
      <c r="R632" s="26" t="str">
        <f t="shared" si="493"/>
        <v>R</v>
      </c>
      <c r="S632" s="28">
        <v>22.0</v>
      </c>
      <c r="T632" s="26" t="str">
        <f t="shared" si="494"/>
        <v>S</v>
      </c>
      <c r="U632" s="28">
        <v>21.0</v>
      </c>
      <c r="V632" s="26" t="str">
        <f t="shared" si="495"/>
        <v>S</v>
      </c>
      <c r="W632" s="32" t="s">
        <v>299</v>
      </c>
      <c r="X632" s="65">
        <v>12.0</v>
      </c>
      <c r="Y632" s="33" t="str">
        <f t="shared" si="496"/>
        <v>R</v>
      </c>
      <c r="Z632" s="65">
        <v>10.0</v>
      </c>
      <c r="AA632" s="33" t="str">
        <f t="shared" si="497"/>
        <v>R</v>
      </c>
      <c r="AB632" s="65">
        <v>11.0</v>
      </c>
      <c r="AC632" s="33" t="str">
        <f t="shared" si="498"/>
        <v>R</v>
      </c>
      <c r="AD632" s="65">
        <v>23.0</v>
      </c>
      <c r="AE632" s="33" t="str">
        <f t="shared" si="499"/>
        <v>S</v>
      </c>
      <c r="AF632" s="65">
        <v>18.0</v>
      </c>
      <c r="AG632" s="33" t="str">
        <f t="shared" si="500"/>
        <v>R</v>
      </c>
      <c r="AH632" s="65" t="s">
        <v>299</v>
      </c>
      <c r="AI632" s="66">
        <v>6.0</v>
      </c>
      <c r="AJ632" s="36" t="str">
        <f t="shared" si="501"/>
        <v>R</v>
      </c>
      <c r="AK632" s="66">
        <v>10.0</v>
      </c>
      <c r="AL632" s="36" t="str">
        <f t="shared" si="502"/>
        <v>R</v>
      </c>
      <c r="AM632" s="66">
        <v>10.0</v>
      </c>
      <c r="AN632" s="36" t="str">
        <f t="shared" si="503"/>
        <v>R</v>
      </c>
      <c r="AO632" s="66" t="s">
        <v>299</v>
      </c>
      <c r="AP632" s="67">
        <v>9.0</v>
      </c>
      <c r="AQ632" s="37" t="str">
        <f t="shared" si="504"/>
        <v>R</v>
      </c>
      <c r="AR632" s="65">
        <v>20.0</v>
      </c>
      <c r="AS632" s="33" t="str">
        <f t="shared" si="505"/>
        <v>S</v>
      </c>
      <c r="AT632" s="65">
        <v>18.0</v>
      </c>
      <c r="AU632" s="33" t="str">
        <f t="shared" si="506"/>
        <v>S</v>
      </c>
      <c r="AV632" s="33" t="s">
        <v>300</v>
      </c>
      <c r="AW632" s="28">
        <v>6.0</v>
      </c>
      <c r="AX632" s="26" t="str">
        <f t="shared" si="507"/>
        <v>R</v>
      </c>
      <c r="AY632" s="67">
        <v>15.0</v>
      </c>
      <c r="AZ632" s="37" t="str">
        <f t="shared" si="508"/>
        <v>R</v>
      </c>
      <c r="BA632" s="66">
        <v>26.0</v>
      </c>
      <c r="BB632" s="36" t="str">
        <f t="shared" si="509"/>
        <v>S</v>
      </c>
      <c r="BC632" s="39" t="s">
        <v>357</v>
      </c>
      <c r="BD632" s="39" t="s">
        <v>357</v>
      </c>
      <c r="BE632" s="66">
        <v>21.0</v>
      </c>
      <c r="BF632" s="36" t="str">
        <f t="shared" si="510"/>
        <v>I</v>
      </c>
      <c r="BG632" s="68">
        <v>18.0</v>
      </c>
      <c r="BH632" s="41" t="str">
        <f t="shared" si="511"/>
        <v>S</v>
      </c>
      <c r="BI632" s="41"/>
    </row>
    <row r="633">
      <c r="A633" s="21" t="s">
        <v>1050</v>
      </c>
      <c r="B633" s="23">
        <v>265.0</v>
      </c>
      <c r="C633" s="21" t="s">
        <v>1238</v>
      </c>
      <c r="D633" s="69" t="s">
        <v>571</v>
      </c>
      <c r="E633" s="18" t="s">
        <v>572</v>
      </c>
      <c r="F633" s="18" t="s">
        <v>192</v>
      </c>
      <c r="G633" s="63" t="s">
        <v>1239</v>
      </c>
      <c r="H633" s="22" t="s">
        <v>198</v>
      </c>
      <c r="I633" s="28">
        <v>6.0</v>
      </c>
      <c r="J633" s="26" t="str">
        <f t="shared" si="489"/>
        <v>R</v>
      </c>
      <c r="K633" s="28">
        <v>16.0</v>
      </c>
      <c r="L633" s="26" t="str">
        <f t="shared" si="490"/>
        <v>R</v>
      </c>
      <c r="M633" s="28">
        <v>6.0</v>
      </c>
      <c r="N633" s="26" t="str">
        <f t="shared" si="491"/>
        <v>R</v>
      </c>
      <c r="O633" s="28">
        <v>21.0</v>
      </c>
      <c r="P633" s="26" t="str">
        <f t="shared" si="492"/>
        <v>I</v>
      </c>
      <c r="Q633" s="28">
        <v>9.0</v>
      </c>
      <c r="R633" s="26" t="str">
        <f t="shared" si="493"/>
        <v>R</v>
      </c>
      <c r="S633" s="28">
        <v>19.0</v>
      </c>
      <c r="T633" s="26" t="str">
        <f t="shared" si="494"/>
        <v>R</v>
      </c>
      <c r="U633" s="28">
        <v>19.0</v>
      </c>
      <c r="V633" s="26" t="str">
        <f t="shared" si="495"/>
        <v>I</v>
      </c>
      <c r="W633" s="32" t="s">
        <v>299</v>
      </c>
      <c r="X633" s="65">
        <v>6.0</v>
      </c>
      <c r="Y633" s="33" t="str">
        <f t="shared" si="496"/>
        <v>R</v>
      </c>
      <c r="Z633" s="65">
        <v>20.0</v>
      </c>
      <c r="AA633" s="33" t="str">
        <f t="shared" si="497"/>
        <v>S</v>
      </c>
      <c r="AB633" s="65">
        <v>9.0</v>
      </c>
      <c r="AC633" s="33" t="str">
        <f t="shared" si="498"/>
        <v>R</v>
      </c>
      <c r="AD633" s="65">
        <v>18.0</v>
      </c>
      <c r="AE633" s="33" t="str">
        <f t="shared" si="499"/>
        <v>S</v>
      </c>
      <c r="AF633" s="65">
        <v>6.0</v>
      </c>
      <c r="AG633" s="33" t="str">
        <f t="shared" si="500"/>
        <v>R</v>
      </c>
      <c r="AH633" s="65" t="s">
        <v>299</v>
      </c>
      <c r="AI633" s="66">
        <v>6.0</v>
      </c>
      <c r="AJ633" s="36" t="str">
        <f t="shared" si="501"/>
        <v>R</v>
      </c>
      <c r="AK633" s="66">
        <v>6.0</v>
      </c>
      <c r="AL633" s="36" t="str">
        <f t="shared" si="502"/>
        <v>R</v>
      </c>
      <c r="AM633" s="66">
        <v>6.0</v>
      </c>
      <c r="AN633" s="36" t="str">
        <f t="shared" si="503"/>
        <v>R</v>
      </c>
      <c r="AO633" s="66" t="s">
        <v>299</v>
      </c>
      <c r="AP633" s="67">
        <v>6.0</v>
      </c>
      <c r="AQ633" s="37" t="str">
        <f t="shared" si="504"/>
        <v>R</v>
      </c>
      <c r="AR633" s="65">
        <v>16.0</v>
      </c>
      <c r="AS633" s="33" t="str">
        <f t="shared" si="505"/>
        <v>R</v>
      </c>
      <c r="AT633" s="65">
        <v>16.0</v>
      </c>
      <c r="AU633" s="33" t="str">
        <f t="shared" si="506"/>
        <v>S</v>
      </c>
      <c r="AV633" s="65" t="s">
        <v>299</v>
      </c>
      <c r="AW633" s="28">
        <v>6.0</v>
      </c>
      <c r="AX633" s="26" t="str">
        <f t="shared" si="507"/>
        <v>R</v>
      </c>
      <c r="AY633" s="67">
        <v>16.0</v>
      </c>
      <c r="AZ633" s="37" t="str">
        <f t="shared" si="508"/>
        <v>R</v>
      </c>
      <c r="BA633" s="66">
        <v>23.0</v>
      </c>
      <c r="BB633" s="36" t="str">
        <f t="shared" si="509"/>
        <v>S</v>
      </c>
      <c r="BC633" s="39" t="s">
        <v>357</v>
      </c>
      <c r="BD633" s="39" t="s">
        <v>357</v>
      </c>
      <c r="BE633" s="66">
        <v>28.0</v>
      </c>
      <c r="BF633" s="36" t="str">
        <f t="shared" si="510"/>
        <v>S</v>
      </c>
      <c r="BG633" s="68">
        <v>21.0</v>
      </c>
      <c r="BH633" s="41" t="str">
        <f t="shared" si="511"/>
        <v>S</v>
      </c>
      <c r="BI633" s="41"/>
    </row>
    <row r="634">
      <c r="A634" s="21" t="s">
        <v>1050</v>
      </c>
      <c r="B634" s="21" t="s">
        <v>444</v>
      </c>
      <c r="C634" s="21" t="s">
        <v>2144</v>
      </c>
      <c r="D634" s="69" t="s">
        <v>571</v>
      </c>
      <c r="E634" s="18" t="s">
        <v>572</v>
      </c>
      <c r="F634" s="18" t="s">
        <v>192</v>
      </c>
      <c r="G634" s="63" t="s">
        <v>2145</v>
      </c>
      <c r="H634" s="22" t="s">
        <v>198</v>
      </c>
      <c r="I634" s="28">
        <v>6.0</v>
      </c>
      <c r="J634" s="26" t="str">
        <f t="shared" si="489"/>
        <v>R</v>
      </c>
      <c r="K634" s="28">
        <v>16.0</v>
      </c>
      <c r="L634" s="26" t="str">
        <f t="shared" si="490"/>
        <v>R</v>
      </c>
      <c r="M634" s="28">
        <v>6.0</v>
      </c>
      <c r="N634" s="26" t="str">
        <f t="shared" si="491"/>
        <v>R</v>
      </c>
      <c r="O634" s="28">
        <v>21.0</v>
      </c>
      <c r="P634" s="26" t="str">
        <f t="shared" si="492"/>
        <v>I</v>
      </c>
      <c r="Q634" s="28">
        <v>9.0</v>
      </c>
      <c r="R634" s="26" t="str">
        <f t="shared" si="493"/>
        <v>R</v>
      </c>
      <c r="S634" s="28">
        <v>19.0</v>
      </c>
      <c r="T634" s="26" t="str">
        <f t="shared" si="494"/>
        <v>R</v>
      </c>
      <c r="U634" s="28">
        <v>19.0</v>
      </c>
      <c r="V634" s="26" t="str">
        <f t="shared" si="495"/>
        <v>I</v>
      </c>
      <c r="W634" s="32" t="s">
        <v>299</v>
      </c>
      <c r="X634" s="65">
        <v>6.0</v>
      </c>
      <c r="Y634" s="33" t="str">
        <f t="shared" si="496"/>
        <v>R</v>
      </c>
      <c r="Z634" s="65">
        <v>20.0</v>
      </c>
      <c r="AA634" s="33" t="str">
        <f t="shared" si="497"/>
        <v>S</v>
      </c>
      <c r="AB634" s="65">
        <v>9.0</v>
      </c>
      <c r="AC634" s="33" t="str">
        <f t="shared" si="498"/>
        <v>R</v>
      </c>
      <c r="AD634" s="65">
        <v>18.0</v>
      </c>
      <c r="AE634" s="33" t="str">
        <f t="shared" si="499"/>
        <v>S</v>
      </c>
      <c r="AF634" s="65">
        <v>6.0</v>
      </c>
      <c r="AG634" s="33" t="str">
        <f t="shared" si="500"/>
        <v>R</v>
      </c>
      <c r="AH634" s="65" t="s">
        <v>299</v>
      </c>
      <c r="AI634" s="66">
        <v>6.0</v>
      </c>
      <c r="AJ634" s="36" t="str">
        <f t="shared" si="501"/>
        <v>R</v>
      </c>
      <c r="AK634" s="66">
        <v>6.0</v>
      </c>
      <c r="AL634" s="36" t="str">
        <f t="shared" si="502"/>
        <v>R</v>
      </c>
      <c r="AM634" s="66">
        <v>6.0</v>
      </c>
      <c r="AN634" s="36" t="str">
        <f t="shared" si="503"/>
        <v>R</v>
      </c>
      <c r="AO634" s="66" t="s">
        <v>299</v>
      </c>
      <c r="AP634" s="67">
        <v>6.0</v>
      </c>
      <c r="AQ634" s="37" t="str">
        <f t="shared" si="504"/>
        <v>R</v>
      </c>
      <c r="AR634" s="65">
        <v>16.0</v>
      </c>
      <c r="AS634" s="33" t="str">
        <f t="shared" si="505"/>
        <v>R</v>
      </c>
      <c r="AT634" s="65">
        <v>16.0</v>
      </c>
      <c r="AU634" s="33" t="str">
        <f t="shared" si="506"/>
        <v>S</v>
      </c>
      <c r="AV634" s="65" t="s">
        <v>299</v>
      </c>
      <c r="AW634" s="28">
        <v>6.0</v>
      </c>
      <c r="AX634" s="26" t="str">
        <f t="shared" si="507"/>
        <v>R</v>
      </c>
      <c r="AY634" s="67">
        <v>16.0</v>
      </c>
      <c r="AZ634" s="37" t="str">
        <f t="shared" si="508"/>
        <v>R</v>
      </c>
      <c r="BA634" s="66">
        <v>23.0</v>
      </c>
      <c r="BB634" s="36" t="str">
        <f t="shared" si="509"/>
        <v>S</v>
      </c>
      <c r="BC634" s="39" t="s">
        <v>357</v>
      </c>
      <c r="BD634" s="39" t="s">
        <v>357</v>
      </c>
      <c r="BE634" s="66">
        <v>28.0</v>
      </c>
      <c r="BF634" s="36" t="str">
        <f t="shared" si="510"/>
        <v>S</v>
      </c>
      <c r="BG634" s="68">
        <v>21.0</v>
      </c>
      <c r="BH634" s="41" t="str">
        <f t="shared" si="511"/>
        <v>S</v>
      </c>
      <c r="BI634" s="41"/>
    </row>
    <row r="635">
      <c r="A635" s="21" t="s">
        <v>1050</v>
      </c>
      <c r="B635" s="21" t="s">
        <v>444</v>
      </c>
      <c r="C635" s="21" t="s">
        <v>2146</v>
      </c>
      <c r="D635" s="69" t="s">
        <v>571</v>
      </c>
      <c r="E635" s="18" t="s">
        <v>572</v>
      </c>
      <c r="F635" s="18" t="s">
        <v>192</v>
      </c>
      <c r="G635" s="63" t="s">
        <v>2147</v>
      </c>
      <c r="H635" s="22" t="s">
        <v>198</v>
      </c>
      <c r="I635" s="28">
        <v>6.0</v>
      </c>
      <c r="J635" s="26" t="str">
        <f t="shared" si="489"/>
        <v>R</v>
      </c>
      <c r="K635" s="28">
        <v>16.0</v>
      </c>
      <c r="L635" s="26" t="str">
        <f t="shared" si="490"/>
        <v>R</v>
      </c>
      <c r="M635" s="28">
        <v>6.0</v>
      </c>
      <c r="N635" s="26" t="str">
        <f t="shared" si="491"/>
        <v>R</v>
      </c>
      <c r="O635" s="28">
        <v>21.0</v>
      </c>
      <c r="P635" s="26" t="str">
        <f t="shared" si="492"/>
        <v>I</v>
      </c>
      <c r="Q635" s="28">
        <v>9.0</v>
      </c>
      <c r="R635" s="26" t="str">
        <f t="shared" si="493"/>
        <v>R</v>
      </c>
      <c r="S635" s="28">
        <v>19.0</v>
      </c>
      <c r="T635" s="26" t="str">
        <f t="shared" si="494"/>
        <v>R</v>
      </c>
      <c r="U635" s="28">
        <v>19.0</v>
      </c>
      <c r="V635" s="26" t="str">
        <f t="shared" si="495"/>
        <v>I</v>
      </c>
      <c r="W635" s="32" t="s">
        <v>299</v>
      </c>
      <c r="X635" s="65">
        <v>6.0</v>
      </c>
      <c r="Y635" s="33" t="str">
        <f t="shared" si="496"/>
        <v>R</v>
      </c>
      <c r="Z635" s="65">
        <v>20.0</v>
      </c>
      <c r="AA635" s="33" t="str">
        <f t="shared" si="497"/>
        <v>S</v>
      </c>
      <c r="AB635" s="65">
        <v>9.0</v>
      </c>
      <c r="AC635" s="33" t="str">
        <f t="shared" si="498"/>
        <v>R</v>
      </c>
      <c r="AD635" s="65">
        <v>18.0</v>
      </c>
      <c r="AE635" s="33" t="str">
        <f t="shared" si="499"/>
        <v>S</v>
      </c>
      <c r="AF635" s="65">
        <v>6.0</v>
      </c>
      <c r="AG635" s="33" t="str">
        <f t="shared" si="500"/>
        <v>R</v>
      </c>
      <c r="AH635" s="65" t="s">
        <v>299</v>
      </c>
      <c r="AI635" s="66">
        <v>6.0</v>
      </c>
      <c r="AJ635" s="36" t="str">
        <f t="shared" si="501"/>
        <v>R</v>
      </c>
      <c r="AK635" s="66">
        <v>6.0</v>
      </c>
      <c r="AL635" s="36" t="str">
        <f t="shared" si="502"/>
        <v>R</v>
      </c>
      <c r="AM635" s="66">
        <v>6.0</v>
      </c>
      <c r="AN635" s="36" t="str">
        <f t="shared" si="503"/>
        <v>R</v>
      </c>
      <c r="AO635" s="66" t="s">
        <v>299</v>
      </c>
      <c r="AP635" s="67">
        <v>6.0</v>
      </c>
      <c r="AQ635" s="37" t="str">
        <f t="shared" si="504"/>
        <v>R</v>
      </c>
      <c r="AR635" s="65">
        <v>16.0</v>
      </c>
      <c r="AS635" s="33" t="str">
        <f t="shared" si="505"/>
        <v>R</v>
      </c>
      <c r="AT635" s="65">
        <v>16.0</v>
      </c>
      <c r="AU635" s="33" t="str">
        <f t="shared" si="506"/>
        <v>S</v>
      </c>
      <c r="AV635" s="65" t="s">
        <v>299</v>
      </c>
      <c r="AW635" s="28">
        <v>6.0</v>
      </c>
      <c r="AX635" s="26" t="str">
        <f t="shared" si="507"/>
        <v>R</v>
      </c>
      <c r="AY635" s="67">
        <v>16.0</v>
      </c>
      <c r="AZ635" s="37" t="str">
        <f t="shared" si="508"/>
        <v>R</v>
      </c>
      <c r="BA635" s="66">
        <v>23.0</v>
      </c>
      <c r="BB635" s="36" t="str">
        <f t="shared" si="509"/>
        <v>S</v>
      </c>
      <c r="BC635" s="39" t="s">
        <v>357</v>
      </c>
      <c r="BD635" s="39" t="s">
        <v>357</v>
      </c>
      <c r="BE635" s="66">
        <v>28.0</v>
      </c>
      <c r="BF635" s="36" t="str">
        <f t="shared" si="510"/>
        <v>S</v>
      </c>
      <c r="BG635" s="68">
        <v>21.0</v>
      </c>
      <c r="BH635" s="41" t="str">
        <f t="shared" si="511"/>
        <v>S</v>
      </c>
      <c r="BI635" s="41"/>
    </row>
    <row r="636">
      <c r="A636" s="51" t="s">
        <v>1056</v>
      </c>
      <c r="B636" s="53">
        <v>266.0</v>
      </c>
      <c r="C636" s="51" t="s">
        <v>1684</v>
      </c>
      <c r="D636" s="69" t="s">
        <v>190</v>
      </c>
      <c r="E636" s="18" t="s">
        <v>190</v>
      </c>
      <c r="F636" s="18" t="s">
        <v>192</v>
      </c>
      <c r="G636" s="63" t="s">
        <v>1685</v>
      </c>
      <c r="H636" s="72" t="s">
        <v>1686</v>
      </c>
      <c r="I636" s="28">
        <v>6.0</v>
      </c>
      <c r="J636" s="26" t="str">
        <f t="shared" si="489"/>
        <v>R</v>
      </c>
      <c r="K636" s="28">
        <v>18.0</v>
      </c>
      <c r="L636" s="26" t="str">
        <f t="shared" si="490"/>
        <v>R</v>
      </c>
      <c r="M636" s="28">
        <v>15.0</v>
      </c>
      <c r="N636" s="26" t="str">
        <f t="shared" si="491"/>
        <v>R</v>
      </c>
      <c r="O636" s="28">
        <v>20.0</v>
      </c>
      <c r="P636" s="26" t="str">
        <f t="shared" si="492"/>
        <v>I</v>
      </c>
      <c r="Q636" s="28">
        <v>25.0</v>
      </c>
      <c r="R636" s="26" t="str">
        <f t="shared" si="493"/>
        <v>S</v>
      </c>
      <c r="S636" s="28">
        <v>24.0</v>
      </c>
      <c r="T636" s="26" t="str">
        <f t="shared" si="494"/>
        <v>S</v>
      </c>
      <c r="U636" s="28">
        <v>15.0</v>
      </c>
      <c r="V636" s="26" t="str">
        <f t="shared" si="495"/>
        <v>R</v>
      </c>
      <c r="W636" s="32" t="s">
        <v>299</v>
      </c>
      <c r="X636" s="65">
        <v>6.0</v>
      </c>
      <c r="Y636" s="33" t="str">
        <f t="shared" si="496"/>
        <v>R</v>
      </c>
      <c r="Z636" s="65">
        <v>24.0</v>
      </c>
      <c r="AA636" s="33" t="str">
        <f t="shared" si="497"/>
        <v>S</v>
      </c>
      <c r="AB636" s="65">
        <v>6.0</v>
      </c>
      <c r="AC636" s="33" t="str">
        <f t="shared" si="498"/>
        <v>R</v>
      </c>
      <c r="AD636" s="65">
        <v>17.0</v>
      </c>
      <c r="AE636" s="33" t="str">
        <f t="shared" si="499"/>
        <v>S</v>
      </c>
      <c r="AF636" s="65">
        <v>12.0</v>
      </c>
      <c r="AG636" s="33" t="str">
        <f t="shared" si="500"/>
        <v>R</v>
      </c>
      <c r="AH636" s="65" t="s">
        <v>299</v>
      </c>
      <c r="AI636" s="66">
        <v>25.0</v>
      </c>
      <c r="AJ636" s="36" t="str">
        <f t="shared" si="501"/>
        <v>S</v>
      </c>
      <c r="AK636" s="66">
        <v>24.0</v>
      </c>
      <c r="AL636" s="36" t="str">
        <f t="shared" si="502"/>
        <v>S</v>
      </c>
      <c r="AM636" s="66">
        <v>18.0</v>
      </c>
      <c r="AN636" s="36" t="str">
        <f t="shared" si="503"/>
        <v>S</v>
      </c>
      <c r="AO636" s="36" t="s">
        <v>300</v>
      </c>
      <c r="AP636" s="67">
        <v>6.0</v>
      </c>
      <c r="AQ636" s="37" t="str">
        <f t="shared" si="504"/>
        <v>R</v>
      </c>
      <c r="AR636" s="65">
        <v>15.0</v>
      </c>
      <c r="AS636" s="33" t="str">
        <f t="shared" si="505"/>
        <v>R</v>
      </c>
      <c r="AT636" s="65">
        <v>23.0</v>
      </c>
      <c r="AU636" s="33" t="str">
        <f t="shared" si="506"/>
        <v>S</v>
      </c>
      <c r="AV636" s="65" t="s">
        <v>299</v>
      </c>
      <c r="AW636" s="28">
        <v>22.0</v>
      </c>
      <c r="AX636" s="26" t="str">
        <f t="shared" si="507"/>
        <v>S</v>
      </c>
      <c r="AY636" s="67">
        <v>6.0</v>
      </c>
      <c r="AZ636" s="37" t="str">
        <f t="shared" si="508"/>
        <v>R</v>
      </c>
      <c r="BA636" s="66">
        <v>24.0</v>
      </c>
      <c r="BB636" s="36" t="str">
        <f t="shared" si="509"/>
        <v>S</v>
      </c>
      <c r="BC636" s="39" t="s">
        <v>357</v>
      </c>
      <c r="BD636" s="39" t="s">
        <v>357</v>
      </c>
      <c r="BE636" s="66">
        <v>27.0</v>
      </c>
      <c r="BF636" s="36" t="str">
        <f t="shared" si="510"/>
        <v>S</v>
      </c>
      <c r="BG636" s="68">
        <v>17.0</v>
      </c>
      <c r="BH636" s="41" t="str">
        <f t="shared" si="511"/>
        <v>S</v>
      </c>
      <c r="BI636" s="41"/>
    </row>
    <row r="637">
      <c r="A637" s="51" t="s">
        <v>1056</v>
      </c>
      <c r="B637" s="51" t="s">
        <v>444</v>
      </c>
      <c r="C637" s="51" t="s">
        <v>2148</v>
      </c>
      <c r="D637" s="69" t="s">
        <v>190</v>
      </c>
      <c r="E637" s="18" t="s">
        <v>190</v>
      </c>
      <c r="F637" s="18" t="s">
        <v>192</v>
      </c>
      <c r="G637" s="63" t="s">
        <v>2149</v>
      </c>
      <c r="H637" s="72" t="s">
        <v>1686</v>
      </c>
      <c r="I637" s="28">
        <v>6.0</v>
      </c>
      <c r="J637" s="26" t="str">
        <f t="shared" si="489"/>
        <v>R</v>
      </c>
      <c r="K637" s="28">
        <v>16.0</v>
      </c>
      <c r="L637" s="26" t="str">
        <f t="shared" si="490"/>
        <v>R</v>
      </c>
      <c r="M637" s="28">
        <v>15.0</v>
      </c>
      <c r="N637" s="26" t="str">
        <f t="shared" si="491"/>
        <v>R</v>
      </c>
      <c r="O637" s="28">
        <v>20.0</v>
      </c>
      <c r="P637" s="26" t="str">
        <f t="shared" si="492"/>
        <v>I</v>
      </c>
      <c r="Q637" s="28">
        <v>25.0</v>
      </c>
      <c r="R637" s="26" t="str">
        <f t="shared" si="493"/>
        <v>S</v>
      </c>
      <c r="S637" s="28">
        <v>24.0</v>
      </c>
      <c r="T637" s="26" t="str">
        <f t="shared" si="494"/>
        <v>S</v>
      </c>
      <c r="U637" s="28">
        <v>15.0</v>
      </c>
      <c r="V637" s="26" t="str">
        <f t="shared" si="495"/>
        <v>R</v>
      </c>
      <c r="W637" s="32" t="s">
        <v>299</v>
      </c>
      <c r="X637" s="65">
        <v>6.0</v>
      </c>
      <c r="Y637" s="33" t="str">
        <f t="shared" si="496"/>
        <v>R</v>
      </c>
      <c r="Z637" s="65">
        <v>22.0</v>
      </c>
      <c r="AA637" s="33" t="str">
        <f t="shared" si="497"/>
        <v>S</v>
      </c>
      <c r="AB637" s="65">
        <v>6.0</v>
      </c>
      <c r="AC637" s="33" t="str">
        <f t="shared" si="498"/>
        <v>R</v>
      </c>
      <c r="AD637" s="65">
        <v>17.0</v>
      </c>
      <c r="AE637" s="33" t="str">
        <f t="shared" si="499"/>
        <v>S</v>
      </c>
      <c r="AF637" s="65">
        <v>13.0</v>
      </c>
      <c r="AG637" s="33" t="str">
        <f t="shared" si="500"/>
        <v>R</v>
      </c>
      <c r="AH637" s="65" t="s">
        <v>299</v>
      </c>
      <c r="AI637" s="66">
        <v>25.0</v>
      </c>
      <c r="AJ637" s="36" t="str">
        <f t="shared" si="501"/>
        <v>S</v>
      </c>
      <c r="AK637" s="66">
        <v>24.0</v>
      </c>
      <c r="AL637" s="36" t="str">
        <f t="shared" si="502"/>
        <v>S</v>
      </c>
      <c r="AM637" s="66">
        <v>19.0</v>
      </c>
      <c r="AN637" s="36" t="str">
        <f t="shared" si="503"/>
        <v>S</v>
      </c>
      <c r="AO637" s="36" t="s">
        <v>300</v>
      </c>
      <c r="AP637" s="67">
        <v>6.0</v>
      </c>
      <c r="AQ637" s="37" t="str">
        <f t="shared" si="504"/>
        <v>R</v>
      </c>
      <c r="AR637" s="65">
        <v>14.0</v>
      </c>
      <c r="AS637" s="33" t="str">
        <f t="shared" si="505"/>
        <v>R</v>
      </c>
      <c r="AT637" s="65">
        <v>23.0</v>
      </c>
      <c r="AU637" s="33" t="str">
        <f t="shared" si="506"/>
        <v>S</v>
      </c>
      <c r="AV637" s="65" t="s">
        <v>299</v>
      </c>
      <c r="AW637" s="28">
        <v>22.0</v>
      </c>
      <c r="AX637" s="26" t="str">
        <f t="shared" si="507"/>
        <v>S</v>
      </c>
      <c r="AY637" s="67">
        <v>6.0</v>
      </c>
      <c r="AZ637" s="37" t="str">
        <f t="shared" si="508"/>
        <v>R</v>
      </c>
      <c r="BA637" s="66">
        <v>23.0</v>
      </c>
      <c r="BB637" s="36" t="str">
        <f t="shared" si="509"/>
        <v>S</v>
      </c>
      <c r="BC637" s="39" t="s">
        <v>357</v>
      </c>
      <c r="BD637" s="39" t="s">
        <v>357</v>
      </c>
      <c r="BE637" s="66">
        <v>27.0</v>
      </c>
      <c r="BF637" s="36" t="str">
        <f t="shared" si="510"/>
        <v>S</v>
      </c>
      <c r="BG637" s="68">
        <v>17.0</v>
      </c>
      <c r="BH637" s="41" t="str">
        <f t="shared" si="511"/>
        <v>S</v>
      </c>
      <c r="BI637" s="41"/>
    </row>
    <row r="638">
      <c r="A638" s="51" t="s">
        <v>1056</v>
      </c>
      <c r="B638" s="51" t="s">
        <v>444</v>
      </c>
      <c r="C638" s="51" t="s">
        <v>2150</v>
      </c>
      <c r="D638" s="69" t="s">
        <v>190</v>
      </c>
      <c r="E638" s="18" t="s">
        <v>190</v>
      </c>
      <c r="F638" s="18" t="s">
        <v>192</v>
      </c>
      <c r="G638" s="63" t="s">
        <v>2151</v>
      </c>
      <c r="H638" s="72" t="s">
        <v>1686</v>
      </c>
      <c r="I638" s="28">
        <v>6.0</v>
      </c>
      <c r="J638" s="26" t="str">
        <f t="shared" si="489"/>
        <v>R</v>
      </c>
      <c r="K638" s="28">
        <v>18.0</v>
      </c>
      <c r="L638" s="26" t="str">
        <f t="shared" si="490"/>
        <v>R</v>
      </c>
      <c r="M638" s="28">
        <v>15.0</v>
      </c>
      <c r="N638" s="26" t="str">
        <f t="shared" si="491"/>
        <v>R</v>
      </c>
      <c r="O638" s="28">
        <v>20.0</v>
      </c>
      <c r="P638" s="26" t="str">
        <f t="shared" si="492"/>
        <v>I</v>
      </c>
      <c r="Q638" s="28">
        <v>25.0</v>
      </c>
      <c r="R638" s="26" t="str">
        <f t="shared" si="493"/>
        <v>S</v>
      </c>
      <c r="S638" s="28">
        <v>24.0</v>
      </c>
      <c r="T638" s="26" t="str">
        <f t="shared" si="494"/>
        <v>S</v>
      </c>
      <c r="U638" s="28">
        <v>15.0</v>
      </c>
      <c r="V638" s="26" t="str">
        <f t="shared" si="495"/>
        <v>R</v>
      </c>
      <c r="W638" s="32" t="s">
        <v>299</v>
      </c>
      <c r="X638" s="65">
        <v>6.0</v>
      </c>
      <c r="Y638" s="33" t="str">
        <f t="shared" si="496"/>
        <v>R</v>
      </c>
      <c r="Z638" s="65">
        <v>23.0</v>
      </c>
      <c r="AA638" s="33" t="str">
        <f t="shared" si="497"/>
        <v>S</v>
      </c>
      <c r="AB638" s="65">
        <v>6.0</v>
      </c>
      <c r="AC638" s="33" t="str">
        <f t="shared" si="498"/>
        <v>R</v>
      </c>
      <c r="AD638" s="65">
        <v>17.0</v>
      </c>
      <c r="AE638" s="33" t="str">
        <f t="shared" si="499"/>
        <v>S</v>
      </c>
      <c r="AF638" s="65">
        <v>12.0</v>
      </c>
      <c r="AG638" s="33" t="str">
        <f t="shared" si="500"/>
        <v>R</v>
      </c>
      <c r="AH638" s="65" t="s">
        <v>299</v>
      </c>
      <c r="AI638" s="66">
        <v>25.0</v>
      </c>
      <c r="AJ638" s="36" t="str">
        <f t="shared" si="501"/>
        <v>S</v>
      </c>
      <c r="AK638" s="66">
        <v>24.0</v>
      </c>
      <c r="AL638" s="36" t="str">
        <f t="shared" si="502"/>
        <v>S</v>
      </c>
      <c r="AM638" s="66">
        <v>19.0</v>
      </c>
      <c r="AN638" s="36" t="str">
        <f t="shared" si="503"/>
        <v>S</v>
      </c>
      <c r="AO638" s="36" t="s">
        <v>300</v>
      </c>
      <c r="AP638" s="67">
        <v>6.0</v>
      </c>
      <c r="AQ638" s="37" t="str">
        <f t="shared" si="504"/>
        <v>R</v>
      </c>
      <c r="AR638" s="65">
        <v>15.0</v>
      </c>
      <c r="AS638" s="33" t="str">
        <f t="shared" si="505"/>
        <v>R</v>
      </c>
      <c r="AT638" s="65">
        <v>23.0</v>
      </c>
      <c r="AU638" s="33" t="str">
        <f t="shared" si="506"/>
        <v>S</v>
      </c>
      <c r="AV638" s="65" t="s">
        <v>299</v>
      </c>
      <c r="AW638" s="28">
        <v>22.0</v>
      </c>
      <c r="AX638" s="26" t="str">
        <f t="shared" si="507"/>
        <v>S</v>
      </c>
      <c r="AY638" s="67">
        <v>6.0</v>
      </c>
      <c r="AZ638" s="37" t="str">
        <f t="shared" si="508"/>
        <v>R</v>
      </c>
      <c r="BA638" s="66">
        <v>22.0</v>
      </c>
      <c r="BB638" s="36" t="str">
        <f t="shared" si="509"/>
        <v>R</v>
      </c>
      <c r="BC638" s="39" t="s">
        <v>357</v>
      </c>
      <c r="BD638" s="39" t="s">
        <v>357</v>
      </c>
      <c r="BE638" s="66">
        <v>27.0</v>
      </c>
      <c r="BF638" s="36" t="str">
        <f t="shared" si="510"/>
        <v>S</v>
      </c>
      <c r="BG638" s="68">
        <v>17.0</v>
      </c>
      <c r="BH638" s="41" t="str">
        <f t="shared" si="511"/>
        <v>S</v>
      </c>
      <c r="BI638" s="41"/>
    </row>
    <row r="639">
      <c r="A639" s="51" t="s">
        <v>1056</v>
      </c>
      <c r="B639" s="53">
        <v>267.0</v>
      </c>
      <c r="C639" s="51" t="s">
        <v>1689</v>
      </c>
      <c r="D639" s="69" t="s">
        <v>571</v>
      </c>
      <c r="E639" s="18" t="s">
        <v>572</v>
      </c>
      <c r="F639" s="18" t="s">
        <v>192</v>
      </c>
      <c r="G639" s="63" t="s">
        <v>1690</v>
      </c>
      <c r="H639" s="52" t="s">
        <v>581</v>
      </c>
      <c r="I639" s="28">
        <v>6.0</v>
      </c>
      <c r="J639" s="26" t="str">
        <f t="shared" si="489"/>
        <v>R</v>
      </c>
      <c r="K639" s="28">
        <v>25.0</v>
      </c>
      <c r="L639" s="26" t="str">
        <f t="shared" si="490"/>
        <v>S</v>
      </c>
      <c r="M639" s="28">
        <v>23.0</v>
      </c>
      <c r="N639" s="26" t="str">
        <f t="shared" si="491"/>
        <v>S</v>
      </c>
      <c r="O639" s="28">
        <v>25.0</v>
      </c>
      <c r="P639" s="26" t="str">
        <f t="shared" si="492"/>
        <v>S</v>
      </c>
      <c r="Q639" s="28">
        <v>21.0</v>
      </c>
      <c r="R639" s="26" t="str">
        <f t="shared" si="493"/>
        <v>S</v>
      </c>
      <c r="S639" s="28">
        <v>20.0</v>
      </c>
      <c r="T639" s="26" t="str">
        <f t="shared" si="494"/>
        <v>S</v>
      </c>
      <c r="U639" s="28">
        <v>18.0</v>
      </c>
      <c r="V639" s="26" t="str">
        <f t="shared" si="495"/>
        <v>I</v>
      </c>
      <c r="W639" s="32" t="s">
        <v>299</v>
      </c>
      <c r="X639" s="65">
        <v>6.0</v>
      </c>
      <c r="Y639" s="33" t="str">
        <f t="shared" si="496"/>
        <v>R</v>
      </c>
      <c r="Z639" s="65">
        <v>24.0</v>
      </c>
      <c r="AA639" s="33" t="str">
        <f t="shared" si="497"/>
        <v>S</v>
      </c>
      <c r="AB639" s="65">
        <v>6.0</v>
      </c>
      <c r="AC639" s="33" t="str">
        <f t="shared" si="498"/>
        <v>R</v>
      </c>
      <c r="AD639" s="65">
        <v>14.0</v>
      </c>
      <c r="AE639" s="33" t="str">
        <f t="shared" si="499"/>
        <v>S</v>
      </c>
      <c r="AF639" s="65">
        <v>6.0</v>
      </c>
      <c r="AG639" s="33" t="str">
        <f t="shared" si="500"/>
        <v>R</v>
      </c>
      <c r="AH639" s="65" t="s">
        <v>299</v>
      </c>
      <c r="AI639" s="66">
        <v>25.0</v>
      </c>
      <c r="AJ639" s="36" t="str">
        <f t="shared" si="501"/>
        <v>S</v>
      </c>
      <c r="AK639" s="66">
        <v>20.0</v>
      </c>
      <c r="AL639" s="36" t="str">
        <f t="shared" si="502"/>
        <v>I</v>
      </c>
      <c r="AM639" s="66">
        <v>6.0</v>
      </c>
      <c r="AN639" s="36" t="str">
        <f t="shared" si="503"/>
        <v>R</v>
      </c>
      <c r="AO639" s="66" t="s">
        <v>299</v>
      </c>
      <c r="AP639" s="67">
        <v>20.0</v>
      </c>
      <c r="AQ639" s="37" t="str">
        <f t="shared" si="504"/>
        <v>S</v>
      </c>
      <c r="AR639" s="65">
        <v>17.0</v>
      </c>
      <c r="AS639" s="33" t="str">
        <f t="shared" si="505"/>
        <v>R</v>
      </c>
      <c r="AT639" s="65">
        <v>6.0</v>
      </c>
      <c r="AU639" s="33" t="str">
        <f t="shared" si="506"/>
        <v>R</v>
      </c>
      <c r="AV639" s="65" t="s">
        <v>299</v>
      </c>
      <c r="AW639" s="28">
        <v>6.0</v>
      </c>
      <c r="AX639" s="26" t="str">
        <f t="shared" si="507"/>
        <v>R</v>
      </c>
      <c r="AY639" s="67">
        <v>6.0</v>
      </c>
      <c r="AZ639" s="37" t="str">
        <f t="shared" si="508"/>
        <v>R</v>
      </c>
      <c r="BA639" s="66">
        <v>25.0</v>
      </c>
      <c r="BB639" s="36" t="str">
        <f t="shared" si="509"/>
        <v>S</v>
      </c>
      <c r="BC639" s="39" t="s">
        <v>357</v>
      </c>
      <c r="BD639" s="39" t="s">
        <v>357</v>
      </c>
      <c r="BE639" s="66">
        <v>23.0</v>
      </c>
      <c r="BF639" s="36" t="str">
        <f t="shared" si="510"/>
        <v>S</v>
      </c>
      <c r="BG639" s="68">
        <v>15.0</v>
      </c>
      <c r="BH639" s="41" t="str">
        <f t="shared" si="511"/>
        <v>R</v>
      </c>
      <c r="BI639" s="41"/>
    </row>
    <row r="640">
      <c r="A640" s="51" t="s">
        <v>1056</v>
      </c>
      <c r="B640" s="51" t="s">
        <v>444</v>
      </c>
      <c r="C640" s="51" t="s">
        <v>2152</v>
      </c>
      <c r="D640" s="69" t="s">
        <v>571</v>
      </c>
      <c r="E640" s="18" t="s">
        <v>572</v>
      </c>
      <c r="F640" s="18" t="s">
        <v>192</v>
      </c>
      <c r="G640" s="63" t="s">
        <v>2153</v>
      </c>
      <c r="H640" s="52" t="s">
        <v>581</v>
      </c>
      <c r="I640" s="28">
        <v>6.0</v>
      </c>
      <c r="J640" s="26" t="str">
        <f t="shared" si="489"/>
        <v>R</v>
      </c>
      <c r="K640" s="28">
        <v>27.0</v>
      </c>
      <c r="L640" s="26" t="str">
        <f t="shared" si="490"/>
        <v>S</v>
      </c>
      <c r="M640" s="28">
        <v>23.0</v>
      </c>
      <c r="N640" s="26" t="str">
        <f t="shared" si="491"/>
        <v>S</v>
      </c>
      <c r="O640" s="28">
        <v>25.0</v>
      </c>
      <c r="P640" s="26" t="str">
        <f t="shared" si="492"/>
        <v>S</v>
      </c>
      <c r="Q640" s="28">
        <v>21.0</v>
      </c>
      <c r="R640" s="26" t="str">
        <f t="shared" si="493"/>
        <v>S</v>
      </c>
      <c r="S640" s="28">
        <v>20.0</v>
      </c>
      <c r="T640" s="26" t="str">
        <f t="shared" si="494"/>
        <v>S</v>
      </c>
      <c r="U640" s="28">
        <v>18.0</v>
      </c>
      <c r="V640" s="26" t="str">
        <f t="shared" si="495"/>
        <v>I</v>
      </c>
      <c r="W640" s="32" t="s">
        <v>299</v>
      </c>
      <c r="X640" s="65">
        <v>6.0</v>
      </c>
      <c r="Y640" s="33" t="str">
        <f t="shared" si="496"/>
        <v>R</v>
      </c>
      <c r="Z640" s="65">
        <v>25.0</v>
      </c>
      <c r="AA640" s="33" t="str">
        <f t="shared" si="497"/>
        <v>S</v>
      </c>
      <c r="AB640" s="65">
        <v>6.0</v>
      </c>
      <c r="AC640" s="33" t="str">
        <f t="shared" si="498"/>
        <v>R</v>
      </c>
      <c r="AD640" s="65">
        <v>14.0</v>
      </c>
      <c r="AE640" s="33" t="str">
        <f t="shared" si="499"/>
        <v>S</v>
      </c>
      <c r="AF640" s="65">
        <v>6.0</v>
      </c>
      <c r="AG640" s="33" t="str">
        <f t="shared" si="500"/>
        <v>R</v>
      </c>
      <c r="AH640" s="65" t="s">
        <v>299</v>
      </c>
      <c r="AI640" s="66">
        <v>25.0</v>
      </c>
      <c r="AJ640" s="36" t="str">
        <f t="shared" si="501"/>
        <v>S</v>
      </c>
      <c r="AK640" s="66">
        <v>20.0</v>
      </c>
      <c r="AL640" s="36" t="str">
        <f t="shared" si="502"/>
        <v>I</v>
      </c>
      <c r="AM640" s="66">
        <v>8.0</v>
      </c>
      <c r="AN640" s="36" t="str">
        <f t="shared" si="503"/>
        <v>R</v>
      </c>
      <c r="AO640" s="66" t="s">
        <v>299</v>
      </c>
      <c r="AP640" s="67">
        <v>20.0</v>
      </c>
      <c r="AQ640" s="37" t="str">
        <f t="shared" si="504"/>
        <v>S</v>
      </c>
      <c r="AR640" s="65">
        <v>15.0</v>
      </c>
      <c r="AS640" s="33" t="str">
        <f t="shared" si="505"/>
        <v>R</v>
      </c>
      <c r="AT640" s="65">
        <v>6.0</v>
      </c>
      <c r="AU640" s="33" t="str">
        <f t="shared" si="506"/>
        <v>R</v>
      </c>
      <c r="AV640" s="65" t="s">
        <v>299</v>
      </c>
      <c r="AW640" s="28">
        <v>6.0</v>
      </c>
      <c r="AX640" s="26" t="str">
        <f t="shared" si="507"/>
        <v>R</v>
      </c>
      <c r="AY640" s="67">
        <v>6.0</v>
      </c>
      <c r="AZ640" s="37" t="str">
        <f t="shared" si="508"/>
        <v>R</v>
      </c>
      <c r="BA640" s="66">
        <v>23.0</v>
      </c>
      <c r="BB640" s="36" t="str">
        <f t="shared" si="509"/>
        <v>S</v>
      </c>
      <c r="BC640" s="39" t="s">
        <v>357</v>
      </c>
      <c r="BD640" s="39" t="s">
        <v>357</v>
      </c>
      <c r="BE640" s="66">
        <v>23.0</v>
      </c>
      <c r="BF640" s="36" t="str">
        <f t="shared" si="510"/>
        <v>S</v>
      </c>
      <c r="BG640" s="68">
        <v>15.0</v>
      </c>
      <c r="BH640" s="41" t="str">
        <f t="shared" si="511"/>
        <v>R</v>
      </c>
      <c r="BI640" s="41"/>
    </row>
    <row r="641">
      <c r="A641" s="51" t="s">
        <v>1056</v>
      </c>
      <c r="B641" s="51" t="s">
        <v>444</v>
      </c>
      <c r="C641" s="51" t="s">
        <v>2154</v>
      </c>
      <c r="D641" s="69" t="s">
        <v>571</v>
      </c>
      <c r="E641" s="18" t="s">
        <v>572</v>
      </c>
      <c r="F641" s="18" t="s">
        <v>192</v>
      </c>
      <c r="G641" s="63" t="s">
        <v>2155</v>
      </c>
      <c r="H641" s="52" t="s">
        <v>581</v>
      </c>
      <c r="I641" s="28">
        <v>6.0</v>
      </c>
      <c r="J641" s="26" t="str">
        <f t="shared" si="489"/>
        <v>R</v>
      </c>
      <c r="K641" s="28">
        <v>23.0</v>
      </c>
      <c r="L641" s="26" t="str">
        <f t="shared" si="490"/>
        <v>S</v>
      </c>
      <c r="M641" s="28">
        <v>23.0</v>
      </c>
      <c r="N641" s="26" t="str">
        <f t="shared" si="491"/>
        <v>S</v>
      </c>
      <c r="O641" s="28">
        <v>25.0</v>
      </c>
      <c r="P641" s="26" t="str">
        <f t="shared" si="492"/>
        <v>S</v>
      </c>
      <c r="Q641" s="28">
        <v>21.0</v>
      </c>
      <c r="R641" s="26" t="str">
        <f t="shared" si="493"/>
        <v>S</v>
      </c>
      <c r="S641" s="28">
        <v>20.0</v>
      </c>
      <c r="T641" s="26" t="str">
        <f t="shared" si="494"/>
        <v>S</v>
      </c>
      <c r="U641" s="28">
        <v>18.0</v>
      </c>
      <c r="V641" s="26" t="str">
        <f t="shared" si="495"/>
        <v>I</v>
      </c>
      <c r="W641" s="32" t="s">
        <v>299</v>
      </c>
      <c r="X641" s="65">
        <v>6.0</v>
      </c>
      <c r="Y641" s="33" t="str">
        <f t="shared" si="496"/>
        <v>R</v>
      </c>
      <c r="Z641" s="65">
        <v>24.0</v>
      </c>
      <c r="AA641" s="33" t="str">
        <f t="shared" si="497"/>
        <v>S</v>
      </c>
      <c r="AB641" s="65">
        <v>6.0</v>
      </c>
      <c r="AC641" s="33" t="str">
        <f t="shared" si="498"/>
        <v>R</v>
      </c>
      <c r="AD641" s="65">
        <v>14.0</v>
      </c>
      <c r="AE641" s="33" t="str">
        <f t="shared" si="499"/>
        <v>S</v>
      </c>
      <c r="AF641" s="65">
        <v>6.0</v>
      </c>
      <c r="AG641" s="33" t="str">
        <f t="shared" si="500"/>
        <v>R</v>
      </c>
      <c r="AH641" s="65" t="s">
        <v>299</v>
      </c>
      <c r="AI641" s="66">
        <v>25.0</v>
      </c>
      <c r="AJ641" s="36" t="str">
        <f t="shared" si="501"/>
        <v>S</v>
      </c>
      <c r="AK641" s="66">
        <v>20.0</v>
      </c>
      <c r="AL641" s="36" t="str">
        <f t="shared" si="502"/>
        <v>I</v>
      </c>
      <c r="AM641" s="66">
        <v>7.0</v>
      </c>
      <c r="AN641" s="36" t="str">
        <f t="shared" si="503"/>
        <v>R</v>
      </c>
      <c r="AO641" s="66" t="s">
        <v>299</v>
      </c>
      <c r="AP641" s="67">
        <v>20.0</v>
      </c>
      <c r="AQ641" s="37" t="str">
        <f t="shared" si="504"/>
        <v>S</v>
      </c>
      <c r="AR641" s="65">
        <v>17.0</v>
      </c>
      <c r="AS641" s="33" t="str">
        <f t="shared" si="505"/>
        <v>R</v>
      </c>
      <c r="AT641" s="65">
        <v>6.0</v>
      </c>
      <c r="AU641" s="33" t="str">
        <f t="shared" si="506"/>
        <v>R</v>
      </c>
      <c r="AV641" s="65" t="s">
        <v>299</v>
      </c>
      <c r="AW641" s="28">
        <v>6.0</v>
      </c>
      <c r="AX641" s="26" t="str">
        <f t="shared" si="507"/>
        <v>R</v>
      </c>
      <c r="AY641" s="67">
        <v>6.0</v>
      </c>
      <c r="AZ641" s="37" t="str">
        <f t="shared" si="508"/>
        <v>R</v>
      </c>
      <c r="BA641" s="66">
        <v>25.0</v>
      </c>
      <c r="BB641" s="36" t="str">
        <f t="shared" si="509"/>
        <v>S</v>
      </c>
      <c r="BC641" s="39" t="s">
        <v>357</v>
      </c>
      <c r="BD641" s="39" t="s">
        <v>357</v>
      </c>
      <c r="BE641" s="66">
        <v>23.0</v>
      </c>
      <c r="BF641" s="36" t="str">
        <f t="shared" si="510"/>
        <v>S</v>
      </c>
      <c r="BG641" s="68">
        <v>15.0</v>
      </c>
      <c r="BH641" s="41" t="str">
        <f t="shared" si="511"/>
        <v>R</v>
      </c>
      <c r="BI641" s="41"/>
    </row>
    <row r="642">
      <c r="A642" s="51" t="s">
        <v>1056</v>
      </c>
      <c r="B642" s="53">
        <v>268.0</v>
      </c>
      <c r="C642" s="51" t="s">
        <v>1693</v>
      </c>
      <c r="D642" s="69" t="s">
        <v>1009</v>
      </c>
      <c r="E642" s="18" t="s">
        <v>103</v>
      </c>
      <c r="F642" s="18" t="s">
        <v>192</v>
      </c>
      <c r="G642" s="63" t="s">
        <v>1694</v>
      </c>
      <c r="H642" s="42" t="s">
        <v>479</v>
      </c>
      <c r="I642" s="28">
        <v>6.0</v>
      </c>
      <c r="J642" s="26" t="str">
        <f t="shared" si="489"/>
        <v>R</v>
      </c>
      <c r="K642" s="28">
        <v>12.0</v>
      </c>
      <c r="L642" s="26" t="str">
        <f t="shared" si="490"/>
        <v>R</v>
      </c>
      <c r="M642" s="28">
        <v>12.0</v>
      </c>
      <c r="N642" s="26" t="str">
        <f t="shared" si="491"/>
        <v>R</v>
      </c>
      <c r="O642" s="28">
        <v>22.0</v>
      </c>
      <c r="P642" s="26" t="str">
        <f t="shared" si="492"/>
        <v>I</v>
      </c>
      <c r="Q642" s="28">
        <v>15.0</v>
      </c>
      <c r="R642" s="26" t="str">
        <f t="shared" si="493"/>
        <v>R</v>
      </c>
      <c r="S642" s="28">
        <v>14.0</v>
      </c>
      <c r="T642" s="26" t="str">
        <f t="shared" si="494"/>
        <v>R</v>
      </c>
      <c r="U642" s="28">
        <v>19.0</v>
      </c>
      <c r="V642" s="26" t="str">
        <f t="shared" si="495"/>
        <v>I</v>
      </c>
      <c r="W642" s="32" t="s">
        <v>299</v>
      </c>
      <c r="X642" s="65">
        <v>6.0</v>
      </c>
      <c r="Y642" s="33" t="str">
        <f t="shared" si="496"/>
        <v>R</v>
      </c>
      <c r="Z642" s="65">
        <v>22.0</v>
      </c>
      <c r="AA642" s="33" t="str">
        <f t="shared" si="497"/>
        <v>S</v>
      </c>
      <c r="AB642" s="65">
        <v>6.0</v>
      </c>
      <c r="AC642" s="33" t="str">
        <f t="shared" si="498"/>
        <v>R</v>
      </c>
      <c r="AD642" s="65">
        <v>24.0</v>
      </c>
      <c r="AE642" s="33" t="str">
        <f t="shared" si="499"/>
        <v>S</v>
      </c>
      <c r="AF642" s="65">
        <v>6.0</v>
      </c>
      <c r="AG642" s="33" t="str">
        <f t="shared" si="500"/>
        <v>R</v>
      </c>
      <c r="AH642" s="65" t="s">
        <v>299</v>
      </c>
      <c r="AI642" s="66">
        <v>23.0</v>
      </c>
      <c r="AJ642" s="36" t="str">
        <f t="shared" si="501"/>
        <v>I</v>
      </c>
      <c r="AK642" s="66">
        <v>22.0</v>
      </c>
      <c r="AL642" s="36" t="str">
        <f t="shared" si="502"/>
        <v>I</v>
      </c>
      <c r="AM642" s="66">
        <v>15.0</v>
      </c>
      <c r="AN642" s="36" t="str">
        <f t="shared" si="503"/>
        <v>S</v>
      </c>
      <c r="AO642" s="66" t="s">
        <v>299</v>
      </c>
      <c r="AP642" s="67">
        <v>28.0</v>
      </c>
      <c r="AQ642" s="37" t="str">
        <f t="shared" si="504"/>
        <v>S</v>
      </c>
      <c r="AR642" s="65">
        <v>19.0</v>
      </c>
      <c r="AS642" s="33" t="str">
        <f t="shared" si="505"/>
        <v>S</v>
      </c>
      <c r="AT642" s="65">
        <v>25.0</v>
      </c>
      <c r="AU642" s="33" t="str">
        <f t="shared" si="506"/>
        <v>S</v>
      </c>
      <c r="AV642" s="33" t="s">
        <v>300</v>
      </c>
      <c r="AW642" s="28">
        <v>23.0</v>
      </c>
      <c r="AX642" s="26" t="str">
        <f t="shared" si="507"/>
        <v>S</v>
      </c>
      <c r="AY642" s="67">
        <v>6.0</v>
      </c>
      <c r="AZ642" s="37" t="str">
        <f t="shared" si="508"/>
        <v>R</v>
      </c>
      <c r="BA642" s="66">
        <v>26.0</v>
      </c>
      <c r="BB642" s="36" t="str">
        <f t="shared" si="509"/>
        <v>S</v>
      </c>
      <c r="BC642" s="39" t="s">
        <v>357</v>
      </c>
      <c r="BD642" s="39" t="s">
        <v>357</v>
      </c>
      <c r="BE642" s="66">
        <v>22.0</v>
      </c>
      <c r="BF642" s="36" t="str">
        <f t="shared" si="510"/>
        <v>S</v>
      </c>
      <c r="BG642" s="68">
        <v>22.0</v>
      </c>
      <c r="BH642" s="41" t="str">
        <f t="shared" si="511"/>
        <v>S</v>
      </c>
      <c r="BI642" s="41"/>
    </row>
    <row r="643">
      <c r="A643" s="51" t="s">
        <v>1056</v>
      </c>
      <c r="B643" s="51" t="s">
        <v>444</v>
      </c>
      <c r="C643" s="51" t="s">
        <v>2156</v>
      </c>
      <c r="D643" s="69" t="s">
        <v>1009</v>
      </c>
      <c r="E643" s="18" t="s">
        <v>103</v>
      </c>
      <c r="F643" s="18" t="s">
        <v>192</v>
      </c>
      <c r="G643" s="63" t="s">
        <v>2157</v>
      </c>
      <c r="H643" s="42" t="s">
        <v>479</v>
      </c>
      <c r="I643" s="28">
        <v>6.0</v>
      </c>
      <c r="J643" s="26" t="str">
        <f t="shared" si="489"/>
        <v>R</v>
      </c>
      <c r="K643" s="28">
        <v>10.0</v>
      </c>
      <c r="L643" s="26" t="str">
        <f t="shared" si="490"/>
        <v>R</v>
      </c>
      <c r="M643" s="28">
        <v>12.0</v>
      </c>
      <c r="N643" s="26" t="str">
        <f t="shared" si="491"/>
        <v>R</v>
      </c>
      <c r="O643" s="28">
        <v>22.0</v>
      </c>
      <c r="P643" s="26" t="str">
        <f t="shared" si="492"/>
        <v>I</v>
      </c>
      <c r="Q643" s="28">
        <v>15.0</v>
      </c>
      <c r="R643" s="26" t="str">
        <f t="shared" si="493"/>
        <v>R</v>
      </c>
      <c r="S643" s="28">
        <v>14.0</v>
      </c>
      <c r="T643" s="26" t="str">
        <f t="shared" si="494"/>
        <v>R</v>
      </c>
      <c r="U643" s="28">
        <v>19.0</v>
      </c>
      <c r="V643" s="26" t="str">
        <f t="shared" si="495"/>
        <v>I</v>
      </c>
      <c r="W643" s="32" t="s">
        <v>299</v>
      </c>
      <c r="X643" s="65">
        <v>6.0</v>
      </c>
      <c r="Y643" s="33" t="str">
        <f t="shared" si="496"/>
        <v>R</v>
      </c>
      <c r="Z643" s="65">
        <v>23.0</v>
      </c>
      <c r="AA643" s="33" t="str">
        <f t="shared" si="497"/>
        <v>S</v>
      </c>
      <c r="AB643" s="65">
        <v>6.0</v>
      </c>
      <c r="AC643" s="33" t="str">
        <f t="shared" si="498"/>
        <v>R</v>
      </c>
      <c r="AD643" s="65">
        <v>24.0</v>
      </c>
      <c r="AE643" s="33" t="str">
        <f t="shared" si="499"/>
        <v>S</v>
      </c>
      <c r="AF643" s="65">
        <v>6.0</v>
      </c>
      <c r="AG643" s="33" t="str">
        <f t="shared" si="500"/>
        <v>R</v>
      </c>
      <c r="AH643" s="65" t="s">
        <v>299</v>
      </c>
      <c r="AI643" s="66">
        <v>23.0</v>
      </c>
      <c r="AJ643" s="36" t="str">
        <f t="shared" si="501"/>
        <v>I</v>
      </c>
      <c r="AK643" s="66">
        <v>22.0</v>
      </c>
      <c r="AL643" s="36" t="str">
        <f t="shared" si="502"/>
        <v>I</v>
      </c>
      <c r="AM643" s="66">
        <v>16.0</v>
      </c>
      <c r="AN643" s="36" t="str">
        <f t="shared" si="503"/>
        <v>S</v>
      </c>
      <c r="AO643" s="66" t="s">
        <v>299</v>
      </c>
      <c r="AP643" s="67">
        <v>28.0</v>
      </c>
      <c r="AQ643" s="37" t="str">
        <f t="shared" si="504"/>
        <v>S</v>
      </c>
      <c r="AR643" s="65">
        <v>21.0</v>
      </c>
      <c r="AS643" s="33" t="str">
        <f t="shared" si="505"/>
        <v>S</v>
      </c>
      <c r="AT643" s="65">
        <v>25.0</v>
      </c>
      <c r="AU643" s="33" t="str">
        <f t="shared" si="506"/>
        <v>S</v>
      </c>
      <c r="AV643" s="33" t="s">
        <v>300</v>
      </c>
      <c r="AW643" s="28">
        <v>23.0</v>
      </c>
      <c r="AX643" s="26" t="str">
        <f t="shared" si="507"/>
        <v>S</v>
      </c>
      <c r="AY643" s="67">
        <v>6.0</v>
      </c>
      <c r="AZ643" s="37" t="str">
        <f t="shared" si="508"/>
        <v>R</v>
      </c>
      <c r="BA643" s="66">
        <v>28.0</v>
      </c>
      <c r="BB643" s="36" t="str">
        <f t="shared" si="509"/>
        <v>S</v>
      </c>
      <c r="BC643" s="39" t="s">
        <v>357</v>
      </c>
      <c r="BD643" s="39" t="s">
        <v>357</v>
      </c>
      <c r="BE643" s="66">
        <v>22.0</v>
      </c>
      <c r="BF643" s="36" t="str">
        <f t="shared" si="510"/>
        <v>S</v>
      </c>
      <c r="BG643" s="68">
        <v>22.0</v>
      </c>
      <c r="BH643" s="41" t="str">
        <f t="shared" si="511"/>
        <v>S</v>
      </c>
      <c r="BI643" s="41"/>
    </row>
    <row r="644">
      <c r="A644" s="51" t="s">
        <v>1056</v>
      </c>
      <c r="B644" s="51" t="s">
        <v>444</v>
      </c>
      <c r="C644" s="51" t="s">
        <v>2158</v>
      </c>
      <c r="D644" s="69" t="s">
        <v>1009</v>
      </c>
      <c r="E644" s="18" t="s">
        <v>103</v>
      </c>
      <c r="F644" s="18" t="s">
        <v>192</v>
      </c>
      <c r="G644" s="63" t="s">
        <v>2159</v>
      </c>
      <c r="H644" s="42" t="s">
        <v>479</v>
      </c>
      <c r="I644" s="28">
        <v>6.0</v>
      </c>
      <c r="J644" s="26" t="str">
        <f t="shared" si="489"/>
        <v>R</v>
      </c>
      <c r="K644" s="28">
        <v>15.0</v>
      </c>
      <c r="L644" s="26" t="str">
        <f t="shared" si="490"/>
        <v>R</v>
      </c>
      <c r="M644" s="28">
        <v>12.0</v>
      </c>
      <c r="N644" s="26" t="str">
        <f t="shared" si="491"/>
        <v>R</v>
      </c>
      <c r="O644" s="28">
        <v>22.0</v>
      </c>
      <c r="P644" s="26" t="str">
        <f t="shared" si="492"/>
        <v>I</v>
      </c>
      <c r="Q644" s="28">
        <v>15.0</v>
      </c>
      <c r="R644" s="26" t="str">
        <f t="shared" si="493"/>
        <v>R</v>
      </c>
      <c r="S644" s="28">
        <v>14.0</v>
      </c>
      <c r="T644" s="26" t="str">
        <f t="shared" si="494"/>
        <v>R</v>
      </c>
      <c r="U644" s="28">
        <v>19.0</v>
      </c>
      <c r="V644" s="26" t="str">
        <f t="shared" si="495"/>
        <v>I</v>
      </c>
      <c r="W644" s="32" t="s">
        <v>299</v>
      </c>
      <c r="X644" s="65">
        <v>6.0</v>
      </c>
      <c r="Y644" s="33" t="str">
        <f t="shared" si="496"/>
        <v>R</v>
      </c>
      <c r="Z644" s="65">
        <v>22.0</v>
      </c>
      <c r="AA644" s="33" t="str">
        <f t="shared" si="497"/>
        <v>S</v>
      </c>
      <c r="AB644" s="65">
        <v>6.0</v>
      </c>
      <c r="AC644" s="33" t="str">
        <f t="shared" si="498"/>
        <v>R</v>
      </c>
      <c r="AD644" s="65">
        <v>24.0</v>
      </c>
      <c r="AE644" s="33" t="str">
        <f t="shared" si="499"/>
        <v>S</v>
      </c>
      <c r="AF644" s="65">
        <v>6.0</v>
      </c>
      <c r="AG644" s="33" t="str">
        <f t="shared" si="500"/>
        <v>R</v>
      </c>
      <c r="AH644" s="65" t="s">
        <v>299</v>
      </c>
      <c r="AI644" s="66">
        <v>23.0</v>
      </c>
      <c r="AJ644" s="36" t="str">
        <f t="shared" si="501"/>
        <v>I</v>
      </c>
      <c r="AK644" s="66">
        <v>22.0</v>
      </c>
      <c r="AL644" s="36" t="str">
        <f t="shared" si="502"/>
        <v>I</v>
      </c>
      <c r="AM644" s="66">
        <v>17.0</v>
      </c>
      <c r="AN644" s="36" t="str">
        <f t="shared" si="503"/>
        <v>S</v>
      </c>
      <c r="AO644" s="66" t="s">
        <v>299</v>
      </c>
      <c r="AP644" s="67">
        <v>28.0</v>
      </c>
      <c r="AQ644" s="37" t="str">
        <f t="shared" si="504"/>
        <v>S</v>
      </c>
      <c r="AR644" s="65">
        <v>19.0</v>
      </c>
      <c r="AS644" s="33" t="str">
        <f t="shared" si="505"/>
        <v>S</v>
      </c>
      <c r="AT644" s="65">
        <v>25.0</v>
      </c>
      <c r="AU644" s="33" t="str">
        <f t="shared" si="506"/>
        <v>S</v>
      </c>
      <c r="AV644" s="33" t="s">
        <v>300</v>
      </c>
      <c r="AW644" s="28">
        <v>23.0</v>
      </c>
      <c r="AX644" s="26" t="str">
        <f t="shared" si="507"/>
        <v>S</v>
      </c>
      <c r="AY644" s="67">
        <v>6.0</v>
      </c>
      <c r="AZ644" s="37" t="str">
        <f t="shared" si="508"/>
        <v>R</v>
      </c>
      <c r="BA644" s="66">
        <v>26.0</v>
      </c>
      <c r="BB644" s="36" t="str">
        <f t="shared" si="509"/>
        <v>S</v>
      </c>
      <c r="BC644" s="39" t="s">
        <v>357</v>
      </c>
      <c r="BD644" s="39" t="s">
        <v>357</v>
      </c>
      <c r="BE644" s="66">
        <v>22.0</v>
      </c>
      <c r="BF644" s="36" t="str">
        <f t="shared" si="510"/>
        <v>S</v>
      </c>
      <c r="BG644" s="68">
        <v>22.0</v>
      </c>
      <c r="BH644" s="41" t="str">
        <f t="shared" si="511"/>
        <v>S</v>
      </c>
      <c r="BI644" s="41"/>
    </row>
    <row r="645">
      <c r="A645" s="21" t="s">
        <v>1065</v>
      </c>
      <c r="B645" s="23">
        <v>269.0</v>
      </c>
      <c r="C645" s="21" t="s">
        <v>1695</v>
      </c>
      <c r="D645" s="69" t="s">
        <v>190</v>
      </c>
      <c r="E645" s="18" t="s">
        <v>190</v>
      </c>
      <c r="F645" s="18" t="s">
        <v>192</v>
      </c>
      <c r="G645" s="63" t="s">
        <v>1696</v>
      </c>
      <c r="H645" s="22" t="s">
        <v>198</v>
      </c>
      <c r="I645" s="28">
        <v>6.0</v>
      </c>
      <c r="J645" s="26" t="str">
        <f t="shared" si="489"/>
        <v>R</v>
      </c>
      <c r="K645" s="28">
        <v>15.0</v>
      </c>
      <c r="L645" s="26" t="str">
        <f t="shared" si="490"/>
        <v>R</v>
      </c>
      <c r="M645" s="28">
        <v>6.0</v>
      </c>
      <c r="N645" s="26" t="str">
        <f t="shared" si="491"/>
        <v>R</v>
      </c>
      <c r="O645" s="28">
        <v>22.0</v>
      </c>
      <c r="P645" s="26" t="str">
        <f t="shared" si="492"/>
        <v>I</v>
      </c>
      <c r="Q645" s="28">
        <v>6.0</v>
      </c>
      <c r="R645" s="26" t="str">
        <f t="shared" si="493"/>
        <v>R</v>
      </c>
      <c r="S645" s="28">
        <v>15.0</v>
      </c>
      <c r="T645" s="26" t="str">
        <f t="shared" si="494"/>
        <v>R</v>
      </c>
      <c r="U645" s="28">
        <v>6.0</v>
      </c>
      <c r="V645" s="26" t="str">
        <f t="shared" si="495"/>
        <v>R</v>
      </c>
      <c r="W645" s="32" t="s">
        <v>299</v>
      </c>
      <c r="X645" s="65">
        <v>12.0</v>
      </c>
      <c r="Y645" s="33" t="str">
        <f t="shared" si="496"/>
        <v>R</v>
      </c>
      <c r="Z645" s="65">
        <v>18.0</v>
      </c>
      <c r="AA645" s="33" t="str">
        <f t="shared" si="497"/>
        <v>S</v>
      </c>
      <c r="AB645" s="65">
        <v>6.0</v>
      </c>
      <c r="AC645" s="33" t="str">
        <f t="shared" si="498"/>
        <v>R</v>
      </c>
      <c r="AD645" s="65">
        <v>21.0</v>
      </c>
      <c r="AE645" s="33" t="str">
        <f t="shared" si="499"/>
        <v>S</v>
      </c>
      <c r="AF645" s="65">
        <v>16.0</v>
      </c>
      <c r="AG645" s="33" t="str">
        <f t="shared" si="500"/>
        <v>R</v>
      </c>
      <c r="AH645" s="65" t="s">
        <v>299</v>
      </c>
      <c r="AI645" s="66">
        <v>12.0</v>
      </c>
      <c r="AJ645" s="36" t="str">
        <f t="shared" si="501"/>
        <v>R</v>
      </c>
      <c r="AK645" s="66">
        <v>17.0</v>
      </c>
      <c r="AL645" s="36" t="str">
        <f t="shared" si="502"/>
        <v>R</v>
      </c>
      <c r="AM645" s="66">
        <v>6.0</v>
      </c>
      <c r="AN645" s="36" t="str">
        <f t="shared" si="503"/>
        <v>R</v>
      </c>
      <c r="AO645" s="66" t="s">
        <v>299</v>
      </c>
      <c r="AP645" s="67">
        <v>6.0</v>
      </c>
      <c r="AQ645" s="37" t="str">
        <f t="shared" si="504"/>
        <v>R</v>
      </c>
      <c r="AR645" s="65">
        <v>21.0</v>
      </c>
      <c r="AS645" s="33" t="str">
        <f t="shared" si="505"/>
        <v>S</v>
      </c>
      <c r="AT645" s="65">
        <v>15.0</v>
      </c>
      <c r="AU645" s="33" t="str">
        <f t="shared" si="506"/>
        <v>R</v>
      </c>
      <c r="AV645" s="65" t="s">
        <v>299</v>
      </c>
      <c r="AW645" s="28">
        <v>9.0</v>
      </c>
      <c r="AX645" s="26" t="str">
        <f t="shared" si="507"/>
        <v>R</v>
      </c>
      <c r="AY645" s="67">
        <v>10.0</v>
      </c>
      <c r="AZ645" s="37" t="str">
        <f t="shared" si="508"/>
        <v>R</v>
      </c>
      <c r="BA645" s="66">
        <v>23.0</v>
      </c>
      <c r="BB645" s="36" t="str">
        <f t="shared" si="509"/>
        <v>S</v>
      </c>
      <c r="BC645" s="39" t="s">
        <v>357</v>
      </c>
      <c r="BD645" s="39" t="s">
        <v>357</v>
      </c>
      <c r="BE645" s="66">
        <v>21.0</v>
      </c>
      <c r="BF645" s="36" t="str">
        <f t="shared" si="510"/>
        <v>I</v>
      </c>
      <c r="BG645" s="68">
        <v>11.0</v>
      </c>
      <c r="BH645" s="41" t="str">
        <f t="shared" si="511"/>
        <v>R</v>
      </c>
      <c r="BI645" s="41"/>
    </row>
    <row r="646">
      <c r="A646" s="21" t="s">
        <v>1065</v>
      </c>
      <c r="B646" s="21" t="s">
        <v>444</v>
      </c>
      <c r="C646" s="21" t="s">
        <v>2160</v>
      </c>
      <c r="D646" s="69" t="s">
        <v>190</v>
      </c>
      <c r="E646" s="18" t="s">
        <v>190</v>
      </c>
      <c r="F646" s="18" t="s">
        <v>192</v>
      </c>
      <c r="G646" s="63" t="s">
        <v>2161</v>
      </c>
      <c r="H646" s="22" t="s">
        <v>198</v>
      </c>
      <c r="I646" s="28">
        <v>6.0</v>
      </c>
      <c r="J646" s="26" t="str">
        <f t="shared" si="489"/>
        <v>R</v>
      </c>
      <c r="K646" s="28">
        <v>15.0</v>
      </c>
      <c r="L646" s="26" t="str">
        <f t="shared" si="490"/>
        <v>R</v>
      </c>
      <c r="M646" s="28">
        <v>6.0</v>
      </c>
      <c r="N646" s="26" t="str">
        <f t="shared" si="491"/>
        <v>R</v>
      </c>
      <c r="O646" s="28">
        <v>22.0</v>
      </c>
      <c r="P646" s="26" t="str">
        <f t="shared" si="492"/>
        <v>I</v>
      </c>
      <c r="Q646" s="28">
        <v>6.0</v>
      </c>
      <c r="R646" s="26" t="str">
        <f t="shared" si="493"/>
        <v>R</v>
      </c>
      <c r="S646" s="28">
        <v>14.0</v>
      </c>
      <c r="T646" s="26" t="str">
        <f t="shared" si="494"/>
        <v>R</v>
      </c>
      <c r="U646" s="28">
        <v>8.0</v>
      </c>
      <c r="V646" s="26" t="str">
        <f t="shared" si="495"/>
        <v>R</v>
      </c>
      <c r="W646" s="32" t="s">
        <v>299</v>
      </c>
      <c r="X646" s="65">
        <v>12.0</v>
      </c>
      <c r="Y646" s="33" t="str">
        <f t="shared" si="496"/>
        <v>R</v>
      </c>
      <c r="Z646" s="65">
        <v>18.0</v>
      </c>
      <c r="AA646" s="33" t="str">
        <f t="shared" si="497"/>
        <v>S</v>
      </c>
      <c r="AB646" s="65">
        <v>6.0</v>
      </c>
      <c r="AC646" s="33" t="str">
        <f t="shared" si="498"/>
        <v>R</v>
      </c>
      <c r="AD646" s="65">
        <v>20.0</v>
      </c>
      <c r="AE646" s="33" t="str">
        <f t="shared" si="499"/>
        <v>S</v>
      </c>
      <c r="AF646" s="65">
        <v>16.0</v>
      </c>
      <c r="AG646" s="33" t="str">
        <f t="shared" si="500"/>
        <v>R</v>
      </c>
      <c r="AH646" s="65" t="s">
        <v>299</v>
      </c>
      <c r="AI646" s="66">
        <v>12.0</v>
      </c>
      <c r="AJ646" s="36" t="str">
        <f t="shared" si="501"/>
        <v>R</v>
      </c>
      <c r="AK646" s="66">
        <v>17.0</v>
      </c>
      <c r="AL646" s="36" t="str">
        <f t="shared" si="502"/>
        <v>R</v>
      </c>
      <c r="AM646" s="66">
        <v>6.0</v>
      </c>
      <c r="AN646" s="36" t="str">
        <f t="shared" si="503"/>
        <v>R</v>
      </c>
      <c r="AO646" s="66" t="s">
        <v>299</v>
      </c>
      <c r="AP646" s="67">
        <v>6.0</v>
      </c>
      <c r="AQ646" s="37" t="str">
        <f t="shared" si="504"/>
        <v>R</v>
      </c>
      <c r="AR646" s="65">
        <v>21.0</v>
      </c>
      <c r="AS646" s="33" t="str">
        <f t="shared" si="505"/>
        <v>S</v>
      </c>
      <c r="AT646" s="65">
        <v>15.0</v>
      </c>
      <c r="AU646" s="33" t="str">
        <f t="shared" si="506"/>
        <v>R</v>
      </c>
      <c r="AV646" s="65" t="s">
        <v>299</v>
      </c>
      <c r="AW646" s="28">
        <v>9.0</v>
      </c>
      <c r="AX646" s="26" t="str">
        <f t="shared" si="507"/>
        <v>R</v>
      </c>
      <c r="AY646" s="67">
        <v>10.0</v>
      </c>
      <c r="AZ646" s="37" t="str">
        <f t="shared" si="508"/>
        <v>R</v>
      </c>
      <c r="BA646" s="66">
        <v>23.0</v>
      </c>
      <c r="BB646" s="36" t="str">
        <f t="shared" si="509"/>
        <v>S</v>
      </c>
      <c r="BC646" s="39" t="s">
        <v>357</v>
      </c>
      <c r="BD646" s="39" t="s">
        <v>357</v>
      </c>
      <c r="BE646" s="66">
        <v>20.0</v>
      </c>
      <c r="BF646" s="36" t="str">
        <f t="shared" si="510"/>
        <v>I</v>
      </c>
      <c r="BG646" s="68">
        <v>12.0</v>
      </c>
      <c r="BH646" s="41" t="str">
        <f t="shared" si="511"/>
        <v>R</v>
      </c>
      <c r="BI646" s="41"/>
    </row>
    <row r="647">
      <c r="A647" s="21" t="s">
        <v>1065</v>
      </c>
      <c r="B647" s="21" t="s">
        <v>444</v>
      </c>
      <c r="C647" s="21" t="s">
        <v>2162</v>
      </c>
      <c r="D647" s="69" t="s">
        <v>190</v>
      </c>
      <c r="E647" s="18" t="s">
        <v>190</v>
      </c>
      <c r="F647" s="18" t="s">
        <v>192</v>
      </c>
      <c r="G647" s="63" t="s">
        <v>2163</v>
      </c>
      <c r="H647" s="22" t="s">
        <v>198</v>
      </c>
      <c r="I647" s="28">
        <v>6.0</v>
      </c>
      <c r="J647" s="26" t="str">
        <f t="shared" si="489"/>
        <v>R</v>
      </c>
      <c r="K647" s="28">
        <v>15.0</v>
      </c>
      <c r="L647" s="26" t="str">
        <f t="shared" si="490"/>
        <v>R</v>
      </c>
      <c r="M647" s="28">
        <v>6.0</v>
      </c>
      <c r="N647" s="26" t="str">
        <f t="shared" si="491"/>
        <v>R</v>
      </c>
      <c r="O647" s="28">
        <v>22.0</v>
      </c>
      <c r="P647" s="26" t="str">
        <f t="shared" si="492"/>
        <v>I</v>
      </c>
      <c r="Q647" s="28">
        <v>6.0</v>
      </c>
      <c r="R647" s="26" t="str">
        <f t="shared" si="493"/>
        <v>R</v>
      </c>
      <c r="S647" s="28">
        <v>15.0</v>
      </c>
      <c r="T647" s="26" t="str">
        <f t="shared" si="494"/>
        <v>R</v>
      </c>
      <c r="U647" s="28">
        <v>8.0</v>
      </c>
      <c r="V647" s="26" t="str">
        <f t="shared" si="495"/>
        <v>R</v>
      </c>
      <c r="W647" s="32" t="s">
        <v>299</v>
      </c>
      <c r="X647" s="65">
        <v>12.0</v>
      </c>
      <c r="Y647" s="33" t="str">
        <f t="shared" si="496"/>
        <v>R</v>
      </c>
      <c r="Z647" s="65">
        <v>18.0</v>
      </c>
      <c r="AA647" s="33" t="str">
        <f t="shared" si="497"/>
        <v>S</v>
      </c>
      <c r="AB647" s="65">
        <v>6.0</v>
      </c>
      <c r="AC647" s="33" t="str">
        <f t="shared" si="498"/>
        <v>R</v>
      </c>
      <c r="AD647" s="65">
        <v>21.0</v>
      </c>
      <c r="AE647" s="33" t="str">
        <f t="shared" si="499"/>
        <v>S</v>
      </c>
      <c r="AF647" s="65">
        <v>16.0</v>
      </c>
      <c r="AG647" s="33" t="str">
        <f t="shared" si="500"/>
        <v>R</v>
      </c>
      <c r="AH647" s="65" t="s">
        <v>299</v>
      </c>
      <c r="AI647" s="66">
        <v>12.0</v>
      </c>
      <c r="AJ647" s="36" t="str">
        <f t="shared" si="501"/>
        <v>R</v>
      </c>
      <c r="AK647" s="66">
        <v>17.0</v>
      </c>
      <c r="AL647" s="36" t="str">
        <f t="shared" si="502"/>
        <v>R</v>
      </c>
      <c r="AM647" s="66">
        <v>6.0</v>
      </c>
      <c r="AN647" s="36" t="str">
        <f t="shared" si="503"/>
        <v>R</v>
      </c>
      <c r="AO647" s="66" t="s">
        <v>299</v>
      </c>
      <c r="AP647" s="67">
        <v>6.0</v>
      </c>
      <c r="AQ647" s="37" t="str">
        <f t="shared" si="504"/>
        <v>R</v>
      </c>
      <c r="AR647" s="65">
        <v>21.0</v>
      </c>
      <c r="AS647" s="33" t="str">
        <f t="shared" si="505"/>
        <v>S</v>
      </c>
      <c r="AT647" s="65">
        <v>15.0</v>
      </c>
      <c r="AU647" s="33" t="str">
        <f t="shared" si="506"/>
        <v>R</v>
      </c>
      <c r="AV647" s="65" t="s">
        <v>299</v>
      </c>
      <c r="AW647" s="28">
        <v>9.0</v>
      </c>
      <c r="AX647" s="26" t="str">
        <f t="shared" si="507"/>
        <v>R</v>
      </c>
      <c r="AY647" s="67">
        <v>10.0</v>
      </c>
      <c r="AZ647" s="37" t="str">
        <f t="shared" si="508"/>
        <v>R</v>
      </c>
      <c r="BA647" s="66">
        <v>23.0</v>
      </c>
      <c r="BB647" s="36" t="str">
        <f t="shared" si="509"/>
        <v>S</v>
      </c>
      <c r="BC647" s="39" t="s">
        <v>357</v>
      </c>
      <c r="BD647" s="39" t="s">
        <v>357</v>
      </c>
      <c r="BE647" s="66">
        <v>20.0</v>
      </c>
      <c r="BF647" s="36" t="str">
        <f t="shared" si="510"/>
        <v>I</v>
      </c>
      <c r="BG647" s="68">
        <v>11.0</v>
      </c>
      <c r="BH647" s="41" t="str">
        <f t="shared" si="511"/>
        <v>R</v>
      </c>
      <c r="BI647" s="41"/>
    </row>
    <row r="648">
      <c r="A648" s="21" t="s">
        <v>1065</v>
      </c>
      <c r="B648" s="23">
        <v>270.0</v>
      </c>
      <c r="C648" s="21" t="s">
        <v>1699</v>
      </c>
      <c r="D648" s="69" t="s">
        <v>571</v>
      </c>
      <c r="E648" s="18" t="s">
        <v>572</v>
      </c>
      <c r="F648" s="18" t="s">
        <v>192</v>
      </c>
      <c r="G648" s="63" t="s">
        <v>1700</v>
      </c>
      <c r="H648" s="22" t="s">
        <v>198</v>
      </c>
      <c r="I648" s="28">
        <v>6.0</v>
      </c>
      <c r="J648" s="26" t="str">
        <f t="shared" si="489"/>
        <v>R</v>
      </c>
      <c r="K648" s="28">
        <v>6.0</v>
      </c>
      <c r="L648" s="26" t="str">
        <f t="shared" si="490"/>
        <v>R</v>
      </c>
      <c r="M648" s="28">
        <v>6.0</v>
      </c>
      <c r="N648" s="26" t="str">
        <f t="shared" si="491"/>
        <v>R</v>
      </c>
      <c r="O648" s="28">
        <v>22.0</v>
      </c>
      <c r="P648" s="26" t="str">
        <f t="shared" si="492"/>
        <v>I</v>
      </c>
      <c r="Q648" s="28">
        <v>6.0</v>
      </c>
      <c r="R648" s="26" t="str">
        <f t="shared" si="493"/>
        <v>R</v>
      </c>
      <c r="S648" s="28">
        <v>6.0</v>
      </c>
      <c r="T648" s="26" t="str">
        <f t="shared" si="494"/>
        <v>R</v>
      </c>
      <c r="U648" s="28">
        <v>18.0</v>
      </c>
      <c r="V648" s="26" t="str">
        <f t="shared" si="495"/>
        <v>I</v>
      </c>
      <c r="W648" s="32" t="s">
        <v>299</v>
      </c>
      <c r="X648" s="65">
        <v>6.0</v>
      </c>
      <c r="Y648" s="33" t="str">
        <f t="shared" si="496"/>
        <v>R</v>
      </c>
      <c r="Z648" s="65">
        <v>7.0</v>
      </c>
      <c r="AA648" s="33" t="str">
        <f t="shared" si="497"/>
        <v>R</v>
      </c>
      <c r="AB648" s="65">
        <v>6.0</v>
      </c>
      <c r="AC648" s="33" t="str">
        <f t="shared" si="498"/>
        <v>R</v>
      </c>
      <c r="AD648" s="65">
        <v>12.0</v>
      </c>
      <c r="AE648" s="33" t="str">
        <f t="shared" si="499"/>
        <v>R</v>
      </c>
      <c r="AF648" s="65">
        <v>6.0</v>
      </c>
      <c r="AG648" s="33" t="str">
        <f t="shared" si="500"/>
        <v>R</v>
      </c>
      <c r="AH648" s="65" t="s">
        <v>299</v>
      </c>
      <c r="AI648" s="66">
        <v>6.0</v>
      </c>
      <c r="AJ648" s="36" t="str">
        <f t="shared" si="501"/>
        <v>R</v>
      </c>
      <c r="AK648" s="66">
        <v>6.0</v>
      </c>
      <c r="AL648" s="36" t="str">
        <f t="shared" si="502"/>
        <v>R</v>
      </c>
      <c r="AM648" s="66">
        <v>7.0</v>
      </c>
      <c r="AN648" s="36" t="str">
        <f t="shared" si="503"/>
        <v>R</v>
      </c>
      <c r="AO648" s="66" t="s">
        <v>299</v>
      </c>
      <c r="AP648" s="67">
        <v>6.0</v>
      </c>
      <c r="AQ648" s="37" t="str">
        <f t="shared" si="504"/>
        <v>R</v>
      </c>
      <c r="AR648" s="65">
        <v>12.0</v>
      </c>
      <c r="AS648" s="33" t="str">
        <f t="shared" si="505"/>
        <v>R</v>
      </c>
      <c r="AT648" s="65">
        <v>22.0</v>
      </c>
      <c r="AU648" s="33" t="str">
        <f t="shared" si="506"/>
        <v>S</v>
      </c>
      <c r="AV648" s="65" t="s">
        <v>299</v>
      </c>
      <c r="AW648" s="28">
        <v>6.0</v>
      </c>
      <c r="AX648" s="26" t="str">
        <f t="shared" si="507"/>
        <v>R</v>
      </c>
      <c r="AY648" s="67">
        <v>6.0</v>
      </c>
      <c r="AZ648" s="37" t="str">
        <f t="shared" si="508"/>
        <v>R</v>
      </c>
      <c r="BA648" s="66">
        <v>19.0</v>
      </c>
      <c r="BB648" s="36" t="str">
        <f t="shared" si="509"/>
        <v>R</v>
      </c>
      <c r="BC648" s="39" t="s">
        <v>357</v>
      </c>
      <c r="BD648" s="39" t="s">
        <v>357</v>
      </c>
      <c r="BE648" s="66">
        <v>23.0</v>
      </c>
      <c r="BF648" s="36" t="str">
        <f t="shared" si="510"/>
        <v>S</v>
      </c>
      <c r="BG648" s="68">
        <v>6.0</v>
      </c>
      <c r="BH648" s="41" t="str">
        <f t="shared" si="511"/>
        <v>R</v>
      </c>
      <c r="BI648" s="41"/>
    </row>
    <row r="649">
      <c r="A649" s="21" t="s">
        <v>1065</v>
      </c>
      <c r="B649" s="21" t="s">
        <v>444</v>
      </c>
      <c r="C649" s="21" t="s">
        <v>2164</v>
      </c>
      <c r="D649" s="69" t="s">
        <v>571</v>
      </c>
      <c r="E649" s="18" t="s">
        <v>572</v>
      </c>
      <c r="F649" s="18" t="s">
        <v>192</v>
      </c>
      <c r="G649" s="63" t="s">
        <v>2165</v>
      </c>
      <c r="H649" s="22" t="s">
        <v>198</v>
      </c>
      <c r="I649" s="28">
        <v>6.0</v>
      </c>
      <c r="J649" s="26" t="str">
        <f t="shared" si="489"/>
        <v>R</v>
      </c>
      <c r="K649" s="28">
        <v>6.0</v>
      </c>
      <c r="L649" s="26" t="str">
        <f t="shared" si="490"/>
        <v>R</v>
      </c>
      <c r="M649" s="28">
        <v>6.0</v>
      </c>
      <c r="N649" s="26" t="str">
        <f t="shared" si="491"/>
        <v>R</v>
      </c>
      <c r="O649" s="28">
        <v>22.0</v>
      </c>
      <c r="P649" s="26" t="str">
        <f t="shared" si="492"/>
        <v>I</v>
      </c>
      <c r="Q649" s="28">
        <v>6.0</v>
      </c>
      <c r="R649" s="26" t="str">
        <f t="shared" si="493"/>
        <v>R</v>
      </c>
      <c r="S649" s="28">
        <v>6.0</v>
      </c>
      <c r="T649" s="26" t="str">
        <f t="shared" si="494"/>
        <v>R</v>
      </c>
      <c r="U649" s="28">
        <v>18.0</v>
      </c>
      <c r="V649" s="26" t="str">
        <f t="shared" si="495"/>
        <v>I</v>
      </c>
      <c r="W649" s="32" t="s">
        <v>299</v>
      </c>
      <c r="X649" s="65">
        <v>6.0</v>
      </c>
      <c r="Y649" s="33" t="str">
        <f t="shared" si="496"/>
        <v>R</v>
      </c>
      <c r="Z649" s="65">
        <v>7.0</v>
      </c>
      <c r="AA649" s="33" t="str">
        <f t="shared" si="497"/>
        <v>R</v>
      </c>
      <c r="AB649" s="65">
        <v>6.0</v>
      </c>
      <c r="AC649" s="33" t="str">
        <f t="shared" si="498"/>
        <v>R</v>
      </c>
      <c r="AD649" s="65">
        <v>12.0</v>
      </c>
      <c r="AE649" s="33" t="str">
        <f t="shared" si="499"/>
        <v>R</v>
      </c>
      <c r="AF649" s="65">
        <v>6.0</v>
      </c>
      <c r="AG649" s="33" t="str">
        <f t="shared" si="500"/>
        <v>R</v>
      </c>
      <c r="AH649" s="65" t="s">
        <v>299</v>
      </c>
      <c r="AI649" s="66">
        <v>6.0</v>
      </c>
      <c r="AJ649" s="36" t="str">
        <f t="shared" si="501"/>
        <v>R</v>
      </c>
      <c r="AK649" s="66">
        <v>6.0</v>
      </c>
      <c r="AL649" s="36" t="str">
        <f t="shared" si="502"/>
        <v>R</v>
      </c>
      <c r="AM649" s="66">
        <v>7.0</v>
      </c>
      <c r="AN649" s="36" t="str">
        <f t="shared" si="503"/>
        <v>R</v>
      </c>
      <c r="AO649" s="66" t="s">
        <v>299</v>
      </c>
      <c r="AP649" s="67">
        <v>6.0</v>
      </c>
      <c r="AQ649" s="37" t="str">
        <f t="shared" si="504"/>
        <v>R</v>
      </c>
      <c r="AR649" s="65">
        <v>12.0</v>
      </c>
      <c r="AS649" s="33" t="str">
        <f t="shared" si="505"/>
        <v>R</v>
      </c>
      <c r="AT649" s="65">
        <v>22.0</v>
      </c>
      <c r="AU649" s="33" t="str">
        <f t="shared" si="506"/>
        <v>S</v>
      </c>
      <c r="AV649" s="65" t="s">
        <v>299</v>
      </c>
      <c r="AW649" s="28">
        <v>6.0</v>
      </c>
      <c r="AX649" s="26" t="str">
        <f t="shared" si="507"/>
        <v>R</v>
      </c>
      <c r="AY649" s="67">
        <v>6.0</v>
      </c>
      <c r="AZ649" s="37" t="str">
        <f t="shared" si="508"/>
        <v>R</v>
      </c>
      <c r="BA649" s="66">
        <v>19.0</v>
      </c>
      <c r="BB649" s="36" t="str">
        <f t="shared" si="509"/>
        <v>R</v>
      </c>
      <c r="BC649" s="39" t="s">
        <v>357</v>
      </c>
      <c r="BD649" s="39" t="s">
        <v>357</v>
      </c>
      <c r="BE649" s="66">
        <v>23.0</v>
      </c>
      <c r="BF649" s="36" t="str">
        <f t="shared" si="510"/>
        <v>S</v>
      </c>
      <c r="BG649" s="68">
        <v>6.0</v>
      </c>
      <c r="BH649" s="41" t="str">
        <f t="shared" si="511"/>
        <v>R</v>
      </c>
      <c r="BI649" s="41"/>
    </row>
    <row r="650">
      <c r="A650" s="21" t="s">
        <v>1065</v>
      </c>
      <c r="B650" s="21" t="s">
        <v>444</v>
      </c>
      <c r="C650" s="21" t="s">
        <v>2166</v>
      </c>
      <c r="D650" s="69" t="s">
        <v>571</v>
      </c>
      <c r="E650" s="18" t="s">
        <v>572</v>
      </c>
      <c r="F650" s="18" t="s">
        <v>192</v>
      </c>
      <c r="G650" s="63" t="s">
        <v>2167</v>
      </c>
      <c r="H650" s="22" t="s">
        <v>198</v>
      </c>
      <c r="I650" s="28">
        <v>6.0</v>
      </c>
      <c r="J650" s="26" t="str">
        <f t="shared" si="489"/>
        <v>R</v>
      </c>
      <c r="K650" s="28">
        <v>18.0</v>
      </c>
      <c r="L650" s="26" t="str">
        <f t="shared" si="490"/>
        <v>R</v>
      </c>
      <c r="M650" s="28">
        <v>15.0</v>
      </c>
      <c r="N650" s="26" t="str">
        <f t="shared" si="491"/>
        <v>R</v>
      </c>
      <c r="O650" s="28">
        <v>24.0</v>
      </c>
      <c r="P650" s="26" t="str">
        <f t="shared" si="492"/>
        <v>S</v>
      </c>
      <c r="Q650" s="28">
        <v>12.0</v>
      </c>
      <c r="R650" s="26" t="str">
        <f t="shared" si="493"/>
        <v>R</v>
      </c>
      <c r="S650" s="28">
        <v>15.0</v>
      </c>
      <c r="T650" s="26" t="str">
        <f t="shared" si="494"/>
        <v>R</v>
      </c>
      <c r="U650" s="28">
        <v>6.0</v>
      </c>
      <c r="V650" s="26" t="str">
        <f t="shared" si="495"/>
        <v>R</v>
      </c>
      <c r="W650" s="32" t="s">
        <v>299</v>
      </c>
      <c r="X650" s="65">
        <v>6.0</v>
      </c>
      <c r="Y650" s="33" t="str">
        <f t="shared" si="496"/>
        <v>R</v>
      </c>
      <c r="Z650" s="65">
        <v>9.0</v>
      </c>
      <c r="AA650" s="33" t="str">
        <f t="shared" si="497"/>
        <v>R</v>
      </c>
      <c r="AB650" s="65">
        <v>6.0</v>
      </c>
      <c r="AC650" s="33" t="str">
        <f t="shared" si="498"/>
        <v>R</v>
      </c>
      <c r="AD650" s="65">
        <v>15.0</v>
      </c>
      <c r="AE650" s="33" t="str">
        <f t="shared" si="499"/>
        <v>S</v>
      </c>
      <c r="AF650" s="65">
        <v>13.0</v>
      </c>
      <c r="AG650" s="33" t="str">
        <f t="shared" si="500"/>
        <v>R</v>
      </c>
      <c r="AH650" s="65" t="s">
        <v>299</v>
      </c>
      <c r="AI650" s="66">
        <v>19.0</v>
      </c>
      <c r="AJ650" s="36" t="str">
        <f t="shared" si="501"/>
        <v>R</v>
      </c>
      <c r="AK650" s="66">
        <v>15.0</v>
      </c>
      <c r="AL650" s="36" t="str">
        <f t="shared" si="502"/>
        <v>R</v>
      </c>
      <c r="AM650" s="66">
        <v>15.0</v>
      </c>
      <c r="AN650" s="36" t="str">
        <f t="shared" si="503"/>
        <v>S</v>
      </c>
      <c r="AO650" s="66" t="s">
        <v>299</v>
      </c>
      <c r="AP650" s="67">
        <v>13.0</v>
      </c>
      <c r="AQ650" s="37" t="str">
        <f t="shared" si="504"/>
        <v>I</v>
      </c>
      <c r="AR650" s="65">
        <v>18.0</v>
      </c>
      <c r="AS650" s="33" t="str">
        <f t="shared" si="505"/>
        <v>S</v>
      </c>
      <c r="AT650" s="65">
        <v>18.0</v>
      </c>
      <c r="AU650" s="33" t="str">
        <f t="shared" si="506"/>
        <v>S</v>
      </c>
      <c r="AV650" s="33" t="s">
        <v>300</v>
      </c>
      <c r="AW650" s="28">
        <v>18.0</v>
      </c>
      <c r="AX650" s="26" t="str">
        <f t="shared" si="507"/>
        <v>R</v>
      </c>
      <c r="AY650" s="67">
        <v>14.0</v>
      </c>
      <c r="AZ650" s="37" t="str">
        <f t="shared" si="508"/>
        <v>R</v>
      </c>
      <c r="BA650" s="66">
        <v>14.0</v>
      </c>
      <c r="BB650" s="36" t="str">
        <f t="shared" si="509"/>
        <v>R</v>
      </c>
      <c r="BC650" s="39" t="s">
        <v>357</v>
      </c>
      <c r="BD650" s="39" t="s">
        <v>357</v>
      </c>
      <c r="BE650" s="66">
        <v>18.0</v>
      </c>
      <c r="BF650" s="36" t="str">
        <f t="shared" si="510"/>
        <v>R</v>
      </c>
      <c r="BG650" s="68">
        <v>20.0</v>
      </c>
      <c r="BH650" s="41" t="str">
        <f t="shared" si="511"/>
        <v>S</v>
      </c>
      <c r="BI650" s="41"/>
    </row>
    <row r="651">
      <c r="A651" s="21" t="s">
        <v>1065</v>
      </c>
      <c r="B651" s="23">
        <v>271.0</v>
      </c>
      <c r="C651" s="21" t="s">
        <v>1703</v>
      </c>
      <c r="D651" s="69" t="s">
        <v>705</v>
      </c>
      <c r="E651" s="18" t="s">
        <v>572</v>
      </c>
      <c r="F651" s="18" t="s">
        <v>192</v>
      </c>
      <c r="G651" s="63" t="s">
        <v>1704</v>
      </c>
      <c r="H651" s="42" t="s">
        <v>479</v>
      </c>
      <c r="I651" s="28">
        <v>6.0</v>
      </c>
      <c r="J651" s="26" t="str">
        <f t="shared" si="489"/>
        <v>R</v>
      </c>
      <c r="K651" s="28">
        <v>21.0</v>
      </c>
      <c r="L651" s="26" t="str">
        <f t="shared" si="490"/>
        <v>S</v>
      </c>
      <c r="M651" s="28">
        <v>6.0</v>
      </c>
      <c r="N651" s="26" t="str">
        <f t="shared" si="491"/>
        <v>R</v>
      </c>
      <c r="O651" s="28">
        <v>18.0</v>
      </c>
      <c r="P651" s="26" t="str">
        <f t="shared" si="492"/>
        <v>R</v>
      </c>
      <c r="Q651" s="28">
        <v>6.0</v>
      </c>
      <c r="R651" s="26" t="str">
        <f t="shared" si="493"/>
        <v>R</v>
      </c>
      <c r="S651" s="28">
        <v>22.0</v>
      </c>
      <c r="T651" s="26" t="str">
        <f t="shared" si="494"/>
        <v>S</v>
      </c>
      <c r="U651" s="28">
        <v>20.0</v>
      </c>
      <c r="V651" s="26" t="str">
        <f t="shared" si="495"/>
        <v>S</v>
      </c>
      <c r="W651" s="32" t="s">
        <v>299</v>
      </c>
      <c r="X651" s="65">
        <v>10.0</v>
      </c>
      <c r="Y651" s="33" t="str">
        <f t="shared" si="496"/>
        <v>R</v>
      </c>
      <c r="Z651" s="65">
        <v>25.0</v>
      </c>
      <c r="AA651" s="33" t="str">
        <f t="shared" si="497"/>
        <v>S</v>
      </c>
      <c r="AB651" s="65">
        <v>19.0</v>
      </c>
      <c r="AC651" s="33" t="str">
        <f t="shared" si="498"/>
        <v>I</v>
      </c>
      <c r="AD651" s="65">
        <v>12.0</v>
      </c>
      <c r="AE651" s="33" t="str">
        <f t="shared" si="499"/>
        <v>R</v>
      </c>
      <c r="AF651" s="65">
        <v>15.0</v>
      </c>
      <c r="AG651" s="33" t="str">
        <f t="shared" si="500"/>
        <v>R</v>
      </c>
      <c r="AH651" s="65" t="s">
        <v>299</v>
      </c>
      <c r="AI651" s="66">
        <v>7.0</v>
      </c>
      <c r="AJ651" s="36" t="str">
        <f t="shared" si="501"/>
        <v>R</v>
      </c>
      <c r="AK651" s="66">
        <v>11.0</v>
      </c>
      <c r="AL651" s="36" t="str">
        <f t="shared" si="502"/>
        <v>R</v>
      </c>
      <c r="AM651" s="66">
        <v>10.0</v>
      </c>
      <c r="AN651" s="36" t="str">
        <f t="shared" si="503"/>
        <v>R</v>
      </c>
      <c r="AO651" s="66" t="s">
        <v>299</v>
      </c>
      <c r="AP651" s="67">
        <v>6.0</v>
      </c>
      <c r="AQ651" s="37" t="str">
        <f t="shared" si="504"/>
        <v>R</v>
      </c>
      <c r="AR651" s="65">
        <v>17.0</v>
      </c>
      <c r="AS651" s="33" t="str">
        <f t="shared" si="505"/>
        <v>R</v>
      </c>
      <c r="AT651" s="65">
        <v>32.0</v>
      </c>
      <c r="AU651" s="33" t="str">
        <f t="shared" si="506"/>
        <v>S</v>
      </c>
      <c r="AV651" s="65" t="s">
        <v>299</v>
      </c>
      <c r="AW651" s="28">
        <v>6.0</v>
      </c>
      <c r="AX651" s="26" t="str">
        <f t="shared" si="507"/>
        <v>R</v>
      </c>
      <c r="AY651" s="67">
        <v>10.0</v>
      </c>
      <c r="AZ651" s="37" t="str">
        <f t="shared" si="508"/>
        <v>R</v>
      </c>
      <c r="BA651" s="66">
        <v>24.0</v>
      </c>
      <c r="BB651" s="36" t="str">
        <f t="shared" si="509"/>
        <v>S</v>
      </c>
      <c r="BC651" s="39" t="s">
        <v>357</v>
      </c>
      <c r="BD651" s="39" t="s">
        <v>357</v>
      </c>
      <c r="BE651" s="66">
        <v>27.0</v>
      </c>
      <c r="BF651" s="36" t="str">
        <f t="shared" si="510"/>
        <v>S</v>
      </c>
      <c r="BG651" s="68">
        <v>17.0</v>
      </c>
      <c r="BH651" s="41" t="str">
        <f t="shared" si="511"/>
        <v>S</v>
      </c>
      <c r="BI651" s="41"/>
    </row>
    <row r="652">
      <c r="A652" s="21" t="s">
        <v>1065</v>
      </c>
      <c r="B652" s="21" t="s">
        <v>444</v>
      </c>
      <c r="C652" s="21" t="s">
        <v>2168</v>
      </c>
      <c r="D652" s="69" t="s">
        <v>705</v>
      </c>
      <c r="E652" s="18" t="s">
        <v>572</v>
      </c>
      <c r="F652" s="18" t="s">
        <v>192</v>
      </c>
      <c r="G652" s="63" t="s">
        <v>2169</v>
      </c>
      <c r="H652" s="42" t="s">
        <v>479</v>
      </c>
      <c r="I652" s="28">
        <v>6.0</v>
      </c>
      <c r="J652" s="26" t="str">
        <f t="shared" si="489"/>
        <v>R</v>
      </c>
      <c r="K652" s="28">
        <v>22.0</v>
      </c>
      <c r="L652" s="26" t="str">
        <f t="shared" si="490"/>
        <v>S</v>
      </c>
      <c r="M652" s="28">
        <v>6.0</v>
      </c>
      <c r="N652" s="26" t="str">
        <f t="shared" si="491"/>
        <v>R</v>
      </c>
      <c r="O652" s="28">
        <v>18.0</v>
      </c>
      <c r="P652" s="26" t="str">
        <f t="shared" si="492"/>
        <v>R</v>
      </c>
      <c r="Q652" s="28">
        <v>6.0</v>
      </c>
      <c r="R652" s="26" t="str">
        <f t="shared" si="493"/>
        <v>R</v>
      </c>
      <c r="S652" s="28">
        <v>22.0</v>
      </c>
      <c r="T652" s="26" t="str">
        <f t="shared" si="494"/>
        <v>S</v>
      </c>
      <c r="U652" s="28">
        <v>20.0</v>
      </c>
      <c r="V652" s="26" t="str">
        <f t="shared" si="495"/>
        <v>S</v>
      </c>
      <c r="W652" s="32" t="s">
        <v>299</v>
      </c>
      <c r="X652" s="65">
        <v>11.0</v>
      </c>
      <c r="Y652" s="33" t="str">
        <f t="shared" si="496"/>
        <v>R</v>
      </c>
      <c r="Z652" s="65">
        <v>26.0</v>
      </c>
      <c r="AA652" s="33" t="str">
        <f t="shared" si="497"/>
        <v>S</v>
      </c>
      <c r="AB652" s="65">
        <v>20.0</v>
      </c>
      <c r="AC652" s="33" t="str">
        <f t="shared" si="498"/>
        <v>I</v>
      </c>
      <c r="AD652" s="65">
        <v>12.0</v>
      </c>
      <c r="AE652" s="33" t="str">
        <f t="shared" si="499"/>
        <v>R</v>
      </c>
      <c r="AF652" s="65">
        <v>15.0</v>
      </c>
      <c r="AG652" s="33" t="str">
        <f t="shared" si="500"/>
        <v>R</v>
      </c>
      <c r="AH652" s="65" t="s">
        <v>299</v>
      </c>
      <c r="AI652" s="66">
        <v>7.0</v>
      </c>
      <c r="AJ652" s="36" t="str">
        <f t="shared" si="501"/>
        <v>R</v>
      </c>
      <c r="AK652" s="66">
        <v>11.0</v>
      </c>
      <c r="AL652" s="36" t="str">
        <f t="shared" si="502"/>
        <v>R</v>
      </c>
      <c r="AM652" s="66">
        <v>9.0</v>
      </c>
      <c r="AN652" s="36" t="str">
        <f t="shared" si="503"/>
        <v>R</v>
      </c>
      <c r="AO652" s="66" t="s">
        <v>299</v>
      </c>
      <c r="AP652" s="67">
        <v>6.0</v>
      </c>
      <c r="AQ652" s="37" t="str">
        <f t="shared" si="504"/>
        <v>R</v>
      </c>
      <c r="AR652" s="65">
        <v>18.0</v>
      </c>
      <c r="AS652" s="33" t="str">
        <f t="shared" si="505"/>
        <v>S</v>
      </c>
      <c r="AT652" s="65">
        <v>32.0</v>
      </c>
      <c r="AU652" s="33" t="str">
        <f t="shared" si="506"/>
        <v>S</v>
      </c>
      <c r="AV652" s="33" t="s">
        <v>300</v>
      </c>
      <c r="AW652" s="28">
        <v>6.0</v>
      </c>
      <c r="AX652" s="26" t="str">
        <f t="shared" si="507"/>
        <v>R</v>
      </c>
      <c r="AY652" s="67">
        <v>10.0</v>
      </c>
      <c r="AZ652" s="37" t="str">
        <f t="shared" si="508"/>
        <v>R</v>
      </c>
      <c r="BA652" s="66">
        <v>25.0</v>
      </c>
      <c r="BB652" s="36" t="str">
        <f t="shared" si="509"/>
        <v>S</v>
      </c>
      <c r="BC652" s="39" t="s">
        <v>357</v>
      </c>
      <c r="BD652" s="39" t="s">
        <v>357</v>
      </c>
      <c r="BE652" s="66">
        <v>27.0</v>
      </c>
      <c r="BF652" s="36" t="str">
        <f t="shared" si="510"/>
        <v>S</v>
      </c>
      <c r="BG652" s="68">
        <v>17.0</v>
      </c>
      <c r="BH652" s="41" t="str">
        <f t="shared" si="511"/>
        <v>S</v>
      </c>
      <c r="BI652" s="41"/>
    </row>
    <row r="653">
      <c r="A653" s="21" t="s">
        <v>1065</v>
      </c>
      <c r="B653" s="21" t="s">
        <v>444</v>
      </c>
      <c r="C653" s="21" t="s">
        <v>2170</v>
      </c>
      <c r="D653" s="69" t="s">
        <v>705</v>
      </c>
      <c r="E653" s="18" t="s">
        <v>572</v>
      </c>
      <c r="F653" s="18" t="s">
        <v>192</v>
      </c>
      <c r="G653" s="63" t="s">
        <v>2171</v>
      </c>
      <c r="H653" s="42" t="s">
        <v>479</v>
      </c>
      <c r="I653" s="28">
        <v>6.0</v>
      </c>
      <c r="J653" s="26" t="str">
        <f t="shared" si="489"/>
        <v>R</v>
      </c>
      <c r="K653" s="28">
        <v>22.0</v>
      </c>
      <c r="L653" s="26" t="str">
        <f t="shared" si="490"/>
        <v>S</v>
      </c>
      <c r="M653" s="28">
        <v>6.0</v>
      </c>
      <c r="N653" s="26" t="str">
        <f t="shared" si="491"/>
        <v>R</v>
      </c>
      <c r="O653" s="28">
        <v>18.0</v>
      </c>
      <c r="P653" s="26" t="str">
        <f t="shared" si="492"/>
        <v>R</v>
      </c>
      <c r="Q653" s="28">
        <v>6.0</v>
      </c>
      <c r="R653" s="26" t="str">
        <f t="shared" si="493"/>
        <v>R</v>
      </c>
      <c r="S653" s="28">
        <v>22.0</v>
      </c>
      <c r="T653" s="26" t="str">
        <f t="shared" si="494"/>
        <v>S</v>
      </c>
      <c r="U653" s="28">
        <v>20.0</v>
      </c>
      <c r="V653" s="26" t="str">
        <f t="shared" si="495"/>
        <v>S</v>
      </c>
      <c r="W653" s="32" t="s">
        <v>299</v>
      </c>
      <c r="X653" s="65">
        <v>11.0</v>
      </c>
      <c r="Y653" s="33" t="str">
        <f t="shared" si="496"/>
        <v>R</v>
      </c>
      <c r="Z653" s="65">
        <v>26.0</v>
      </c>
      <c r="AA653" s="33" t="str">
        <f t="shared" si="497"/>
        <v>S</v>
      </c>
      <c r="AB653" s="65">
        <v>22.0</v>
      </c>
      <c r="AC653" s="33" t="str">
        <f t="shared" si="498"/>
        <v>S</v>
      </c>
      <c r="AD653" s="65">
        <v>12.0</v>
      </c>
      <c r="AE653" s="33" t="str">
        <f t="shared" si="499"/>
        <v>R</v>
      </c>
      <c r="AF653" s="65">
        <v>15.0</v>
      </c>
      <c r="AG653" s="33" t="str">
        <f t="shared" si="500"/>
        <v>R</v>
      </c>
      <c r="AH653" s="65" t="s">
        <v>299</v>
      </c>
      <c r="AI653" s="66">
        <v>7.0</v>
      </c>
      <c r="AJ653" s="36" t="str">
        <f t="shared" si="501"/>
        <v>R</v>
      </c>
      <c r="AK653" s="66">
        <v>11.0</v>
      </c>
      <c r="AL653" s="36" t="str">
        <f t="shared" si="502"/>
        <v>R</v>
      </c>
      <c r="AM653" s="66">
        <v>9.0</v>
      </c>
      <c r="AN653" s="36" t="str">
        <f t="shared" si="503"/>
        <v>R</v>
      </c>
      <c r="AO653" s="66" t="s">
        <v>299</v>
      </c>
      <c r="AP653" s="67">
        <v>6.0</v>
      </c>
      <c r="AQ653" s="37" t="str">
        <f t="shared" si="504"/>
        <v>R</v>
      </c>
      <c r="AR653" s="65">
        <v>17.0</v>
      </c>
      <c r="AS653" s="33" t="str">
        <f t="shared" si="505"/>
        <v>R</v>
      </c>
      <c r="AT653" s="65">
        <v>32.0</v>
      </c>
      <c r="AU653" s="33" t="str">
        <f t="shared" si="506"/>
        <v>S</v>
      </c>
      <c r="AV653" s="65" t="s">
        <v>299</v>
      </c>
      <c r="AW653" s="28">
        <v>6.0</v>
      </c>
      <c r="AX653" s="26" t="str">
        <f t="shared" si="507"/>
        <v>R</v>
      </c>
      <c r="AY653" s="67">
        <v>10.0</v>
      </c>
      <c r="AZ653" s="37" t="str">
        <f t="shared" si="508"/>
        <v>R</v>
      </c>
      <c r="BA653" s="66">
        <v>25.0</v>
      </c>
      <c r="BB653" s="36" t="str">
        <f t="shared" si="509"/>
        <v>S</v>
      </c>
      <c r="BC653" s="39" t="s">
        <v>357</v>
      </c>
      <c r="BD653" s="39" t="s">
        <v>357</v>
      </c>
      <c r="BE653" s="66">
        <v>26.0</v>
      </c>
      <c r="BF653" s="36" t="str">
        <f t="shared" si="510"/>
        <v>S</v>
      </c>
      <c r="BG653" s="68">
        <v>17.0</v>
      </c>
      <c r="BH653" s="41" t="str">
        <f t="shared" si="511"/>
        <v>S</v>
      </c>
      <c r="BI653" s="41"/>
    </row>
    <row r="654">
      <c r="A654" s="51" t="s">
        <v>1071</v>
      </c>
      <c r="B654" s="53">
        <v>272.0</v>
      </c>
      <c r="C654" s="51" t="s">
        <v>1707</v>
      </c>
      <c r="D654" s="69" t="s">
        <v>190</v>
      </c>
      <c r="E654" s="18" t="s">
        <v>190</v>
      </c>
      <c r="F654" s="18" t="s">
        <v>192</v>
      </c>
      <c r="G654" s="63" t="s">
        <v>1708</v>
      </c>
      <c r="H654" s="22" t="s">
        <v>198</v>
      </c>
      <c r="I654" s="28">
        <v>6.0</v>
      </c>
      <c r="J654" s="26" t="str">
        <f t="shared" si="489"/>
        <v>R</v>
      </c>
      <c r="K654" s="28">
        <v>20.0</v>
      </c>
      <c r="L654" s="26" t="str">
        <f t="shared" si="490"/>
        <v>S</v>
      </c>
      <c r="M654" s="28">
        <v>6.0</v>
      </c>
      <c r="N654" s="26" t="str">
        <f t="shared" si="491"/>
        <v>R</v>
      </c>
      <c r="O654" s="28">
        <v>22.0</v>
      </c>
      <c r="P654" s="26" t="str">
        <f t="shared" si="492"/>
        <v>I</v>
      </c>
      <c r="Q654" s="28">
        <v>6.0</v>
      </c>
      <c r="R654" s="26" t="str">
        <f t="shared" si="493"/>
        <v>R</v>
      </c>
      <c r="S654" s="28">
        <v>20.0</v>
      </c>
      <c r="T654" s="26" t="str">
        <f t="shared" si="494"/>
        <v>S</v>
      </c>
      <c r="U654" s="28">
        <v>18.0</v>
      </c>
      <c r="V654" s="26" t="str">
        <f t="shared" si="495"/>
        <v>I</v>
      </c>
      <c r="W654" s="32" t="s">
        <v>299</v>
      </c>
      <c r="X654" s="65">
        <v>6.0</v>
      </c>
      <c r="Y654" s="33" t="str">
        <f t="shared" si="496"/>
        <v>R</v>
      </c>
      <c r="Z654" s="65">
        <v>26.0</v>
      </c>
      <c r="AA654" s="33" t="str">
        <f t="shared" si="497"/>
        <v>S</v>
      </c>
      <c r="AB654" s="65">
        <v>6.0</v>
      </c>
      <c r="AC654" s="33" t="str">
        <f t="shared" si="498"/>
        <v>R</v>
      </c>
      <c r="AD654" s="65">
        <v>22.0</v>
      </c>
      <c r="AE654" s="33" t="str">
        <f t="shared" si="499"/>
        <v>S</v>
      </c>
      <c r="AF654" s="65">
        <v>6.0</v>
      </c>
      <c r="AG654" s="33" t="str">
        <f t="shared" si="500"/>
        <v>R</v>
      </c>
      <c r="AH654" s="65" t="s">
        <v>299</v>
      </c>
      <c r="AI654" s="66">
        <v>6.0</v>
      </c>
      <c r="AJ654" s="36" t="str">
        <f t="shared" si="501"/>
        <v>R</v>
      </c>
      <c r="AK654" s="66">
        <v>11.0</v>
      </c>
      <c r="AL654" s="36" t="str">
        <f t="shared" si="502"/>
        <v>R</v>
      </c>
      <c r="AM654" s="66">
        <v>6.0</v>
      </c>
      <c r="AN654" s="36" t="str">
        <f t="shared" si="503"/>
        <v>R</v>
      </c>
      <c r="AO654" s="66" t="s">
        <v>299</v>
      </c>
      <c r="AP654" s="67">
        <v>10.0</v>
      </c>
      <c r="AQ654" s="37" t="str">
        <f t="shared" si="504"/>
        <v>R</v>
      </c>
      <c r="AR654" s="65">
        <v>18.0</v>
      </c>
      <c r="AS654" s="33" t="str">
        <f t="shared" si="505"/>
        <v>S</v>
      </c>
      <c r="AT654" s="65">
        <v>14.0</v>
      </c>
      <c r="AU654" s="33" t="str">
        <f t="shared" si="506"/>
        <v>R</v>
      </c>
      <c r="AV654" s="65" t="s">
        <v>299</v>
      </c>
      <c r="AW654" s="28">
        <v>6.0</v>
      </c>
      <c r="AX654" s="26" t="str">
        <f t="shared" si="507"/>
        <v>R</v>
      </c>
      <c r="AY654" s="67">
        <v>11.0</v>
      </c>
      <c r="AZ654" s="37" t="str">
        <f t="shared" si="508"/>
        <v>R</v>
      </c>
      <c r="BA654" s="66">
        <v>26.0</v>
      </c>
      <c r="BB654" s="36" t="str">
        <f t="shared" si="509"/>
        <v>S</v>
      </c>
      <c r="BC654" s="39" t="s">
        <v>357</v>
      </c>
      <c r="BD654" s="39" t="s">
        <v>357</v>
      </c>
      <c r="BE654" s="66">
        <v>27.0</v>
      </c>
      <c r="BF654" s="36" t="str">
        <f t="shared" si="510"/>
        <v>S</v>
      </c>
      <c r="BG654" s="68">
        <v>6.0</v>
      </c>
      <c r="BH654" s="41" t="str">
        <f t="shared" si="511"/>
        <v>R</v>
      </c>
      <c r="BI654" s="41"/>
    </row>
    <row r="655">
      <c r="A655" s="51" t="s">
        <v>1071</v>
      </c>
      <c r="B655" s="51" t="s">
        <v>444</v>
      </c>
      <c r="C655" s="51" t="s">
        <v>2172</v>
      </c>
      <c r="D655" s="69" t="s">
        <v>190</v>
      </c>
      <c r="E655" s="18" t="s">
        <v>190</v>
      </c>
      <c r="F655" s="18" t="s">
        <v>192</v>
      </c>
      <c r="G655" s="63" t="s">
        <v>2173</v>
      </c>
      <c r="H655" s="22" t="s">
        <v>198</v>
      </c>
      <c r="I655" s="28">
        <v>6.0</v>
      </c>
      <c r="J655" s="26" t="str">
        <f t="shared" si="489"/>
        <v>R</v>
      </c>
      <c r="K655" s="28">
        <v>21.0</v>
      </c>
      <c r="L655" s="26" t="str">
        <f t="shared" si="490"/>
        <v>S</v>
      </c>
      <c r="M655" s="28">
        <v>6.0</v>
      </c>
      <c r="N655" s="26" t="str">
        <f t="shared" si="491"/>
        <v>R</v>
      </c>
      <c r="O655" s="28">
        <v>22.0</v>
      </c>
      <c r="P655" s="26" t="str">
        <f t="shared" si="492"/>
        <v>I</v>
      </c>
      <c r="Q655" s="28">
        <v>6.0</v>
      </c>
      <c r="R655" s="26" t="str">
        <f t="shared" si="493"/>
        <v>R</v>
      </c>
      <c r="S655" s="28">
        <v>21.0</v>
      </c>
      <c r="T655" s="26" t="str">
        <f t="shared" si="494"/>
        <v>S</v>
      </c>
      <c r="U655" s="28">
        <v>18.0</v>
      </c>
      <c r="V655" s="26" t="str">
        <f t="shared" si="495"/>
        <v>I</v>
      </c>
      <c r="W655" s="32" t="s">
        <v>299</v>
      </c>
      <c r="X655" s="65">
        <v>6.0</v>
      </c>
      <c r="Y655" s="33" t="str">
        <f t="shared" si="496"/>
        <v>R</v>
      </c>
      <c r="Z655" s="65">
        <v>25.0</v>
      </c>
      <c r="AA655" s="33" t="str">
        <f t="shared" si="497"/>
        <v>S</v>
      </c>
      <c r="AB655" s="65">
        <v>6.0</v>
      </c>
      <c r="AC655" s="33" t="str">
        <f t="shared" si="498"/>
        <v>R</v>
      </c>
      <c r="AD655" s="65">
        <v>21.0</v>
      </c>
      <c r="AE655" s="33" t="str">
        <f t="shared" si="499"/>
        <v>S</v>
      </c>
      <c r="AF655" s="65">
        <v>6.0</v>
      </c>
      <c r="AG655" s="33" t="str">
        <f t="shared" si="500"/>
        <v>R</v>
      </c>
      <c r="AH655" s="65" t="s">
        <v>299</v>
      </c>
      <c r="AI655" s="66">
        <v>6.0</v>
      </c>
      <c r="AJ655" s="36" t="str">
        <f t="shared" si="501"/>
        <v>R</v>
      </c>
      <c r="AK655" s="66">
        <v>11.0</v>
      </c>
      <c r="AL655" s="36" t="str">
        <f t="shared" si="502"/>
        <v>R</v>
      </c>
      <c r="AM655" s="66">
        <v>6.0</v>
      </c>
      <c r="AN655" s="36" t="str">
        <f t="shared" si="503"/>
        <v>R</v>
      </c>
      <c r="AO655" s="66" t="s">
        <v>299</v>
      </c>
      <c r="AP655" s="67">
        <v>10.0</v>
      </c>
      <c r="AQ655" s="37" t="str">
        <f t="shared" si="504"/>
        <v>R</v>
      </c>
      <c r="AR655" s="65">
        <v>18.0</v>
      </c>
      <c r="AS655" s="33" t="str">
        <f t="shared" si="505"/>
        <v>S</v>
      </c>
      <c r="AT655" s="65">
        <v>14.0</v>
      </c>
      <c r="AU655" s="33" t="str">
        <f t="shared" si="506"/>
        <v>R</v>
      </c>
      <c r="AV655" s="65" t="s">
        <v>299</v>
      </c>
      <c r="AW655" s="28">
        <v>6.0</v>
      </c>
      <c r="AX655" s="26" t="str">
        <f t="shared" si="507"/>
        <v>R</v>
      </c>
      <c r="AY655" s="67">
        <v>10.0</v>
      </c>
      <c r="AZ655" s="37" t="str">
        <f t="shared" si="508"/>
        <v>R</v>
      </c>
      <c r="BA655" s="66">
        <v>26.0</v>
      </c>
      <c r="BB655" s="36" t="str">
        <f t="shared" si="509"/>
        <v>S</v>
      </c>
      <c r="BC655" s="39" t="s">
        <v>357</v>
      </c>
      <c r="BD655" s="39" t="s">
        <v>357</v>
      </c>
      <c r="BE655" s="66">
        <v>22.0</v>
      </c>
      <c r="BF655" s="36" t="str">
        <f t="shared" si="510"/>
        <v>S</v>
      </c>
      <c r="BG655" s="68">
        <v>8.0</v>
      </c>
      <c r="BH655" s="41" t="str">
        <f t="shared" si="511"/>
        <v>R</v>
      </c>
      <c r="BI655" s="41"/>
    </row>
    <row r="656">
      <c r="A656" s="51" t="s">
        <v>1071</v>
      </c>
      <c r="B656" s="53">
        <v>273.0</v>
      </c>
      <c r="C656" s="51" t="s">
        <v>1711</v>
      </c>
      <c r="D656" s="69" t="s">
        <v>190</v>
      </c>
      <c r="E656" s="18" t="s">
        <v>190</v>
      </c>
      <c r="F656" s="18" t="s">
        <v>192</v>
      </c>
      <c r="G656" s="63" t="s">
        <v>1712</v>
      </c>
      <c r="H656" s="22" t="s">
        <v>198</v>
      </c>
      <c r="I656" s="28">
        <v>6.0</v>
      </c>
      <c r="J656" s="26" t="str">
        <f t="shared" si="489"/>
        <v>R</v>
      </c>
      <c r="K656" s="28">
        <v>20.0</v>
      </c>
      <c r="L656" s="26" t="str">
        <f t="shared" si="490"/>
        <v>S</v>
      </c>
      <c r="M656" s="28">
        <v>6.0</v>
      </c>
      <c r="N656" s="26" t="str">
        <f t="shared" si="491"/>
        <v>R</v>
      </c>
      <c r="O656" s="28">
        <v>22.0</v>
      </c>
      <c r="P656" s="26" t="str">
        <f t="shared" si="492"/>
        <v>I</v>
      </c>
      <c r="Q656" s="28">
        <v>6.0</v>
      </c>
      <c r="R656" s="26" t="str">
        <f t="shared" si="493"/>
        <v>R</v>
      </c>
      <c r="S656" s="28">
        <v>20.0</v>
      </c>
      <c r="T656" s="26" t="str">
        <f t="shared" si="494"/>
        <v>S</v>
      </c>
      <c r="U656" s="28">
        <v>18.0</v>
      </c>
      <c r="V656" s="26" t="str">
        <f t="shared" si="495"/>
        <v>I</v>
      </c>
      <c r="W656" s="32" t="s">
        <v>299</v>
      </c>
      <c r="X656" s="65">
        <v>6.0</v>
      </c>
      <c r="Y656" s="33" t="str">
        <f t="shared" si="496"/>
        <v>R</v>
      </c>
      <c r="Z656" s="65">
        <v>22.0</v>
      </c>
      <c r="AA656" s="33" t="str">
        <f t="shared" si="497"/>
        <v>S</v>
      </c>
      <c r="AB656" s="65">
        <v>6.0</v>
      </c>
      <c r="AC656" s="33" t="str">
        <f t="shared" si="498"/>
        <v>R</v>
      </c>
      <c r="AD656" s="65">
        <v>22.0</v>
      </c>
      <c r="AE656" s="33" t="str">
        <f t="shared" si="499"/>
        <v>S</v>
      </c>
      <c r="AF656" s="65">
        <v>6.0</v>
      </c>
      <c r="AG656" s="33" t="str">
        <f t="shared" si="500"/>
        <v>R</v>
      </c>
      <c r="AH656" s="65" t="s">
        <v>299</v>
      </c>
      <c r="AI656" s="66">
        <v>6.0</v>
      </c>
      <c r="AJ656" s="36" t="str">
        <f t="shared" si="501"/>
        <v>R</v>
      </c>
      <c r="AK656" s="66">
        <v>11.0</v>
      </c>
      <c r="AL656" s="36" t="str">
        <f t="shared" si="502"/>
        <v>R</v>
      </c>
      <c r="AM656" s="66">
        <v>6.0</v>
      </c>
      <c r="AN656" s="36" t="str">
        <f t="shared" si="503"/>
        <v>R</v>
      </c>
      <c r="AO656" s="66" t="s">
        <v>299</v>
      </c>
      <c r="AP656" s="67">
        <v>9.0</v>
      </c>
      <c r="AQ656" s="37" t="str">
        <f t="shared" si="504"/>
        <v>R</v>
      </c>
      <c r="AR656" s="65">
        <v>18.0</v>
      </c>
      <c r="AS656" s="33" t="str">
        <f t="shared" si="505"/>
        <v>S</v>
      </c>
      <c r="AT656" s="65">
        <v>14.0</v>
      </c>
      <c r="AU656" s="33" t="str">
        <f t="shared" si="506"/>
        <v>R</v>
      </c>
      <c r="AV656" s="65" t="s">
        <v>299</v>
      </c>
      <c r="AW656" s="28">
        <v>6.0</v>
      </c>
      <c r="AX656" s="26" t="str">
        <f t="shared" si="507"/>
        <v>R</v>
      </c>
      <c r="AY656" s="67">
        <v>11.0</v>
      </c>
      <c r="AZ656" s="37" t="str">
        <f t="shared" si="508"/>
        <v>R</v>
      </c>
      <c r="BA656" s="66">
        <v>26.0</v>
      </c>
      <c r="BB656" s="36" t="str">
        <f t="shared" si="509"/>
        <v>S</v>
      </c>
      <c r="BC656" s="39" t="s">
        <v>357</v>
      </c>
      <c r="BD656" s="39" t="s">
        <v>357</v>
      </c>
      <c r="BE656" s="66">
        <v>25.0</v>
      </c>
      <c r="BF656" s="36" t="str">
        <f t="shared" si="510"/>
        <v>S</v>
      </c>
      <c r="BG656" s="68">
        <v>9.0</v>
      </c>
      <c r="BH656" s="41" t="str">
        <f t="shared" si="511"/>
        <v>R</v>
      </c>
      <c r="BI656" s="41"/>
    </row>
    <row r="657">
      <c r="A657" s="21" t="s">
        <v>670</v>
      </c>
      <c r="B657" s="23">
        <v>274.0</v>
      </c>
      <c r="C657" s="21" t="s">
        <v>1095</v>
      </c>
      <c r="D657" s="69" t="s">
        <v>190</v>
      </c>
      <c r="E657" s="18" t="s">
        <v>190</v>
      </c>
      <c r="F657" s="18" t="s">
        <v>192</v>
      </c>
      <c r="G657" s="63" t="s">
        <v>1096</v>
      </c>
      <c r="H657" s="22" t="s">
        <v>198</v>
      </c>
      <c r="I657" s="28">
        <v>6.0</v>
      </c>
      <c r="J657" s="26" t="str">
        <f t="shared" si="489"/>
        <v>R</v>
      </c>
      <c r="K657" s="28">
        <v>14.0</v>
      </c>
      <c r="L657" s="26" t="str">
        <f t="shared" si="490"/>
        <v>R</v>
      </c>
      <c r="M657" s="28">
        <v>6.0</v>
      </c>
      <c r="N657" s="26" t="str">
        <f t="shared" si="491"/>
        <v>R</v>
      </c>
      <c r="O657" s="28">
        <v>20.0</v>
      </c>
      <c r="P657" s="26" t="str">
        <f t="shared" si="492"/>
        <v>I</v>
      </c>
      <c r="Q657" s="28">
        <v>16.0</v>
      </c>
      <c r="R657" s="26" t="str">
        <f t="shared" si="493"/>
        <v>R</v>
      </c>
      <c r="S657" s="28">
        <v>16.0</v>
      </c>
      <c r="T657" s="26" t="str">
        <f t="shared" si="494"/>
        <v>R</v>
      </c>
      <c r="U657" s="28">
        <v>13.0</v>
      </c>
      <c r="V657" s="26" t="str">
        <f t="shared" si="495"/>
        <v>R</v>
      </c>
      <c r="W657" s="32" t="s">
        <v>299</v>
      </c>
      <c r="X657" s="65">
        <v>6.0</v>
      </c>
      <c r="Y657" s="33" t="str">
        <f t="shared" si="496"/>
        <v>R</v>
      </c>
      <c r="Z657" s="65">
        <v>22.0</v>
      </c>
      <c r="AA657" s="33" t="str">
        <f t="shared" si="497"/>
        <v>S</v>
      </c>
      <c r="AB657" s="65">
        <v>6.0</v>
      </c>
      <c r="AC657" s="33" t="str">
        <f t="shared" si="498"/>
        <v>R</v>
      </c>
      <c r="AD657" s="65">
        <v>20.0</v>
      </c>
      <c r="AE657" s="33" t="str">
        <f t="shared" si="499"/>
        <v>S</v>
      </c>
      <c r="AF657" s="65">
        <v>6.0</v>
      </c>
      <c r="AG657" s="33" t="str">
        <f t="shared" si="500"/>
        <v>R</v>
      </c>
      <c r="AH657" s="65" t="s">
        <v>299</v>
      </c>
      <c r="AI657" s="66">
        <v>6.0</v>
      </c>
      <c r="AJ657" s="36" t="str">
        <f t="shared" si="501"/>
        <v>R</v>
      </c>
      <c r="AK657" s="66">
        <v>9.0</v>
      </c>
      <c r="AL657" s="36" t="str">
        <f t="shared" si="502"/>
        <v>R</v>
      </c>
      <c r="AM657" s="66">
        <v>6.0</v>
      </c>
      <c r="AN657" s="36" t="str">
        <f t="shared" si="503"/>
        <v>R</v>
      </c>
      <c r="AO657" s="66" t="s">
        <v>299</v>
      </c>
      <c r="AP657" s="67">
        <v>9.0</v>
      </c>
      <c r="AQ657" s="37" t="str">
        <f t="shared" si="504"/>
        <v>R</v>
      </c>
      <c r="AR657" s="65">
        <v>17.0</v>
      </c>
      <c r="AS657" s="33" t="str">
        <f t="shared" si="505"/>
        <v>R</v>
      </c>
      <c r="AT657" s="65">
        <v>10.0</v>
      </c>
      <c r="AU657" s="33" t="str">
        <f t="shared" si="506"/>
        <v>R</v>
      </c>
      <c r="AV657" s="65" t="s">
        <v>299</v>
      </c>
      <c r="AW657" s="28">
        <v>21.0</v>
      </c>
      <c r="AX657" s="26" t="str">
        <f t="shared" si="507"/>
        <v>S</v>
      </c>
      <c r="AY657" s="67">
        <v>6.0</v>
      </c>
      <c r="AZ657" s="37" t="str">
        <f t="shared" si="508"/>
        <v>R</v>
      </c>
      <c r="BA657" s="66">
        <v>28.0</v>
      </c>
      <c r="BB657" s="36" t="str">
        <f t="shared" si="509"/>
        <v>S</v>
      </c>
      <c r="BC657" s="39" t="s">
        <v>357</v>
      </c>
      <c r="BD657" s="39" t="s">
        <v>357</v>
      </c>
      <c r="BE657" s="66">
        <v>27.0</v>
      </c>
      <c r="BF657" s="36" t="str">
        <f t="shared" si="510"/>
        <v>S</v>
      </c>
      <c r="BG657" s="68">
        <v>6.0</v>
      </c>
      <c r="BH657" s="41" t="str">
        <f t="shared" si="511"/>
        <v>R</v>
      </c>
      <c r="BI657" s="41"/>
    </row>
    <row r="658">
      <c r="A658" s="21" t="s">
        <v>670</v>
      </c>
      <c r="B658" s="21" t="s">
        <v>444</v>
      </c>
      <c r="C658" s="21" t="s">
        <v>2174</v>
      </c>
      <c r="D658" s="69" t="s">
        <v>190</v>
      </c>
      <c r="E658" s="18" t="s">
        <v>190</v>
      </c>
      <c r="F658" s="18" t="s">
        <v>192</v>
      </c>
      <c r="G658" s="63" t="s">
        <v>2175</v>
      </c>
      <c r="H658" s="22" t="s">
        <v>198</v>
      </c>
      <c r="I658" s="28">
        <v>8.0</v>
      </c>
      <c r="J658" s="26" t="str">
        <f t="shared" si="489"/>
        <v>R</v>
      </c>
      <c r="K658" s="28">
        <v>12.0</v>
      </c>
      <c r="L658" s="26" t="str">
        <f t="shared" si="490"/>
        <v>R</v>
      </c>
      <c r="M658" s="28">
        <v>6.0</v>
      </c>
      <c r="N658" s="26" t="str">
        <f t="shared" si="491"/>
        <v>R</v>
      </c>
      <c r="O658" s="28">
        <v>20.0</v>
      </c>
      <c r="P658" s="26" t="str">
        <f t="shared" si="492"/>
        <v>I</v>
      </c>
      <c r="Q658" s="28">
        <v>15.0</v>
      </c>
      <c r="R658" s="26" t="str">
        <f t="shared" si="493"/>
        <v>R</v>
      </c>
      <c r="S658" s="28">
        <v>16.0</v>
      </c>
      <c r="T658" s="26" t="str">
        <f t="shared" si="494"/>
        <v>R</v>
      </c>
      <c r="U658" s="28">
        <v>13.0</v>
      </c>
      <c r="V658" s="26" t="str">
        <f t="shared" si="495"/>
        <v>R</v>
      </c>
      <c r="W658" s="32" t="s">
        <v>299</v>
      </c>
      <c r="X658" s="65">
        <v>6.0</v>
      </c>
      <c r="Y658" s="33" t="str">
        <f t="shared" si="496"/>
        <v>R</v>
      </c>
      <c r="Z658" s="65">
        <v>23.0</v>
      </c>
      <c r="AA658" s="33" t="str">
        <f t="shared" si="497"/>
        <v>S</v>
      </c>
      <c r="AB658" s="65">
        <v>6.0</v>
      </c>
      <c r="AC658" s="33" t="str">
        <f t="shared" si="498"/>
        <v>R</v>
      </c>
      <c r="AD658" s="65">
        <v>21.0</v>
      </c>
      <c r="AE658" s="33" t="str">
        <f t="shared" si="499"/>
        <v>S</v>
      </c>
      <c r="AF658" s="65">
        <v>6.0</v>
      </c>
      <c r="AG658" s="33" t="str">
        <f t="shared" si="500"/>
        <v>R</v>
      </c>
      <c r="AH658" s="65" t="s">
        <v>299</v>
      </c>
      <c r="AI658" s="66">
        <v>6.0</v>
      </c>
      <c r="AJ658" s="36" t="str">
        <f t="shared" si="501"/>
        <v>R</v>
      </c>
      <c r="AK658" s="66">
        <v>9.0</v>
      </c>
      <c r="AL658" s="36" t="str">
        <f t="shared" si="502"/>
        <v>R</v>
      </c>
      <c r="AM658" s="66">
        <v>6.0</v>
      </c>
      <c r="AN658" s="36" t="str">
        <f t="shared" si="503"/>
        <v>R</v>
      </c>
      <c r="AO658" s="66" t="s">
        <v>299</v>
      </c>
      <c r="AP658" s="67">
        <v>6.0</v>
      </c>
      <c r="AQ658" s="37" t="str">
        <f t="shared" si="504"/>
        <v>R</v>
      </c>
      <c r="AR658" s="65">
        <v>14.0</v>
      </c>
      <c r="AS658" s="33" t="str">
        <f t="shared" si="505"/>
        <v>R</v>
      </c>
      <c r="AT658" s="65">
        <v>11.0</v>
      </c>
      <c r="AU658" s="33" t="str">
        <f t="shared" si="506"/>
        <v>R</v>
      </c>
      <c r="AV658" s="65" t="s">
        <v>299</v>
      </c>
      <c r="AW658" s="28">
        <v>20.0</v>
      </c>
      <c r="AX658" s="26" t="str">
        <f t="shared" si="507"/>
        <v>S</v>
      </c>
      <c r="AY658" s="67">
        <v>6.0</v>
      </c>
      <c r="AZ658" s="37" t="str">
        <f t="shared" si="508"/>
        <v>R</v>
      </c>
      <c r="BA658" s="66">
        <v>25.0</v>
      </c>
      <c r="BB658" s="36" t="str">
        <f t="shared" si="509"/>
        <v>S</v>
      </c>
      <c r="BC658" s="39" t="s">
        <v>357</v>
      </c>
      <c r="BD658" s="39" t="s">
        <v>357</v>
      </c>
      <c r="BE658" s="66">
        <v>25.0</v>
      </c>
      <c r="BF658" s="36" t="str">
        <f t="shared" si="510"/>
        <v>S</v>
      </c>
      <c r="BG658" s="68">
        <v>8.0</v>
      </c>
      <c r="BH658" s="41" t="str">
        <f t="shared" si="511"/>
        <v>R</v>
      </c>
      <c r="BI658" s="41"/>
    </row>
    <row r="659">
      <c r="A659" s="21" t="s">
        <v>670</v>
      </c>
      <c r="B659" s="21" t="s">
        <v>444</v>
      </c>
      <c r="C659" s="21" t="s">
        <v>2176</v>
      </c>
      <c r="D659" s="69" t="s">
        <v>190</v>
      </c>
      <c r="E659" s="18" t="s">
        <v>190</v>
      </c>
      <c r="F659" s="18" t="s">
        <v>192</v>
      </c>
      <c r="G659" s="63" t="s">
        <v>2177</v>
      </c>
      <c r="H659" s="22" t="s">
        <v>198</v>
      </c>
      <c r="I659" s="28">
        <v>8.0</v>
      </c>
      <c r="J659" s="26" t="str">
        <f t="shared" si="489"/>
        <v>R</v>
      </c>
      <c r="K659" s="28">
        <v>10.0</v>
      </c>
      <c r="L659" s="26" t="str">
        <f t="shared" si="490"/>
        <v>R</v>
      </c>
      <c r="M659" s="28">
        <v>6.0</v>
      </c>
      <c r="N659" s="26" t="str">
        <f t="shared" si="491"/>
        <v>R</v>
      </c>
      <c r="O659" s="28">
        <v>20.0</v>
      </c>
      <c r="P659" s="26" t="str">
        <f t="shared" si="492"/>
        <v>I</v>
      </c>
      <c r="Q659" s="28">
        <v>11.0</v>
      </c>
      <c r="R659" s="26" t="str">
        <f t="shared" si="493"/>
        <v>R</v>
      </c>
      <c r="S659" s="28">
        <v>16.0</v>
      </c>
      <c r="T659" s="26" t="str">
        <f t="shared" si="494"/>
        <v>R</v>
      </c>
      <c r="U659" s="28">
        <v>13.0</v>
      </c>
      <c r="V659" s="26" t="str">
        <f t="shared" si="495"/>
        <v>R</v>
      </c>
      <c r="W659" s="32" t="s">
        <v>299</v>
      </c>
      <c r="X659" s="65">
        <v>6.0</v>
      </c>
      <c r="Y659" s="33" t="str">
        <f t="shared" si="496"/>
        <v>R</v>
      </c>
      <c r="Z659" s="65">
        <v>20.0</v>
      </c>
      <c r="AA659" s="33" t="str">
        <f t="shared" si="497"/>
        <v>S</v>
      </c>
      <c r="AB659" s="65">
        <v>6.0</v>
      </c>
      <c r="AC659" s="33" t="str">
        <f t="shared" si="498"/>
        <v>R</v>
      </c>
      <c r="AD659" s="65">
        <v>20.0</v>
      </c>
      <c r="AE659" s="33" t="str">
        <f t="shared" si="499"/>
        <v>S</v>
      </c>
      <c r="AF659" s="65">
        <v>6.0</v>
      </c>
      <c r="AG659" s="33" t="str">
        <f t="shared" si="500"/>
        <v>R</v>
      </c>
      <c r="AH659" s="65" t="s">
        <v>299</v>
      </c>
      <c r="AI659" s="66">
        <v>6.0</v>
      </c>
      <c r="AJ659" s="36" t="str">
        <f t="shared" si="501"/>
        <v>R</v>
      </c>
      <c r="AK659" s="66">
        <v>6.0</v>
      </c>
      <c r="AL659" s="36" t="str">
        <f t="shared" si="502"/>
        <v>R</v>
      </c>
      <c r="AM659" s="66">
        <v>6.0</v>
      </c>
      <c r="AN659" s="36" t="str">
        <f t="shared" si="503"/>
        <v>R</v>
      </c>
      <c r="AO659" s="66" t="s">
        <v>299</v>
      </c>
      <c r="AP659" s="67">
        <v>6.0</v>
      </c>
      <c r="AQ659" s="37" t="str">
        <f t="shared" si="504"/>
        <v>R</v>
      </c>
      <c r="AR659" s="65">
        <v>17.0</v>
      </c>
      <c r="AS659" s="33" t="str">
        <f t="shared" si="505"/>
        <v>R</v>
      </c>
      <c r="AT659" s="65">
        <v>10.0</v>
      </c>
      <c r="AU659" s="33" t="str">
        <f t="shared" si="506"/>
        <v>R</v>
      </c>
      <c r="AV659" s="65" t="s">
        <v>299</v>
      </c>
      <c r="AW659" s="28">
        <v>21.0</v>
      </c>
      <c r="AX659" s="26" t="str">
        <f t="shared" si="507"/>
        <v>S</v>
      </c>
      <c r="AY659" s="67">
        <v>6.0</v>
      </c>
      <c r="AZ659" s="37" t="str">
        <f t="shared" si="508"/>
        <v>R</v>
      </c>
      <c r="BA659" s="66">
        <v>26.0</v>
      </c>
      <c r="BB659" s="36" t="str">
        <f t="shared" si="509"/>
        <v>S</v>
      </c>
      <c r="BC659" s="39" t="s">
        <v>357</v>
      </c>
      <c r="BD659" s="39" t="s">
        <v>357</v>
      </c>
      <c r="BE659" s="66">
        <v>27.0</v>
      </c>
      <c r="BF659" s="36" t="str">
        <f t="shared" si="510"/>
        <v>S</v>
      </c>
      <c r="BG659" s="68">
        <v>9.0</v>
      </c>
      <c r="BH659" s="41" t="str">
        <f t="shared" si="511"/>
        <v>R</v>
      </c>
      <c r="BI659" s="41"/>
    </row>
    <row r="660">
      <c r="A660" s="21" t="s">
        <v>670</v>
      </c>
      <c r="B660" s="23">
        <v>275.0</v>
      </c>
      <c r="C660" s="21" t="s">
        <v>1097</v>
      </c>
      <c r="D660" s="69" t="s">
        <v>571</v>
      </c>
      <c r="E660" s="18" t="s">
        <v>572</v>
      </c>
      <c r="F660" s="18" t="s">
        <v>573</v>
      </c>
      <c r="G660" s="63" t="s">
        <v>1098</v>
      </c>
      <c r="H660" s="72" t="s">
        <v>905</v>
      </c>
      <c r="I660" s="28">
        <v>12.0</v>
      </c>
      <c r="J660" s="26" t="str">
        <f t="shared" si="489"/>
        <v>R</v>
      </c>
      <c r="K660" s="28">
        <v>12.0</v>
      </c>
      <c r="L660" s="26" t="str">
        <f t="shared" si="490"/>
        <v>R</v>
      </c>
      <c r="M660" s="28">
        <v>20.0</v>
      </c>
      <c r="N660" s="26" t="str">
        <f t="shared" si="491"/>
        <v>R</v>
      </c>
      <c r="O660" s="28">
        <v>33.0</v>
      </c>
      <c r="P660" s="26" t="str">
        <f t="shared" si="492"/>
        <v>S</v>
      </c>
      <c r="Q660" s="28">
        <v>20.0</v>
      </c>
      <c r="R660" s="26" t="str">
        <f t="shared" si="493"/>
        <v>S</v>
      </c>
      <c r="S660" s="28">
        <v>18.0</v>
      </c>
      <c r="T660" s="26" t="str">
        <f t="shared" si="494"/>
        <v>R</v>
      </c>
      <c r="U660" s="28">
        <v>6.0</v>
      </c>
      <c r="V660" s="26" t="str">
        <f t="shared" si="495"/>
        <v>R</v>
      </c>
      <c r="W660" s="32" t="s">
        <v>299</v>
      </c>
      <c r="X660" s="65">
        <v>21.0</v>
      </c>
      <c r="Y660" s="33" t="str">
        <f t="shared" si="496"/>
        <v>S</v>
      </c>
      <c r="Z660" s="65">
        <v>6.0</v>
      </c>
      <c r="AA660" s="33" t="str">
        <f t="shared" si="497"/>
        <v>R</v>
      </c>
      <c r="AB660" s="65">
        <v>21.0</v>
      </c>
      <c r="AC660" s="33" t="str">
        <f t="shared" si="498"/>
        <v>I</v>
      </c>
      <c r="AD660" s="65">
        <v>20.0</v>
      </c>
      <c r="AE660" s="33" t="str">
        <f t="shared" si="499"/>
        <v>S</v>
      </c>
      <c r="AF660" s="65">
        <v>25.0</v>
      </c>
      <c r="AG660" s="33" t="str">
        <f t="shared" si="500"/>
        <v>I</v>
      </c>
      <c r="AH660" s="65" t="s">
        <v>299</v>
      </c>
      <c r="AI660" s="66">
        <v>22.0</v>
      </c>
      <c r="AJ660" s="36" t="str">
        <f t="shared" si="501"/>
        <v>I</v>
      </c>
      <c r="AK660" s="66">
        <v>23.0</v>
      </c>
      <c r="AL660" s="36" t="str">
        <f t="shared" si="502"/>
        <v>S</v>
      </c>
      <c r="AM660" s="66">
        <v>18.0</v>
      </c>
      <c r="AN660" s="36" t="str">
        <f t="shared" si="503"/>
        <v>S</v>
      </c>
      <c r="AO660" s="66" t="s">
        <v>299</v>
      </c>
      <c r="AP660" s="67">
        <v>22.0</v>
      </c>
      <c r="AQ660" s="37" t="str">
        <f t="shared" si="504"/>
        <v>S</v>
      </c>
      <c r="AR660" s="65">
        <v>18.0</v>
      </c>
      <c r="AS660" s="33" t="str">
        <f t="shared" si="505"/>
        <v>S</v>
      </c>
      <c r="AT660" s="65">
        <v>19.0</v>
      </c>
      <c r="AU660" s="33" t="str">
        <f t="shared" si="506"/>
        <v>S</v>
      </c>
      <c r="AV660" s="33" t="s">
        <v>300</v>
      </c>
      <c r="AW660" s="28">
        <v>21.0</v>
      </c>
      <c r="AX660" s="26" t="str">
        <f t="shared" si="507"/>
        <v>S</v>
      </c>
      <c r="AY660" s="67">
        <v>24.0</v>
      </c>
      <c r="AZ660" s="37" t="str">
        <f t="shared" si="508"/>
        <v>I</v>
      </c>
      <c r="BA660" s="66">
        <v>25.0</v>
      </c>
      <c r="BB660" s="36" t="str">
        <f t="shared" si="509"/>
        <v>S</v>
      </c>
      <c r="BC660" s="39" t="s">
        <v>357</v>
      </c>
      <c r="BD660" s="39" t="s">
        <v>357</v>
      </c>
      <c r="BE660" s="66">
        <v>23.0</v>
      </c>
      <c r="BF660" s="36" t="str">
        <f t="shared" si="510"/>
        <v>S</v>
      </c>
      <c r="BG660" s="68">
        <v>16.0</v>
      </c>
      <c r="BH660" s="41" t="str">
        <f t="shared" si="511"/>
        <v>R</v>
      </c>
      <c r="BI660" s="41"/>
    </row>
    <row r="661">
      <c r="A661" s="21" t="s">
        <v>670</v>
      </c>
      <c r="B661" s="21" t="s">
        <v>444</v>
      </c>
      <c r="C661" s="21" t="s">
        <v>2178</v>
      </c>
      <c r="D661" s="69" t="s">
        <v>571</v>
      </c>
      <c r="E661" s="18" t="s">
        <v>572</v>
      </c>
      <c r="F661" s="18" t="s">
        <v>573</v>
      </c>
      <c r="G661" s="63" t="s">
        <v>2179</v>
      </c>
      <c r="H661" s="72" t="s">
        <v>905</v>
      </c>
      <c r="I661" s="28">
        <v>12.0</v>
      </c>
      <c r="J661" s="26" t="str">
        <f t="shared" si="489"/>
        <v>R</v>
      </c>
      <c r="K661" s="28">
        <v>12.0</v>
      </c>
      <c r="L661" s="26" t="str">
        <f t="shared" si="490"/>
        <v>R</v>
      </c>
      <c r="M661" s="28">
        <v>20.0</v>
      </c>
      <c r="N661" s="26" t="str">
        <f t="shared" si="491"/>
        <v>R</v>
      </c>
      <c r="O661" s="28">
        <v>33.0</v>
      </c>
      <c r="P661" s="26" t="str">
        <f t="shared" si="492"/>
        <v>S</v>
      </c>
      <c r="Q661" s="28">
        <v>20.0</v>
      </c>
      <c r="R661" s="26" t="str">
        <f t="shared" si="493"/>
        <v>S</v>
      </c>
      <c r="S661" s="28">
        <v>18.0</v>
      </c>
      <c r="T661" s="26" t="str">
        <f t="shared" si="494"/>
        <v>R</v>
      </c>
      <c r="U661" s="28">
        <v>6.0</v>
      </c>
      <c r="V661" s="26" t="str">
        <f t="shared" si="495"/>
        <v>R</v>
      </c>
      <c r="W661" s="32" t="s">
        <v>299</v>
      </c>
      <c r="X661" s="65">
        <v>21.0</v>
      </c>
      <c r="Y661" s="33" t="str">
        <f t="shared" si="496"/>
        <v>S</v>
      </c>
      <c r="Z661" s="65">
        <v>6.0</v>
      </c>
      <c r="AA661" s="33" t="str">
        <f t="shared" si="497"/>
        <v>R</v>
      </c>
      <c r="AB661" s="65">
        <v>21.0</v>
      </c>
      <c r="AC661" s="33" t="str">
        <f t="shared" si="498"/>
        <v>I</v>
      </c>
      <c r="AD661" s="65">
        <v>20.0</v>
      </c>
      <c r="AE661" s="33" t="str">
        <f t="shared" si="499"/>
        <v>S</v>
      </c>
      <c r="AF661" s="65">
        <v>25.0</v>
      </c>
      <c r="AG661" s="33" t="str">
        <f t="shared" si="500"/>
        <v>I</v>
      </c>
      <c r="AH661" s="65" t="s">
        <v>299</v>
      </c>
      <c r="AI661" s="66">
        <v>22.0</v>
      </c>
      <c r="AJ661" s="36" t="str">
        <f t="shared" si="501"/>
        <v>I</v>
      </c>
      <c r="AK661" s="66">
        <v>23.0</v>
      </c>
      <c r="AL661" s="36" t="str">
        <f t="shared" si="502"/>
        <v>S</v>
      </c>
      <c r="AM661" s="66">
        <v>18.0</v>
      </c>
      <c r="AN661" s="36" t="str">
        <f t="shared" si="503"/>
        <v>S</v>
      </c>
      <c r="AO661" s="66" t="s">
        <v>299</v>
      </c>
      <c r="AP661" s="67">
        <v>22.0</v>
      </c>
      <c r="AQ661" s="37" t="str">
        <f t="shared" si="504"/>
        <v>S</v>
      </c>
      <c r="AR661" s="65">
        <v>18.0</v>
      </c>
      <c r="AS661" s="33" t="str">
        <f t="shared" si="505"/>
        <v>S</v>
      </c>
      <c r="AT661" s="65">
        <v>19.0</v>
      </c>
      <c r="AU661" s="33" t="str">
        <f t="shared" si="506"/>
        <v>S</v>
      </c>
      <c r="AV661" s="33" t="s">
        <v>300</v>
      </c>
      <c r="AW661" s="28">
        <v>21.0</v>
      </c>
      <c r="AX661" s="26" t="str">
        <f t="shared" si="507"/>
        <v>S</v>
      </c>
      <c r="AY661" s="67">
        <v>24.0</v>
      </c>
      <c r="AZ661" s="37" t="str">
        <f t="shared" si="508"/>
        <v>I</v>
      </c>
      <c r="BA661" s="66">
        <v>25.0</v>
      </c>
      <c r="BB661" s="36" t="str">
        <f t="shared" si="509"/>
        <v>S</v>
      </c>
      <c r="BC661" s="39" t="s">
        <v>357</v>
      </c>
      <c r="BD661" s="39" t="s">
        <v>357</v>
      </c>
      <c r="BE661" s="66">
        <v>23.0</v>
      </c>
      <c r="BF661" s="36" t="str">
        <f t="shared" si="510"/>
        <v>S</v>
      </c>
      <c r="BG661" s="68">
        <v>16.0</v>
      </c>
      <c r="BH661" s="41" t="str">
        <f t="shared" si="511"/>
        <v>R</v>
      </c>
      <c r="BI661" s="41"/>
    </row>
    <row r="662">
      <c r="A662" s="21" t="s">
        <v>670</v>
      </c>
      <c r="B662" s="21" t="s">
        <v>444</v>
      </c>
      <c r="C662" s="21" t="s">
        <v>2180</v>
      </c>
      <c r="D662" s="69" t="s">
        <v>571</v>
      </c>
      <c r="E662" s="18" t="s">
        <v>572</v>
      </c>
      <c r="F662" s="18" t="s">
        <v>573</v>
      </c>
      <c r="G662" s="63" t="s">
        <v>2181</v>
      </c>
      <c r="H662" s="72" t="s">
        <v>905</v>
      </c>
      <c r="I662" s="28">
        <v>12.0</v>
      </c>
      <c r="J662" s="26" t="str">
        <f t="shared" si="489"/>
        <v>R</v>
      </c>
      <c r="K662" s="28">
        <v>12.0</v>
      </c>
      <c r="L662" s="26" t="str">
        <f t="shared" si="490"/>
        <v>R</v>
      </c>
      <c r="M662" s="28">
        <v>20.0</v>
      </c>
      <c r="N662" s="26" t="str">
        <f t="shared" si="491"/>
        <v>R</v>
      </c>
      <c r="O662" s="28">
        <v>33.0</v>
      </c>
      <c r="P662" s="26" t="str">
        <f t="shared" si="492"/>
        <v>S</v>
      </c>
      <c r="Q662" s="28">
        <v>20.0</v>
      </c>
      <c r="R662" s="26" t="str">
        <f t="shared" si="493"/>
        <v>S</v>
      </c>
      <c r="S662" s="28">
        <v>18.0</v>
      </c>
      <c r="T662" s="26" t="str">
        <f t="shared" si="494"/>
        <v>R</v>
      </c>
      <c r="U662" s="28">
        <v>6.0</v>
      </c>
      <c r="V662" s="26" t="str">
        <f t="shared" si="495"/>
        <v>R</v>
      </c>
      <c r="W662" s="32" t="s">
        <v>299</v>
      </c>
      <c r="X662" s="65">
        <v>21.0</v>
      </c>
      <c r="Y662" s="33" t="str">
        <f t="shared" si="496"/>
        <v>S</v>
      </c>
      <c r="Z662" s="65">
        <v>6.0</v>
      </c>
      <c r="AA662" s="33" t="str">
        <f t="shared" si="497"/>
        <v>R</v>
      </c>
      <c r="AB662" s="65">
        <v>21.0</v>
      </c>
      <c r="AC662" s="33" t="str">
        <f t="shared" si="498"/>
        <v>I</v>
      </c>
      <c r="AD662" s="65">
        <v>20.0</v>
      </c>
      <c r="AE662" s="33" t="str">
        <f t="shared" si="499"/>
        <v>S</v>
      </c>
      <c r="AF662" s="65">
        <v>25.0</v>
      </c>
      <c r="AG662" s="33" t="str">
        <f t="shared" si="500"/>
        <v>I</v>
      </c>
      <c r="AH662" s="65" t="s">
        <v>299</v>
      </c>
      <c r="AI662" s="66">
        <v>22.0</v>
      </c>
      <c r="AJ662" s="36" t="str">
        <f t="shared" si="501"/>
        <v>I</v>
      </c>
      <c r="AK662" s="66">
        <v>23.0</v>
      </c>
      <c r="AL662" s="36" t="str">
        <f t="shared" si="502"/>
        <v>S</v>
      </c>
      <c r="AM662" s="66">
        <v>18.0</v>
      </c>
      <c r="AN662" s="36" t="str">
        <f t="shared" si="503"/>
        <v>S</v>
      </c>
      <c r="AO662" s="66" t="s">
        <v>299</v>
      </c>
      <c r="AP662" s="67">
        <v>22.0</v>
      </c>
      <c r="AQ662" s="37" t="str">
        <f t="shared" si="504"/>
        <v>S</v>
      </c>
      <c r="AR662" s="65">
        <v>18.0</v>
      </c>
      <c r="AS662" s="33" t="str">
        <f t="shared" si="505"/>
        <v>S</v>
      </c>
      <c r="AT662" s="65">
        <v>19.0</v>
      </c>
      <c r="AU662" s="33" t="str">
        <f t="shared" si="506"/>
        <v>S</v>
      </c>
      <c r="AV662" s="33" t="s">
        <v>300</v>
      </c>
      <c r="AW662" s="28">
        <v>21.0</v>
      </c>
      <c r="AX662" s="26" t="str">
        <f t="shared" si="507"/>
        <v>S</v>
      </c>
      <c r="AY662" s="67">
        <v>24.0</v>
      </c>
      <c r="AZ662" s="37" t="str">
        <f t="shared" si="508"/>
        <v>I</v>
      </c>
      <c r="BA662" s="66">
        <v>25.0</v>
      </c>
      <c r="BB662" s="36" t="str">
        <f t="shared" si="509"/>
        <v>S</v>
      </c>
      <c r="BC662" s="39" t="s">
        <v>357</v>
      </c>
      <c r="BD662" s="39" t="s">
        <v>357</v>
      </c>
      <c r="BE662" s="66">
        <v>23.0</v>
      </c>
      <c r="BF662" s="36" t="str">
        <f t="shared" si="510"/>
        <v>S</v>
      </c>
      <c r="BG662" s="68">
        <v>16.0</v>
      </c>
      <c r="BH662" s="41" t="str">
        <f t="shared" si="511"/>
        <v>R</v>
      </c>
      <c r="BI662" s="41"/>
    </row>
    <row r="663">
      <c r="A663" s="21" t="s">
        <v>670</v>
      </c>
      <c r="B663" s="23">
        <v>276.0</v>
      </c>
      <c r="C663" s="21" t="s">
        <v>1101</v>
      </c>
      <c r="D663" s="69" t="s">
        <v>956</v>
      </c>
      <c r="E663" s="18" t="s">
        <v>103</v>
      </c>
      <c r="F663" s="18" t="s">
        <v>192</v>
      </c>
      <c r="G663" s="63" t="s">
        <v>1102</v>
      </c>
      <c r="H663" s="42" t="s">
        <v>479</v>
      </c>
      <c r="I663" s="28">
        <v>6.0</v>
      </c>
      <c r="J663" s="26" t="str">
        <f t="shared" si="489"/>
        <v>R</v>
      </c>
      <c r="K663" s="28">
        <v>13.0</v>
      </c>
      <c r="L663" s="26" t="str">
        <f t="shared" si="490"/>
        <v>R</v>
      </c>
      <c r="M663" s="28">
        <v>10.0</v>
      </c>
      <c r="N663" s="26" t="str">
        <f t="shared" si="491"/>
        <v>R</v>
      </c>
      <c r="O663" s="28">
        <v>18.0</v>
      </c>
      <c r="P663" s="26" t="str">
        <f t="shared" si="492"/>
        <v>R</v>
      </c>
      <c r="Q663" s="28">
        <v>9.0</v>
      </c>
      <c r="R663" s="26" t="str">
        <f t="shared" si="493"/>
        <v>R</v>
      </c>
      <c r="S663" s="28">
        <v>9.0</v>
      </c>
      <c r="T663" s="26" t="str">
        <f t="shared" si="494"/>
        <v>R</v>
      </c>
      <c r="U663" s="28">
        <v>6.0</v>
      </c>
      <c r="V663" s="26" t="str">
        <f t="shared" si="495"/>
        <v>R</v>
      </c>
      <c r="W663" s="32" t="s">
        <v>299</v>
      </c>
      <c r="X663" s="65">
        <v>16.0</v>
      </c>
      <c r="Y663" s="33" t="str">
        <f t="shared" si="496"/>
        <v>R</v>
      </c>
      <c r="Z663" s="65">
        <v>6.0</v>
      </c>
      <c r="AA663" s="33" t="str">
        <f t="shared" si="497"/>
        <v>R</v>
      </c>
      <c r="AB663" s="65">
        <v>11.0</v>
      </c>
      <c r="AC663" s="33" t="str">
        <f t="shared" si="498"/>
        <v>R</v>
      </c>
      <c r="AD663" s="65">
        <v>11.0</v>
      </c>
      <c r="AE663" s="33" t="str">
        <f t="shared" si="499"/>
        <v>R</v>
      </c>
      <c r="AF663" s="65">
        <v>19.0</v>
      </c>
      <c r="AG663" s="33" t="str">
        <f t="shared" si="500"/>
        <v>R</v>
      </c>
      <c r="AH663" s="65" t="s">
        <v>299</v>
      </c>
      <c r="AI663" s="66">
        <v>13.0</v>
      </c>
      <c r="AJ663" s="36" t="str">
        <f t="shared" si="501"/>
        <v>R</v>
      </c>
      <c r="AK663" s="66">
        <v>10.0</v>
      </c>
      <c r="AL663" s="36" t="str">
        <f t="shared" si="502"/>
        <v>R</v>
      </c>
      <c r="AM663" s="66">
        <v>6.0</v>
      </c>
      <c r="AN663" s="36" t="str">
        <f t="shared" si="503"/>
        <v>R</v>
      </c>
      <c r="AO663" s="66" t="s">
        <v>299</v>
      </c>
      <c r="AP663" s="67">
        <v>6.0</v>
      </c>
      <c r="AQ663" s="37" t="str">
        <f t="shared" si="504"/>
        <v>R</v>
      </c>
      <c r="AR663" s="65">
        <v>15.0</v>
      </c>
      <c r="AS663" s="33" t="str">
        <f t="shared" si="505"/>
        <v>R</v>
      </c>
      <c r="AT663" s="65">
        <v>12.0</v>
      </c>
      <c r="AU663" s="33" t="str">
        <f t="shared" si="506"/>
        <v>R</v>
      </c>
      <c r="AV663" s="65" t="s">
        <v>299</v>
      </c>
      <c r="AW663" s="28">
        <v>6.0</v>
      </c>
      <c r="AX663" s="26" t="str">
        <f t="shared" si="507"/>
        <v>R</v>
      </c>
      <c r="AY663" s="67">
        <v>14.0</v>
      </c>
      <c r="AZ663" s="37" t="str">
        <f t="shared" si="508"/>
        <v>R</v>
      </c>
      <c r="BA663" s="66">
        <v>17.0</v>
      </c>
      <c r="BB663" s="36" t="str">
        <f t="shared" si="509"/>
        <v>R</v>
      </c>
      <c r="BC663" s="39" t="s">
        <v>357</v>
      </c>
      <c r="BD663" s="39" t="s">
        <v>357</v>
      </c>
      <c r="BE663" s="66">
        <v>19.0</v>
      </c>
      <c r="BF663" s="36" t="str">
        <f t="shared" si="510"/>
        <v>I</v>
      </c>
      <c r="BG663" s="68">
        <v>15.0</v>
      </c>
      <c r="BH663" s="41" t="str">
        <f t="shared" si="511"/>
        <v>R</v>
      </c>
      <c r="BI663" s="41"/>
    </row>
    <row r="664">
      <c r="A664" s="21" t="s">
        <v>670</v>
      </c>
      <c r="B664" s="21" t="s">
        <v>444</v>
      </c>
      <c r="C664" s="21" t="s">
        <v>2182</v>
      </c>
      <c r="D664" s="69" t="s">
        <v>956</v>
      </c>
      <c r="E664" s="18" t="s">
        <v>103</v>
      </c>
      <c r="F664" s="18" t="s">
        <v>192</v>
      </c>
      <c r="G664" s="63" t="s">
        <v>2183</v>
      </c>
      <c r="H664" s="42" t="s">
        <v>479</v>
      </c>
      <c r="I664" s="28">
        <v>6.0</v>
      </c>
      <c r="J664" s="26" t="str">
        <f t="shared" si="489"/>
        <v>R</v>
      </c>
      <c r="K664" s="28">
        <v>11.0</v>
      </c>
      <c r="L664" s="26" t="str">
        <f t="shared" si="490"/>
        <v>R</v>
      </c>
      <c r="M664" s="28">
        <v>10.0</v>
      </c>
      <c r="N664" s="26" t="str">
        <f t="shared" si="491"/>
        <v>R</v>
      </c>
      <c r="O664" s="28">
        <v>18.0</v>
      </c>
      <c r="P664" s="26" t="str">
        <f t="shared" si="492"/>
        <v>R</v>
      </c>
      <c r="Q664" s="28">
        <v>9.0</v>
      </c>
      <c r="R664" s="26" t="str">
        <f t="shared" si="493"/>
        <v>R</v>
      </c>
      <c r="S664" s="28">
        <v>11.0</v>
      </c>
      <c r="T664" s="26" t="str">
        <f t="shared" si="494"/>
        <v>R</v>
      </c>
      <c r="U664" s="28">
        <v>6.0</v>
      </c>
      <c r="V664" s="26" t="str">
        <f t="shared" si="495"/>
        <v>R</v>
      </c>
      <c r="W664" s="32" t="s">
        <v>299</v>
      </c>
      <c r="X664" s="65">
        <v>14.0</v>
      </c>
      <c r="Y664" s="33" t="str">
        <f t="shared" si="496"/>
        <v>R</v>
      </c>
      <c r="Z664" s="65">
        <v>7.0</v>
      </c>
      <c r="AA664" s="33" t="str">
        <f t="shared" si="497"/>
        <v>R</v>
      </c>
      <c r="AB664" s="65">
        <v>11.0</v>
      </c>
      <c r="AC664" s="33" t="str">
        <f t="shared" si="498"/>
        <v>R</v>
      </c>
      <c r="AD664" s="65">
        <v>11.0</v>
      </c>
      <c r="AE664" s="33" t="str">
        <f t="shared" si="499"/>
        <v>R</v>
      </c>
      <c r="AF664" s="65">
        <v>19.0</v>
      </c>
      <c r="AG664" s="33" t="str">
        <f t="shared" si="500"/>
        <v>R</v>
      </c>
      <c r="AH664" s="65" t="s">
        <v>299</v>
      </c>
      <c r="AI664" s="66">
        <v>9.0</v>
      </c>
      <c r="AJ664" s="36" t="str">
        <f t="shared" si="501"/>
        <v>R</v>
      </c>
      <c r="AK664" s="66">
        <v>9.0</v>
      </c>
      <c r="AL664" s="36" t="str">
        <f t="shared" si="502"/>
        <v>R</v>
      </c>
      <c r="AM664" s="66">
        <v>6.0</v>
      </c>
      <c r="AN664" s="36" t="str">
        <f t="shared" si="503"/>
        <v>R</v>
      </c>
      <c r="AO664" s="66" t="s">
        <v>299</v>
      </c>
      <c r="AP664" s="67">
        <v>6.0</v>
      </c>
      <c r="AQ664" s="37" t="str">
        <f t="shared" si="504"/>
        <v>R</v>
      </c>
      <c r="AR664" s="65">
        <v>16.0</v>
      </c>
      <c r="AS664" s="33" t="str">
        <f t="shared" si="505"/>
        <v>R</v>
      </c>
      <c r="AT664" s="65">
        <v>12.0</v>
      </c>
      <c r="AU664" s="33" t="str">
        <f t="shared" si="506"/>
        <v>R</v>
      </c>
      <c r="AV664" s="65" t="s">
        <v>299</v>
      </c>
      <c r="AW664" s="28">
        <v>6.0</v>
      </c>
      <c r="AX664" s="26" t="str">
        <f t="shared" si="507"/>
        <v>R</v>
      </c>
      <c r="AY664" s="67">
        <v>14.0</v>
      </c>
      <c r="AZ664" s="37" t="str">
        <f t="shared" si="508"/>
        <v>R</v>
      </c>
      <c r="BA664" s="66">
        <v>16.0</v>
      </c>
      <c r="BB664" s="36" t="str">
        <f t="shared" si="509"/>
        <v>R</v>
      </c>
      <c r="BC664" s="39" t="s">
        <v>357</v>
      </c>
      <c r="BD664" s="39" t="s">
        <v>357</v>
      </c>
      <c r="BE664" s="66">
        <v>19.0</v>
      </c>
      <c r="BF664" s="36" t="str">
        <f t="shared" si="510"/>
        <v>I</v>
      </c>
      <c r="BG664" s="68">
        <v>15.0</v>
      </c>
      <c r="BH664" s="41" t="str">
        <f t="shared" si="511"/>
        <v>R</v>
      </c>
      <c r="BI664" s="41"/>
    </row>
    <row r="665">
      <c r="A665" s="21" t="s">
        <v>670</v>
      </c>
      <c r="B665" s="21" t="s">
        <v>444</v>
      </c>
      <c r="C665" s="21" t="s">
        <v>2184</v>
      </c>
      <c r="D665" s="69" t="s">
        <v>956</v>
      </c>
      <c r="E665" s="18" t="s">
        <v>103</v>
      </c>
      <c r="F665" s="18" t="s">
        <v>192</v>
      </c>
      <c r="G665" s="63" t="s">
        <v>2185</v>
      </c>
      <c r="H665" s="42" t="s">
        <v>479</v>
      </c>
      <c r="I665" s="28">
        <v>6.0</v>
      </c>
      <c r="J665" s="26" t="str">
        <f t="shared" si="489"/>
        <v>R</v>
      </c>
      <c r="K665" s="28">
        <v>11.0</v>
      </c>
      <c r="L665" s="26" t="str">
        <f t="shared" si="490"/>
        <v>R</v>
      </c>
      <c r="M665" s="28">
        <v>10.0</v>
      </c>
      <c r="N665" s="26" t="str">
        <f t="shared" si="491"/>
        <v>R</v>
      </c>
      <c r="O665" s="28">
        <v>18.0</v>
      </c>
      <c r="P665" s="26" t="str">
        <f t="shared" si="492"/>
        <v>R</v>
      </c>
      <c r="Q665" s="28">
        <v>9.0</v>
      </c>
      <c r="R665" s="26" t="str">
        <f t="shared" si="493"/>
        <v>R</v>
      </c>
      <c r="S665" s="28">
        <v>11.0</v>
      </c>
      <c r="T665" s="26" t="str">
        <f t="shared" si="494"/>
        <v>R</v>
      </c>
      <c r="U665" s="28">
        <v>6.0</v>
      </c>
      <c r="V665" s="26" t="str">
        <f t="shared" si="495"/>
        <v>R</v>
      </c>
      <c r="W665" s="32" t="s">
        <v>299</v>
      </c>
      <c r="X665" s="65">
        <v>14.0</v>
      </c>
      <c r="Y665" s="33" t="str">
        <f t="shared" si="496"/>
        <v>R</v>
      </c>
      <c r="Z665" s="65">
        <v>6.0</v>
      </c>
      <c r="AA665" s="33" t="str">
        <f t="shared" si="497"/>
        <v>R</v>
      </c>
      <c r="AB665" s="65">
        <v>11.0</v>
      </c>
      <c r="AC665" s="33" t="str">
        <f t="shared" si="498"/>
        <v>R</v>
      </c>
      <c r="AD665" s="65">
        <v>11.0</v>
      </c>
      <c r="AE665" s="33" t="str">
        <f t="shared" si="499"/>
        <v>R</v>
      </c>
      <c r="AF665" s="65">
        <v>19.0</v>
      </c>
      <c r="AG665" s="33" t="str">
        <f t="shared" si="500"/>
        <v>R</v>
      </c>
      <c r="AH665" s="65" t="s">
        <v>299</v>
      </c>
      <c r="AI665" s="66">
        <v>9.0</v>
      </c>
      <c r="AJ665" s="36" t="str">
        <f t="shared" si="501"/>
        <v>R</v>
      </c>
      <c r="AK665" s="66">
        <v>9.0</v>
      </c>
      <c r="AL665" s="36" t="str">
        <f t="shared" si="502"/>
        <v>R</v>
      </c>
      <c r="AM665" s="66">
        <v>6.0</v>
      </c>
      <c r="AN665" s="36" t="str">
        <f t="shared" si="503"/>
        <v>R</v>
      </c>
      <c r="AO665" s="66" t="s">
        <v>299</v>
      </c>
      <c r="AP665" s="67">
        <v>6.0</v>
      </c>
      <c r="AQ665" s="37" t="str">
        <f t="shared" si="504"/>
        <v>R</v>
      </c>
      <c r="AR665" s="65">
        <v>15.0</v>
      </c>
      <c r="AS665" s="33" t="str">
        <f t="shared" si="505"/>
        <v>R</v>
      </c>
      <c r="AT665" s="65">
        <v>12.0</v>
      </c>
      <c r="AU665" s="33" t="str">
        <f t="shared" si="506"/>
        <v>R</v>
      </c>
      <c r="AV665" s="65" t="s">
        <v>299</v>
      </c>
      <c r="AW665" s="28">
        <v>6.0</v>
      </c>
      <c r="AX665" s="26" t="str">
        <f t="shared" si="507"/>
        <v>R</v>
      </c>
      <c r="AY665" s="67">
        <v>14.0</v>
      </c>
      <c r="AZ665" s="37" t="str">
        <f t="shared" si="508"/>
        <v>R</v>
      </c>
      <c r="BA665" s="66">
        <v>18.0</v>
      </c>
      <c r="BB665" s="36" t="str">
        <f t="shared" si="509"/>
        <v>R</v>
      </c>
      <c r="BC665" s="39" t="s">
        <v>357</v>
      </c>
      <c r="BD665" s="39" t="s">
        <v>357</v>
      </c>
      <c r="BE665" s="66">
        <v>19.0</v>
      </c>
      <c r="BF665" s="36" t="str">
        <f t="shared" si="510"/>
        <v>I</v>
      </c>
      <c r="BG665" s="68">
        <v>15.0</v>
      </c>
      <c r="BH665" s="41" t="str">
        <f t="shared" si="511"/>
        <v>R</v>
      </c>
      <c r="BI665" s="41"/>
    </row>
    <row r="666">
      <c r="A666" s="51" t="s">
        <v>680</v>
      </c>
      <c r="B666" s="53">
        <v>277.0</v>
      </c>
      <c r="C666" s="51" t="s">
        <v>1107</v>
      </c>
      <c r="D666" s="69" t="s">
        <v>190</v>
      </c>
      <c r="E666" s="18" t="s">
        <v>190</v>
      </c>
      <c r="F666" s="18" t="s">
        <v>192</v>
      </c>
      <c r="G666" s="63" t="s">
        <v>1108</v>
      </c>
      <c r="H666" s="42" t="s">
        <v>479</v>
      </c>
      <c r="I666" s="28">
        <v>6.0</v>
      </c>
      <c r="J666" s="26" t="str">
        <f t="shared" si="489"/>
        <v>R</v>
      </c>
      <c r="K666" s="28">
        <v>8.0</v>
      </c>
      <c r="L666" s="26" t="str">
        <f t="shared" si="490"/>
        <v>R</v>
      </c>
      <c r="M666" s="28">
        <v>9.0</v>
      </c>
      <c r="N666" s="26" t="str">
        <f t="shared" si="491"/>
        <v>R</v>
      </c>
      <c r="O666" s="28">
        <v>24.0</v>
      </c>
      <c r="P666" s="26" t="str">
        <f t="shared" si="492"/>
        <v>S</v>
      </c>
      <c r="Q666" s="28">
        <v>10.0</v>
      </c>
      <c r="R666" s="26" t="str">
        <f t="shared" si="493"/>
        <v>R</v>
      </c>
      <c r="S666" s="28">
        <v>20.0</v>
      </c>
      <c r="T666" s="26" t="str">
        <f t="shared" si="494"/>
        <v>S</v>
      </c>
      <c r="U666" s="28">
        <v>13.0</v>
      </c>
      <c r="V666" s="26" t="str">
        <f t="shared" si="495"/>
        <v>R</v>
      </c>
      <c r="W666" s="32" t="s">
        <v>299</v>
      </c>
      <c r="X666" s="65">
        <v>19.0</v>
      </c>
      <c r="Y666" s="33" t="str">
        <f t="shared" si="496"/>
        <v>I</v>
      </c>
      <c r="Z666" s="65">
        <v>10.0</v>
      </c>
      <c r="AA666" s="33" t="str">
        <f t="shared" si="497"/>
        <v>R</v>
      </c>
      <c r="AB666" s="65">
        <v>6.0</v>
      </c>
      <c r="AC666" s="33" t="str">
        <f t="shared" si="498"/>
        <v>R</v>
      </c>
      <c r="AD666" s="65">
        <v>19.0</v>
      </c>
      <c r="AE666" s="33" t="str">
        <f t="shared" si="499"/>
        <v>S</v>
      </c>
      <c r="AF666" s="65">
        <v>16.0</v>
      </c>
      <c r="AG666" s="33" t="str">
        <f t="shared" si="500"/>
        <v>R</v>
      </c>
      <c r="AH666" s="65" t="s">
        <v>299</v>
      </c>
      <c r="AI666" s="66">
        <v>21.0</v>
      </c>
      <c r="AJ666" s="36" t="str">
        <f t="shared" si="501"/>
        <v>R</v>
      </c>
      <c r="AK666" s="66">
        <v>20.0</v>
      </c>
      <c r="AL666" s="36" t="str">
        <f t="shared" si="502"/>
        <v>I</v>
      </c>
      <c r="AM666" s="66">
        <v>16.0</v>
      </c>
      <c r="AN666" s="36" t="str">
        <f t="shared" si="503"/>
        <v>S</v>
      </c>
      <c r="AO666" s="66" t="s">
        <v>299</v>
      </c>
      <c r="AP666" s="67">
        <v>18.0</v>
      </c>
      <c r="AQ666" s="37" t="str">
        <f t="shared" si="504"/>
        <v>S</v>
      </c>
      <c r="AR666" s="65">
        <v>20.0</v>
      </c>
      <c r="AS666" s="33" t="str">
        <f t="shared" si="505"/>
        <v>S</v>
      </c>
      <c r="AT666" s="65">
        <v>19.0</v>
      </c>
      <c r="AU666" s="33" t="str">
        <f t="shared" si="506"/>
        <v>S</v>
      </c>
      <c r="AV666" s="33" t="s">
        <v>300</v>
      </c>
      <c r="AW666" s="28">
        <v>19.0</v>
      </c>
      <c r="AX666" s="26" t="str">
        <f t="shared" si="507"/>
        <v>R</v>
      </c>
      <c r="AY666" s="67">
        <v>16.0</v>
      </c>
      <c r="AZ666" s="37" t="str">
        <f t="shared" si="508"/>
        <v>R</v>
      </c>
      <c r="BA666" s="66">
        <v>21.0</v>
      </c>
      <c r="BB666" s="36" t="str">
        <f t="shared" si="509"/>
        <v>R</v>
      </c>
      <c r="BC666" s="39" t="s">
        <v>357</v>
      </c>
      <c r="BD666" s="39" t="s">
        <v>357</v>
      </c>
      <c r="BE666" s="66">
        <v>19.0</v>
      </c>
      <c r="BF666" s="36" t="str">
        <f t="shared" si="510"/>
        <v>I</v>
      </c>
      <c r="BG666" s="68">
        <v>20.0</v>
      </c>
      <c r="BH666" s="41" t="str">
        <f t="shared" si="511"/>
        <v>S</v>
      </c>
      <c r="BI666" s="41"/>
    </row>
    <row r="667">
      <c r="A667" s="51" t="s">
        <v>680</v>
      </c>
      <c r="B667" s="51" t="s">
        <v>444</v>
      </c>
      <c r="C667" s="51" t="s">
        <v>2186</v>
      </c>
      <c r="D667" s="69" t="s">
        <v>190</v>
      </c>
      <c r="E667" s="18" t="s">
        <v>190</v>
      </c>
      <c r="F667" s="18" t="s">
        <v>192</v>
      </c>
      <c r="G667" s="63" t="s">
        <v>2187</v>
      </c>
      <c r="H667" s="42" t="s">
        <v>479</v>
      </c>
      <c r="I667" s="28">
        <v>9.0</v>
      </c>
      <c r="J667" s="26" t="str">
        <f t="shared" si="489"/>
        <v>R</v>
      </c>
      <c r="K667" s="28">
        <v>10.0</v>
      </c>
      <c r="L667" s="26" t="str">
        <f t="shared" si="490"/>
        <v>R</v>
      </c>
      <c r="M667" s="28">
        <v>9.0</v>
      </c>
      <c r="N667" s="26" t="str">
        <f t="shared" si="491"/>
        <v>R</v>
      </c>
      <c r="O667" s="28">
        <v>24.0</v>
      </c>
      <c r="P667" s="26" t="str">
        <f t="shared" si="492"/>
        <v>S</v>
      </c>
      <c r="Q667" s="28">
        <v>11.0</v>
      </c>
      <c r="R667" s="26" t="str">
        <f t="shared" si="493"/>
        <v>R</v>
      </c>
      <c r="S667" s="28">
        <v>21.0</v>
      </c>
      <c r="T667" s="26" t="str">
        <f t="shared" si="494"/>
        <v>S</v>
      </c>
      <c r="U667" s="28">
        <v>13.0</v>
      </c>
      <c r="V667" s="26" t="str">
        <f t="shared" si="495"/>
        <v>R</v>
      </c>
      <c r="W667" s="32" t="s">
        <v>299</v>
      </c>
      <c r="X667" s="65">
        <v>18.0</v>
      </c>
      <c r="Y667" s="33" t="str">
        <f t="shared" si="496"/>
        <v>I</v>
      </c>
      <c r="Z667" s="65">
        <v>11.0</v>
      </c>
      <c r="AA667" s="33" t="str">
        <f t="shared" si="497"/>
        <v>R</v>
      </c>
      <c r="AB667" s="65">
        <v>6.0</v>
      </c>
      <c r="AC667" s="33" t="str">
        <f t="shared" si="498"/>
        <v>R</v>
      </c>
      <c r="AD667" s="65">
        <v>16.0</v>
      </c>
      <c r="AE667" s="33" t="str">
        <f t="shared" si="499"/>
        <v>S</v>
      </c>
      <c r="AF667" s="65">
        <v>10.0</v>
      </c>
      <c r="AG667" s="33" t="str">
        <f t="shared" si="500"/>
        <v>R</v>
      </c>
      <c r="AH667" s="65" t="s">
        <v>299</v>
      </c>
      <c r="AI667" s="66">
        <v>20.0</v>
      </c>
      <c r="AJ667" s="36" t="str">
        <f t="shared" si="501"/>
        <v>R</v>
      </c>
      <c r="AK667" s="66">
        <v>20.0</v>
      </c>
      <c r="AL667" s="36" t="str">
        <f t="shared" si="502"/>
        <v>I</v>
      </c>
      <c r="AM667" s="66">
        <v>14.0</v>
      </c>
      <c r="AN667" s="36" t="str">
        <f t="shared" si="503"/>
        <v>S</v>
      </c>
      <c r="AO667" s="66" t="s">
        <v>299</v>
      </c>
      <c r="AP667" s="67">
        <v>15.0</v>
      </c>
      <c r="AQ667" s="37" t="str">
        <f t="shared" si="504"/>
        <v>S</v>
      </c>
      <c r="AR667" s="65">
        <v>19.0</v>
      </c>
      <c r="AS667" s="33" t="str">
        <f t="shared" si="505"/>
        <v>S</v>
      </c>
      <c r="AT667" s="65">
        <v>17.0</v>
      </c>
      <c r="AU667" s="33" t="str">
        <f t="shared" si="506"/>
        <v>S</v>
      </c>
      <c r="AV667" s="33" t="s">
        <v>300</v>
      </c>
      <c r="AW667" s="28">
        <v>18.0</v>
      </c>
      <c r="AX667" s="26" t="str">
        <f t="shared" si="507"/>
        <v>R</v>
      </c>
      <c r="AY667" s="67">
        <v>14.0</v>
      </c>
      <c r="AZ667" s="37" t="str">
        <f t="shared" si="508"/>
        <v>R</v>
      </c>
      <c r="BA667" s="66">
        <v>20.0</v>
      </c>
      <c r="BB667" s="36" t="str">
        <f t="shared" si="509"/>
        <v>R</v>
      </c>
      <c r="BC667" s="39" t="s">
        <v>357</v>
      </c>
      <c r="BD667" s="39" t="s">
        <v>357</v>
      </c>
      <c r="BE667" s="66">
        <v>18.0</v>
      </c>
      <c r="BF667" s="36" t="str">
        <f t="shared" si="510"/>
        <v>R</v>
      </c>
      <c r="BG667" s="68">
        <v>21.0</v>
      </c>
      <c r="BH667" s="41" t="str">
        <f t="shared" si="511"/>
        <v>S</v>
      </c>
      <c r="BI667" s="41"/>
    </row>
    <row r="668">
      <c r="A668" s="51" t="s">
        <v>680</v>
      </c>
      <c r="B668" s="51" t="s">
        <v>444</v>
      </c>
      <c r="C668" s="51" t="s">
        <v>2188</v>
      </c>
      <c r="D668" s="69" t="s">
        <v>190</v>
      </c>
      <c r="E668" s="18" t="s">
        <v>190</v>
      </c>
      <c r="F668" s="18" t="s">
        <v>192</v>
      </c>
      <c r="G668" s="63" t="s">
        <v>1108</v>
      </c>
      <c r="H668" s="42" t="s">
        <v>479</v>
      </c>
      <c r="I668" s="28">
        <v>8.0</v>
      </c>
      <c r="J668" s="26" t="str">
        <f t="shared" si="489"/>
        <v>R</v>
      </c>
      <c r="K668" s="28">
        <v>9.0</v>
      </c>
      <c r="L668" s="26" t="str">
        <f t="shared" si="490"/>
        <v>R</v>
      </c>
      <c r="M668" s="28">
        <v>6.0</v>
      </c>
      <c r="N668" s="26" t="str">
        <f t="shared" si="491"/>
        <v>R</v>
      </c>
      <c r="O668" s="28">
        <v>24.0</v>
      </c>
      <c r="P668" s="26" t="str">
        <f t="shared" si="492"/>
        <v>S</v>
      </c>
      <c r="Q668" s="28">
        <v>9.0</v>
      </c>
      <c r="R668" s="26" t="str">
        <f t="shared" si="493"/>
        <v>R</v>
      </c>
      <c r="S668" s="28">
        <v>20.0</v>
      </c>
      <c r="T668" s="26" t="str">
        <f t="shared" si="494"/>
        <v>S</v>
      </c>
      <c r="U668" s="28">
        <v>13.0</v>
      </c>
      <c r="V668" s="26" t="str">
        <f t="shared" si="495"/>
        <v>R</v>
      </c>
      <c r="W668" s="32" t="s">
        <v>299</v>
      </c>
      <c r="X668" s="65">
        <v>19.0</v>
      </c>
      <c r="Y668" s="33" t="str">
        <f t="shared" si="496"/>
        <v>I</v>
      </c>
      <c r="Z668" s="65">
        <v>10.0</v>
      </c>
      <c r="AA668" s="33" t="str">
        <f t="shared" si="497"/>
        <v>R</v>
      </c>
      <c r="AB668" s="65">
        <v>6.0</v>
      </c>
      <c r="AC668" s="33" t="str">
        <f t="shared" si="498"/>
        <v>R</v>
      </c>
      <c r="AD668" s="65">
        <v>18.0</v>
      </c>
      <c r="AE668" s="33" t="str">
        <f t="shared" si="499"/>
        <v>S</v>
      </c>
      <c r="AF668" s="65">
        <v>15.0</v>
      </c>
      <c r="AG668" s="33" t="str">
        <f t="shared" si="500"/>
        <v>R</v>
      </c>
      <c r="AH668" s="65" t="s">
        <v>299</v>
      </c>
      <c r="AI668" s="66">
        <v>21.0</v>
      </c>
      <c r="AJ668" s="36" t="str">
        <f t="shared" si="501"/>
        <v>R</v>
      </c>
      <c r="AK668" s="66">
        <v>20.0</v>
      </c>
      <c r="AL668" s="36" t="str">
        <f t="shared" si="502"/>
        <v>I</v>
      </c>
      <c r="AM668" s="66">
        <v>18.0</v>
      </c>
      <c r="AN668" s="36" t="str">
        <f t="shared" si="503"/>
        <v>S</v>
      </c>
      <c r="AO668" s="66" t="s">
        <v>299</v>
      </c>
      <c r="AP668" s="67">
        <v>18.0</v>
      </c>
      <c r="AQ668" s="37" t="str">
        <f t="shared" si="504"/>
        <v>S</v>
      </c>
      <c r="AR668" s="65">
        <v>21.0</v>
      </c>
      <c r="AS668" s="33" t="str">
        <f t="shared" si="505"/>
        <v>S</v>
      </c>
      <c r="AT668" s="65">
        <v>19.0</v>
      </c>
      <c r="AU668" s="33" t="str">
        <f t="shared" si="506"/>
        <v>S</v>
      </c>
      <c r="AV668" s="33" t="s">
        <v>300</v>
      </c>
      <c r="AW668" s="28">
        <v>19.0</v>
      </c>
      <c r="AX668" s="26" t="str">
        <f t="shared" si="507"/>
        <v>R</v>
      </c>
      <c r="AY668" s="67">
        <v>11.0</v>
      </c>
      <c r="AZ668" s="37" t="str">
        <f t="shared" si="508"/>
        <v>R</v>
      </c>
      <c r="BA668" s="66">
        <v>20.0</v>
      </c>
      <c r="BB668" s="36" t="str">
        <f t="shared" si="509"/>
        <v>R</v>
      </c>
      <c r="BC668" s="39" t="s">
        <v>357</v>
      </c>
      <c r="BD668" s="39" t="s">
        <v>357</v>
      </c>
      <c r="BE668" s="66">
        <v>19.0</v>
      </c>
      <c r="BF668" s="36" t="str">
        <f t="shared" si="510"/>
        <v>I</v>
      </c>
      <c r="BG668" s="68">
        <v>19.0</v>
      </c>
      <c r="BH668" s="41" t="str">
        <f t="shared" si="511"/>
        <v>S</v>
      </c>
      <c r="BI668" s="41"/>
    </row>
    <row r="669">
      <c r="A669" s="51" t="s">
        <v>680</v>
      </c>
      <c r="B669" s="53">
        <v>278.0</v>
      </c>
      <c r="C669" s="51" t="s">
        <v>1111</v>
      </c>
      <c r="D669" s="69" t="s">
        <v>190</v>
      </c>
      <c r="E669" s="18" t="s">
        <v>190</v>
      </c>
      <c r="F669" s="18" t="s">
        <v>192</v>
      </c>
      <c r="G669" s="63" t="s">
        <v>1112</v>
      </c>
      <c r="H669" s="22" t="s">
        <v>198</v>
      </c>
      <c r="I669" s="28">
        <v>6.0</v>
      </c>
      <c r="J669" s="26" t="str">
        <f t="shared" si="489"/>
        <v>R</v>
      </c>
      <c r="K669" s="28">
        <v>18.0</v>
      </c>
      <c r="L669" s="26" t="str">
        <f t="shared" si="490"/>
        <v>R</v>
      </c>
      <c r="M669" s="28">
        <v>6.0</v>
      </c>
      <c r="N669" s="26" t="str">
        <f t="shared" si="491"/>
        <v>R</v>
      </c>
      <c r="O669" s="28">
        <v>12.0</v>
      </c>
      <c r="P669" s="26" t="str">
        <f t="shared" si="492"/>
        <v>R</v>
      </c>
      <c r="Q669" s="28">
        <v>6.0</v>
      </c>
      <c r="R669" s="26" t="str">
        <f t="shared" si="493"/>
        <v>R</v>
      </c>
      <c r="S669" s="28">
        <v>21.0</v>
      </c>
      <c r="T669" s="26" t="str">
        <f t="shared" si="494"/>
        <v>S</v>
      </c>
      <c r="U669" s="28">
        <v>10.0</v>
      </c>
      <c r="V669" s="26" t="str">
        <f t="shared" si="495"/>
        <v>R</v>
      </c>
      <c r="W669" s="32" t="s">
        <v>299</v>
      </c>
      <c r="X669" s="65">
        <v>6.0</v>
      </c>
      <c r="Y669" s="33" t="str">
        <f t="shared" si="496"/>
        <v>R</v>
      </c>
      <c r="Z669" s="65">
        <v>29.0</v>
      </c>
      <c r="AA669" s="33" t="str">
        <f t="shared" si="497"/>
        <v>S</v>
      </c>
      <c r="AB669" s="65">
        <v>6.0</v>
      </c>
      <c r="AC669" s="33" t="str">
        <f t="shared" si="498"/>
        <v>R</v>
      </c>
      <c r="AD669" s="65">
        <v>22.0</v>
      </c>
      <c r="AE669" s="33" t="str">
        <f t="shared" si="499"/>
        <v>S</v>
      </c>
      <c r="AF669" s="65">
        <v>14.0</v>
      </c>
      <c r="AG669" s="33" t="str">
        <f t="shared" si="500"/>
        <v>R</v>
      </c>
      <c r="AH669" s="65" t="s">
        <v>299</v>
      </c>
      <c r="AI669" s="66">
        <v>6.0</v>
      </c>
      <c r="AJ669" s="36" t="str">
        <f t="shared" si="501"/>
        <v>R</v>
      </c>
      <c r="AK669" s="66">
        <v>10.0</v>
      </c>
      <c r="AL669" s="36" t="str">
        <f t="shared" si="502"/>
        <v>R</v>
      </c>
      <c r="AM669" s="66">
        <v>6.0</v>
      </c>
      <c r="AN669" s="36" t="str">
        <f t="shared" si="503"/>
        <v>R</v>
      </c>
      <c r="AO669" s="66" t="s">
        <v>299</v>
      </c>
      <c r="AP669" s="67">
        <v>6.0</v>
      </c>
      <c r="AQ669" s="37" t="str">
        <f t="shared" si="504"/>
        <v>R</v>
      </c>
      <c r="AR669" s="65">
        <v>20.0</v>
      </c>
      <c r="AS669" s="33" t="str">
        <f t="shared" si="505"/>
        <v>S</v>
      </c>
      <c r="AT669" s="65">
        <v>16.0</v>
      </c>
      <c r="AU669" s="33" t="str">
        <f t="shared" si="506"/>
        <v>S</v>
      </c>
      <c r="AV669" s="33" t="s">
        <v>300</v>
      </c>
      <c r="AW669" s="28">
        <v>6.0</v>
      </c>
      <c r="AX669" s="26" t="str">
        <f t="shared" si="507"/>
        <v>R</v>
      </c>
      <c r="AY669" s="67">
        <v>11.0</v>
      </c>
      <c r="AZ669" s="37" t="str">
        <f t="shared" si="508"/>
        <v>R</v>
      </c>
      <c r="BA669" s="66">
        <v>12.0</v>
      </c>
      <c r="BB669" s="36" t="str">
        <f t="shared" si="509"/>
        <v>R</v>
      </c>
      <c r="BC669" s="39" t="s">
        <v>357</v>
      </c>
      <c r="BD669" s="39" t="s">
        <v>357</v>
      </c>
      <c r="BE669" s="66">
        <v>18.0</v>
      </c>
      <c r="BF669" s="36" t="str">
        <f t="shared" si="510"/>
        <v>R</v>
      </c>
      <c r="BG669" s="68">
        <v>9.0</v>
      </c>
      <c r="BH669" s="41" t="str">
        <f t="shared" si="511"/>
        <v>R</v>
      </c>
      <c r="BI669" s="41"/>
    </row>
    <row r="670">
      <c r="A670" s="51" t="s">
        <v>680</v>
      </c>
      <c r="B670" s="51" t="s">
        <v>444</v>
      </c>
      <c r="C670" s="51" t="s">
        <v>2189</v>
      </c>
      <c r="D670" s="69" t="s">
        <v>190</v>
      </c>
      <c r="E670" s="18" t="s">
        <v>190</v>
      </c>
      <c r="F670" s="18" t="s">
        <v>192</v>
      </c>
      <c r="G670" s="63" t="s">
        <v>2190</v>
      </c>
      <c r="H670" s="22" t="s">
        <v>198</v>
      </c>
      <c r="I670" s="28">
        <v>6.0</v>
      </c>
      <c r="J670" s="26" t="str">
        <f t="shared" si="489"/>
        <v>R</v>
      </c>
      <c r="K670" s="28">
        <v>18.0</v>
      </c>
      <c r="L670" s="26" t="str">
        <f t="shared" si="490"/>
        <v>R</v>
      </c>
      <c r="M670" s="28">
        <v>6.0</v>
      </c>
      <c r="N670" s="26" t="str">
        <f t="shared" si="491"/>
        <v>R</v>
      </c>
      <c r="O670" s="28">
        <v>12.0</v>
      </c>
      <c r="P670" s="26" t="str">
        <f t="shared" si="492"/>
        <v>R</v>
      </c>
      <c r="Q670" s="28">
        <v>6.0</v>
      </c>
      <c r="R670" s="26" t="str">
        <f t="shared" si="493"/>
        <v>R</v>
      </c>
      <c r="S670" s="28">
        <v>20.0</v>
      </c>
      <c r="T670" s="26" t="str">
        <f t="shared" si="494"/>
        <v>S</v>
      </c>
      <c r="U670" s="28">
        <v>9.0</v>
      </c>
      <c r="V670" s="26" t="str">
        <f t="shared" si="495"/>
        <v>R</v>
      </c>
      <c r="W670" s="32" t="s">
        <v>299</v>
      </c>
      <c r="X670" s="65">
        <v>6.0</v>
      </c>
      <c r="Y670" s="33" t="str">
        <f t="shared" si="496"/>
        <v>R</v>
      </c>
      <c r="Z670" s="65">
        <v>25.0</v>
      </c>
      <c r="AA670" s="33" t="str">
        <f t="shared" si="497"/>
        <v>S</v>
      </c>
      <c r="AB670" s="65">
        <v>9.0</v>
      </c>
      <c r="AC670" s="33" t="str">
        <f t="shared" si="498"/>
        <v>R</v>
      </c>
      <c r="AD670" s="65">
        <v>21.0</v>
      </c>
      <c r="AE670" s="33" t="str">
        <f t="shared" si="499"/>
        <v>S</v>
      </c>
      <c r="AF670" s="65">
        <v>14.0</v>
      </c>
      <c r="AG670" s="33" t="str">
        <f t="shared" si="500"/>
        <v>R</v>
      </c>
      <c r="AH670" s="65" t="s">
        <v>299</v>
      </c>
      <c r="AI670" s="66">
        <v>6.0</v>
      </c>
      <c r="AJ670" s="36" t="str">
        <f t="shared" si="501"/>
        <v>R</v>
      </c>
      <c r="AK670" s="66">
        <v>11.0</v>
      </c>
      <c r="AL670" s="36" t="str">
        <f t="shared" si="502"/>
        <v>R</v>
      </c>
      <c r="AM670" s="66">
        <v>6.0</v>
      </c>
      <c r="AN670" s="36" t="str">
        <f t="shared" si="503"/>
        <v>R</v>
      </c>
      <c r="AO670" s="66" t="s">
        <v>299</v>
      </c>
      <c r="AP670" s="67">
        <v>6.0</v>
      </c>
      <c r="AQ670" s="37" t="str">
        <f t="shared" si="504"/>
        <v>R</v>
      </c>
      <c r="AR670" s="65">
        <v>21.0</v>
      </c>
      <c r="AS670" s="33" t="str">
        <f t="shared" si="505"/>
        <v>S</v>
      </c>
      <c r="AT670" s="65">
        <v>17.0</v>
      </c>
      <c r="AU670" s="33" t="str">
        <f t="shared" si="506"/>
        <v>S</v>
      </c>
      <c r="AV670" s="33" t="s">
        <v>300</v>
      </c>
      <c r="AW670" s="28">
        <v>8.0</v>
      </c>
      <c r="AX670" s="26" t="str">
        <f t="shared" si="507"/>
        <v>R</v>
      </c>
      <c r="AY670" s="67">
        <v>10.0</v>
      </c>
      <c r="AZ670" s="37" t="str">
        <f t="shared" si="508"/>
        <v>R</v>
      </c>
      <c r="BA670" s="66">
        <v>10.0</v>
      </c>
      <c r="BB670" s="36" t="str">
        <f t="shared" si="509"/>
        <v>R</v>
      </c>
      <c r="BC670" s="39" t="s">
        <v>357</v>
      </c>
      <c r="BD670" s="39" t="s">
        <v>357</v>
      </c>
      <c r="BE670" s="66">
        <v>16.0</v>
      </c>
      <c r="BF670" s="36" t="str">
        <f t="shared" si="510"/>
        <v>R</v>
      </c>
      <c r="BG670" s="68">
        <v>10.0</v>
      </c>
      <c r="BH670" s="41" t="str">
        <f t="shared" si="511"/>
        <v>R</v>
      </c>
      <c r="BI670" s="41"/>
    </row>
    <row r="671">
      <c r="A671" s="51" t="s">
        <v>680</v>
      </c>
      <c r="B671" s="51" t="s">
        <v>444</v>
      </c>
      <c r="C671" s="51" t="s">
        <v>2191</v>
      </c>
      <c r="D671" s="69" t="s">
        <v>190</v>
      </c>
      <c r="E671" s="18" t="s">
        <v>190</v>
      </c>
      <c r="F671" s="18" t="s">
        <v>192</v>
      </c>
      <c r="G671" s="63" t="s">
        <v>2192</v>
      </c>
      <c r="H671" s="22" t="s">
        <v>198</v>
      </c>
      <c r="I671" s="28">
        <v>6.0</v>
      </c>
      <c r="J671" s="26" t="str">
        <f t="shared" si="489"/>
        <v>R</v>
      </c>
      <c r="K671" s="28">
        <v>18.0</v>
      </c>
      <c r="L671" s="26" t="str">
        <f t="shared" si="490"/>
        <v>R</v>
      </c>
      <c r="M671" s="28">
        <v>6.0</v>
      </c>
      <c r="N671" s="26" t="str">
        <f t="shared" si="491"/>
        <v>R</v>
      </c>
      <c r="O671" s="28">
        <v>12.0</v>
      </c>
      <c r="P671" s="26" t="str">
        <f t="shared" si="492"/>
        <v>R</v>
      </c>
      <c r="Q671" s="28">
        <v>6.0</v>
      </c>
      <c r="R671" s="26" t="str">
        <f t="shared" si="493"/>
        <v>R</v>
      </c>
      <c r="S671" s="28">
        <v>21.0</v>
      </c>
      <c r="T671" s="26" t="str">
        <f t="shared" si="494"/>
        <v>S</v>
      </c>
      <c r="U671" s="28">
        <v>9.0</v>
      </c>
      <c r="V671" s="26" t="str">
        <f t="shared" si="495"/>
        <v>R</v>
      </c>
      <c r="W671" s="32" t="s">
        <v>299</v>
      </c>
      <c r="X671" s="65">
        <v>6.0</v>
      </c>
      <c r="Y671" s="33" t="str">
        <f t="shared" si="496"/>
        <v>R</v>
      </c>
      <c r="Z671" s="65">
        <v>27.0</v>
      </c>
      <c r="AA671" s="33" t="str">
        <f t="shared" si="497"/>
        <v>S</v>
      </c>
      <c r="AB671" s="65">
        <v>10.0</v>
      </c>
      <c r="AC671" s="33" t="str">
        <f t="shared" si="498"/>
        <v>R</v>
      </c>
      <c r="AD671" s="65">
        <v>22.0</v>
      </c>
      <c r="AE671" s="33" t="str">
        <f t="shared" si="499"/>
        <v>S</v>
      </c>
      <c r="AF671" s="65">
        <v>16.0</v>
      </c>
      <c r="AG671" s="33" t="str">
        <f t="shared" si="500"/>
        <v>R</v>
      </c>
      <c r="AH671" s="65" t="s">
        <v>299</v>
      </c>
      <c r="AI671" s="66">
        <v>6.0</v>
      </c>
      <c r="AJ671" s="36" t="str">
        <f t="shared" si="501"/>
        <v>R</v>
      </c>
      <c r="AK671" s="66">
        <v>10.0</v>
      </c>
      <c r="AL671" s="36" t="str">
        <f t="shared" si="502"/>
        <v>R</v>
      </c>
      <c r="AM671" s="66">
        <v>6.0</v>
      </c>
      <c r="AN671" s="36" t="str">
        <f t="shared" si="503"/>
        <v>R</v>
      </c>
      <c r="AO671" s="66" t="s">
        <v>299</v>
      </c>
      <c r="AP671" s="67">
        <v>6.0</v>
      </c>
      <c r="AQ671" s="37" t="str">
        <f t="shared" si="504"/>
        <v>R</v>
      </c>
      <c r="AR671" s="65">
        <v>20.0</v>
      </c>
      <c r="AS671" s="33" t="str">
        <f t="shared" si="505"/>
        <v>S</v>
      </c>
      <c r="AT671" s="65">
        <v>16.0</v>
      </c>
      <c r="AU671" s="33" t="str">
        <f t="shared" si="506"/>
        <v>S</v>
      </c>
      <c r="AV671" s="33" t="s">
        <v>300</v>
      </c>
      <c r="AW671" s="28">
        <v>9.0</v>
      </c>
      <c r="AX671" s="26" t="str">
        <f t="shared" si="507"/>
        <v>R</v>
      </c>
      <c r="AY671" s="67">
        <v>11.0</v>
      </c>
      <c r="AZ671" s="37" t="str">
        <f t="shared" si="508"/>
        <v>R</v>
      </c>
      <c r="BA671" s="66">
        <v>11.0</v>
      </c>
      <c r="BB671" s="36" t="str">
        <f t="shared" si="509"/>
        <v>R</v>
      </c>
      <c r="BC671" s="39" t="s">
        <v>357</v>
      </c>
      <c r="BD671" s="39" t="s">
        <v>357</v>
      </c>
      <c r="BE671" s="66">
        <v>16.0</v>
      </c>
      <c r="BF671" s="36" t="str">
        <f t="shared" si="510"/>
        <v>R</v>
      </c>
      <c r="BG671" s="68">
        <v>11.0</v>
      </c>
      <c r="BH671" s="41" t="str">
        <f t="shared" si="511"/>
        <v>R</v>
      </c>
      <c r="BI671" s="41"/>
    </row>
    <row r="672">
      <c r="A672" s="51" t="s">
        <v>680</v>
      </c>
      <c r="B672" s="53">
        <v>279.0</v>
      </c>
      <c r="C672" s="51" t="s">
        <v>1117</v>
      </c>
      <c r="D672" s="69" t="s">
        <v>571</v>
      </c>
      <c r="E672" s="18" t="s">
        <v>572</v>
      </c>
      <c r="F672" s="18" t="s">
        <v>192</v>
      </c>
      <c r="G672" s="63" t="s">
        <v>1118</v>
      </c>
      <c r="H672" s="52" t="s">
        <v>581</v>
      </c>
      <c r="I672" s="28">
        <v>6.0</v>
      </c>
      <c r="J672" s="26" t="str">
        <f t="shared" si="489"/>
        <v>R</v>
      </c>
      <c r="K672" s="28">
        <v>20.0</v>
      </c>
      <c r="L672" s="26" t="str">
        <f t="shared" si="490"/>
        <v>S</v>
      </c>
      <c r="M672" s="28">
        <v>22.0</v>
      </c>
      <c r="N672" s="26" t="str">
        <f t="shared" si="491"/>
        <v>R</v>
      </c>
      <c r="O672" s="28">
        <v>19.0</v>
      </c>
      <c r="P672" s="26" t="str">
        <f t="shared" si="492"/>
        <v>R</v>
      </c>
      <c r="Q672" s="28">
        <v>13.0</v>
      </c>
      <c r="R672" s="26" t="str">
        <f t="shared" si="493"/>
        <v>R</v>
      </c>
      <c r="S672" s="28">
        <v>25.0</v>
      </c>
      <c r="T672" s="26" t="str">
        <f t="shared" si="494"/>
        <v>S</v>
      </c>
      <c r="U672" s="28">
        <v>18.0</v>
      </c>
      <c r="V672" s="26" t="str">
        <f t="shared" si="495"/>
        <v>I</v>
      </c>
      <c r="W672" s="32" t="s">
        <v>299</v>
      </c>
      <c r="X672" s="65">
        <v>16.0</v>
      </c>
      <c r="Y672" s="33" t="str">
        <f t="shared" si="496"/>
        <v>R</v>
      </c>
      <c r="Z672" s="65">
        <v>21.0</v>
      </c>
      <c r="AA672" s="33" t="str">
        <f t="shared" si="497"/>
        <v>S</v>
      </c>
      <c r="AB672" s="65">
        <v>16.0</v>
      </c>
      <c r="AC672" s="33" t="str">
        <f t="shared" si="498"/>
        <v>R</v>
      </c>
      <c r="AD672" s="65">
        <v>6.0</v>
      </c>
      <c r="AE672" s="33" t="str">
        <f t="shared" si="499"/>
        <v>R</v>
      </c>
      <c r="AF672" s="65">
        <v>6.0</v>
      </c>
      <c r="AG672" s="33" t="str">
        <f t="shared" si="500"/>
        <v>R</v>
      </c>
      <c r="AH672" s="65" t="s">
        <v>299</v>
      </c>
      <c r="AI672" s="66">
        <v>24.0</v>
      </c>
      <c r="AJ672" s="36" t="str">
        <f t="shared" si="501"/>
        <v>I</v>
      </c>
      <c r="AK672" s="66">
        <v>20.0</v>
      </c>
      <c r="AL672" s="36" t="str">
        <f t="shared" si="502"/>
        <v>I</v>
      </c>
      <c r="AM672" s="66">
        <v>18.0</v>
      </c>
      <c r="AN672" s="36" t="str">
        <f t="shared" si="503"/>
        <v>S</v>
      </c>
      <c r="AO672" s="66" t="s">
        <v>299</v>
      </c>
      <c r="AP672" s="67">
        <v>6.0</v>
      </c>
      <c r="AQ672" s="37" t="str">
        <f t="shared" si="504"/>
        <v>R</v>
      </c>
      <c r="AR672" s="65">
        <v>18.0</v>
      </c>
      <c r="AS672" s="33" t="str">
        <f t="shared" si="505"/>
        <v>S</v>
      </c>
      <c r="AT672" s="65">
        <v>6.0</v>
      </c>
      <c r="AU672" s="33" t="str">
        <f t="shared" si="506"/>
        <v>R</v>
      </c>
      <c r="AV672" s="65" t="s">
        <v>299</v>
      </c>
      <c r="AW672" s="28">
        <v>30.0</v>
      </c>
      <c r="AX672" s="26" t="str">
        <f t="shared" si="507"/>
        <v>S</v>
      </c>
      <c r="AY672" s="67">
        <v>6.0</v>
      </c>
      <c r="AZ672" s="37" t="str">
        <f t="shared" si="508"/>
        <v>R</v>
      </c>
      <c r="BA672" s="66">
        <v>28.0</v>
      </c>
      <c r="BB672" s="36" t="str">
        <f t="shared" si="509"/>
        <v>S</v>
      </c>
      <c r="BC672" s="39" t="s">
        <v>357</v>
      </c>
      <c r="BD672" s="39" t="s">
        <v>357</v>
      </c>
      <c r="BE672" s="66">
        <v>30.0</v>
      </c>
      <c r="BF672" s="36" t="str">
        <f t="shared" si="510"/>
        <v>S</v>
      </c>
      <c r="BG672" s="68">
        <v>20.0</v>
      </c>
      <c r="BH672" s="41" t="str">
        <f t="shared" si="511"/>
        <v>S</v>
      </c>
      <c r="BI672" s="41"/>
    </row>
    <row r="673">
      <c r="A673" s="51" t="s">
        <v>680</v>
      </c>
      <c r="B673" s="51" t="s">
        <v>444</v>
      </c>
      <c r="C673" s="51" t="s">
        <v>2193</v>
      </c>
      <c r="D673" s="69" t="s">
        <v>571</v>
      </c>
      <c r="E673" s="18" t="s">
        <v>572</v>
      </c>
      <c r="F673" s="18" t="s">
        <v>192</v>
      </c>
      <c r="G673" s="63" t="s">
        <v>2194</v>
      </c>
      <c r="H673" s="52" t="s">
        <v>581</v>
      </c>
      <c r="I673" s="28">
        <v>6.0</v>
      </c>
      <c r="J673" s="26" t="str">
        <f t="shared" si="489"/>
        <v>R</v>
      </c>
      <c r="K673" s="28">
        <v>20.0</v>
      </c>
      <c r="L673" s="26" t="str">
        <f t="shared" si="490"/>
        <v>S</v>
      </c>
      <c r="M673" s="28">
        <v>22.0</v>
      </c>
      <c r="N673" s="26" t="str">
        <f t="shared" si="491"/>
        <v>R</v>
      </c>
      <c r="O673" s="28">
        <v>19.0</v>
      </c>
      <c r="P673" s="26" t="str">
        <f t="shared" si="492"/>
        <v>R</v>
      </c>
      <c r="Q673" s="28">
        <v>12.0</v>
      </c>
      <c r="R673" s="26" t="str">
        <f t="shared" si="493"/>
        <v>R</v>
      </c>
      <c r="S673" s="28">
        <v>24.0</v>
      </c>
      <c r="T673" s="26" t="str">
        <f t="shared" si="494"/>
        <v>S</v>
      </c>
      <c r="U673" s="28">
        <v>18.0</v>
      </c>
      <c r="V673" s="26" t="str">
        <f t="shared" si="495"/>
        <v>I</v>
      </c>
      <c r="W673" s="32" t="s">
        <v>299</v>
      </c>
      <c r="X673" s="65">
        <v>16.0</v>
      </c>
      <c r="Y673" s="33" t="str">
        <f t="shared" si="496"/>
        <v>R</v>
      </c>
      <c r="Z673" s="65">
        <v>21.0</v>
      </c>
      <c r="AA673" s="33" t="str">
        <f t="shared" si="497"/>
        <v>S</v>
      </c>
      <c r="AB673" s="65">
        <v>16.0</v>
      </c>
      <c r="AC673" s="33" t="str">
        <f t="shared" si="498"/>
        <v>R</v>
      </c>
      <c r="AD673" s="65">
        <v>9.0</v>
      </c>
      <c r="AE673" s="33" t="str">
        <f t="shared" si="499"/>
        <v>R</v>
      </c>
      <c r="AF673" s="65">
        <v>6.0</v>
      </c>
      <c r="AG673" s="33" t="str">
        <f t="shared" si="500"/>
        <v>R</v>
      </c>
      <c r="AH673" s="65" t="s">
        <v>299</v>
      </c>
      <c r="AI673" s="66">
        <v>25.0</v>
      </c>
      <c r="AJ673" s="36" t="str">
        <f t="shared" si="501"/>
        <v>S</v>
      </c>
      <c r="AK673" s="66">
        <v>20.0</v>
      </c>
      <c r="AL673" s="36" t="str">
        <f t="shared" si="502"/>
        <v>I</v>
      </c>
      <c r="AM673" s="66">
        <v>18.0</v>
      </c>
      <c r="AN673" s="36" t="str">
        <f t="shared" si="503"/>
        <v>S</v>
      </c>
      <c r="AO673" s="66" t="s">
        <v>299</v>
      </c>
      <c r="AP673" s="67">
        <v>10.0</v>
      </c>
      <c r="AQ673" s="37" t="str">
        <f t="shared" si="504"/>
        <v>R</v>
      </c>
      <c r="AR673" s="65">
        <v>20.0</v>
      </c>
      <c r="AS673" s="33" t="str">
        <f t="shared" si="505"/>
        <v>S</v>
      </c>
      <c r="AT673" s="65">
        <v>6.0</v>
      </c>
      <c r="AU673" s="33" t="str">
        <f t="shared" si="506"/>
        <v>R</v>
      </c>
      <c r="AV673" s="65" t="s">
        <v>299</v>
      </c>
      <c r="AW673" s="28">
        <v>28.0</v>
      </c>
      <c r="AX673" s="26" t="str">
        <f t="shared" si="507"/>
        <v>S</v>
      </c>
      <c r="AY673" s="67">
        <v>6.0</v>
      </c>
      <c r="AZ673" s="37" t="str">
        <f t="shared" si="508"/>
        <v>R</v>
      </c>
      <c r="BA673" s="66">
        <v>28.0</v>
      </c>
      <c r="BB673" s="36" t="str">
        <f t="shared" si="509"/>
        <v>S</v>
      </c>
      <c r="BC673" s="39" t="s">
        <v>357</v>
      </c>
      <c r="BD673" s="39" t="s">
        <v>357</v>
      </c>
      <c r="BE673" s="66">
        <v>32.0</v>
      </c>
      <c r="BF673" s="36" t="str">
        <f t="shared" si="510"/>
        <v>S</v>
      </c>
      <c r="BG673" s="68">
        <v>19.0</v>
      </c>
      <c r="BH673" s="41" t="str">
        <f t="shared" si="511"/>
        <v>S</v>
      </c>
      <c r="BI673" s="41"/>
    </row>
    <row r="674">
      <c r="A674" s="51" t="s">
        <v>680</v>
      </c>
      <c r="B674" s="51" t="s">
        <v>444</v>
      </c>
      <c r="C674" s="51" t="s">
        <v>2195</v>
      </c>
      <c r="D674" s="69" t="s">
        <v>571</v>
      </c>
      <c r="E674" s="18" t="s">
        <v>572</v>
      </c>
      <c r="F674" s="18" t="s">
        <v>192</v>
      </c>
      <c r="G674" s="63" t="s">
        <v>2196</v>
      </c>
      <c r="H674" s="52" t="s">
        <v>581</v>
      </c>
      <c r="I674" s="28">
        <v>6.0</v>
      </c>
      <c r="J674" s="26" t="str">
        <f t="shared" si="489"/>
        <v>R</v>
      </c>
      <c r="K674" s="28">
        <v>20.0</v>
      </c>
      <c r="L674" s="26" t="str">
        <f t="shared" si="490"/>
        <v>S</v>
      </c>
      <c r="M674" s="28">
        <v>22.0</v>
      </c>
      <c r="N674" s="26" t="str">
        <f t="shared" si="491"/>
        <v>R</v>
      </c>
      <c r="O674" s="28">
        <v>19.0</v>
      </c>
      <c r="P674" s="26" t="str">
        <f t="shared" si="492"/>
        <v>R</v>
      </c>
      <c r="Q674" s="28">
        <v>13.0</v>
      </c>
      <c r="R674" s="26" t="str">
        <f t="shared" si="493"/>
        <v>R</v>
      </c>
      <c r="S674" s="28">
        <v>24.0</v>
      </c>
      <c r="T674" s="26" t="str">
        <f t="shared" si="494"/>
        <v>S</v>
      </c>
      <c r="U674" s="28">
        <v>18.0</v>
      </c>
      <c r="V674" s="26" t="str">
        <f t="shared" si="495"/>
        <v>I</v>
      </c>
      <c r="W674" s="32" t="s">
        <v>299</v>
      </c>
      <c r="X674" s="65">
        <v>16.0</v>
      </c>
      <c r="Y674" s="33" t="str">
        <f t="shared" si="496"/>
        <v>R</v>
      </c>
      <c r="Z674" s="65">
        <v>21.0</v>
      </c>
      <c r="AA674" s="33" t="str">
        <f t="shared" si="497"/>
        <v>S</v>
      </c>
      <c r="AB674" s="65">
        <v>16.0</v>
      </c>
      <c r="AC674" s="33" t="str">
        <f t="shared" si="498"/>
        <v>R</v>
      </c>
      <c r="AD674" s="65">
        <v>6.0</v>
      </c>
      <c r="AE674" s="33" t="str">
        <f t="shared" si="499"/>
        <v>R</v>
      </c>
      <c r="AF674" s="65">
        <v>6.0</v>
      </c>
      <c r="AG674" s="33" t="str">
        <f t="shared" si="500"/>
        <v>R</v>
      </c>
      <c r="AH674" s="65" t="s">
        <v>299</v>
      </c>
      <c r="AI674" s="66">
        <v>25.0</v>
      </c>
      <c r="AJ674" s="36" t="str">
        <f t="shared" si="501"/>
        <v>S</v>
      </c>
      <c r="AK674" s="66">
        <v>20.0</v>
      </c>
      <c r="AL674" s="36" t="str">
        <f t="shared" si="502"/>
        <v>I</v>
      </c>
      <c r="AM674" s="66">
        <v>18.0</v>
      </c>
      <c r="AN674" s="36" t="str">
        <f t="shared" si="503"/>
        <v>S</v>
      </c>
      <c r="AO674" s="66" t="s">
        <v>299</v>
      </c>
      <c r="AP674" s="67">
        <v>10.0</v>
      </c>
      <c r="AQ674" s="37" t="str">
        <f t="shared" si="504"/>
        <v>R</v>
      </c>
      <c r="AR674" s="65">
        <v>18.0</v>
      </c>
      <c r="AS674" s="33" t="str">
        <f t="shared" si="505"/>
        <v>S</v>
      </c>
      <c r="AT674" s="65">
        <v>6.0</v>
      </c>
      <c r="AU674" s="33" t="str">
        <f t="shared" si="506"/>
        <v>R</v>
      </c>
      <c r="AV674" s="65" t="s">
        <v>299</v>
      </c>
      <c r="AW674" s="28">
        <v>28.0</v>
      </c>
      <c r="AX674" s="26" t="str">
        <f t="shared" si="507"/>
        <v>S</v>
      </c>
      <c r="AY674" s="67">
        <v>6.0</v>
      </c>
      <c r="AZ674" s="37" t="str">
        <f t="shared" si="508"/>
        <v>R</v>
      </c>
      <c r="BA674" s="66">
        <v>28.0</v>
      </c>
      <c r="BB674" s="36" t="str">
        <f t="shared" si="509"/>
        <v>S</v>
      </c>
      <c r="BC674" s="39" t="s">
        <v>357</v>
      </c>
      <c r="BD674" s="39" t="s">
        <v>357</v>
      </c>
      <c r="BE674" s="66">
        <v>30.0</v>
      </c>
      <c r="BF674" s="36" t="str">
        <f t="shared" si="510"/>
        <v>S</v>
      </c>
      <c r="BG674" s="68">
        <v>19.0</v>
      </c>
      <c r="BH674" s="41" t="str">
        <f t="shared" si="511"/>
        <v>S</v>
      </c>
      <c r="BI674" s="41"/>
    </row>
    <row r="675">
      <c r="A675" s="21" t="s">
        <v>1103</v>
      </c>
      <c r="B675" s="23">
        <v>280.0</v>
      </c>
      <c r="C675" s="21" t="s">
        <v>1713</v>
      </c>
      <c r="D675" s="69" t="s">
        <v>190</v>
      </c>
      <c r="E675" s="18" t="s">
        <v>190</v>
      </c>
      <c r="F675" s="18" t="s">
        <v>192</v>
      </c>
      <c r="G675" s="63" t="s">
        <v>1714</v>
      </c>
      <c r="H675" s="22" t="s">
        <v>198</v>
      </c>
      <c r="I675" s="28">
        <v>6.0</v>
      </c>
      <c r="J675" s="26" t="str">
        <f t="shared" si="489"/>
        <v>R</v>
      </c>
      <c r="K675" s="28">
        <v>6.0</v>
      </c>
      <c r="L675" s="26" t="str">
        <f t="shared" si="490"/>
        <v>R</v>
      </c>
      <c r="M675" s="28">
        <v>6.0</v>
      </c>
      <c r="N675" s="26" t="str">
        <f t="shared" si="491"/>
        <v>R</v>
      </c>
      <c r="O675" s="28">
        <v>24.0</v>
      </c>
      <c r="P675" s="26" t="str">
        <f t="shared" si="492"/>
        <v>S</v>
      </c>
      <c r="Q675" s="28">
        <v>8.0</v>
      </c>
      <c r="R675" s="26" t="str">
        <f t="shared" si="493"/>
        <v>R</v>
      </c>
      <c r="S675" s="28">
        <v>18.0</v>
      </c>
      <c r="T675" s="26" t="str">
        <f t="shared" si="494"/>
        <v>R</v>
      </c>
      <c r="U675" s="28">
        <v>14.0</v>
      </c>
      <c r="V675" s="26" t="str">
        <f t="shared" si="495"/>
        <v>R</v>
      </c>
      <c r="W675" s="32" t="s">
        <v>299</v>
      </c>
      <c r="X675" s="65">
        <v>6.0</v>
      </c>
      <c r="Y675" s="33" t="str">
        <f t="shared" si="496"/>
        <v>R</v>
      </c>
      <c r="Z675" s="65">
        <v>21.0</v>
      </c>
      <c r="AA675" s="33" t="str">
        <f t="shared" si="497"/>
        <v>S</v>
      </c>
      <c r="AB675" s="65">
        <v>6.0</v>
      </c>
      <c r="AC675" s="33" t="str">
        <f t="shared" si="498"/>
        <v>R</v>
      </c>
      <c r="AD675" s="65">
        <v>20.0</v>
      </c>
      <c r="AE675" s="33" t="str">
        <f t="shared" si="499"/>
        <v>S</v>
      </c>
      <c r="AF675" s="65">
        <v>12.0</v>
      </c>
      <c r="AG675" s="33" t="str">
        <f t="shared" si="500"/>
        <v>R</v>
      </c>
      <c r="AH675" s="65" t="s">
        <v>299</v>
      </c>
      <c r="AI675" s="66">
        <v>6.0</v>
      </c>
      <c r="AJ675" s="36" t="str">
        <f t="shared" si="501"/>
        <v>R</v>
      </c>
      <c r="AK675" s="66">
        <v>6.0</v>
      </c>
      <c r="AL675" s="36" t="str">
        <f t="shared" si="502"/>
        <v>R</v>
      </c>
      <c r="AM675" s="66">
        <v>6.0</v>
      </c>
      <c r="AN675" s="36" t="str">
        <f t="shared" si="503"/>
        <v>R</v>
      </c>
      <c r="AO675" s="66" t="s">
        <v>299</v>
      </c>
      <c r="AP675" s="67">
        <v>6.0</v>
      </c>
      <c r="AQ675" s="37" t="str">
        <f t="shared" si="504"/>
        <v>R</v>
      </c>
      <c r="AR675" s="65">
        <v>18.0</v>
      </c>
      <c r="AS675" s="33" t="str">
        <f t="shared" si="505"/>
        <v>S</v>
      </c>
      <c r="AT675" s="65">
        <v>17.0</v>
      </c>
      <c r="AU675" s="33" t="str">
        <f t="shared" si="506"/>
        <v>S</v>
      </c>
      <c r="AV675" s="33" t="s">
        <v>300</v>
      </c>
      <c r="AW675" s="28">
        <v>6.0</v>
      </c>
      <c r="AX675" s="26" t="str">
        <f t="shared" si="507"/>
        <v>R</v>
      </c>
      <c r="AY675" s="67">
        <v>14.0</v>
      </c>
      <c r="AZ675" s="37" t="str">
        <f t="shared" si="508"/>
        <v>R</v>
      </c>
      <c r="BA675" s="66">
        <v>25.0</v>
      </c>
      <c r="BB675" s="36" t="str">
        <f t="shared" si="509"/>
        <v>S</v>
      </c>
      <c r="BC675" s="39" t="s">
        <v>357</v>
      </c>
      <c r="BD675" s="39" t="s">
        <v>357</v>
      </c>
      <c r="BE675" s="66">
        <v>24.0</v>
      </c>
      <c r="BF675" s="36" t="str">
        <f t="shared" si="510"/>
        <v>S</v>
      </c>
      <c r="BG675" s="68">
        <v>12.0</v>
      </c>
      <c r="BH675" s="41" t="str">
        <f t="shared" si="511"/>
        <v>R</v>
      </c>
      <c r="BI675" s="41"/>
    </row>
    <row r="676">
      <c r="A676" s="21" t="s">
        <v>1103</v>
      </c>
      <c r="B676" s="21" t="s">
        <v>444</v>
      </c>
      <c r="C676" s="21" t="s">
        <v>2197</v>
      </c>
      <c r="D676" s="69" t="s">
        <v>190</v>
      </c>
      <c r="E676" s="18" t="s">
        <v>190</v>
      </c>
      <c r="F676" s="18" t="s">
        <v>192</v>
      </c>
      <c r="G676" s="63" t="s">
        <v>2198</v>
      </c>
      <c r="H676" s="22" t="s">
        <v>198</v>
      </c>
      <c r="I676" s="28">
        <v>6.0</v>
      </c>
      <c r="J676" s="26" t="str">
        <f t="shared" si="489"/>
        <v>R</v>
      </c>
      <c r="K676" s="28">
        <v>6.0</v>
      </c>
      <c r="L676" s="26" t="str">
        <f t="shared" si="490"/>
        <v>R</v>
      </c>
      <c r="M676" s="28">
        <v>9.0</v>
      </c>
      <c r="N676" s="26" t="str">
        <f t="shared" si="491"/>
        <v>R</v>
      </c>
      <c r="O676" s="28">
        <v>24.0</v>
      </c>
      <c r="P676" s="26" t="str">
        <f t="shared" si="492"/>
        <v>S</v>
      </c>
      <c r="Q676" s="28">
        <v>9.0</v>
      </c>
      <c r="R676" s="26" t="str">
        <f t="shared" si="493"/>
        <v>R</v>
      </c>
      <c r="S676" s="28">
        <v>14.0</v>
      </c>
      <c r="T676" s="26" t="str">
        <f t="shared" si="494"/>
        <v>R</v>
      </c>
      <c r="U676" s="28">
        <v>14.0</v>
      </c>
      <c r="V676" s="26" t="str">
        <f t="shared" si="495"/>
        <v>R</v>
      </c>
      <c r="W676" s="32" t="s">
        <v>299</v>
      </c>
      <c r="X676" s="65">
        <v>6.0</v>
      </c>
      <c r="Y676" s="33" t="str">
        <f t="shared" si="496"/>
        <v>R</v>
      </c>
      <c r="Z676" s="65">
        <v>18.0</v>
      </c>
      <c r="AA676" s="33" t="str">
        <f t="shared" si="497"/>
        <v>S</v>
      </c>
      <c r="AB676" s="65">
        <v>9.0</v>
      </c>
      <c r="AC676" s="33" t="str">
        <f t="shared" si="498"/>
        <v>R</v>
      </c>
      <c r="AD676" s="65">
        <v>20.0</v>
      </c>
      <c r="AE676" s="33" t="str">
        <f t="shared" si="499"/>
        <v>S</v>
      </c>
      <c r="AF676" s="65">
        <v>10.0</v>
      </c>
      <c r="AG676" s="33" t="str">
        <f t="shared" si="500"/>
        <v>R</v>
      </c>
      <c r="AH676" s="65" t="s">
        <v>299</v>
      </c>
      <c r="AI676" s="66">
        <v>6.0</v>
      </c>
      <c r="AJ676" s="36" t="str">
        <f t="shared" si="501"/>
        <v>R</v>
      </c>
      <c r="AK676" s="66">
        <v>9.0</v>
      </c>
      <c r="AL676" s="36" t="str">
        <f t="shared" si="502"/>
        <v>R</v>
      </c>
      <c r="AM676" s="66">
        <v>6.0</v>
      </c>
      <c r="AN676" s="36" t="str">
        <f t="shared" si="503"/>
        <v>R</v>
      </c>
      <c r="AO676" s="66" t="s">
        <v>299</v>
      </c>
      <c r="AP676" s="67">
        <v>10.0</v>
      </c>
      <c r="AQ676" s="37" t="str">
        <f t="shared" si="504"/>
        <v>R</v>
      </c>
      <c r="AR676" s="65">
        <v>18.0</v>
      </c>
      <c r="AS676" s="33" t="str">
        <f t="shared" si="505"/>
        <v>S</v>
      </c>
      <c r="AT676" s="65">
        <v>18.0</v>
      </c>
      <c r="AU676" s="33" t="str">
        <f t="shared" si="506"/>
        <v>S</v>
      </c>
      <c r="AV676" s="33" t="s">
        <v>300</v>
      </c>
      <c r="AW676" s="28">
        <v>6.0</v>
      </c>
      <c r="AX676" s="26" t="str">
        <f t="shared" si="507"/>
        <v>R</v>
      </c>
      <c r="AY676" s="67">
        <v>13.0</v>
      </c>
      <c r="AZ676" s="37" t="str">
        <f t="shared" si="508"/>
        <v>R</v>
      </c>
      <c r="BA676" s="66">
        <v>26.0</v>
      </c>
      <c r="BB676" s="36" t="str">
        <f t="shared" si="509"/>
        <v>S</v>
      </c>
      <c r="BC676" s="39" t="s">
        <v>357</v>
      </c>
      <c r="BD676" s="39" t="s">
        <v>357</v>
      </c>
      <c r="BE676" s="66">
        <v>22.0</v>
      </c>
      <c r="BF676" s="36" t="str">
        <f t="shared" si="510"/>
        <v>S</v>
      </c>
      <c r="BG676" s="68">
        <v>13.0</v>
      </c>
      <c r="BH676" s="41" t="str">
        <f t="shared" si="511"/>
        <v>R</v>
      </c>
      <c r="BI676" s="41"/>
    </row>
    <row r="677">
      <c r="A677" s="21" t="s">
        <v>1103</v>
      </c>
      <c r="B677" s="21" t="s">
        <v>444</v>
      </c>
      <c r="C677" s="21" t="s">
        <v>2199</v>
      </c>
      <c r="D677" s="69" t="s">
        <v>190</v>
      </c>
      <c r="E677" s="18" t="s">
        <v>190</v>
      </c>
      <c r="F677" s="18" t="s">
        <v>192</v>
      </c>
      <c r="G677" s="63" t="s">
        <v>2200</v>
      </c>
      <c r="H677" s="22" t="s">
        <v>198</v>
      </c>
      <c r="I677" s="28">
        <v>6.0</v>
      </c>
      <c r="J677" s="26" t="str">
        <f t="shared" si="489"/>
        <v>R</v>
      </c>
      <c r="K677" s="28">
        <v>8.0</v>
      </c>
      <c r="L677" s="26" t="str">
        <f t="shared" si="490"/>
        <v>R</v>
      </c>
      <c r="M677" s="28">
        <v>6.0</v>
      </c>
      <c r="N677" s="26" t="str">
        <f t="shared" si="491"/>
        <v>R</v>
      </c>
      <c r="O677" s="28">
        <v>24.0</v>
      </c>
      <c r="P677" s="26" t="str">
        <f t="shared" si="492"/>
        <v>S</v>
      </c>
      <c r="Q677" s="28">
        <v>6.0</v>
      </c>
      <c r="R677" s="26" t="str">
        <f t="shared" si="493"/>
        <v>R</v>
      </c>
      <c r="S677" s="28">
        <v>16.0</v>
      </c>
      <c r="T677" s="26" t="str">
        <f t="shared" si="494"/>
        <v>R</v>
      </c>
      <c r="U677" s="28">
        <v>14.0</v>
      </c>
      <c r="V677" s="26" t="str">
        <f t="shared" si="495"/>
        <v>R</v>
      </c>
      <c r="W677" s="32" t="s">
        <v>299</v>
      </c>
      <c r="X677" s="65">
        <v>6.0</v>
      </c>
      <c r="Y677" s="33" t="str">
        <f t="shared" si="496"/>
        <v>R</v>
      </c>
      <c r="Z677" s="65">
        <v>20.0</v>
      </c>
      <c r="AA677" s="33" t="str">
        <f t="shared" si="497"/>
        <v>S</v>
      </c>
      <c r="AB677" s="65">
        <v>6.0</v>
      </c>
      <c r="AC677" s="33" t="str">
        <f t="shared" si="498"/>
        <v>R</v>
      </c>
      <c r="AD677" s="65">
        <v>20.0</v>
      </c>
      <c r="AE677" s="33" t="str">
        <f t="shared" si="499"/>
        <v>S</v>
      </c>
      <c r="AF677" s="65">
        <v>15.0</v>
      </c>
      <c r="AG677" s="33" t="str">
        <f t="shared" si="500"/>
        <v>R</v>
      </c>
      <c r="AH677" s="65" t="s">
        <v>299</v>
      </c>
      <c r="AI677" s="66">
        <v>6.0</v>
      </c>
      <c r="AJ677" s="36" t="str">
        <f t="shared" si="501"/>
        <v>R</v>
      </c>
      <c r="AK677" s="66">
        <v>8.0</v>
      </c>
      <c r="AL677" s="36" t="str">
        <f t="shared" si="502"/>
        <v>R</v>
      </c>
      <c r="AM677" s="66">
        <v>6.0</v>
      </c>
      <c r="AN677" s="36" t="str">
        <f t="shared" si="503"/>
        <v>R</v>
      </c>
      <c r="AO677" s="66" t="s">
        <v>299</v>
      </c>
      <c r="AP677" s="67">
        <v>9.0</v>
      </c>
      <c r="AQ677" s="37" t="str">
        <f t="shared" si="504"/>
        <v>R</v>
      </c>
      <c r="AR677" s="65">
        <v>18.0</v>
      </c>
      <c r="AS677" s="33" t="str">
        <f t="shared" si="505"/>
        <v>S</v>
      </c>
      <c r="AT677" s="65">
        <v>20.0</v>
      </c>
      <c r="AU677" s="33" t="str">
        <f t="shared" si="506"/>
        <v>S</v>
      </c>
      <c r="AV677" s="33" t="s">
        <v>300</v>
      </c>
      <c r="AW677" s="28">
        <v>6.0</v>
      </c>
      <c r="AX677" s="26" t="str">
        <f t="shared" si="507"/>
        <v>R</v>
      </c>
      <c r="AY677" s="67">
        <v>10.0</v>
      </c>
      <c r="AZ677" s="37" t="str">
        <f t="shared" si="508"/>
        <v>R</v>
      </c>
      <c r="BA677" s="66">
        <v>25.0</v>
      </c>
      <c r="BB677" s="36" t="str">
        <f t="shared" si="509"/>
        <v>S</v>
      </c>
      <c r="BC677" s="39" t="s">
        <v>357</v>
      </c>
      <c r="BD677" s="39" t="s">
        <v>357</v>
      </c>
      <c r="BE677" s="66">
        <v>25.0</v>
      </c>
      <c r="BF677" s="36" t="str">
        <f t="shared" si="510"/>
        <v>S</v>
      </c>
      <c r="BG677" s="68">
        <v>9.0</v>
      </c>
      <c r="BH677" s="41" t="str">
        <f t="shared" si="511"/>
        <v>R</v>
      </c>
      <c r="BI677" s="41"/>
    </row>
    <row r="678">
      <c r="A678" s="21" t="s">
        <v>1103</v>
      </c>
      <c r="B678" s="23">
        <v>281.0</v>
      </c>
      <c r="C678" s="21" t="s">
        <v>1717</v>
      </c>
      <c r="D678" s="69" t="s">
        <v>571</v>
      </c>
      <c r="E678" s="18" t="s">
        <v>572</v>
      </c>
      <c r="F678" s="18" t="s">
        <v>192</v>
      </c>
      <c r="G678" s="63" t="s">
        <v>1718</v>
      </c>
      <c r="H678" s="22" t="s">
        <v>198</v>
      </c>
      <c r="I678" s="28">
        <v>6.0</v>
      </c>
      <c r="J678" s="26" t="str">
        <f t="shared" si="489"/>
        <v>R</v>
      </c>
      <c r="K678" s="28">
        <v>15.0</v>
      </c>
      <c r="L678" s="26" t="str">
        <f t="shared" si="490"/>
        <v>R</v>
      </c>
      <c r="M678" s="28">
        <v>6.0</v>
      </c>
      <c r="N678" s="26" t="str">
        <f t="shared" si="491"/>
        <v>R</v>
      </c>
      <c r="O678" s="28">
        <v>28.0</v>
      </c>
      <c r="P678" s="26" t="str">
        <f t="shared" si="492"/>
        <v>S</v>
      </c>
      <c r="Q678" s="28">
        <v>6.0</v>
      </c>
      <c r="R678" s="26" t="str">
        <f t="shared" si="493"/>
        <v>R</v>
      </c>
      <c r="S678" s="28">
        <v>21.0</v>
      </c>
      <c r="T678" s="26" t="str">
        <f t="shared" si="494"/>
        <v>S</v>
      </c>
      <c r="U678" s="28">
        <v>21.0</v>
      </c>
      <c r="V678" s="26" t="str">
        <f t="shared" si="495"/>
        <v>S</v>
      </c>
      <c r="W678" s="32" t="s">
        <v>299</v>
      </c>
      <c r="X678" s="65">
        <v>8.0</v>
      </c>
      <c r="Y678" s="33" t="str">
        <f t="shared" si="496"/>
        <v>R</v>
      </c>
      <c r="Z678" s="65">
        <v>9.0</v>
      </c>
      <c r="AA678" s="33" t="str">
        <f t="shared" si="497"/>
        <v>R</v>
      </c>
      <c r="AB678" s="65">
        <v>10.0</v>
      </c>
      <c r="AC678" s="33" t="str">
        <f t="shared" si="498"/>
        <v>R</v>
      </c>
      <c r="AD678" s="65">
        <v>22.0</v>
      </c>
      <c r="AE678" s="33" t="str">
        <f t="shared" si="499"/>
        <v>S</v>
      </c>
      <c r="AF678" s="65">
        <v>18.0</v>
      </c>
      <c r="AG678" s="33" t="str">
        <f t="shared" si="500"/>
        <v>R</v>
      </c>
      <c r="AH678" s="65" t="s">
        <v>299</v>
      </c>
      <c r="AI678" s="66">
        <v>6.0</v>
      </c>
      <c r="AJ678" s="36" t="str">
        <f t="shared" si="501"/>
        <v>R</v>
      </c>
      <c r="AK678" s="66">
        <v>8.0</v>
      </c>
      <c r="AL678" s="36" t="str">
        <f t="shared" si="502"/>
        <v>R</v>
      </c>
      <c r="AM678" s="66">
        <v>12.0</v>
      </c>
      <c r="AN678" s="36" t="str">
        <f t="shared" si="503"/>
        <v>R</v>
      </c>
      <c r="AO678" s="66" t="s">
        <v>299</v>
      </c>
      <c r="AP678" s="67">
        <v>8.0</v>
      </c>
      <c r="AQ678" s="37" t="str">
        <f t="shared" si="504"/>
        <v>R</v>
      </c>
      <c r="AR678" s="65">
        <v>21.0</v>
      </c>
      <c r="AS678" s="33" t="str">
        <f t="shared" si="505"/>
        <v>S</v>
      </c>
      <c r="AT678" s="65">
        <v>22.0</v>
      </c>
      <c r="AU678" s="33" t="str">
        <f t="shared" si="506"/>
        <v>S</v>
      </c>
      <c r="AV678" s="33" t="s">
        <v>300</v>
      </c>
      <c r="AW678" s="28">
        <v>9.0</v>
      </c>
      <c r="AX678" s="26" t="str">
        <f t="shared" si="507"/>
        <v>R</v>
      </c>
      <c r="AY678" s="67">
        <v>12.0</v>
      </c>
      <c r="AZ678" s="37" t="str">
        <f t="shared" si="508"/>
        <v>R</v>
      </c>
      <c r="BA678" s="66">
        <v>25.0</v>
      </c>
      <c r="BB678" s="36" t="str">
        <f t="shared" si="509"/>
        <v>S</v>
      </c>
      <c r="BC678" s="39" t="s">
        <v>357</v>
      </c>
      <c r="BD678" s="39" t="s">
        <v>357</v>
      </c>
      <c r="BE678" s="66">
        <v>19.0</v>
      </c>
      <c r="BF678" s="36" t="str">
        <f t="shared" si="510"/>
        <v>I</v>
      </c>
      <c r="BG678" s="68">
        <v>21.0</v>
      </c>
      <c r="BH678" s="41" t="str">
        <f t="shared" si="511"/>
        <v>S</v>
      </c>
      <c r="BI678" s="41"/>
    </row>
    <row r="679">
      <c r="A679" s="21" t="s">
        <v>1103</v>
      </c>
      <c r="B679" s="21" t="s">
        <v>444</v>
      </c>
      <c r="C679" s="21" t="s">
        <v>2201</v>
      </c>
      <c r="D679" s="69" t="s">
        <v>571</v>
      </c>
      <c r="E679" s="18" t="s">
        <v>572</v>
      </c>
      <c r="F679" s="18" t="s">
        <v>192</v>
      </c>
      <c r="G679" s="63" t="s">
        <v>2202</v>
      </c>
      <c r="H679" s="22" t="s">
        <v>198</v>
      </c>
      <c r="I679" s="28">
        <v>6.0</v>
      </c>
      <c r="J679" s="26" t="str">
        <f t="shared" si="489"/>
        <v>R</v>
      </c>
      <c r="K679" s="28">
        <v>10.0</v>
      </c>
      <c r="L679" s="26" t="str">
        <f t="shared" si="490"/>
        <v>R</v>
      </c>
      <c r="M679" s="28">
        <v>6.0</v>
      </c>
      <c r="N679" s="26" t="str">
        <f t="shared" si="491"/>
        <v>R</v>
      </c>
      <c r="O679" s="28">
        <v>28.0</v>
      </c>
      <c r="P679" s="26" t="str">
        <f t="shared" si="492"/>
        <v>S</v>
      </c>
      <c r="Q679" s="28">
        <v>6.0</v>
      </c>
      <c r="R679" s="26" t="str">
        <f t="shared" si="493"/>
        <v>R</v>
      </c>
      <c r="S679" s="28">
        <v>22.0</v>
      </c>
      <c r="T679" s="26" t="str">
        <f t="shared" si="494"/>
        <v>S</v>
      </c>
      <c r="U679" s="28">
        <v>21.0</v>
      </c>
      <c r="V679" s="26" t="str">
        <f t="shared" si="495"/>
        <v>S</v>
      </c>
      <c r="W679" s="32" t="s">
        <v>299</v>
      </c>
      <c r="X679" s="65">
        <v>12.0</v>
      </c>
      <c r="Y679" s="33" t="str">
        <f t="shared" si="496"/>
        <v>R</v>
      </c>
      <c r="Z679" s="65">
        <v>10.0</v>
      </c>
      <c r="AA679" s="33" t="str">
        <f t="shared" si="497"/>
        <v>R</v>
      </c>
      <c r="AB679" s="65">
        <v>11.0</v>
      </c>
      <c r="AC679" s="33" t="str">
        <f t="shared" si="498"/>
        <v>R</v>
      </c>
      <c r="AD679" s="65">
        <v>23.0</v>
      </c>
      <c r="AE679" s="33" t="str">
        <f t="shared" si="499"/>
        <v>S</v>
      </c>
      <c r="AF679" s="65">
        <v>18.0</v>
      </c>
      <c r="AG679" s="33" t="str">
        <f t="shared" si="500"/>
        <v>R</v>
      </c>
      <c r="AH679" s="65" t="s">
        <v>299</v>
      </c>
      <c r="AI679" s="66">
        <v>6.0</v>
      </c>
      <c r="AJ679" s="36" t="str">
        <f t="shared" si="501"/>
        <v>R</v>
      </c>
      <c r="AK679" s="66">
        <v>10.0</v>
      </c>
      <c r="AL679" s="36" t="str">
        <f t="shared" si="502"/>
        <v>R</v>
      </c>
      <c r="AM679" s="66">
        <v>10.0</v>
      </c>
      <c r="AN679" s="36" t="str">
        <f t="shared" si="503"/>
        <v>R</v>
      </c>
      <c r="AO679" s="66" t="s">
        <v>299</v>
      </c>
      <c r="AP679" s="67">
        <v>9.0</v>
      </c>
      <c r="AQ679" s="37" t="str">
        <f t="shared" si="504"/>
        <v>R</v>
      </c>
      <c r="AR679" s="65">
        <v>20.0</v>
      </c>
      <c r="AS679" s="33" t="str">
        <f t="shared" si="505"/>
        <v>S</v>
      </c>
      <c r="AT679" s="65">
        <v>18.0</v>
      </c>
      <c r="AU679" s="33" t="str">
        <f t="shared" si="506"/>
        <v>S</v>
      </c>
      <c r="AV679" s="33" t="s">
        <v>300</v>
      </c>
      <c r="AW679" s="28">
        <v>6.0</v>
      </c>
      <c r="AX679" s="26" t="str">
        <f t="shared" si="507"/>
        <v>R</v>
      </c>
      <c r="AY679" s="67">
        <v>15.0</v>
      </c>
      <c r="AZ679" s="37" t="str">
        <f t="shared" si="508"/>
        <v>R</v>
      </c>
      <c r="BA679" s="66">
        <v>26.0</v>
      </c>
      <c r="BB679" s="36" t="str">
        <f t="shared" si="509"/>
        <v>S</v>
      </c>
      <c r="BC679" s="39" t="s">
        <v>357</v>
      </c>
      <c r="BD679" s="39" t="s">
        <v>357</v>
      </c>
      <c r="BE679" s="66">
        <v>21.0</v>
      </c>
      <c r="BF679" s="36" t="str">
        <f t="shared" si="510"/>
        <v>I</v>
      </c>
      <c r="BG679" s="68">
        <v>18.0</v>
      </c>
      <c r="BH679" s="41" t="str">
        <f t="shared" si="511"/>
        <v>S</v>
      </c>
      <c r="BI679" s="41"/>
    </row>
    <row r="680">
      <c r="A680" s="21" t="s">
        <v>1103</v>
      </c>
      <c r="B680" s="21" t="s">
        <v>444</v>
      </c>
      <c r="C680" s="21" t="s">
        <v>2203</v>
      </c>
      <c r="D680" s="69" t="s">
        <v>571</v>
      </c>
      <c r="E680" s="18" t="s">
        <v>572</v>
      </c>
      <c r="F680" s="18" t="s">
        <v>192</v>
      </c>
      <c r="G680" s="63" t="s">
        <v>2204</v>
      </c>
      <c r="H680" s="22" t="s">
        <v>198</v>
      </c>
      <c r="I680" s="28">
        <v>6.0</v>
      </c>
      <c r="J680" s="26" t="str">
        <f t="shared" si="489"/>
        <v>R</v>
      </c>
      <c r="K680" s="28">
        <v>11.0</v>
      </c>
      <c r="L680" s="26" t="str">
        <f t="shared" si="490"/>
        <v>R</v>
      </c>
      <c r="M680" s="28">
        <v>6.0</v>
      </c>
      <c r="N680" s="26" t="str">
        <f t="shared" si="491"/>
        <v>R</v>
      </c>
      <c r="O680" s="28">
        <v>23.0</v>
      </c>
      <c r="P680" s="26" t="str">
        <f t="shared" si="492"/>
        <v>S</v>
      </c>
      <c r="Q680" s="28">
        <v>6.0</v>
      </c>
      <c r="R680" s="26" t="str">
        <f t="shared" si="493"/>
        <v>R</v>
      </c>
      <c r="S680" s="28">
        <v>18.0</v>
      </c>
      <c r="T680" s="26" t="str">
        <f t="shared" si="494"/>
        <v>R</v>
      </c>
      <c r="U680" s="28">
        <v>19.0</v>
      </c>
      <c r="V680" s="26" t="str">
        <f t="shared" si="495"/>
        <v>I</v>
      </c>
      <c r="W680" s="32" t="s">
        <v>299</v>
      </c>
      <c r="X680" s="65">
        <v>12.0</v>
      </c>
      <c r="Y680" s="33" t="str">
        <f t="shared" si="496"/>
        <v>R</v>
      </c>
      <c r="Z680" s="65">
        <v>6.0</v>
      </c>
      <c r="AA680" s="33" t="str">
        <f t="shared" si="497"/>
        <v>R</v>
      </c>
      <c r="AB680" s="65">
        <v>6.0</v>
      </c>
      <c r="AC680" s="33" t="str">
        <f t="shared" si="498"/>
        <v>R</v>
      </c>
      <c r="AD680" s="65">
        <v>20.0</v>
      </c>
      <c r="AE680" s="33" t="str">
        <f t="shared" si="499"/>
        <v>S</v>
      </c>
      <c r="AF680" s="65">
        <v>17.0</v>
      </c>
      <c r="AG680" s="33" t="str">
        <f t="shared" si="500"/>
        <v>R</v>
      </c>
      <c r="AH680" s="65" t="s">
        <v>299</v>
      </c>
      <c r="AI680" s="66">
        <v>6.0</v>
      </c>
      <c r="AJ680" s="36" t="str">
        <f t="shared" si="501"/>
        <v>R</v>
      </c>
      <c r="AK680" s="66">
        <v>6.0</v>
      </c>
      <c r="AL680" s="36" t="str">
        <f t="shared" si="502"/>
        <v>R</v>
      </c>
      <c r="AM680" s="66">
        <v>6.0</v>
      </c>
      <c r="AN680" s="36" t="str">
        <f t="shared" si="503"/>
        <v>R</v>
      </c>
      <c r="AO680" s="66" t="s">
        <v>299</v>
      </c>
      <c r="AP680" s="67">
        <v>20.0</v>
      </c>
      <c r="AQ680" s="37" t="str">
        <f t="shared" si="504"/>
        <v>S</v>
      </c>
      <c r="AR680" s="65">
        <v>20.0</v>
      </c>
      <c r="AS680" s="33" t="str">
        <f t="shared" si="505"/>
        <v>S</v>
      </c>
      <c r="AT680" s="65">
        <v>12.0</v>
      </c>
      <c r="AU680" s="33" t="str">
        <f t="shared" si="506"/>
        <v>R</v>
      </c>
      <c r="AV680" s="65" t="s">
        <v>299</v>
      </c>
      <c r="AW680" s="28">
        <v>6.0</v>
      </c>
      <c r="AX680" s="26" t="str">
        <f t="shared" si="507"/>
        <v>R</v>
      </c>
      <c r="AY680" s="67">
        <v>11.0</v>
      </c>
      <c r="AZ680" s="37" t="str">
        <f t="shared" si="508"/>
        <v>R</v>
      </c>
      <c r="BA680" s="66">
        <v>23.0</v>
      </c>
      <c r="BB680" s="36" t="str">
        <f t="shared" si="509"/>
        <v>S</v>
      </c>
      <c r="BC680" s="39" t="s">
        <v>357</v>
      </c>
      <c r="BD680" s="39" t="s">
        <v>357</v>
      </c>
      <c r="BE680" s="66">
        <v>26.0</v>
      </c>
      <c r="BF680" s="36" t="str">
        <f t="shared" si="510"/>
        <v>S</v>
      </c>
      <c r="BG680" s="68">
        <v>6.0</v>
      </c>
      <c r="BH680" s="41" t="str">
        <f t="shared" si="511"/>
        <v>R</v>
      </c>
      <c r="BI680" s="41"/>
    </row>
    <row r="681">
      <c r="A681" s="21" t="s">
        <v>1103</v>
      </c>
      <c r="B681" s="23">
        <v>282.0</v>
      </c>
      <c r="C681" s="21" t="s">
        <v>1721</v>
      </c>
      <c r="D681" s="69" t="s">
        <v>555</v>
      </c>
      <c r="E681" s="18" t="s">
        <v>103</v>
      </c>
      <c r="F681" s="18" t="s">
        <v>192</v>
      </c>
      <c r="G681" s="63" t="s">
        <v>1722</v>
      </c>
      <c r="H681" s="22" t="s">
        <v>198</v>
      </c>
      <c r="I681" s="28">
        <v>6.0</v>
      </c>
      <c r="J681" s="26" t="str">
        <f t="shared" si="489"/>
        <v>R</v>
      </c>
      <c r="K681" s="28">
        <v>16.0</v>
      </c>
      <c r="L681" s="26" t="str">
        <f t="shared" si="490"/>
        <v>R</v>
      </c>
      <c r="M681" s="28">
        <v>6.0</v>
      </c>
      <c r="N681" s="26" t="str">
        <f t="shared" si="491"/>
        <v>R</v>
      </c>
      <c r="O681" s="28">
        <v>21.0</v>
      </c>
      <c r="P681" s="26" t="str">
        <f t="shared" si="492"/>
        <v>I</v>
      </c>
      <c r="Q681" s="28">
        <v>6.0</v>
      </c>
      <c r="R681" s="26" t="str">
        <f t="shared" si="493"/>
        <v>R</v>
      </c>
      <c r="S681" s="28">
        <v>21.0</v>
      </c>
      <c r="T681" s="26" t="str">
        <f t="shared" si="494"/>
        <v>S</v>
      </c>
      <c r="U681" s="28">
        <v>12.0</v>
      </c>
      <c r="V681" s="26" t="str">
        <f t="shared" si="495"/>
        <v>R</v>
      </c>
      <c r="W681" s="32" t="s">
        <v>299</v>
      </c>
      <c r="X681" s="65">
        <v>6.0</v>
      </c>
      <c r="Y681" s="33" t="str">
        <f t="shared" si="496"/>
        <v>R</v>
      </c>
      <c r="Z681" s="65">
        <v>19.0</v>
      </c>
      <c r="AA681" s="33" t="str">
        <f t="shared" si="497"/>
        <v>S</v>
      </c>
      <c r="AB681" s="65">
        <v>10.0</v>
      </c>
      <c r="AC681" s="33" t="str">
        <f t="shared" si="498"/>
        <v>R</v>
      </c>
      <c r="AD681" s="65">
        <v>23.0</v>
      </c>
      <c r="AE681" s="33" t="str">
        <f t="shared" si="499"/>
        <v>S</v>
      </c>
      <c r="AF681" s="65">
        <v>6.0</v>
      </c>
      <c r="AG681" s="33" t="str">
        <f t="shared" si="500"/>
        <v>R</v>
      </c>
      <c r="AH681" s="65" t="s">
        <v>299</v>
      </c>
      <c r="AI681" s="66">
        <v>21.0</v>
      </c>
      <c r="AJ681" s="36" t="str">
        <f t="shared" si="501"/>
        <v>R</v>
      </c>
      <c r="AK681" s="66">
        <v>21.0</v>
      </c>
      <c r="AL681" s="36" t="str">
        <f t="shared" si="502"/>
        <v>I</v>
      </c>
      <c r="AM681" s="66">
        <v>22.0</v>
      </c>
      <c r="AN681" s="36" t="str">
        <f t="shared" si="503"/>
        <v>S</v>
      </c>
      <c r="AO681" s="66" t="s">
        <v>299</v>
      </c>
      <c r="AP681" s="67">
        <v>15.0</v>
      </c>
      <c r="AQ681" s="37" t="str">
        <f t="shared" si="504"/>
        <v>S</v>
      </c>
      <c r="AR681" s="65">
        <v>17.0</v>
      </c>
      <c r="AS681" s="33" t="str">
        <f t="shared" si="505"/>
        <v>R</v>
      </c>
      <c r="AT681" s="65">
        <v>27.0</v>
      </c>
      <c r="AU681" s="33" t="str">
        <f t="shared" si="506"/>
        <v>S</v>
      </c>
      <c r="AV681" s="65" t="s">
        <v>299</v>
      </c>
      <c r="AW681" s="28">
        <v>22.0</v>
      </c>
      <c r="AX681" s="26" t="str">
        <f t="shared" si="507"/>
        <v>S</v>
      </c>
      <c r="AY681" s="67">
        <v>14.0</v>
      </c>
      <c r="AZ681" s="37" t="str">
        <f t="shared" si="508"/>
        <v>R</v>
      </c>
      <c r="BA681" s="66">
        <v>17.0</v>
      </c>
      <c r="BB681" s="36" t="str">
        <f t="shared" si="509"/>
        <v>R</v>
      </c>
      <c r="BC681" s="39" t="s">
        <v>357</v>
      </c>
      <c r="BD681" s="39" t="s">
        <v>357</v>
      </c>
      <c r="BE681" s="66">
        <v>18.0</v>
      </c>
      <c r="BF681" s="36" t="str">
        <f t="shared" si="510"/>
        <v>R</v>
      </c>
      <c r="BG681" s="68">
        <v>9.0</v>
      </c>
      <c r="BH681" s="41" t="str">
        <f t="shared" si="511"/>
        <v>R</v>
      </c>
      <c r="BI681" s="41"/>
    </row>
    <row r="682">
      <c r="A682" s="21" t="s">
        <v>1103</v>
      </c>
      <c r="B682" s="21" t="s">
        <v>444</v>
      </c>
      <c r="C682" s="21" t="s">
        <v>2205</v>
      </c>
      <c r="D682" s="69" t="s">
        <v>555</v>
      </c>
      <c r="E682" s="18" t="s">
        <v>103</v>
      </c>
      <c r="F682" s="18" t="s">
        <v>192</v>
      </c>
      <c r="G682" s="63" t="s">
        <v>2206</v>
      </c>
      <c r="H682" s="22" t="s">
        <v>198</v>
      </c>
      <c r="I682" s="28">
        <v>6.0</v>
      </c>
      <c r="J682" s="26" t="str">
        <f t="shared" si="489"/>
        <v>R</v>
      </c>
      <c r="K682" s="28">
        <v>16.0</v>
      </c>
      <c r="L682" s="26" t="str">
        <f t="shared" si="490"/>
        <v>R</v>
      </c>
      <c r="M682" s="28">
        <v>9.0</v>
      </c>
      <c r="N682" s="26" t="str">
        <f t="shared" si="491"/>
        <v>R</v>
      </c>
      <c r="O682" s="28">
        <v>21.0</v>
      </c>
      <c r="P682" s="26" t="str">
        <f t="shared" si="492"/>
        <v>I</v>
      </c>
      <c r="Q682" s="28">
        <v>6.0</v>
      </c>
      <c r="R682" s="26" t="str">
        <f t="shared" si="493"/>
        <v>R</v>
      </c>
      <c r="S682" s="28">
        <v>21.0</v>
      </c>
      <c r="T682" s="26" t="str">
        <f t="shared" si="494"/>
        <v>S</v>
      </c>
      <c r="U682" s="28">
        <v>12.0</v>
      </c>
      <c r="V682" s="26" t="str">
        <f t="shared" si="495"/>
        <v>R</v>
      </c>
      <c r="W682" s="32" t="s">
        <v>299</v>
      </c>
      <c r="X682" s="65">
        <v>6.0</v>
      </c>
      <c r="Y682" s="33" t="str">
        <f t="shared" si="496"/>
        <v>R</v>
      </c>
      <c r="Z682" s="65">
        <v>19.0</v>
      </c>
      <c r="AA682" s="33" t="str">
        <f t="shared" si="497"/>
        <v>S</v>
      </c>
      <c r="AB682" s="65">
        <v>11.0</v>
      </c>
      <c r="AC682" s="33" t="str">
        <f t="shared" si="498"/>
        <v>R</v>
      </c>
      <c r="AD682" s="65">
        <v>22.0</v>
      </c>
      <c r="AE682" s="33" t="str">
        <f t="shared" si="499"/>
        <v>S</v>
      </c>
      <c r="AF682" s="65">
        <v>6.0</v>
      </c>
      <c r="AG682" s="33" t="str">
        <f t="shared" si="500"/>
        <v>R</v>
      </c>
      <c r="AH682" s="65" t="s">
        <v>299</v>
      </c>
      <c r="AI682" s="66">
        <v>21.0</v>
      </c>
      <c r="AJ682" s="36" t="str">
        <f t="shared" si="501"/>
        <v>R</v>
      </c>
      <c r="AK682" s="66">
        <v>22.0</v>
      </c>
      <c r="AL682" s="36" t="str">
        <f t="shared" si="502"/>
        <v>I</v>
      </c>
      <c r="AM682" s="66">
        <v>22.0</v>
      </c>
      <c r="AN682" s="36" t="str">
        <f t="shared" si="503"/>
        <v>S</v>
      </c>
      <c r="AO682" s="66" t="s">
        <v>299</v>
      </c>
      <c r="AP682" s="67">
        <v>15.0</v>
      </c>
      <c r="AQ682" s="37" t="str">
        <f t="shared" si="504"/>
        <v>S</v>
      </c>
      <c r="AR682" s="65">
        <v>15.0</v>
      </c>
      <c r="AS682" s="33" t="str">
        <f t="shared" si="505"/>
        <v>R</v>
      </c>
      <c r="AT682" s="65">
        <v>26.0</v>
      </c>
      <c r="AU682" s="33" t="str">
        <f t="shared" si="506"/>
        <v>S</v>
      </c>
      <c r="AV682" s="65" t="s">
        <v>299</v>
      </c>
      <c r="AW682" s="28">
        <v>20.0</v>
      </c>
      <c r="AX682" s="26" t="str">
        <f t="shared" si="507"/>
        <v>S</v>
      </c>
      <c r="AY682" s="67">
        <v>13.0</v>
      </c>
      <c r="AZ682" s="37" t="str">
        <f t="shared" si="508"/>
        <v>R</v>
      </c>
      <c r="BA682" s="66">
        <v>16.0</v>
      </c>
      <c r="BB682" s="36" t="str">
        <f t="shared" si="509"/>
        <v>R</v>
      </c>
      <c r="BC682" s="39" t="s">
        <v>357</v>
      </c>
      <c r="BD682" s="39" t="s">
        <v>357</v>
      </c>
      <c r="BE682" s="66">
        <v>20.0</v>
      </c>
      <c r="BF682" s="36" t="str">
        <f t="shared" si="510"/>
        <v>I</v>
      </c>
      <c r="BG682" s="68">
        <v>6.0</v>
      </c>
      <c r="BH682" s="41" t="str">
        <f t="shared" si="511"/>
        <v>R</v>
      </c>
      <c r="BI682" s="41"/>
    </row>
    <row r="683">
      <c r="A683" s="21" t="s">
        <v>1103</v>
      </c>
      <c r="B683" s="21" t="s">
        <v>444</v>
      </c>
      <c r="C683" s="21" t="s">
        <v>2207</v>
      </c>
      <c r="D683" s="69" t="s">
        <v>555</v>
      </c>
      <c r="E683" s="18" t="s">
        <v>103</v>
      </c>
      <c r="F683" s="18" t="s">
        <v>192</v>
      </c>
      <c r="G683" s="63" t="s">
        <v>2208</v>
      </c>
      <c r="H683" s="22" t="s">
        <v>198</v>
      </c>
      <c r="I683" s="28">
        <v>6.0</v>
      </c>
      <c r="J683" s="26" t="str">
        <f t="shared" si="489"/>
        <v>R</v>
      </c>
      <c r="K683" s="28">
        <v>16.0</v>
      </c>
      <c r="L683" s="26" t="str">
        <f t="shared" si="490"/>
        <v>R</v>
      </c>
      <c r="M683" s="28">
        <v>9.0</v>
      </c>
      <c r="N683" s="26" t="str">
        <f t="shared" si="491"/>
        <v>R</v>
      </c>
      <c r="O683" s="28">
        <v>21.0</v>
      </c>
      <c r="P683" s="26" t="str">
        <f t="shared" si="492"/>
        <v>I</v>
      </c>
      <c r="Q683" s="28">
        <v>6.0</v>
      </c>
      <c r="R683" s="26" t="str">
        <f t="shared" si="493"/>
        <v>R</v>
      </c>
      <c r="S683" s="28">
        <v>21.0</v>
      </c>
      <c r="T683" s="26" t="str">
        <f t="shared" si="494"/>
        <v>S</v>
      </c>
      <c r="U683" s="28">
        <v>12.0</v>
      </c>
      <c r="V683" s="26" t="str">
        <f t="shared" si="495"/>
        <v>R</v>
      </c>
      <c r="W683" s="32" t="s">
        <v>299</v>
      </c>
      <c r="X683" s="65">
        <v>6.0</v>
      </c>
      <c r="Y683" s="33" t="str">
        <f t="shared" si="496"/>
        <v>R</v>
      </c>
      <c r="Z683" s="65">
        <v>19.0</v>
      </c>
      <c r="AA683" s="33" t="str">
        <f t="shared" si="497"/>
        <v>S</v>
      </c>
      <c r="AB683" s="65">
        <v>10.0</v>
      </c>
      <c r="AC683" s="33" t="str">
        <f t="shared" si="498"/>
        <v>R</v>
      </c>
      <c r="AD683" s="65">
        <v>22.0</v>
      </c>
      <c r="AE683" s="33" t="str">
        <f t="shared" si="499"/>
        <v>S</v>
      </c>
      <c r="AF683" s="65">
        <v>6.0</v>
      </c>
      <c r="AG683" s="33" t="str">
        <f t="shared" si="500"/>
        <v>R</v>
      </c>
      <c r="AH683" s="65" t="s">
        <v>299</v>
      </c>
      <c r="AI683" s="66">
        <v>21.0</v>
      </c>
      <c r="AJ683" s="36" t="str">
        <f t="shared" si="501"/>
        <v>R</v>
      </c>
      <c r="AK683" s="66">
        <v>21.0</v>
      </c>
      <c r="AL683" s="36" t="str">
        <f t="shared" si="502"/>
        <v>I</v>
      </c>
      <c r="AM683" s="66">
        <v>22.0</v>
      </c>
      <c r="AN683" s="36" t="str">
        <f t="shared" si="503"/>
        <v>S</v>
      </c>
      <c r="AO683" s="66" t="s">
        <v>299</v>
      </c>
      <c r="AP683" s="67">
        <v>15.0</v>
      </c>
      <c r="AQ683" s="37" t="str">
        <f t="shared" si="504"/>
        <v>S</v>
      </c>
      <c r="AR683" s="65">
        <v>17.0</v>
      </c>
      <c r="AS683" s="33" t="str">
        <f t="shared" si="505"/>
        <v>R</v>
      </c>
      <c r="AT683" s="65">
        <v>27.0</v>
      </c>
      <c r="AU683" s="33" t="str">
        <f t="shared" si="506"/>
        <v>S</v>
      </c>
      <c r="AV683" s="65" t="s">
        <v>299</v>
      </c>
      <c r="AW683" s="28">
        <v>20.0</v>
      </c>
      <c r="AX683" s="26" t="str">
        <f t="shared" si="507"/>
        <v>S</v>
      </c>
      <c r="AY683" s="67">
        <v>14.0</v>
      </c>
      <c r="AZ683" s="37" t="str">
        <f t="shared" si="508"/>
        <v>R</v>
      </c>
      <c r="BA683" s="66">
        <v>17.0</v>
      </c>
      <c r="BB683" s="36" t="str">
        <f t="shared" si="509"/>
        <v>R</v>
      </c>
      <c r="BC683" s="39" t="s">
        <v>357</v>
      </c>
      <c r="BD683" s="39" t="s">
        <v>357</v>
      </c>
      <c r="BE683" s="66">
        <v>18.0</v>
      </c>
      <c r="BF683" s="36" t="str">
        <f t="shared" si="510"/>
        <v>R</v>
      </c>
      <c r="BG683" s="68">
        <v>6.0</v>
      </c>
      <c r="BH683" s="41" t="str">
        <f t="shared" si="511"/>
        <v>R</v>
      </c>
      <c r="BI683" s="41"/>
    </row>
    <row r="684">
      <c r="A684" s="51" t="s">
        <v>1113</v>
      </c>
      <c r="B684" s="53">
        <v>283.0</v>
      </c>
      <c r="C684" s="51" t="s">
        <v>1724</v>
      </c>
      <c r="D684" s="69" t="s">
        <v>190</v>
      </c>
      <c r="E684" s="18" t="s">
        <v>190</v>
      </c>
      <c r="F684" s="18" t="s">
        <v>192</v>
      </c>
      <c r="G684" s="63" t="s">
        <v>1726</v>
      </c>
      <c r="H684" s="22" t="s">
        <v>198</v>
      </c>
      <c r="I684" s="28">
        <v>6.0</v>
      </c>
      <c r="J684" s="26" t="str">
        <f t="shared" si="489"/>
        <v>R</v>
      </c>
      <c r="K684" s="28">
        <v>6.0</v>
      </c>
      <c r="L684" s="26" t="str">
        <f t="shared" si="490"/>
        <v>R</v>
      </c>
      <c r="M684" s="28">
        <v>6.0</v>
      </c>
      <c r="N684" s="26" t="str">
        <f t="shared" si="491"/>
        <v>R</v>
      </c>
      <c r="O684" s="28">
        <v>20.0</v>
      </c>
      <c r="P684" s="26" t="str">
        <f t="shared" si="492"/>
        <v>I</v>
      </c>
      <c r="Q684" s="28">
        <v>6.0</v>
      </c>
      <c r="R684" s="26" t="str">
        <f t="shared" si="493"/>
        <v>R</v>
      </c>
      <c r="S684" s="28">
        <v>6.0</v>
      </c>
      <c r="T684" s="26" t="str">
        <f t="shared" si="494"/>
        <v>R</v>
      </c>
      <c r="U684" s="28">
        <v>11.0</v>
      </c>
      <c r="V684" s="26" t="str">
        <f t="shared" si="495"/>
        <v>R</v>
      </c>
      <c r="W684" s="32" t="s">
        <v>299</v>
      </c>
      <c r="X684" s="65">
        <v>6.0</v>
      </c>
      <c r="Y684" s="33" t="str">
        <f t="shared" si="496"/>
        <v>R</v>
      </c>
      <c r="Z684" s="65">
        <v>6.0</v>
      </c>
      <c r="AA684" s="33" t="str">
        <f t="shared" si="497"/>
        <v>R</v>
      </c>
      <c r="AB684" s="65">
        <v>6.0</v>
      </c>
      <c r="AC684" s="33" t="str">
        <f t="shared" si="498"/>
        <v>R</v>
      </c>
      <c r="AD684" s="65">
        <v>6.0</v>
      </c>
      <c r="AE684" s="33" t="str">
        <f t="shared" si="499"/>
        <v>R</v>
      </c>
      <c r="AF684" s="65">
        <v>6.0</v>
      </c>
      <c r="AG684" s="33" t="str">
        <f t="shared" si="500"/>
        <v>R</v>
      </c>
      <c r="AH684" s="65" t="s">
        <v>299</v>
      </c>
      <c r="AI684" s="66">
        <v>6.0</v>
      </c>
      <c r="AJ684" s="36" t="str">
        <f t="shared" si="501"/>
        <v>R</v>
      </c>
      <c r="AK684" s="66">
        <v>6.0</v>
      </c>
      <c r="AL684" s="36" t="str">
        <f t="shared" si="502"/>
        <v>R</v>
      </c>
      <c r="AM684" s="66">
        <v>6.0</v>
      </c>
      <c r="AN684" s="36" t="str">
        <f t="shared" si="503"/>
        <v>R</v>
      </c>
      <c r="AO684" s="66" t="s">
        <v>299</v>
      </c>
      <c r="AP684" s="67">
        <v>6.0</v>
      </c>
      <c r="AQ684" s="37" t="str">
        <f t="shared" si="504"/>
        <v>R</v>
      </c>
      <c r="AR684" s="65">
        <v>19.0</v>
      </c>
      <c r="AS684" s="33" t="str">
        <f t="shared" si="505"/>
        <v>S</v>
      </c>
      <c r="AT684" s="65">
        <v>11.0</v>
      </c>
      <c r="AU684" s="33" t="str">
        <f t="shared" si="506"/>
        <v>R</v>
      </c>
      <c r="AV684" s="65" t="s">
        <v>299</v>
      </c>
      <c r="AW684" s="28">
        <v>20.0</v>
      </c>
      <c r="AX684" s="26" t="str">
        <f t="shared" si="507"/>
        <v>S</v>
      </c>
      <c r="AY684" s="67">
        <v>6.0</v>
      </c>
      <c r="AZ684" s="37" t="str">
        <f t="shared" si="508"/>
        <v>R</v>
      </c>
      <c r="BA684" s="66">
        <v>10.0</v>
      </c>
      <c r="BB684" s="36" t="str">
        <f t="shared" si="509"/>
        <v>R</v>
      </c>
      <c r="BC684" s="39" t="s">
        <v>357</v>
      </c>
      <c r="BD684" s="39" t="s">
        <v>357</v>
      </c>
      <c r="BE684" s="66">
        <v>6.0</v>
      </c>
      <c r="BF684" s="36" t="str">
        <f t="shared" si="510"/>
        <v>R</v>
      </c>
      <c r="BG684" s="68">
        <v>6.0</v>
      </c>
      <c r="BH684" s="41" t="str">
        <f t="shared" si="511"/>
        <v>R</v>
      </c>
      <c r="BI684" s="41"/>
    </row>
    <row r="685">
      <c r="A685" s="51" t="s">
        <v>1113</v>
      </c>
      <c r="B685" s="51" t="s">
        <v>444</v>
      </c>
      <c r="C685" s="51" t="s">
        <v>2209</v>
      </c>
      <c r="D685" s="69" t="s">
        <v>190</v>
      </c>
      <c r="E685" s="18" t="s">
        <v>190</v>
      </c>
      <c r="F685" s="18" t="s">
        <v>192</v>
      </c>
      <c r="G685" s="63" t="s">
        <v>2210</v>
      </c>
      <c r="H685" s="22" t="s">
        <v>198</v>
      </c>
      <c r="I685" s="28">
        <v>6.0</v>
      </c>
      <c r="J685" s="26" t="str">
        <f t="shared" si="489"/>
        <v>R</v>
      </c>
      <c r="K685" s="28">
        <v>6.0</v>
      </c>
      <c r="L685" s="26" t="str">
        <f t="shared" si="490"/>
        <v>R</v>
      </c>
      <c r="M685" s="28">
        <v>6.0</v>
      </c>
      <c r="N685" s="26" t="str">
        <f t="shared" si="491"/>
        <v>R</v>
      </c>
      <c r="O685" s="28">
        <v>20.0</v>
      </c>
      <c r="P685" s="26" t="str">
        <f t="shared" si="492"/>
        <v>I</v>
      </c>
      <c r="Q685" s="28">
        <v>6.0</v>
      </c>
      <c r="R685" s="26" t="str">
        <f t="shared" si="493"/>
        <v>R</v>
      </c>
      <c r="S685" s="28">
        <v>6.0</v>
      </c>
      <c r="T685" s="26" t="str">
        <f t="shared" si="494"/>
        <v>R</v>
      </c>
      <c r="U685" s="28">
        <v>11.0</v>
      </c>
      <c r="V685" s="26" t="str">
        <f t="shared" si="495"/>
        <v>R</v>
      </c>
      <c r="W685" s="32" t="s">
        <v>299</v>
      </c>
      <c r="X685" s="65">
        <v>9.0</v>
      </c>
      <c r="Y685" s="33" t="str">
        <f t="shared" si="496"/>
        <v>R</v>
      </c>
      <c r="Z685" s="65">
        <v>15.0</v>
      </c>
      <c r="AA685" s="33" t="str">
        <f t="shared" si="497"/>
        <v>R</v>
      </c>
      <c r="AB685" s="65">
        <v>6.0</v>
      </c>
      <c r="AC685" s="33" t="str">
        <f t="shared" si="498"/>
        <v>R</v>
      </c>
      <c r="AD685" s="65">
        <v>6.0</v>
      </c>
      <c r="AE685" s="33" t="str">
        <f t="shared" si="499"/>
        <v>R</v>
      </c>
      <c r="AF685" s="65">
        <v>11.0</v>
      </c>
      <c r="AG685" s="33" t="str">
        <f t="shared" si="500"/>
        <v>R</v>
      </c>
      <c r="AH685" s="65" t="s">
        <v>299</v>
      </c>
      <c r="AI685" s="66">
        <v>6.0</v>
      </c>
      <c r="AJ685" s="36" t="str">
        <f t="shared" si="501"/>
        <v>R</v>
      </c>
      <c r="AK685" s="66">
        <v>6.0</v>
      </c>
      <c r="AL685" s="36" t="str">
        <f t="shared" si="502"/>
        <v>R</v>
      </c>
      <c r="AM685" s="66">
        <v>6.0</v>
      </c>
      <c r="AN685" s="36" t="str">
        <f t="shared" si="503"/>
        <v>R</v>
      </c>
      <c r="AO685" s="66" t="s">
        <v>299</v>
      </c>
      <c r="AP685" s="67">
        <v>6.0</v>
      </c>
      <c r="AQ685" s="37" t="str">
        <f t="shared" si="504"/>
        <v>R</v>
      </c>
      <c r="AR685" s="65">
        <v>20.0</v>
      </c>
      <c r="AS685" s="33" t="str">
        <f t="shared" si="505"/>
        <v>S</v>
      </c>
      <c r="AT685" s="65">
        <v>10.0</v>
      </c>
      <c r="AU685" s="33" t="str">
        <f t="shared" si="506"/>
        <v>R</v>
      </c>
      <c r="AV685" s="65" t="s">
        <v>299</v>
      </c>
      <c r="AW685" s="28">
        <v>21.0</v>
      </c>
      <c r="AX685" s="26" t="str">
        <f t="shared" si="507"/>
        <v>S</v>
      </c>
      <c r="AY685" s="67">
        <v>12.0</v>
      </c>
      <c r="AZ685" s="37" t="str">
        <f t="shared" si="508"/>
        <v>R</v>
      </c>
      <c r="BA685" s="66">
        <v>12.0</v>
      </c>
      <c r="BB685" s="36" t="str">
        <f t="shared" si="509"/>
        <v>R</v>
      </c>
      <c r="BC685" s="39" t="s">
        <v>357</v>
      </c>
      <c r="BD685" s="39" t="s">
        <v>357</v>
      </c>
      <c r="BE685" s="66">
        <v>12.0</v>
      </c>
      <c r="BF685" s="36" t="str">
        <f t="shared" si="510"/>
        <v>R</v>
      </c>
      <c r="BG685" s="68">
        <v>6.0</v>
      </c>
      <c r="BH685" s="41" t="str">
        <f t="shared" si="511"/>
        <v>R</v>
      </c>
      <c r="BI685" s="41"/>
    </row>
    <row r="686">
      <c r="A686" s="51" t="s">
        <v>1113</v>
      </c>
      <c r="B686" s="51" t="s">
        <v>444</v>
      </c>
      <c r="C686" s="51" t="s">
        <v>2211</v>
      </c>
      <c r="D686" s="69" t="s">
        <v>190</v>
      </c>
      <c r="E686" s="18" t="s">
        <v>190</v>
      </c>
      <c r="F686" s="18" t="s">
        <v>192</v>
      </c>
      <c r="G686" s="63" t="s">
        <v>2212</v>
      </c>
      <c r="H686" s="22" t="s">
        <v>198</v>
      </c>
      <c r="I686" s="28">
        <v>6.0</v>
      </c>
      <c r="J686" s="26" t="str">
        <f t="shared" si="489"/>
        <v>R</v>
      </c>
      <c r="K686" s="28">
        <v>6.0</v>
      </c>
      <c r="L686" s="26" t="str">
        <f t="shared" si="490"/>
        <v>R</v>
      </c>
      <c r="M686" s="28">
        <v>6.0</v>
      </c>
      <c r="N686" s="26" t="str">
        <f t="shared" si="491"/>
        <v>R</v>
      </c>
      <c r="O686" s="28">
        <v>20.0</v>
      </c>
      <c r="P686" s="26" t="str">
        <f t="shared" si="492"/>
        <v>I</v>
      </c>
      <c r="Q686" s="28">
        <v>6.0</v>
      </c>
      <c r="R686" s="26" t="str">
        <f t="shared" si="493"/>
        <v>R</v>
      </c>
      <c r="S686" s="28">
        <v>6.0</v>
      </c>
      <c r="T686" s="26" t="str">
        <f t="shared" si="494"/>
        <v>R</v>
      </c>
      <c r="U686" s="28">
        <v>11.0</v>
      </c>
      <c r="V686" s="26" t="str">
        <f t="shared" si="495"/>
        <v>R</v>
      </c>
      <c r="W686" s="32" t="s">
        <v>299</v>
      </c>
      <c r="X686" s="65">
        <v>13.0</v>
      </c>
      <c r="Y686" s="33" t="str">
        <f t="shared" si="496"/>
        <v>R</v>
      </c>
      <c r="Z686" s="65">
        <v>13.0</v>
      </c>
      <c r="AA686" s="33" t="str">
        <f t="shared" si="497"/>
        <v>R</v>
      </c>
      <c r="AB686" s="65">
        <v>6.0</v>
      </c>
      <c r="AC686" s="33" t="str">
        <f t="shared" si="498"/>
        <v>R</v>
      </c>
      <c r="AD686" s="65">
        <v>6.0</v>
      </c>
      <c r="AE686" s="33" t="str">
        <f t="shared" si="499"/>
        <v>R</v>
      </c>
      <c r="AF686" s="65">
        <v>9.0</v>
      </c>
      <c r="AG686" s="33" t="str">
        <f t="shared" si="500"/>
        <v>R</v>
      </c>
      <c r="AH686" s="65" t="s">
        <v>299</v>
      </c>
      <c r="AI686" s="66">
        <v>6.0</v>
      </c>
      <c r="AJ686" s="36" t="str">
        <f t="shared" si="501"/>
        <v>R</v>
      </c>
      <c r="AK686" s="66">
        <v>9.0</v>
      </c>
      <c r="AL686" s="36" t="str">
        <f t="shared" si="502"/>
        <v>R</v>
      </c>
      <c r="AM686" s="66">
        <v>6.0</v>
      </c>
      <c r="AN686" s="36" t="str">
        <f t="shared" si="503"/>
        <v>R</v>
      </c>
      <c r="AO686" s="66" t="s">
        <v>299</v>
      </c>
      <c r="AP686" s="67">
        <v>6.0</v>
      </c>
      <c r="AQ686" s="37" t="str">
        <f t="shared" si="504"/>
        <v>R</v>
      </c>
      <c r="AR686" s="65">
        <v>19.0</v>
      </c>
      <c r="AS686" s="33" t="str">
        <f t="shared" si="505"/>
        <v>S</v>
      </c>
      <c r="AT686" s="65">
        <v>11.0</v>
      </c>
      <c r="AU686" s="33" t="str">
        <f t="shared" si="506"/>
        <v>R</v>
      </c>
      <c r="AV686" s="65" t="s">
        <v>299</v>
      </c>
      <c r="AW686" s="28">
        <v>20.0</v>
      </c>
      <c r="AX686" s="26" t="str">
        <f t="shared" si="507"/>
        <v>S</v>
      </c>
      <c r="AY686" s="67">
        <v>10.0</v>
      </c>
      <c r="AZ686" s="37" t="str">
        <f t="shared" si="508"/>
        <v>R</v>
      </c>
      <c r="BA686" s="66">
        <v>11.0</v>
      </c>
      <c r="BB686" s="36" t="str">
        <f t="shared" si="509"/>
        <v>R</v>
      </c>
      <c r="BC686" s="39" t="s">
        <v>357</v>
      </c>
      <c r="BD686" s="39" t="s">
        <v>357</v>
      </c>
      <c r="BE686" s="66">
        <v>17.0</v>
      </c>
      <c r="BF686" s="36" t="str">
        <f t="shared" si="510"/>
        <v>R</v>
      </c>
      <c r="BG686" s="68">
        <v>6.0</v>
      </c>
      <c r="BH686" s="41" t="str">
        <f t="shared" si="511"/>
        <v>R</v>
      </c>
      <c r="BI686" s="41"/>
    </row>
    <row r="687">
      <c r="A687" s="21" t="s">
        <v>1121</v>
      </c>
      <c r="B687" s="23">
        <v>284.0</v>
      </c>
      <c r="C687" s="21" t="s">
        <v>1729</v>
      </c>
      <c r="D687" s="69" t="s">
        <v>190</v>
      </c>
      <c r="E687" s="18" t="s">
        <v>190</v>
      </c>
      <c r="F687" s="18" t="s">
        <v>192</v>
      </c>
      <c r="G687" s="63" t="s">
        <v>1730</v>
      </c>
      <c r="H687" s="42" t="s">
        <v>479</v>
      </c>
      <c r="I687" s="28">
        <v>6.0</v>
      </c>
      <c r="J687" s="26" t="str">
        <f t="shared" si="489"/>
        <v>R</v>
      </c>
      <c r="K687" s="28">
        <v>6.0</v>
      </c>
      <c r="L687" s="26" t="str">
        <f t="shared" si="490"/>
        <v>R</v>
      </c>
      <c r="M687" s="28">
        <v>6.0</v>
      </c>
      <c r="N687" s="26" t="str">
        <f t="shared" si="491"/>
        <v>R</v>
      </c>
      <c r="O687" s="28">
        <v>26.0</v>
      </c>
      <c r="P687" s="26" t="str">
        <f t="shared" si="492"/>
        <v>S</v>
      </c>
      <c r="Q687" s="28">
        <v>6.0</v>
      </c>
      <c r="R687" s="26" t="str">
        <f t="shared" si="493"/>
        <v>R</v>
      </c>
      <c r="S687" s="28">
        <v>20.0</v>
      </c>
      <c r="T687" s="26" t="str">
        <f t="shared" si="494"/>
        <v>S</v>
      </c>
      <c r="U687" s="28">
        <v>18.0</v>
      </c>
      <c r="V687" s="26" t="str">
        <f t="shared" si="495"/>
        <v>I</v>
      </c>
      <c r="W687" s="32" t="s">
        <v>299</v>
      </c>
      <c r="X687" s="65">
        <v>20.0</v>
      </c>
      <c r="Y687" s="33" t="str">
        <f t="shared" si="496"/>
        <v>S</v>
      </c>
      <c r="Z687" s="65">
        <v>6.0</v>
      </c>
      <c r="AA687" s="33" t="str">
        <f t="shared" si="497"/>
        <v>R</v>
      </c>
      <c r="AB687" s="65">
        <v>6.0</v>
      </c>
      <c r="AC687" s="33" t="str">
        <f t="shared" si="498"/>
        <v>R</v>
      </c>
      <c r="AD687" s="65">
        <v>20.0</v>
      </c>
      <c r="AE687" s="33" t="str">
        <f t="shared" si="499"/>
        <v>S</v>
      </c>
      <c r="AF687" s="65">
        <v>15.0</v>
      </c>
      <c r="AG687" s="33" t="str">
        <f t="shared" si="500"/>
        <v>R</v>
      </c>
      <c r="AH687" s="65" t="s">
        <v>299</v>
      </c>
      <c r="AI687" s="66">
        <v>21.0</v>
      </c>
      <c r="AJ687" s="36" t="str">
        <f t="shared" si="501"/>
        <v>R</v>
      </c>
      <c r="AK687" s="66">
        <v>20.0</v>
      </c>
      <c r="AL687" s="36" t="str">
        <f t="shared" si="502"/>
        <v>I</v>
      </c>
      <c r="AM687" s="66">
        <v>14.0</v>
      </c>
      <c r="AN687" s="36" t="str">
        <f t="shared" si="503"/>
        <v>S</v>
      </c>
      <c r="AO687" s="66" t="s">
        <v>299</v>
      </c>
      <c r="AP687" s="67">
        <v>24.0</v>
      </c>
      <c r="AQ687" s="37" t="str">
        <f t="shared" si="504"/>
        <v>S</v>
      </c>
      <c r="AR687" s="65">
        <v>20.0</v>
      </c>
      <c r="AS687" s="33" t="str">
        <f t="shared" si="505"/>
        <v>S</v>
      </c>
      <c r="AT687" s="65">
        <v>20.0</v>
      </c>
      <c r="AU687" s="33" t="str">
        <f t="shared" si="506"/>
        <v>S</v>
      </c>
      <c r="AV687" s="33" t="s">
        <v>300</v>
      </c>
      <c r="AW687" s="28">
        <v>18.0</v>
      </c>
      <c r="AX687" s="26" t="str">
        <f t="shared" si="507"/>
        <v>R</v>
      </c>
      <c r="AY687" s="67">
        <v>16.0</v>
      </c>
      <c r="AZ687" s="37" t="str">
        <f t="shared" si="508"/>
        <v>R</v>
      </c>
      <c r="BA687" s="66">
        <v>24.0</v>
      </c>
      <c r="BB687" s="36" t="str">
        <f t="shared" si="509"/>
        <v>S</v>
      </c>
      <c r="BC687" s="39" t="s">
        <v>357</v>
      </c>
      <c r="BD687" s="39" t="s">
        <v>357</v>
      </c>
      <c r="BE687" s="66">
        <v>18.0</v>
      </c>
      <c r="BF687" s="36" t="str">
        <f t="shared" si="510"/>
        <v>R</v>
      </c>
      <c r="BG687" s="68">
        <v>20.0</v>
      </c>
      <c r="BH687" s="41" t="str">
        <f t="shared" si="511"/>
        <v>S</v>
      </c>
      <c r="BI687" s="41"/>
    </row>
    <row r="688">
      <c r="A688" s="21" t="s">
        <v>1121</v>
      </c>
      <c r="B688" s="21" t="s">
        <v>444</v>
      </c>
      <c r="C688" s="21" t="s">
        <v>2213</v>
      </c>
      <c r="D688" s="69" t="s">
        <v>190</v>
      </c>
      <c r="E688" s="18" t="s">
        <v>190</v>
      </c>
      <c r="F688" s="18" t="s">
        <v>192</v>
      </c>
      <c r="G688" s="63" t="s">
        <v>2214</v>
      </c>
      <c r="H688" s="42" t="s">
        <v>479</v>
      </c>
      <c r="I688" s="28">
        <v>6.0</v>
      </c>
      <c r="J688" s="26" t="str">
        <f t="shared" si="489"/>
        <v>R</v>
      </c>
      <c r="K688" s="28">
        <v>8.0</v>
      </c>
      <c r="L688" s="26" t="str">
        <f t="shared" si="490"/>
        <v>R</v>
      </c>
      <c r="M688" s="28">
        <v>6.0</v>
      </c>
      <c r="N688" s="26" t="str">
        <f t="shared" si="491"/>
        <v>R</v>
      </c>
      <c r="O688" s="28">
        <v>26.0</v>
      </c>
      <c r="P688" s="26" t="str">
        <f t="shared" si="492"/>
        <v>S</v>
      </c>
      <c r="Q688" s="28">
        <v>8.0</v>
      </c>
      <c r="R688" s="26" t="str">
        <f t="shared" si="493"/>
        <v>R</v>
      </c>
      <c r="S688" s="28">
        <v>18.0</v>
      </c>
      <c r="T688" s="26" t="str">
        <f t="shared" si="494"/>
        <v>R</v>
      </c>
      <c r="U688" s="28">
        <v>18.0</v>
      </c>
      <c r="V688" s="26" t="str">
        <f t="shared" si="495"/>
        <v>I</v>
      </c>
      <c r="W688" s="32" t="s">
        <v>299</v>
      </c>
      <c r="X688" s="65">
        <v>19.0</v>
      </c>
      <c r="Y688" s="33" t="str">
        <f t="shared" si="496"/>
        <v>I</v>
      </c>
      <c r="Z688" s="65">
        <v>8.0</v>
      </c>
      <c r="AA688" s="33" t="str">
        <f t="shared" si="497"/>
        <v>R</v>
      </c>
      <c r="AB688" s="65">
        <v>6.0</v>
      </c>
      <c r="AC688" s="33" t="str">
        <f t="shared" si="498"/>
        <v>R</v>
      </c>
      <c r="AD688" s="65">
        <v>21.0</v>
      </c>
      <c r="AE688" s="33" t="str">
        <f t="shared" si="499"/>
        <v>S</v>
      </c>
      <c r="AF688" s="65">
        <v>16.0</v>
      </c>
      <c r="AG688" s="33" t="str">
        <f t="shared" si="500"/>
        <v>R</v>
      </c>
      <c r="AH688" s="65" t="s">
        <v>299</v>
      </c>
      <c r="AI688" s="66">
        <v>21.0</v>
      </c>
      <c r="AJ688" s="36" t="str">
        <f t="shared" si="501"/>
        <v>R</v>
      </c>
      <c r="AK688" s="66">
        <v>22.0</v>
      </c>
      <c r="AL688" s="36" t="str">
        <f t="shared" si="502"/>
        <v>I</v>
      </c>
      <c r="AM688" s="66">
        <v>15.0</v>
      </c>
      <c r="AN688" s="36" t="str">
        <f t="shared" si="503"/>
        <v>S</v>
      </c>
      <c r="AO688" s="66" t="s">
        <v>299</v>
      </c>
      <c r="AP688" s="67">
        <v>20.0</v>
      </c>
      <c r="AQ688" s="37" t="str">
        <f t="shared" si="504"/>
        <v>S</v>
      </c>
      <c r="AR688" s="65">
        <v>21.0</v>
      </c>
      <c r="AS688" s="33" t="str">
        <f t="shared" si="505"/>
        <v>S</v>
      </c>
      <c r="AT688" s="65">
        <v>21.0</v>
      </c>
      <c r="AU688" s="33" t="str">
        <f t="shared" si="506"/>
        <v>S</v>
      </c>
      <c r="AV688" s="33" t="s">
        <v>300</v>
      </c>
      <c r="AW688" s="28">
        <v>17.0</v>
      </c>
      <c r="AX688" s="26" t="str">
        <f t="shared" si="507"/>
        <v>R</v>
      </c>
      <c r="AY688" s="67">
        <v>16.0</v>
      </c>
      <c r="AZ688" s="37" t="str">
        <f t="shared" si="508"/>
        <v>R</v>
      </c>
      <c r="BA688" s="66">
        <v>23.0</v>
      </c>
      <c r="BB688" s="36" t="str">
        <f t="shared" si="509"/>
        <v>S</v>
      </c>
      <c r="BC688" s="39" t="s">
        <v>357</v>
      </c>
      <c r="BD688" s="39" t="s">
        <v>357</v>
      </c>
      <c r="BE688" s="66">
        <v>18.0</v>
      </c>
      <c r="BF688" s="36" t="str">
        <f t="shared" si="510"/>
        <v>R</v>
      </c>
      <c r="BG688" s="68">
        <v>19.0</v>
      </c>
      <c r="BH688" s="41" t="str">
        <f t="shared" si="511"/>
        <v>S</v>
      </c>
      <c r="BI688" s="41"/>
    </row>
    <row r="689">
      <c r="A689" s="21" t="s">
        <v>1121</v>
      </c>
      <c r="B689" s="21" t="s">
        <v>444</v>
      </c>
      <c r="C689" s="21" t="s">
        <v>2215</v>
      </c>
      <c r="D689" s="69" t="s">
        <v>190</v>
      </c>
      <c r="E689" s="18" t="s">
        <v>190</v>
      </c>
      <c r="F689" s="18" t="s">
        <v>192</v>
      </c>
      <c r="G689" s="63" t="s">
        <v>2216</v>
      </c>
      <c r="H689" s="42" t="s">
        <v>479</v>
      </c>
      <c r="I689" s="28">
        <v>6.0</v>
      </c>
      <c r="J689" s="26" t="str">
        <f t="shared" si="489"/>
        <v>R</v>
      </c>
      <c r="K689" s="28">
        <v>8.0</v>
      </c>
      <c r="L689" s="26" t="str">
        <f t="shared" si="490"/>
        <v>R</v>
      </c>
      <c r="M689" s="28">
        <v>9.0</v>
      </c>
      <c r="N689" s="26" t="str">
        <f t="shared" si="491"/>
        <v>R</v>
      </c>
      <c r="O689" s="28">
        <v>26.0</v>
      </c>
      <c r="P689" s="26" t="str">
        <f t="shared" si="492"/>
        <v>S</v>
      </c>
      <c r="Q689" s="28">
        <v>10.0</v>
      </c>
      <c r="R689" s="26" t="str">
        <f t="shared" si="493"/>
        <v>R</v>
      </c>
      <c r="S689" s="28">
        <v>20.0</v>
      </c>
      <c r="T689" s="26" t="str">
        <f t="shared" si="494"/>
        <v>S</v>
      </c>
      <c r="U689" s="28">
        <v>18.0</v>
      </c>
      <c r="V689" s="26" t="str">
        <f t="shared" si="495"/>
        <v>I</v>
      </c>
      <c r="W689" s="32" t="s">
        <v>299</v>
      </c>
      <c r="X689" s="65">
        <v>19.0</v>
      </c>
      <c r="Y689" s="33" t="str">
        <f t="shared" si="496"/>
        <v>I</v>
      </c>
      <c r="Z689" s="65">
        <v>10.0</v>
      </c>
      <c r="AA689" s="33" t="str">
        <f t="shared" si="497"/>
        <v>R</v>
      </c>
      <c r="AB689" s="65">
        <v>6.0</v>
      </c>
      <c r="AC689" s="33" t="str">
        <f t="shared" si="498"/>
        <v>R</v>
      </c>
      <c r="AD689" s="65">
        <v>19.0</v>
      </c>
      <c r="AE689" s="33" t="str">
        <f t="shared" si="499"/>
        <v>S</v>
      </c>
      <c r="AF689" s="65">
        <v>16.0</v>
      </c>
      <c r="AG689" s="33" t="str">
        <f t="shared" si="500"/>
        <v>R</v>
      </c>
      <c r="AH689" s="65" t="s">
        <v>299</v>
      </c>
      <c r="AI689" s="66">
        <v>21.0</v>
      </c>
      <c r="AJ689" s="36" t="str">
        <f t="shared" si="501"/>
        <v>R</v>
      </c>
      <c r="AK689" s="66">
        <v>20.0</v>
      </c>
      <c r="AL689" s="36" t="str">
        <f t="shared" si="502"/>
        <v>I</v>
      </c>
      <c r="AM689" s="66">
        <v>16.0</v>
      </c>
      <c r="AN689" s="36" t="str">
        <f t="shared" si="503"/>
        <v>S</v>
      </c>
      <c r="AO689" s="66" t="s">
        <v>299</v>
      </c>
      <c r="AP689" s="67">
        <v>18.0</v>
      </c>
      <c r="AQ689" s="37" t="str">
        <f t="shared" si="504"/>
        <v>S</v>
      </c>
      <c r="AR689" s="65">
        <v>20.0</v>
      </c>
      <c r="AS689" s="33" t="str">
        <f t="shared" si="505"/>
        <v>S</v>
      </c>
      <c r="AT689" s="65">
        <v>19.0</v>
      </c>
      <c r="AU689" s="33" t="str">
        <f t="shared" si="506"/>
        <v>S</v>
      </c>
      <c r="AV689" s="33" t="s">
        <v>300</v>
      </c>
      <c r="AW689" s="28">
        <v>19.0</v>
      </c>
      <c r="AX689" s="26" t="str">
        <f t="shared" si="507"/>
        <v>R</v>
      </c>
      <c r="AY689" s="67">
        <v>16.0</v>
      </c>
      <c r="AZ689" s="37" t="str">
        <f t="shared" si="508"/>
        <v>R</v>
      </c>
      <c r="BA689" s="66">
        <v>21.0</v>
      </c>
      <c r="BB689" s="36" t="str">
        <f t="shared" si="509"/>
        <v>R</v>
      </c>
      <c r="BC689" s="39" t="s">
        <v>357</v>
      </c>
      <c r="BD689" s="39" t="s">
        <v>357</v>
      </c>
      <c r="BE689" s="66">
        <v>19.0</v>
      </c>
      <c r="BF689" s="36" t="str">
        <f t="shared" si="510"/>
        <v>I</v>
      </c>
      <c r="BG689" s="68">
        <v>20.0</v>
      </c>
      <c r="BH689" s="41" t="str">
        <f t="shared" si="511"/>
        <v>S</v>
      </c>
      <c r="BI689" s="41"/>
    </row>
    <row r="690">
      <c r="A690" s="21" t="s">
        <v>1121</v>
      </c>
      <c r="B690" s="23">
        <v>285.0</v>
      </c>
      <c r="C690" s="21" t="s">
        <v>1731</v>
      </c>
      <c r="D690" s="69" t="s">
        <v>571</v>
      </c>
      <c r="E690" s="18" t="s">
        <v>572</v>
      </c>
      <c r="F690" s="18" t="s">
        <v>192</v>
      </c>
      <c r="G690" s="63" t="s">
        <v>1732</v>
      </c>
      <c r="H690" s="42" t="s">
        <v>479</v>
      </c>
      <c r="I690" s="28">
        <v>6.0</v>
      </c>
      <c r="J690" s="26" t="str">
        <f t="shared" si="489"/>
        <v>R</v>
      </c>
      <c r="K690" s="28">
        <v>6.0</v>
      </c>
      <c r="L690" s="26" t="str">
        <f t="shared" si="490"/>
        <v>R</v>
      </c>
      <c r="M690" s="28">
        <v>6.0</v>
      </c>
      <c r="N690" s="26" t="str">
        <f t="shared" si="491"/>
        <v>R</v>
      </c>
      <c r="O690" s="28">
        <v>20.0</v>
      </c>
      <c r="P690" s="26" t="str">
        <f t="shared" si="492"/>
        <v>I</v>
      </c>
      <c r="Q690" s="28">
        <v>6.0</v>
      </c>
      <c r="R690" s="26" t="str">
        <f t="shared" si="493"/>
        <v>R</v>
      </c>
      <c r="S690" s="28">
        <v>13.0</v>
      </c>
      <c r="T690" s="26" t="str">
        <f t="shared" si="494"/>
        <v>R</v>
      </c>
      <c r="U690" s="28">
        <v>20.0</v>
      </c>
      <c r="V690" s="26" t="str">
        <f t="shared" si="495"/>
        <v>S</v>
      </c>
      <c r="W690" s="32" t="s">
        <v>299</v>
      </c>
      <c r="X690" s="65">
        <v>6.0</v>
      </c>
      <c r="Y690" s="33" t="str">
        <f t="shared" si="496"/>
        <v>R</v>
      </c>
      <c r="Z690" s="65">
        <v>6.0</v>
      </c>
      <c r="AA690" s="33" t="str">
        <f t="shared" si="497"/>
        <v>R</v>
      </c>
      <c r="AB690" s="65">
        <v>6.0</v>
      </c>
      <c r="AC690" s="33" t="str">
        <f t="shared" si="498"/>
        <v>R</v>
      </c>
      <c r="AD690" s="65">
        <v>20.0</v>
      </c>
      <c r="AE690" s="33" t="str">
        <f t="shared" si="499"/>
        <v>S</v>
      </c>
      <c r="AF690" s="65">
        <v>6.0</v>
      </c>
      <c r="AG690" s="33" t="str">
        <f t="shared" si="500"/>
        <v>R</v>
      </c>
      <c r="AH690" s="65" t="s">
        <v>299</v>
      </c>
      <c r="AI690" s="66">
        <v>6.0</v>
      </c>
      <c r="AJ690" s="36" t="str">
        <f t="shared" si="501"/>
        <v>R</v>
      </c>
      <c r="AK690" s="66">
        <v>6.0</v>
      </c>
      <c r="AL690" s="36" t="str">
        <f t="shared" si="502"/>
        <v>R</v>
      </c>
      <c r="AM690" s="66">
        <v>6.0</v>
      </c>
      <c r="AN690" s="36" t="str">
        <f t="shared" si="503"/>
        <v>R</v>
      </c>
      <c r="AO690" s="66" t="s">
        <v>299</v>
      </c>
      <c r="AP690" s="67">
        <v>6.0</v>
      </c>
      <c r="AQ690" s="37" t="str">
        <f t="shared" si="504"/>
        <v>R</v>
      </c>
      <c r="AR690" s="65">
        <v>20.0</v>
      </c>
      <c r="AS690" s="33" t="str">
        <f t="shared" si="505"/>
        <v>S</v>
      </c>
      <c r="AT690" s="65">
        <v>14.0</v>
      </c>
      <c r="AU690" s="33" t="str">
        <f t="shared" si="506"/>
        <v>R</v>
      </c>
      <c r="AV690" s="65" t="s">
        <v>299</v>
      </c>
      <c r="AW690" s="28">
        <v>6.0</v>
      </c>
      <c r="AX690" s="26" t="str">
        <f t="shared" si="507"/>
        <v>R</v>
      </c>
      <c r="AY690" s="67">
        <v>6.0</v>
      </c>
      <c r="AZ690" s="37" t="str">
        <f t="shared" si="508"/>
        <v>R</v>
      </c>
      <c r="BA690" s="66">
        <v>28.0</v>
      </c>
      <c r="BB690" s="36" t="str">
        <f t="shared" si="509"/>
        <v>S</v>
      </c>
      <c r="BC690" s="39" t="s">
        <v>357</v>
      </c>
      <c r="BD690" s="39" t="s">
        <v>357</v>
      </c>
      <c r="BE690" s="66">
        <v>21.0</v>
      </c>
      <c r="BF690" s="36" t="str">
        <f t="shared" si="510"/>
        <v>I</v>
      </c>
      <c r="BG690" s="68">
        <v>6.0</v>
      </c>
      <c r="BH690" s="41" t="str">
        <f t="shared" si="511"/>
        <v>R</v>
      </c>
      <c r="BI690" s="41"/>
    </row>
    <row r="691">
      <c r="A691" s="21" t="s">
        <v>1121</v>
      </c>
      <c r="B691" s="21" t="s">
        <v>444</v>
      </c>
      <c r="C691" s="21" t="s">
        <v>2217</v>
      </c>
      <c r="D691" s="69" t="s">
        <v>571</v>
      </c>
      <c r="E691" s="18" t="s">
        <v>572</v>
      </c>
      <c r="F691" s="18" t="s">
        <v>192</v>
      </c>
      <c r="G691" s="63" t="s">
        <v>2218</v>
      </c>
      <c r="H691" s="42" t="s">
        <v>479</v>
      </c>
      <c r="I691" s="28">
        <v>7.0</v>
      </c>
      <c r="J691" s="26" t="str">
        <f t="shared" si="489"/>
        <v>R</v>
      </c>
      <c r="K691" s="28">
        <v>9.0</v>
      </c>
      <c r="L691" s="26" t="str">
        <f t="shared" si="490"/>
        <v>R</v>
      </c>
      <c r="M691" s="28">
        <v>8.0</v>
      </c>
      <c r="N691" s="26" t="str">
        <f t="shared" si="491"/>
        <v>R</v>
      </c>
      <c r="O691" s="28">
        <v>20.0</v>
      </c>
      <c r="P691" s="26" t="str">
        <f t="shared" si="492"/>
        <v>I</v>
      </c>
      <c r="Q691" s="28">
        <v>10.0</v>
      </c>
      <c r="R691" s="26" t="str">
        <f t="shared" si="493"/>
        <v>R</v>
      </c>
      <c r="S691" s="28">
        <v>15.0</v>
      </c>
      <c r="T691" s="26" t="str">
        <f t="shared" si="494"/>
        <v>R</v>
      </c>
      <c r="U691" s="28">
        <v>20.0</v>
      </c>
      <c r="V691" s="26" t="str">
        <f t="shared" si="495"/>
        <v>S</v>
      </c>
      <c r="W691" s="32" t="s">
        <v>299</v>
      </c>
      <c r="X691" s="65">
        <v>11.0</v>
      </c>
      <c r="Y691" s="33" t="str">
        <f t="shared" si="496"/>
        <v>R</v>
      </c>
      <c r="Z691" s="65">
        <v>6.0</v>
      </c>
      <c r="AA691" s="33" t="str">
        <f t="shared" si="497"/>
        <v>R</v>
      </c>
      <c r="AB691" s="65">
        <v>6.0</v>
      </c>
      <c r="AC691" s="33" t="str">
        <f t="shared" si="498"/>
        <v>R</v>
      </c>
      <c r="AD691" s="65">
        <v>19.0</v>
      </c>
      <c r="AE691" s="33" t="str">
        <f t="shared" si="499"/>
        <v>S</v>
      </c>
      <c r="AF691" s="65">
        <v>8.0</v>
      </c>
      <c r="AG691" s="33" t="str">
        <f t="shared" si="500"/>
        <v>R</v>
      </c>
      <c r="AH691" s="65" t="s">
        <v>299</v>
      </c>
      <c r="AI691" s="66">
        <v>6.0</v>
      </c>
      <c r="AJ691" s="36" t="str">
        <f t="shared" si="501"/>
        <v>R</v>
      </c>
      <c r="AK691" s="66">
        <v>10.0</v>
      </c>
      <c r="AL691" s="36" t="str">
        <f t="shared" si="502"/>
        <v>R</v>
      </c>
      <c r="AM691" s="66">
        <v>8.0</v>
      </c>
      <c r="AN691" s="36" t="str">
        <f t="shared" si="503"/>
        <v>R</v>
      </c>
      <c r="AO691" s="66" t="s">
        <v>299</v>
      </c>
      <c r="AP691" s="67">
        <v>8.0</v>
      </c>
      <c r="AQ691" s="37" t="str">
        <f t="shared" si="504"/>
        <v>R</v>
      </c>
      <c r="AR691" s="65">
        <v>19.0</v>
      </c>
      <c r="AS691" s="33" t="str">
        <f t="shared" si="505"/>
        <v>S</v>
      </c>
      <c r="AT691" s="65">
        <v>13.0</v>
      </c>
      <c r="AU691" s="33" t="str">
        <f t="shared" si="506"/>
        <v>R</v>
      </c>
      <c r="AV691" s="65" t="s">
        <v>299</v>
      </c>
      <c r="AW691" s="28">
        <v>9.0</v>
      </c>
      <c r="AX691" s="26" t="str">
        <f t="shared" si="507"/>
        <v>R</v>
      </c>
      <c r="AY691" s="67">
        <v>6.0</v>
      </c>
      <c r="AZ691" s="37" t="str">
        <f t="shared" si="508"/>
        <v>R</v>
      </c>
      <c r="BA691" s="66">
        <v>27.0</v>
      </c>
      <c r="BB691" s="36" t="str">
        <f t="shared" si="509"/>
        <v>S</v>
      </c>
      <c r="BC691" s="39" t="s">
        <v>357</v>
      </c>
      <c r="BD691" s="39" t="s">
        <v>357</v>
      </c>
      <c r="BE691" s="66">
        <v>20.0</v>
      </c>
      <c r="BF691" s="36" t="str">
        <f t="shared" si="510"/>
        <v>I</v>
      </c>
      <c r="BG691" s="68">
        <v>6.0</v>
      </c>
      <c r="BH691" s="41" t="str">
        <f t="shared" si="511"/>
        <v>R</v>
      </c>
      <c r="BI691" s="41"/>
    </row>
    <row r="692">
      <c r="A692" s="21" t="s">
        <v>1121</v>
      </c>
      <c r="B692" s="21" t="s">
        <v>444</v>
      </c>
      <c r="C692" s="21" t="s">
        <v>2219</v>
      </c>
      <c r="D692" s="69" t="s">
        <v>571</v>
      </c>
      <c r="E692" s="18" t="s">
        <v>572</v>
      </c>
      <c r="F692" s="18" t="s">
        <v>192</v>
      </c>
      <c r="G692" s="63" t="s">
        <v>2220</v>
      </c>
      <c r="H692" s="42" t="s">
        <v>479</v>
      </c>
      <c r="I692" s="28">
        <v>9.0</v>
      </c>
      <c r="J692" s="26" t="str">
        <f t="shared" si="489"/>
        <v>R</v>
      </c>
      <c r="K692" s="28">
        <v>12.0</v>
      </c>
      <c r="L692" s="26" t="str">
        <f t="shared" si="490"/>
        <v>R</v>
      </c>
      <c r="M692" s="28">
        <v>6.0</v>
      </c>
      <c r="N692" s="26" t="str">
        <f t="shared" si="491"/>
        <v>R</v>
      </c>
      <c r="O692" s="28">
        <v>20.0</v>
      </c>
      <c r="P692" s="26" t="str">
        <f t="shared" si="492"/>
        <v>I</v>
      </c>
      <c r="Q692" s="28">
        <v>8.0</v>
      </c>
      <c r="R692" s="26" t="str">
        <f t="shared" si="493"/>
        <v>R</v>
      </c>
      <c r="S692" s="28">
        <v>14.0</v>
      </c>
      <c r="T692" s="26" t="str">
        <f t="shared" si="494"/>
        <v>R</v>
      </c>
      <c r="U692" s="28">
        <v>20.0</v>
      </c>
      <c r="V692" s="26" t="str">
        <f t="shared" si="495"/>
        <v>S</v>
      </c>
      <c r="W692" s="32" t="s">
        <v>299</v>
      </c>
      <c r="X692" s="65">
        <v>13.0</v>
      </c>
      <c r="Y692" s="33" t="str">
        <f t="shared" si="496"/>
        <v>R</v>
      </c>
      <c r="Z692" s="65">
        <v>6.0</v>
      </c>
      <c r="AA692" s="33" t="str">
        <f t="shared" si="497"/>
        <v>R</v>
      </c>
      <c r="AB692" s="65">
        <v>8.0</v>
      </c>
      <c r="AC692" s="33" t="str">
        <f t="shared" si="498"/>
        <v>R</v>
      </c>
      <c r="AD692" s="65">
        <v>18.0</v>
      </c>
      <c r="AE692" s="33" t="str">
        <f t="shared" si="499"/>
        <v>S</v>
      </c>
      <c r="AF692" s="65">
        <v>10.0</v>
      </c>
      <c r="AG692" s="33" t="str">
        <f t="shared" si="500"/>
        <v>R</v>
      </c>
      <c r="AH692" s="65" t="s">
        <v>299</v>
      </c>
      <c r="AI692" s="66">
        <v>9.0</v>
      </c>
      <c r="AJ692" s="36" t="str">
        <f t="shared" si="501"/>
        <v>R</v>
      </c>
      <c r="AK692" s="66">
        <v>8.0</v>
      </c>
      <c r="AL692" s="36" t="str">
        <f t="shared" si="502"/>
        <v>R</v>
      </c>
      <c r="AM692" s="66">
        <v>9.0</v>
      </c>
      <c r="AN692" s="36" t="str">
        <f t="shared" si="503"/>
        <v>R</v>
      </c>
      <c r="AO692" s="66" t="s">
        <v>299</v>
      </c>
      <c r="AP692" s="67">
        <v>11.0</v>
      </c>
      <c r="AQ692" s="37" t="str">
        <f t="shared" si="504"/>
        <v>I</v>
      </c>
      <c r="AR692" s="65">
        <v>21.0</v>
      </c>
      <c r="AS692" s="33" t="str">
        <f t="shared" si="505"/>
        <v>S</v>
      </c>
      <c r="AT692" s="65">
        <v>11.0</v>
      </c>
      <c r="AU692" s="33" t="str">
        <f t="shared" si="506"/>
        <v>R</v>
      </c>
      <c r="AV692" s="65" t="s">
        <v>299</v>
      </c>
      <c r="AW692" s="28">
        <v>6.0</v>
      </c>
      <c r="AX692" s="26" t="str">
        <f t="shared" si="507"/>
        <v>R</v>
      </c>
      <c r="AY692" s="67">
        <v>6.0</v>
      </c>
      <c r="AZ692" s="37" t="str">
        <f t="shared" si="508"/>
        <v>R</v>
      </c>
      <c r="BA692" s="66">
        <v>29.0</v>
      </c>
      <c r="BB692" s="36" t="str">
        <f t="shared" si="509"/>
        <v>S</v>
      </c>
      <c r="BC692" s="39" t="s">
        <v>357</v>
      </c>
      <c r="BD692" s="39" t="s">
        <v>357</v>
      </c>
      <c r="BE692" s="66">
        <v>20.0</v>
      </c>
      <c r="BF692" s="36" t="str">
        <f t="shared" si="510"/>
        <v>I</v>
      </c>
      <c r="BG692" s="68">
        <v>6.0</v>
      </c>
      <c r="BH692" s="41" t="str">
        <f t="shared" si="511"/>
        <v>R</v>
      </c>
      <c r="BI692" s="41"/>
    </row>
    <row r="693">
      <c r="A693" s="21" t="s">
        <v>1121</v>
      </c>
      <c r="B693" s="23">
        <v>286.0</v>
      </c>
      <c r="C693" s="21" t="s">
        <v>1735</v>
      </c>
      <c r="D693" s="69" t="s">
        <v>1009</v>
      </c>
      <c r="E693" s="18" t="s">
        <v>103</v>
      </c>
      <c r="F693" s="18" t="s">
        <v>192</v>
      </c>
      <c r="G693" s="63" t="s">
        <v>1736</v>
      </c>
      <c r="H693" s="22" t="s">
        <v>198</v>
      </c>
      <c r="I693" s="28">
        <v>6.0</v>
      </c>
      <c r="J693" s="26" t="str">
        <f t="shared" si="489"/>
        <v>R</v>
      </c>
      <c r="K693" s="28">
        <v>17.0</v>
      </c>
      <c r="L693" s="26" t="str">
        <f t="shared" si="490"/>
        <v>R</v>
      </c>
      <c r="M693" s="28">
        <v>6.0</v>
      </c>
      <c r="N693" s="26" t="str">
        <f t="shared" si="491"/>
        <v>R</v>
      </c>
      <c r="O693" s="28">
        <v>22.0</v>
      </c>
      <c r="P693" s="26" t="str">
        <f t="shared" si="492"/>
        <v>I</v>
      </c>
      <c r="Q693" s="28">
        <v>6.0</v>
      </c>
      <c r="R693" s="26" t="str">
        <f t="shared" si="493"/>
        <v>R</v>
      </c>
      <c r="S693" s="28">
        <v>17.0</v>
      </c>
      <c r="T693" s="26" t="str">
        <f t="shared" si="494"/>
        <v>R</v>
      </c>
      <c r="U693" s="28">
        <v>19.0</v>
      </c>
      <c r="V693" s="26" t="str">
        <f t="shared" si="495"/>
        <v>I</v>
      </c>
      <c r="W693" s="32" t="s">
        <v>299</v>
      </c>
      <c r="X693" s="65">
        <v>6.0</v>
      </c>
      <c r="Y693" s="33" t="str">
        <f t="shared" si="496"/>
        <v>R</v>
      </c>
      <c r="Z693" s="65">
        <v>22.0</v>
      </c>
      <c r="AA693" s="33" t="str">
        <f t="shared" si="497"/>
        <v>S</v>
      </c>
      <c r="AB693" s="65">
        <v>6.0</v>
      </c>
      <c r="AC693" s="33" t="str">
        <f t="shared" si="498"/>
        <v>R</v>
      </c>
      <c r="AD693" s="65">
        <v>19.0</v>
      </c>
      <c r="AE693" s="33" t="str">
        <f t="shared" si="499"/>
        <v>S</v>
      </c>
      <c r="AF693" s="65">
        <v>16.0</v>
      </c>
      <c r="AG693" s="33" t="str">
        <f t="shared" si="500"/>
        <v>R</v>
      </c>
      <c r="AH693" s="65" t="s">
        <v>299</v>
      </c>
      <c r="AI693" s="66">
        <v>10.0</v>
      </c>
      <c r="AJ693" s="36" t="str">
        <f t="shared" si="501"/>
        <v>R</v>
      </c>
      <c r="AK693" s="66">
        <v>14.0</v>
      </c>
      <c r="AL693" s="36" t="str">
        <f t="shared" si="502"/>
        <v>R</v>
      </c>
      <c r="AM693" s="66">
        <v>6.0</v>
      </c>
      <c r="AN693" s="36" t="str">
        <f t="shared" si="503"/>
        <v>R</v>
      </c>
      <c r="AO693" s="66" t="s">
        <v>299</v>
      </c>
      <c r="AP693" s="67">
        <v>6.0</v>
      </c>
      <c r="AQ693" s="37" t="str">
        <f t="shared" si="504"/>
        <v>R</v>
      </c>
      <c r="AR693" s="65">
        <v>14.0</v>
      </c>
      <c r="AS693" s="33" t="str">
        <f t="shared" si="505"/>
        <v>R</v>
      </c>
      <c r="AT693" s="65">
        <v>14.0</v>
      </c>
      <c r="AU693" s="33" t="str">
        <f t="shared" si="506"/>
        <v>R</v>
      </c>
      <c r="AV693" s="65" t="s">
        <v>299</v>
      </c>
      <c r="AW693" s="28">
        <v>6.0</v>
      </c>
      <c r="AX693" s="26" t="str">
        <f t="shared" si="507"/>
        <v>R</v>
      </c>
      <c r="AY693" s="67">
        <v>17.0</v>
      </c>
      <c r="AZ693" s="37" t="str">
        <f t="shared" si="508"/>
        <v>R</v>
      </c>
      <c r="BA693" s="66">
        <v>23.0</v>
      </c>
      <c r="BB693" s="36" t="str">
        <f t="shared" si="509"/>
        <v>S</v>
      </c>
      <c r="BC693" s="39" t="s">
        <v>357</v>
      </c>
      <c r="BD693" s="39" t="s">
        <v>357</v>
      </c>
      <c r="BE693" s="66">
        <v>23.0</v>
      </c>
      <c r="BF693" s="36" t="str">
        <f t="shared" si="510"/>
        <v>S</v>
      </c>
      <c r="BG693" s="68">
        <v>17.0</v>
      </c>
      <c r="BH693" s="41" t="str">
        <f t="shared" si="511"/>
        <v>S</v>
      </c>
      <c r="BI693" s="41"/>
    </row>
    <row r="694">
      <c r="A694" s="21" t="s">
        <v>1121</v>
      </c>
      <c r="B694" s="21" t="s">
        <v>444</v>
      </c>
      <c r="C694" s="21" t="s">
        <v>2221</v>
      </c>
      <c r="D694" s="69" t="s">
        <v>1009</v>
      </c>
      <c r="E694" s="18" t="s">
        <v>103</v>
      </c>
      <c r="F694" s="18" t="s">
        <v>192</v>
      </c>
      <c r="G694" s="63" t="s">
        <v>2222</v>
      </c>
      <c r="H694" s="22" t="s">
        <v>198</v>
      </c>
      <c r="I694" s="28">
        <v>6.0</v>
      </c>
      <c r="J694" s="26" t="str">
        <f t="shared" si="489"/>
        <v>R</v>
      </c>
      <c r="K694" s="28">
        <v>17.0</v>
      </c>
      <c r="L694" s="26" t="str">
        <f t="shared" si="490"/>
        <v>R</v>
      </c>
      <c r="M694" s="28">
        <v>6.0</v>
      </c>
      <c r="N694" s="26" t="str">
        <f t="shared" si="491"/>
        <v>R</v>
      </c>
      <c r="O694" s="28">
        <v>22.0</v>
      </c>
      <c r="P694" s="26" t="str">
        <f t="shared" si="492"/>
        <v>I</v>
      </c>
      <c r="Q694" s="28">
        <v>6.0</v>
      </c>
      <c r="R694" s="26" t="str">
        <f t="shared" si="493"/>
        <v>R</v>
      </c>
      <c r="S694" s="28">
        <v>17.0</v>
      </c>
      <c r="T694" s="26" t="str">
        <f t="shared" si="494"/>
        <v>R</v>
      </c>
      <c r="U694" s="28">
        <v>19.0</v>
      </c>
      <c r="V694" s="26" t="str">
        <f t="shared" si="495"/>
        <v>I</v>
      </c>
      <c r="W694" s="32" t="s">
        <v>299</v>
      </c>
      <c r="X694" s="65">
        <v>6.0</v>
      </c>
      <c r="Y694" s="33" t="str">
        <f t="shared" si="496"/>
        <v>R</v>
      </c>
      <c r="Z694" s="65">
        <v>23.0</v>
      </c>
      <c r="AA694" s="33" t="str">
        <f t="shared" si="497"/>
        <v>S</v>
      </c>
      <c r="AB694" s="65">
        <v>6.0</v>
      </c>
      <c r="AC694" s="33" t="str">
        <f t="shared" si="498"/>
        <v>R</v>
      </c>
      <c r="AD694" s="65">
        <v>19.0</v>
      </c>
      <c r="AE694" s="33" t="str">
        <f t="shared" si="499"/>
        <v>S</v>
      </c>
      <c r="AF694" s="65">
        <v>16.0</v>
      </c>
      <c r="AG694" s="33" t="str">
        <f t="shared" si="500"/>
        <v>R</v>
      </c>
      <c r="AH694" s="65" t="s">
        <v>299</v>
      </c>
      <c r="AI694" s="66">
        <v>10.0</v>
      </c>
      <c r="AJ694" s="36" t="str">
        <f t="shared" si="501"/>
        <v>R</v>
      </c>
      <c r="AK694" s="66">
        <v>14.0</v>
      </c>
      <c r="AL694" s="36" t="str">
        <f t="shared" si="502"/>
        <v>R</v>
      </c>
      <c r="AM694" s="66">
        <v>6.0</v>
      </c>
      <c r="AN694" s="36" t="str">
        <f t="shared" si="503"/>
        <v>R</v>
      </c>
      <c r="AO694" s="66" t="s">
        <v>299</v>
      </c>
      <c r="AP694" s="67">
        <v>6.0</v>
      </c>
      <c r="AQ694" s="37" t="str">
        <f t="shared" si="504"/>
        <v>R</v>
      </c>
      <c r="AR694" s="65">
        <v>15.0</v>
      </c>
      <c r="AS694" s="33" t="str">
        <f t="shared" si="505"/>
        <v>R</v>
      </c>
      <c r="AT694" s="65">
        <v>14.0</v>
      </c>
      <c r="AU694" s="33" t="str">
        <f t="shared" si="506"/>
        <v>R</v>
      </c>
      <c r="AV694" s="65" t="s">
        <v>299</v>
      </c>
      <c r="AW694" s="28">
        <v>6.0</v>
      </c>
      <c r="AX694" s="26" t="str">
        <f t="shared" si="507"/>
        <v>R</v>
      </c>
      <c r="AY694" s="67">
        <v>17.0</v>
      </c>
      <c r="AZ694" s="37" t="str">
        <f t="shared" si="508"/>
        <v>R</v>
      </c>
      <c r="BA694" s="66">
        <v>23.0</v>
      </c>
      <c r="BB694" s="36" t="str">
        <f t="shared" si="509"/>
        <v>S</v>
      </c>
      <c r="BC694" s="39" t="s">
        <v>357</v>
      </c>
      <c r="BD694" s="39" t="s">
        <v>357</v>
      </c>
      <c r="BE694" s="66">
        <v>23.0</v>
      </c>
      <c r="BF694" s="36" t="str">
        <f t="shared" si="510"/>
        <v>S</v>
      </c>
      <c r="BG694" s="68">
        <v>16.0</v>
      </c>
      <c r="BH694" s="41" t="str">
        <f t="shared" si="511"/>
        <v>R</v>
      </c>
      <c r="BI694" s="41"/>
    </row>
    <row r="695">
      <c r="A695" s="21" t="s">
        <v>1121</v>
      </c>
      <c r="B695" s="21" t="s">
        <v>444</v>
      </c>
      <c r="C695" s="21" t="s">
        <v>2223</v>
      </c>
      <c r="D695" s="69" t="s">
        <v>1009</v>
      </c>
      <c r="E695" s="18" t="s">
        <v>103</v>
      </c>
      <c r="F695" s="18" t="s">
        <v>192</v>
      </c>
      <c r="G695" s="63" t="s">
        <v>2224</v>
      </c>
      <c r="H695" s="22" t="s">
        <v>198</v>
      </c>
      <c r="I695" s="28">
        <v>6.0</v>
      </c>
      <c r="J695" s="26" t="str">
        <f t="shared" si="489"/>
        <v>R</v>
      </c>
      <c r="K695" s="28">
        <v>17.0</v>
      </c>
      <c r="L695" s="26" t="str">
        <f t="shared" si="490"/>
        <v>R</v>
      </c>
      <c r="M695" s="28">
        <v>6.0</v>
      </c>
      <c r="N695" s="26" t="str">
        <f t="shared" si="491"/>
        <v>R</v>
      </c>
      <c r="O695" s="28">
        <v>22.0</v>
      </c>
      <c r="P695" s="26" t="str">
        <f t="shared" si="492"/>
        <v>I</v>
      </c>
      <c r="Q695" s="28">
        <v>6.0</v>
      </c>
      <c r="R695" s="26" t="str">
        <f t="shared" si="493"/>
        <v>R</v>
      </c>
      <c r="S695" s="28">
        <v>17.0</v>
      </c>
      <c r="T695" s="26" t="str">
        <f t="shared" si="494"/>
        <v>R</v>
      </c>
      <c r="U695" s="28">
        <v>19.0</v>
      </c>
      <c r="V695" s="26" t="str">
        <f t="shared" si="495"/>
        <v>I</v>
      </c>
      <c r="W695" s="32" t="s">
        <v>299</v>
      </c>
      <c r="X695" s="65">
        <v>6.0</v>
      </c>
      <c r="Y695" s="33" t="str">
        <f t="shared" si="496"/>
        <v>R</v>
      </c>
      <c r="Z695" s="65">
        <v>20.0</v>
      </c>
      <c r="AA695" s="33" t="str">
        <f t="shared" si="497"/>
        <v>S</v>
      </c>
      <c r="AB695" s="65">
        <v>6.0</v>
      </c>
      <c r="AC695" s="33" t="str">
        <f t="shared" si="498"/>
        <v>R</v>
      </c>
      <c r="AD695" s="65">
        <v>19.0</v>
      </c>
      <c r="AE695" s="33" t="str">
        <f t="shared" si="499"/>
        <v>S</v>
      </c>
      <c r="AF695" s="65">
        <v>16.0</v>
      </c>
      <c r="AG695" s="33" t="str">
        <f t="shared" si="500"/>
        <v>R</v>
      </c>
      <c r="AH695" s="65" t="s">
        <v>299</v>
      </c>
      <c r="AI695" s="66">
        <v>11.0</v>
      </c>
      <c r="AJ695" s="36" t="str">
        <f t="shared" si="501"/>
        <v>R</v>
      </c>
      <c r="AK695" s="66">
        <v>14.0</v>
      </c>
      <c r="AL695" s="36" t="str">
        <f t="shared" si="502"/>
        <v>R</v>
      </c>
      <c r="AM695" s="66">
        <v>6.0</v>
      </c>
      <c r="AN695" s="36" t="str">
        <f t="shared" si="503"/>
        <v>R</v>
      </c>
      <c r="AO695" s="66" t="s">
        <v>299</v>
      </c>
      <c r="AP695" s="67">
        <v>6.0</v>
      </c>
      <c r="AQ695" s="37" t="str">
        <f t="shared" si="504"/>
        <v>R</v>
      </c>
      <c r="AR695" s="65">
        <v>14.0</v>
      </c>
      <c r="AS695" s="33" t="str">
        <f t="shared" si="505"/>
        <v>R</v>
      </c>
      <c r="AT695" s="65">
        <v>14.0</v>
      </c>
      <c r="AU695" s="33" t="str">
        <f t="shared" si="506"/>
        <v>R</v>
      </c>
      <c r="AV695" s="65" t="s">
        <v>299</v>
      </c>
      <c r="AW695" s="28">
        <v>6.0</v>
      </c>
      <c r="AX695" s="26" t="str">
        <f t="shared" si="507"/>
        <v>R</v>
      </c>
      <c r="AY695" s="67">
        <v>17.0</v>
      </c>
      <c r="AZ695" s="37" t="str">
        <f t="shared" si="508"/>
        <v>R</v>
      </c>
      <c r="BA695" s="66">
        <v>23.0</v>
      </c>
      <c r="BB695" s="36" t="str">
        <f t="shared" si="509"/>
        <v>S</v>
      </c>
      <c r="BC695" s="39" t="s">
        <v>357</v>
      </c>
      <c r="BD695" s="39" t="s">
        <v>357</v>
      </c>
      <c r="BE695" s="66">
        <v>23.0</v>
      </c>
      <c r="BF695" s="36" t="str">
        <f t="shared" si="510"/>
        <v>S</v>
      </c>
      <c r="BG695" s="68">
        <v>16.0</v>
      </c>
      <c r="BH695" s="41" t="str">
        <f t="shared" si="511"/>
        <v>R</v>
      </c>
      <c r="BI695" s="41"/>
    </row>
    <row r="696">
      <c r="A696" s="51" t="s">
        <v>1129</v>
      </c>
      <c r="B696" s="53">
        <v>287.0</v>
      </c>
      <c r="C696" s="51" t="s">
        <v>1739</v>
      </c>
      <c r="D696" s="69" t="s">
        <v>190</v>
      </c>
      <c r="E696" s="18" t="s">
        <v>190</v>
      </c>
      <c r="F696" s="18" t="s">
        <v>192</v>
      </c>
      <c r="G696" s="63" t="s">
        <v>1740</v>
      </c>
      <c r="H696" s="22" t="s">
        <v>198</v>
      </c>
      <c r="I696" s="28">
        <v>9.0</v>
      </c>
      <c r="J696" s="26" t="str">
        <f t="shared" si="489"/>
        <v>R</v>
      </c>
      <c r="K696" s="28">
        <v>12.0</v>
      </c>
      <c r="L696" s="26" t="str">
        <f t="shared" si="490"/>
        <v>R</v>
      </c>
      <c r="M696" s="28">
        <v>16.0</v>
      </c>
      <c r="N696" s="26" t="str">
        <f t="shared" si="491"/>
        <v>R</v>
      </c>
      <c r="O696" s="28">
        <v>16.0</v>
      </c>
      <c r="P696" s="26" t="str">
        <f t="shared" si="492"/>
        <v>R</v>
      </c>
      <c r="Q696" s="28">
        <v>9.0</v>
      </c>
      <c r="R696" s="26" t="str">
        <f t="shared" si="493"/>
        <v>R</v>
      </c>
      <c r="S696" s="28">
        <v>12.0</v>
      </c>
      <c r="T696" s="26" t="str">
        <f t="shared" si="494"/>
        <v>R</v>
      </c>
      <c r="U696" s="28">
        <v>12.0</v>
      </c>
      <c r="V696" s="26" t="str">
        <f t="shared" si="495"/>
        <v>R</v>
      </c>
      <c r="W696" s="32" t="s">
        <v>299</v>
      </c>
      <c r="X696" s="65">
        <v>11.0</v>
      </c>
      <c r="Y696" s="33" t="str">
        <f t="shared" si="496"/>
        <v>R</v>
      </c>
      <c r="Z696" s="65">
        <v>18.0</v>
      </c>
      <c r="AA696" s="33" t="str">
        <f t="shared" si="497"/>
        <v>S</v>
      </c>
      <c r="AB696" s="65">
        <v>13.0</v>
      </c>
      <c r="AC696" s="33" t="str">
        <f t="shared" si="498"/>
        <v>R</v>
      </c>
      <c r="AD696" s="65">
        <v>12.0</v>
      </c>
      <c r="AE696" s="33" t="str">
        <f t="shared" si="499"/>
        <v>R</v>
      </c>
      <c r="AF696" s="65">
        <v>16.0</v>
      </c>
      <c r="AG696" s="33" t="str">
        <f t="shared" si="500"/>
        <v>R</v>
      </c>
      <c r="AH696" s="65" t="s">
        <v>299</v>
      </c>
      <c r="AI696" s="66">
        <v>15.0</v>
      </c>
      <c r="AJ696" s="36" t="str">
        <f t="shared" si="501"/>
        <v>R</v>
      </c>
      <c r="AK696" s="66">
        <v>13.0</v>
      </c>
      <c r="AL696" s="36" t="str">
        <f t="shared" si="502"/>
        <v>R</v>
      </c>
      <c r="AM696" s="66">
        <v>6.0</v>
      </c>
      <c r="AN696" s="36" t="str">
        <f t="shared" si="503"/>
        <v>R</v>
      </c>
      <c r="AO696" s="66" t="s">
        <v>299</v>
      </c>
      <c r="AP696" s="67">
        <v>10.0</v>
      </c>
      <c r="AQ696" s="37" t="str">
        <f t="shared" si="504"/>
        <v>R</v>
      </c>
      <c r="AR696" s="65">
        <v>15.0</v>
      </c>
      <c r="AS696" s="33" t="str">
        <f t="shared" si="505"/>
        <v>R</v>
      </c>
      <c r="AT696" s="65">
        <v>13.0</v>
      </c>
      <c r="AU696" s="33" t="str">
        <f t="shared" si="506"/>
        <v>R</v>
      </c>
      <c r="AV696" s="65" t="s">
        <v>299</v>
      </c>
      <c r="AW696" s="28">
        <v>6.0</v>
      </c>
      <c r="AX696" s="26" t="str">
        <f t="shared" si="507"/>
        <v>R</v>
      </c>
      <c r="AY696" s="67">
        <v>14.0</v>
      </c>
      <c r="AZ696" s="37" t="str">
        <f t="shared" si="508"/>
        <v>R</v>
      </c>
      <c r="BA696" s="66">
        <v>20.0</v>
      </c>
      <c r="BB696" s="36" t="str">
        <f t="shared" si="509"/>
        <v>R</v>
      </c>
      <c r="BC696" s="39" t="s">
        <v>357</v>
      </c>
      <c r="BD696" s="39" t="s">
        <v>357</v>
      </c>
      <c r="BE696" s="66">
        <v>16.0</v>
      </c>
      <c r="BF696" s="36" t="str">
        <f t="shared" si="510"/>
        <v>R</v>
      </c>
      <c r="BG696" s="68">
        <v>13.0</v>
      </c>
      <c r="BH696" s="41" t="str">
        <f t="shared" si="511"/>
        <v>R</v>
      </c>
      <c r="BI696" s="41"/>
    </row>
    <row r="697">
      <c r="A697" s="51" t="s">
        <v>1129</v>
      </c>
      <c r="B697" s="51" t="s">
        <v>444</v>
      </c>
      <c r="C697" s="51" t="s">
        <v>2225</v>
      </c>
      <c r="D697" s="69" t="s">
        <v>190</v>
      </c>
      <c r="E697" s="18" t="s">
        <v>190</v>
      </c>
      <c r="F697" s="18" t="s">
        <v>192</v>
      </c>
      <c r="G697" s="63" t="s">
        <v>2226</v>
      </c>
      <c r="H697" s="22" t="s">
        <v>198</v>
      </c>
      <c r="I697" s="28">
        <v>9.0</v>
      </c>
      <c r="J697" s="26" t="str">
        <f t="shared" si="489"/>
        <v>R</v>
      </c>
      <c r="K697" s="28">
        <v>12.0</v>
      </c>
      <c r="L697" s="26" t="str">
        <f t="shared" si="490"/>
        <v>R</v>
      </c>
      <c r="M697" s="28">
        <v>16.0</v>
      </c>
      <c r="N697" s="26" t="str">
        <f t="shared" si="491"/>
        <v>R</v>
      </c>
      <c r="O697" s="28">
        <v>16.0</v>
      </c>
      <c r="P697" s="26" t="str">
        <f t="shared" si="492"/>
        <v>R</v>
      </c>
      <c r="Q697" s="28">
        <v>9.0</v>
      </c>
      <c r="R697" s="26" t="str">
        <f t="shared" si="493"/>
        <v>R</v>
      </c>
      <c r="S697" s="28">
        <v>12.0</v>
      </c>
      <c r="T697" s="26" t="str">
        <f t="shared" si="494"/>
        <v>R</v>
      </c>
      <c r="U697" s="28">
        <v>12.0</v>
      </c>
      <c r="V697" s="26" t="str">
        <f t="shared" si="495"/>
        <v>R</v>
      </c>
      <c r="W697" s="32" t="s">
        <v>299</v>
      </c>
      <c r="X697" s="65">
        <v>11.0</v>
      </c>
      <c r="Y697" s="33" t="str">
        <f t="shared" si="496"/>
        <v>R</v>
      </c>
      <c r="Z697" s="65">
        <v>18.0</v>
      </c>
      <c r="AA697" s="33" t="str">
        <f t="shared" si="497"/>
        <v>S</v>
      </c>
      <c r="AB697" s="65">
        <v>13.0</v>
      </c>
      <c r="AC697" s="33" t="str">
        <f t="shared" si="498"/>
        <v>R</v>
      </c>
      <c r="AD697" s="65">
        <v>12.0</v>
      </c>
      <c r="AE697" s="33" t="str">
        <f t="shared" si="499"/>
        <v>R</v>
      </c>
      <c r="AF697" s="65">
        <v>16.0</v>
      </c>
      <c r="AG697" s="33" t="str">
        <f t="shared" si="500"/>
        <v>R</v>
      </c>
      <c r="AH697" s="65" t="s">
        <v>299</v>
      </c>
      <c r="AI697" s="66">
        <v>15.0</v>
      </c>
      <c r="AJ697" s="36" t="str">
        <f t="shared" si="501"/>
        <v>R</v>
      </c>
      <c r="AK697" s="66">
        <v>13.0</v>
      </c>
      <c r="AL697" s="36" t="str">
        <f t="shared" si="502"/>
        <v>R</v>
      </c>
      <c r="AM697" s="66">
        <v>6.0</v>
      </c>
      <c r="AN697" s="36" t="str">
        <f t="shared" si="503"/>
        <v>R</v>
      </c>
      <c r="AO697" s="66" t="s">
        <v>299</v>
      </c>
      <c r="AP697" s="67">
        <v>10.0</v>
      </c>
      <c r="AQ697" s="37" t="str">
        <f t="shared" si="504"/>
        <v>R</v>
      </c>
      <c r="AR697" s="65">
        <v>15.0</v>
      </c>
      <c r="AS697" s="33" t="str">
        <f t="shared" si="505"/>
        <v>R</v>
      </c>
      <c r="AT697" s="65">
        <v>13.0</v>
      </c>
      <c r="AU697" s="33" t="str">
        <f t="shared" si="506"/>
        <v>R</v>
      </c>
      <c r="AV697" s="65" t="s">
        <v>299</v>
      </c>
      <c r="AW697" s="28">
        <v>6.0</v>
      </c>
      <c r="AX697" s="26" t="str">
        <f t="shared" si="507"/>
        <v>R</v>
      </c>
      <c r="AY697" s="67">
        <v>14.0</v>
      </c>
      <c r="AZ697" s="37" t="str">
        <f t="shared" si="508"/>
        <v>R</v>
      </c>
      <c r="BA697" s="66">
        <v>22.0</v>
      </c>
      <c r="BB697" s="36" t="str">
        <f t="shared" si="509"/>
        <v>R</v>
      </c>
      <c r="BC697" s="39" t="s">
        <v>357</v>
      </c>
      <c r="BD697" s="39" t="s">
        <v>357</v>
      </c>
      <c r="BE697" s="66">
        <v>16.0</v>
      </c>
      <c r="BF697" s="36" t="str">
        <f t="shared" si="510"/>
        <v>R</v>
      </c>
      <c r="BG697" s="68">
        <v>13.0</v>
      </c>
      <c r="BH697" s="41" t="str">
        <f t="shared" si="511"/>
        <v>R</v>
      </c>
      <c r="BI697" s="41"/>
    </row>
    <row r="698">
      <c r="A698" s="51" t="s">
        <v>1129</v>
      </c>
      <c r="B698" s="51" t="s">
        <v>444</v>
      </c>
      <c r="C698" s="51" t="s">
        <v>2227</v>
      </c>
      <c r="D698" s="69" t="s">
        <v>190</v>
      </c>
      <c r="E698" s="18" t="s">
        <v>190</v>
      </c>
      <c r="F698" s="18" t="s">
        <v>192</v>
      </c>
      <c r="G698" s="63" t="s">
        <v>2228</v>
      </c>
      <c r="H698" s="22" t="s">
        <v>198</v>
      </c>
      <c r="I698" s="28">
        <v>6.0</v>
      </c>
      <c r="J698" s="26" t="str">
        <f t="shared" si="489"/>
        <v>R</v>
      </c>
      <c r="K698" s="28">
        <v>15.0</v>
      </c>
      <c r="L698" s="26" t="str">
        <f t="shared" si="490"/>
        <v>R</v>
      </c>
      <c r="M698" s="28">
        <v>12.0</v>
      </c>
      <c r="N698" s="26" t="str">
        <f t="shared" si="491"/>
        <v>R</v>
      </c>
      <c r="O698" s="28">
        <v>18.0</v>
      </c>
      <c r="P698" s="26" t="str">
        <f t="shared" si="492"/>
        <v>R</v>
      </c>
      <c r="Q698" s="28">
        <v>6.0</v>
      </c>
      <c r="R698" s="26" t="str">
        <f t="shared" si="493"/>
        <v>R</v>
      </c>
      <c r="S698" s="28">
        <v>15.0</v>
      </c>
      <c r="T698" s="26" t="str">
        <f t="shared" si="494"/>
        <v>R</v>
      </c>
      <c r="U698" s="28">
        <v>11.0</v>
      </c>
      <c r="V698" s="26" t="str">
        <f t="shared" si="495"/>
        <v>R</v>
      </c>
      <c r="W698" s="32" t="s">
        <v>299</v>
      </c>
      <c r="X698" s="65">
        <v>14.0</v>
      </c>
      <c r="Y698" s="33" t="str">
        <f t="shared" si="496"/>
        <v>R</v>
      </c>
      <c r="Z698" s="65">
        <v>21.0</v>
      </c>
      <c r="AA698" s="33" t="str">
        <f t="shared" si="497"/>
        <v>S</v>
      </c>
      <c r="AB698" s="65">
        <v>14.0</v>
      </c>
      <c r="AC698" s="33" t="str">
        <f t="shared" si="498"/>
        <v>R</v>
      </c>
      <c r="AD698" s="65">
        <v>15.0</v>
      </c>
      <c r="AE698" s="33" t="str">
        <f t="shared" si="499"/>
        <v>S</v>
      </c>
      <c r="AF698" s="65">
        <v>13.0</v>
      </c>
      <c r="AG698" s="33" t="str">
        <f t="shared" si="500"/>
        <v>R</v>
      </c>
      <c r="AH698" s="65" t="s">
        <v>299</v>
      </c>
      <c r="AI698" s="66">
        <v>18.0</v>
      </c>
      <c r="AJ698" s="36" t="str">
        <f t="shared" si="501"/>
        <v>R</v>
      </c>
      <c r="AK698" s="66">
        <v>9.0</v>
      </c>
      <c r="AL698" s="36" t="str">
        <f t="shared" si="502"/>
        <v>R</v>
      </c>
      <c r="AM698" s="66">
        <v>6.0</v>
      </c>
      <c r="AN698" s="36" t="str">
        <f t="shared" si="503"/>
        <v>R</v>
      </c>
      <c r="AO698" s="66" t="s">
        <v>299</v>
      </c>
      <c r="AP698" s="67">
        <v>9.0</v>
      </c>
      <c r="AQ698" s="37" t="str">
        <f t="shared" si="504"/>
        <v>R</v>
      </c>
      <c r="AR698" s="65">
        <v>16.0</v>
      </c>
      <c r="AS698" s="33" t="str">
        <f t="shared" si="505"/>
        <v>R</v>
      </c>
      <c r="AT698" s="65">
        <v>16.0</v>
      </c>
      <c r="AU698" s="33" t="str">
        <f t="shared" si="506"/>
        <v>S</v>
      </c>
      <c r="AV698" s="65" t="s">
        <v>299</v>
      </c>
      <c r="AW698" s="28">
        <v>6.0</v>
      </c>
      <c r="AX698" s="26" t="str">
        <f t="shared" si="507"/>
        <v>R</v>
      </c>
      <c r="AY698" s="67">
        <v>13.0</v>
      </c>
      <c r="AZ698" s="37" t="str">
        <f t="shared" si="508"/>
        <v>R</v>
      </c>
      <c r="BA698" s="66">
        <v>15.0</v>
      </c>
      <c r="BB698" s="36" t="str">
        <f t="shared" si="509"/>
        <v>R</v>
      </c>
      <c r="BC698" s="39" t="s">
        <v>357</v>
      </c>
      <c r="BD698" s="39" t="s">
        <v>357</v>
      </c>
      <c r="BE698" s="66">
        <v>20.0</v>
      </c>
      <c r="BF698" s="36" t="str">
        <f t="shared" si="510"/>
        <v>I</v>
      </c>
      <c r="BG698" s="68">
        <v>15.0</v>
      </c>
      <c r="BH698" s="41" t="str">
        <f t="shared" si="511"/>
        <v>R</v>
      </c>
      <c r="BI698" s="41"/>
    </row>
    <row r="699">
      <c r="A699" s="51" t="s">
        <v>1129</v>
      </c>
      <c r="B699" s="53">
        <v>288.0</v>
      </c>
      <c r="C699" s="51" t="s">
        <v>1741</v>
      </c>
      <c r="D699" s="69" t="s">
        <v>571</v>
      </c>
      <c r="E699" s="18" t="s">
        <v>572</v>
      </c>
      <c r="F699" s="18" t="s">
        <v>192</v>
      </c>
      <c r="G699" s="63" t="s">
        <v>1742</v>
      </c>
      <c r="H699" s="22" t="s">
        <v>198</v>
      </c>
      <c r="I699" s="28">
        <v>6.0</v>
      </c>
      <c r="J699" s="26" t="str">
        <f t="shared" si="489"/>
        <v>R</v>
      </c>
      <c r="K699" s="28">
        <v>6.0</v>
      </c>
      <c r="L699" s="26" t="str">
        <f t="shared" si="490"/>
        <v>R</v>
      </c>
      <c r="M699" s="28">
        <v>6.0</v>
      </c>
      <c r="N699" s="26" t="str">
        <f t="shared" si="491"/>
        <v>R</v>
      </c>
      <c r="O699" s="28">
        <v>15.0</v>
      </c>
      <c r="P699" s="26" t="str">
        <f t="shared" si="492"/>
        <v>R</v>
      </c>
      <c r="Q699" s="28">
        <v>6.0</v>
      </c>
      <c r="R699" s="26" t="str">
        <f t="shared" si="493"/>
        <v>R</v>
      </c>
      <c r="S699" s="28">
        <v>21.0</v>
      </c>
      <c r="T699" s="26" t="str">
        <f t="shared" si="494"/>
        <v>S</v>
      </c>
      <c r="U699" s="28">
        <v>19.0</v>
      </c>
      <c r="V699" s="26" t="str">
        <f t="shared" si="495"/>
        <v>I</v>
      </c>
      <c r="W699" s="32" t="s">
        <v>299</v>
      </c>
      <c r="X699" s="65">
        <v>6.0</v>
      </c>
      <c r="Y699" s="33" t="str">
        <f t="shared" si="496"/>
        <v>R</v>
      </c>
      <c r="Z699" s="65">
        <v>6.0</v>
      </c>
      <c r="AA699" s="33" t="str">
        <f t="shared" si="497"/>
        <v>R</v>
      </c>
      <c r="AB699" s="65">
        <v>6.0</v>
      </c>
      <c r="AC699" s="33" t="str">
        <f t="shared" si="498"/>
        <v>R</v>
      </c>
      <c r="AD699" s="65">
        <v>23.0</v>
      </c>
      <c r="AE699" s="33" t="str">
        <f t="shared" si="499"/>
        <v>S</v>
      </c>
      <c r="AF699" s="65">
        <v>18.0</v>
      </c>
      <c r="AG699" s="33" t="str">
        <f t="shared" si="500"/>
        <v>R</v>
      </c>
      <c r="AH699" s="65" t="s">
        <v>299</v>
      </c>
      <c r="AI699" s="66">
        <v>6.0</v>
      </c>
      <c r="AJ699" s="36" t="str">
        <f t="shared" si="501"/>
        <v>R</v>
      </c>
      <c r="AK699" s="66">
        <v>6.0</v>
      </c>
      <c r="AL699" s="36" t="str">
        <f t="shared" si="502"/>
        <v>R</v>
      </c>
      <c r="AM699" s="66">
        <v>6.0</v>
      </c>
      <c r="AN699" s="36" t="str">
        <f t="shared" si="503"/>
        <v>R</v>
      </c>
      <c r="AO699" s="66" t="s">
        <v>299</v>
      </c>
      <c r="AP699" s="67">
        <v>6.0</v>
      </c>
      <c r="AQ699" s="37" t="str">
        <f t="shared" si="504"/>
        <v>R</v>
      </c>
      <c r="AR699" s="65">
        <v>20.0</v>
      </c>
      <c r="AS699" s="33" t="str">
        <f t="shared" si="505"/>
        <v>S</v>
      </c>
      <c r="AT699" s="65">
        <v>20.0</v>
      </c>
      <c r="AU699" s="33" t="str">
        <f t="shared" si="506"/>
        <v>S</v>
      </c>
      <c r="AV699" s="33" t="s">
        <v>300</v>
      </c>
      <c r="AW699" s="28">
        <v>6.0</v>
      </c>
      <c r="AX699" s="26" t="str">
        <f t="shared" si="507"/>
        <v>R</v>
      </c>
      <c r="AY699" s="67">
        <v>13.0</v>
      </c>
      <c r="AZ699" s="37" t="str">
        <f t="shared" si="508"/>
        <v>R</v>
      </c>
      <c r="BA699" s="66">
        <v>26.0</v>
      </c>
      <c r="BB699" s="36" t="str">
        <f t="shared" si="509"/>
        <v>S</v>
      </c>
      <c r="BC699" s="39" t="s">
        <v>357</v>
      </c>
      <c r="BD699" s="39" t="s">
        <v>357</v>
      </c>
      <c r="BE699" s="66">
        <v>20.0</v>
      </c>
      <c r="BF699" s="36" t="str">
        <f t="shared" si="510"/>
        <v>I</v>
      </c>
      <c r="BG699" s="68">
        <v>20.0</v>
      </c>
      <c r="BH699" s="41" t="str">
        <f t="shared" si="511"/>
        <v>S</v>
      </c>
      <c r="BI699" s="41"/>
    </row>
    <row r="700">
      <c r="A700" s="51" t="s">
        <v>1129</v>
      </c>
      <c r="B700" s="51" t="s">
        <v>444</v>
      </c>
      <c r="C700" s="51" t="s">
        <v>2229</v>
      </c>
      <c r="D700" s="69" t="s">
        <v>571</v>
      </c>
      <c r="E700" s="18" t="s">
        <v>572</v>
      </c>
      <c r="F700" s="18" t="s">
        <v>192</v>
      </c>
      <c r="G700" s="63" t="s">
        <v>2230</v>
      </c>
      <c r="H700" s="22" t="s">
        <v>198</v>
      </c>
      <c r="I700" s="28">
        <v>6.0</v>
      </c>
      <c r="J700" s="26" t="str">
        <f t="shared" si="489"/>
        <v>R</v>
      </c>
      <c r="K700" s="28">
        <v>6.0</v>
      </c>
      <c r="L700" s="26" t="str">
        <f t="shared" si="490"/>
        <v>R</v>
      </c>
      <c r="M700" s="28">
        <v>6.0</v>
      </c>
      <c r="N700" s="26" t="str">
        <f t="shared" si="491"/>
        <v>R</v>
      </c>
      <c r="O700" s="28">
        <v>15.0</v>
      </c>
      <c r="P700" s="26" t="str">
        <f t="shared" si="492"/>
        <v>R</v>
      </c>
      <c r="Q700" s="28">
        <v>6.0</v>
      </c>
      <c r="R700" s="26" t="str">
        <f t="shared" si="493"/>
        <v>R</v>
      </c>
      <c r="S700" s="28">
        <v>21.0</v>
      </c>
      <c r="T700" s="26" t="str">
        <f t="shared" si="494"/>
        <v>S</v>
      </c>
      <c r="U700" s="28">
        <v>19.0</v>
      </c>
      <c r="V700" s="26" t="str">
        <f t="shared" si="495"/>
        <v>I</v>
      </c>
      <c r="W700" s="32" t="s">
        <v>299</v>
      </c>
      <c r="X700" s="65">
        <v>6.0</v>
      </c>
      <c r="Y700" s="33" t="str">
        <f t="shared" si="496"/>
        <v>R</v>
      </c>
      <c r="Z700" s="65">
        <v>6.0</v>
      </c>
      <c r="AA700" s="33" t="str">
        <f t="shared" si="497"/>
        <v>R</v>
      </c>
      <c r="AB700" s="65">
        <v>6.0</v>
      </c>
      <c r="AC700" s="33" t="str">
        <f t="shared" si="498"/>
        <v>R</v>
      </c>
      <c r="AD700" s="65">
        <v>23.0</v>
      </c>
      <c r="AE700" s="33" t="str">
        <f t="shared" si="499"/>
        <v>S</v>
      </c>
      <c r="AF700" s="65">
        <v>18.0</v>
      </c>
      <c r="AG700" s="33" t="str">
        <f t="shared" si="500"/>
        <v>R</v>
      </c>
      <c r="AH700" s="65" t="s">
        <v>299</v>
      </c>
      <c r="AI700" s="66">
        <v>6.0</v>
      </c>
      <c r="AJ700" s="36" t="str">
        <f t="shared" si="501"/>
        <v>R</v>
      </c>
      <c r="AK700" s="66">
        <v>6.0</v>
      </c>
      <c r="AL700" s="36" t="str">
        <f t="shared" si="502"/>
        <v>R</v>
      </c>
      <c r="AM700" s="66">
        <v>6.0</v>
      </c>
      <c r="AN700" s="36" t="str">
        <f t="shared" si="503"/>
        <v>R</v>
      </c>
      <c r="AO700" s="66" t="s">
        <v>299</v>
      </c>
      <c r="AP700" s="67">
        <v>6.0</v>
      </c>
      <c r="AQ700" s="37" t="str">
        <f t="shared" si="504"/>
        <v>R</v>
      </c>
      <c r="AR700" s="65">
        <v>20.0</v>
      </c>
      <c r="AS700" s="33" t="str">
        <f t="shared" si="505"/>
        <v>S</v>
      </c>
      <c r="AT700" s="65">
        <v>20.0</v>
      </c>
      <c r="AU700" s="33" t="str">
        <f t="shared" si="506"/>
        <v>S</v>
      </c>
      <c r="AV700" s="33" t="s">
        <v>300</v>
      </c>
      <c r="AW700" s="28">
        <v>6.0</v>
      </c>
      <c r="AX700" s="26" t="str">
        <f t="shared" si="507"/>
        <v>R</v>
      </c>
      <c r="AY700" s="67">
        <v>13.0</v>
      </c>
      <c r="AZ700" s="37" t="str">
        <f t="shared" si="508"/>
        <v>R</v>
      </c>
      <c r="BA700" s="66">
        <v>26.0</v>
      </c>
      <c r="BB700" s="36" t="str">
        <f t="shared" si="509"/>
        <v>S</v>
      </c>
      <c r="BC700" s="39" t="s">
        <v>357</v>
      </c>
      <c r="BD700" s="39" t="s">
        <v>357</v>
      </c>
      <c r="BE700" s="66">
        <v>20.0</v>
      </c>
      <c r="BF700" s="36" t="str">
        <f t="shared" si="510"/>
        <v>I</v>
      </c>
      <c r="BG700" s="68">
        <v>20.0</v>
      </c>
      <c r="BH700" s="41" t="str">
        <f t="shared" si="511"/>
        <v>S</v>
      </c>
      <c r="BI700" s="41"/>
    </row>
    <row r="701">
      <c r="A701" s="51" t="s">
        <v>1129</v>
      </c>
      <c r="B701" s="51" t="s">
        <v>444</v>
      </c>
      <c r="C701" s="51" t="s">
        <v>2231</v>
      </c>
      <c r="D701" s="69" t="s">
        <v>571</v>
      </c>
      <c r="E701" s="18" t="s">
        <v>572</v>
      </c>
      <c r="F701" s="18" t="s">
        <v>192</v>
      </c>
      <c r="G701" s="63" t="s">
        <v>2232</v>
      </c>
      <c r="H701" s="22" t="s">
        <v>198</v>
      </c>
      <c r="I701" s="28">
        <v>6.0</v>
      </c>
      <c r="J701" s="26" t="str">
        <f t="shared" si="489"/>
        <v>R</v>
      </c>
      <c r="K701" s="28">
        <v>6.0</v>
      </c>
      <c r="L701" s="26" t="str">
        <f t="shared" si="490"/>
        <v>R</v>
      </c>
      <c r="M701" s="28">
        <v>6.0</v>
      </c>
      <c r="N701" s="26" t="str">
        <f t="shared" si="491"/>
        <v>R</v>
      </c>
      <c r="O701" s="28">
        <v>15.0</v>
      </c>
      <c r="P701" s="26" t="str">
        <f t="shared" si="492"/>
        <v>R</v>
      </c>
      <c r="Q701" s="28">
        <v>6.0</v>
      </c>
      <c r="R701" s="26" t="str">
        <f t="shared" si="493"/>
        <v>R</v>
      </c>
      <c r="S701" s="28">
        <v>21.0</v>
      </c>
      <c r="T701" s="26" t="str">
        <f t="shared" si="494"/>
        <v>S</v>
      </c>
      <c r="U701" s="28">
        <v>19.0</v>
      </c>
      <c r="V701" s="26" t="str">
        <f t="shared" si="495"/>
        <v>I</v>
      </c>
      <c r="W701" s="32" t="s">
        <v>299</v>
      </c>
      <c r="X701" s="65">
        <v>6.0</v>
      </c>
      <c r="Y701" s="33" t="str">
        <f t="shared" si="496"/>
        <v>R</v>
      </c>
      <c r="Z701" s="65">
        <v>6.0</v>
      </c>
      <c r="AA701" s="33" t="str">
        <f t="shared" si="497"/>
        <v>R</v>
      </c>
      <c r="AB701" s="65">
        <v>6.0</v>
      </c>
      <c r="AC701" s="33" t="str">
        <f t="shared" si="498"/>
        <v>R</v>
      </c>
      <c r="AD701" s="65">
        <v>23.0</v>
      </c>
      <c r="AE701" s="33" t="str">
        <f t="shared" si="499"/>
        <v>S</v>
      </c>
      <c r="AF701" s="65">
        <v>18.0</v>
      </c>
      <c r="AG701" s="33" t="str">
        <f t="shared" si="500"/>
        <v>R</v>
      </c>
      <c r="AH701" s="65" t="s">
        <v>299</v>
      </c>
      <c r="AI701" s="66">
        <v>6.0</v>
      </c>
      <c r="AJ701" s="36" t="str">
        <f t="shared" si="501"/>
        <v>R</v>
      </c>
      <c r="AK701" s="66">
        <v>6.0</v>
      </c>
      <c r="AL701" s="36" t="str">
        <f t="shared" si="502"/>
        <v>R</v>
      </c>
      <c r="AM701" s="66">
        <v>6.0</v>
      </c>
      <c r="AN701" s="36" t="str">
        <f t="shared" si="503"/>
        <v>R</v>
      </c>
      <c r="AO701" s="66" t="s">
        <v>299</v>
      </c>
      <c r="AP701" s="67">
        <v>6.0</v>
      </c>
      <c r="AQ701" s="37" t="str">
        <f t="shared" si="504"/>
        <v>R</v>
      </c>
      <c r="AR701" s="65">
        <v>20.0</v>
      </c>
      <c r="AS701" s="33" t="str">
        <f t="shared" si="505"/>
        <v>S</v>
      </c>
      <c r="AT701" s="65">
        <v>20.0</v>
      </c>
      <c r="AU701" s="33" t="str">
        <f t="shared" si="506"/>
        <v>S</v>
      </c>
      <c r="AV701" s="33" t="s">
        <v>300</v>
      </c>
      <c r="AW701" s="28">
        <v>6.0</v>
      </c>
      <c r="AX701" s="26" t="str">
        <f t="shared" si="507"/>
        <v>R</v>
      </c>
      <c r="AY701" s="67">
        <v>13.0</v>
      </c>
      <c r="AZ701" s="37" t="str">
        <f t="shared" si="508"/>
        <v>R</v>
      </c>
      <c r="BA701" s="66">
        <v>26.0</v>
      </c>
      <c r="BB701" s="36" t="str">
        <f t="shared" si="509"/>
        <v>S</v>
      </c>
      <c r="BC701" s="39" t="s">
        <v>357</v>
      </c>
      <c r="BD701" s="39" t="s">
        <v>357</v>
      </c>
      <c r="BE701" s="66">
        <v>20.0</v>
      </c>
      <c r="BF701" s="36" t="str">
        <f t="shared" si="510"/>
        <v>I</v>
      </c>
      <c r="BG701" s="68">
        <v>20.0</v>
      </c>
      <c r="BH701" s="41" t="str">
        <f t="shared" si="511"/>
        <v>S</v>
      </c>
      <c r="BI701" s="41"/>
    </row>
    <row r="702">
      <c r="A702" s="21" t="s">
        <v>1139</v>
      </c>
      <c r="B702" s="23">
        <v>289.0</v>
      </c>
      <c r="C702" s="21" t="s">
        <v>1745</v>
      </c>
      <c r="D702" s="69" t="s">
        <v>190</v>
      </c>
      <c r="E702" s="18" t="s">
        <v>190</v>
      </c>
      <c r="F702" s="18" t="s">
        <v>192</v>
      </c>
      <c r="G702" s="63" t="s">
        <v>1746</v>
      </c>
      <c r="H702" s="22" t="s">
        <v>198</v>
      </c>
      <c r="I702" s="28">
        <v>6.0</v>
      </c>
      <c r="J702" s="26" t="str">
        <f t="shared" si="489"/>
        <v>R</v>
      </c>
      <c r="K702" s="28">
        <v>9.0</v>
      </c>
      <c r="L702" s="26" t="str">
        <f t="shared" si="490"/>
        <v>R</v>
      </c>
      <c r="M702" s="28">
        <v>6.0</v>
      </c>
      <c r="N702" s="26" t="str">
        <f t="shared" si="491"/>
        <v>R</v>
      </c>
      <c r="O702" s="28">
        <v>18.0</v>
      </c>
      <c r="P702" s="26" t="str">
        <f t="shared" si="492"/>
        <v>R</v>
      </c>
      <c r="Q702" s="28">
        <v>14.0</v>
      </c>
      <c r="R702" s="26" t="str">
        <f t="shared" si="493"/>
        <v>R</v>
      </c>
      <c r="S702" s="28">
        <v>13.0</v>
      </c>
      <c r="T702" s="26" t="str">
        <f t="shared" si="494"/>
        <v>R</v>
      </c>
      <c r="U702" s="28">
        <v>15.0</v>
      </c>
      <c r="V702" s="26" t="str">
        <f t="shared" si="495"/>
        <v>R</v>
      </c>
      <c r="W702" s="32" t="s">
        <v>299</v>
      </c>
      <c r="X702" s="65">
        <v>6.0</v>
      </c>
      <c r="Y702" s="33" t="str">
        <f t="shared" si="496"/>
        <v>R</v>
      </c>
      <c r="Z702" s="65">
        <v>16.0</v>
      </c>
      <c r="AA702" s="33" t="str">
        <f t="shared" si="497"/>
        <v>R</v>
      </c>
      <c r="AB702" s="65">
        <v>6.0</v>
      </c>
      <c r="AC702" s="33" t="str">
        <f t="shared" si="498"/>
        <v>R</v>
      </c>
      <c r="AD702" s="65">
        <v>18.0</v>
      </c>
      <c r="AE702" s="33" t="str">
        <f t="shared" si="499"/>
        <v>S</v>
      </c>
      <c r="AF702" s="65">
        <v>13.0</v>
      </c>
      <c r="AG702" s="33" t="str">
        <f t="shared" si="500"/>
        <v>R</v>
      </c>
      <c r="AH702" s="65" t="s">
        <v>299</v>
      </c>
      <c r="AI702" s="66">
        <v>23.0</v>
      </c>
      <c r="AJ702" s="36" t="str">
        <f t="shared" si="501"/>
        <v>I</v>
      </c>
      <c r="AK702" s="66">
        <v>21.0</v>
      </c>
      <c r="AL702" s="36" t="str">
        <f t="shared" si="502"/>
        <v>I</v>
      </c>
      <c r="AM702" s="66">
        <v>20.0</v>
      </c>
      <c r="AN702" s="36" t="str">
        <f t="shared" si="503"/>
        <v>S</v>
      </c>
      <c r="AO702" s="66" t="s">
        <v>299</v>
      </c>
      <c r="AP702" s="67">
        <v>24.0</v>
      </c>
      <c r="AQ702" s="37" t="str">
        <f t="shared" si="504"/>
        <v>S</v>
      </c>
      <c r="AR702" s="65">
        <v>16.0</v>
      </c>
      <c r="AS702" s="33" t="str">
        <f t="shared" si="505"/>
        <v>R</v>
      </c>
      <c r="AT702" s="65">
        <v>18.0</v>
      </c>
      <c r="AU702" s="33" t="str">
        <f t="shared" si="506"/>
        <v>S</v>
      </c>
      <c r="AV702" s="65" t="s">
        <v>299</v>
      </c>
      <c r="AW702" s="28">
        <v>18.0</v>
      </c>
      <c r="AX702" s="26" t="str">
        <f t="shared" si="507"/>
        <v>R</v>
      </c>
      <c r="AY702" s="67">
        <v>6.0</v>
      </c>
      <c r="AZ702" s="37" t="str">
        <f t="shared" si="508"/>
        <v>R</v>
      </c>
      <c r="BA702" s="66">
        <v>26.0</v>
      </c>
      <c r="BB702" s="36" t="str">
        <f t="shared" si="509"/>
        <v>S</v>
      </c>
      <c r="BC702" s="39" t="s">
        <v>357</v>
      </c>
      <c r="BD702" s="39" t="s">
        <v>357</v>
      </c>
      <c r="BE702" s="66">
        <v>14.0</v>
      </c>
      <c r="BF702" s="36" t="str">
        <f t="shared" si="510"/>
        <v>R</v>
      </c>
      <c r="BG702" s="68">
        <v>16.0</v>
      </c>
      <c r="BH702" s="41" t="str">
        <f t="shared" si="511"/>
        <v>R</v>
      </c>
      <c r="BI702" s="41"/>
    </row>
    <row r="703">
      <c r="A703" s="21" t="s">
        <v>1139</v>
      </c>
      <c r="B703" s="21" t="s">
        <v>444</v>
      </c>
      <c r="C703" s="21" t="s">
        <v>2233</v>
      </c>
      <c r="D703" s="69" t="s">
        <v>190</v>
      </c>
      <c r="E703" s="18" t="s">
        <v>190</v>
      </c>
      <c r="F703" s="18" t="s">
        <v>192</v>
      </c>
      <c r="G703" s="63" t="s">
        <v>2234</v>
      </c>
      <c r="H703" s="22" t="s">
        <v>198</v>
      </c>
      <c r="I703" s="28">
        <v>6.0</v>
      </c>
      <c r="J703" s="26" t="str">
        <f t="shared" si="489"/>
        <v>R</v>
      </c>
      <c r="K703" s="28">
        <v>12.0</v>
      </c>
      <c r="L703" s="26" t="str">
        <f t="shared" si="490"/>
        <v>R</v>
      </c>
      <c r="M703" s="28">
        <v>6.0</v>
      </c>
      <c r="N703" s="26" t="str">
        <f t="shared" si="491"/>
        <v>R</v>
      </c>
      <c r="O703" s="28">
        <v>22.0</v>
      </c>
      <c r="P703" s="26" t="str">
        <f t="shared" si="492"/>
        <v>I</v>
      </c>
      <c r="Q703" s="28">
        <v>14.0</v>
      </c>
      <c r="R703" s="26" t="str">
        <f t="shared" si="493"/>
        <v>R</v>
      </c>
      <c r="S703" s="28">
        <v>13.0</v>
      </c>
      <c r="T703" s="26" t="str">
        <f t="shared" si="494"/>
        <v>R</v>
      </c>
      <c r="U703" s="28">
        <v>15.0</v>
      </c>
      <c r="V703" s="26" t="str">
        <f t="shared" si="495"/>
        <v>R</v>
      </c>
      <c r="W703" s="32" t="s">
        <v>299</v>
      </c>
      <c r="X703" s="65">
        <v>6.0</v>
      </c>
      <c r="Y703" s="33" t="str">
        <f t="shared" si="496"/>
        <v>R</v>
      </c>
      <c r="Z703" s="65">
        <v>15.0</v>
      </c>
      <c r="AA703" s="33" t="str">
        <f t="shared" si="497"/>
        <v>R</v>
      </c>
      <c r="AB703" s="65">
        <v>6.0</v>
      </c>
      <c r="AC703" s="33" t="str">
        <f t="shared" si="498"/>
        <v>R</v>
      </c>
      <c r="AD703" s="65">
        <v>18.0</v>
      </c>
      <c r="AE703" s="33" t="str">
        <f t="shared" si="499"/>
        <v>S</v>
      </c>
      <c r="AF703" s="65">
        <v>12.0</v>
      </c>
      <c r="AG703" s="33" t="str">
        <f t="shared" si="500"/>
        <v>R</v>
      </c>
      <c r="AH703" s="65" t="s">
        <v>299</v>
      </c>
      <c r="AI703" s="66">
        <v>23.0</v>
      </c>
      <c r="AJ703" s="36" t="str">
        <f t="shared" si="501"/>
        <v>I</v>
      </c>
      <c r="AK703" s="66">
        <v>21.0</v>
      </c>
      <c r="AL703" s="36" t="str">
        <f t="shared" si="502"/>
        <v>I</v>
      </c>
      <c r="AM703" s="66">
        <v>22.0</v>
      </c>
      <c r="AN703" s="36" t="str">
        <f t="shared" si="503"/>
        <v>S</v>
      </c>
      <c r="AO703" s="66" t="s">
        <v>299</v>
      </c>
      <c r="AP703" s="67">
        <v>24.0</v>
      </c>
      <c r="AQ703" s="37" t="str">
        <f t="shared" si="504"/>
        <v>S</v>
      </c>
      <c r="AR703" s="65">
        <v>14.0</v>
      </c>
      <c r="AS703" s="33" t="str">
        <f t="shared" si="505"/>
        <v>R</v>
      </c>
      <c r="AT703" s="65">
        <v>18.0</v>
      </c>
      <c r="AU703" s="33" t="str">
        <f t="shared" si="506"/>
        <v>S</v>
      </c>
      <c r="AV703" s="65" t="s">
        <v>299</v>
      </c>
      <c r="AW703" s="28">
        <v>16.0</v>
      </c>
      <c r="AX703" s="26" t="str">
        <f t="shared" si="507"/>
        <v>R</v>
      </c>
      <c r="AY703" s="67">
        <v>6.0</v>
      </c>
      <c r="AZ703" s="37" t="str">
        <f t="shared" si="508"/>
        <v>R</v>
      </c>
      <c r="BA703" s="66">
        <v>25.0</v>
      </c>
      <c r="BB703" s="36" t="str">
        <f t="shared" si="509"/>
        <v>S</v>
      </c>
      <c r="BC703" s="39" t="s">
        <v>357</v>
      </c>
      <c r="BD703" s="39" t="s">
        <v>357</v>
      </c>
      <c r="BE703" s="66">
        <v>14.0</v>
      </c>
      <c r="BF703" s="36" t="str">
        <f t="shared" si="510"/>
        <v>R</v>
      </c>
      <c r="BG703" s="68">
        <v>16.0</v>
      </c>
      <c r="BH703" s="41" t="str">
        <f t="shared" si="511"/>
        <v>R</v>
      </c>
      <c r="BI703" s="41"/>
    </row>
    <row r="704">
      <c r="A704" s="21" t="s">
        <v>1139</v>
      </c>
      <c r="B704" s="21" t="s">
        <v>444</v>
      </c>
      <c r="C704" s="21" t="s">
        <v>2235</v>
      </c>
      <c r="D704" s="69" t="s">
        <v>190</v>
      </c>
      <c r="E704" s="18" t="s">
        <v>190</v>
      </c>
      <c r="F704" s="18" t="s">
        <v>192</v>
      </c>
      <c r="G704" s="63" t="s">
        <v>2236</v>
      </c>
      <c r="H704" s="22" t="s">
        <v>198</v>
      </c>
      <c r="I704" s="28">
        <v>6.0</v>
      </c>
      <c r="J704" s="26" t="str">
        <f t="shared" si="489"/>
        <v>R</v>
      </c>
      <c r="K704" s="28">
        <v>11.0</v>
      </c>
      <c r="L704" s="26" t="str">
        <f t="shared" si="490"/>
        <v>R</v>
      </c>
      <c r="M704" s="28">
        <v>6.0</v>
      </c>
      <c r="N704" s="26" t="str">
        <f t="shared" si="491"/>
        <v>R</v>
      </c>
      <c r="O704" s="28">
        <v>22.0</v>
      </c>
      <c r="P704" s="26" t="str">
        <f t="shared" si="492"/>
        <v>I</v>
      </c>
      <c r="Q704" s="28">
        <v>14.0</v>
      </c>
      <c r="R704" s="26" t="str">
        <f t="shared" si="493"/>
        <v>R</v>
      </c>
      <c r="S704" s="28">
        <v>13.0</v>
      </c>
      <c r="T704" s="26" t="str">
        <f t="shared" si="494"/>
        <v>R</v>
      </c>
      <c r="U704" s="28">
        <v>15.0</v>
      </c>
      <c r="V704" s="26" t="str">
        <f t="shared" si="495"/>
        <v>R</v>
      </c>
      <c r="W704" s="32" t="s">
        <v>299</v>
      </c>
      <c r="X704" s="65">
        <v>6.0</v>
      </c>
      <c r="Y704" s="33" t="str">
        <f t="shared" si="496"/>
        <v>R</v>
      </c>
      <c r="Z704" s="65">
        <v>16.0</v>
      </c>
      <c r="AA704" s="33" t="str">
        <f t="shared" si="497"/>
        <v>R</v>
      </c>
      <c r="AB704" s="65">
        <v>6.0</v>
      </c>
      <c r="AC704" s="33" t="str">
        <f t="shared" si="498"/>
        <v>R</v>
      </c>
      <c r="AD704" s="65">
        <v>18.0</v>
      </c>
      <c r="AE704" s="33" t="str">
        <f t="shared" si="499"/>
        <v>S</v>
      </c>
      <c r="AF704" s="65">
        <v>13.0</v>
      </c>
      <c r="AG704" s="33" t="str">
        <f t="shared" si="500"/>
        <v>R</v>
      </c>
      <c r="AH704" s="65" t="s">
        <v>299</v>
      </c>
      <c r="AI704" s="66">
        <v>23.0</v>
      </c>
      <c r="AJ704" s="36" t="str">
        <f t="shared" si="501"/>
        <v>I</v>
      </c>
      <c r="AK704" s="66">
        <v>21.0</v>
      </c>
      <c r="AL704" s="36" t="str">
        <f t="shared" si="502"/>
        <v>I</v>
      </c>
      <c r="AM704" s="66">
        <v>20.0</v>
      </c>
      <c r="AN704" s="36" t="str">
        <f t="shared" si="503"/>
        <v>S</v>
      </c>
      <c r="AO704" s="66" t="s">
        <v>299</v>
      </c>
      <c r="AP704" s="67">
        <v>24.0</v>
      </c>
      <c r="AQ704" s="37" t="str">
        <f t="shared" si="504"/>
        <v>S</v>
      </c>
      <c r="AR704" s="65">
        <v>15.0</v>
      </c>
      <c r="AS704" s="33" t="str">
        <f t="shared" si="505"/>
        <v>R</v>
      </c>
      <c r="AT704" s="65">
        <v>18.0</v>
      </c>
      <c r="AU704" s="33" t="str">
        <f t="shared" si="506"/>
        <v>S</v>
      </c>
      <c r="AV704" s="65" t="s">
        <v>299</v>
      </c>
      <c r="AW704" s="28">
        <v>17.0</v>
      </c>
      <c r="AX704" s="26" t="str">
        <f t="shared" si="507"/>
        <v>R</v>
      </c>
      <c r="AY704" s="67">
        <v>6.0</v>
      </c>
      <c r="AZ704" s="37" t="str">
        <f t="shared" si="508"/>
        <v>R</v>
      </c>
      <c r="BA704" s="66">
        <v>25.0</v>
      </c>
      <c r="BB704" s="36" t="str">
        <f t="shared" si="509"/>
        <v>S</v>
      </c>
      <c r="BC704" s="39" t="s">
        <v>357</v>
      </c>
      <c r="BD704" s="39" t="s">
        <v>357</v>
      </c>
      <c r="BE704" s="66">
        <v>14.0</v>
      </c>
      <c r="BF704" s="36" t="str">
        <f t="shared" si="510"/>
        <v>R</v>
      </c>
      <c r="BG704" s="68">
        <v>16.0</v>
      </c>
      <c r="BH704" s="41" t="str">
        <f t="shared" si="511"/>
        <v>R</v>
      </c>
      <c r="BI704" s="41"/>
    </row>
    <row r="705">
      <c r="A705" s="21" t="s">
        <v>1139</v>
      </c>
      <c r="B705" s="23">
        <v>290.0</v>
      </c>
      <c r="C705" s="21" t="s">
        <v>1749</v>
      </c>
      <c r="D705" s="69" t="s">
        <v>571</v>
      </c>
      <c r="E705" s="18" t="s">
        <v>572</v>
      </c>
      <c r="F705" s="18" t="s">
        <v>192</v>
      </c>
      <c r="G705" s="63" t="s">
        <v>1750</v>
      </c>
      <c r="H705" s="42" t="s">
        <v>479</v>
      </c>
      <c r="I705" s="28">
        <v>6.0</v>
      </c>
      <c r="J705" s="26" t="str">
        <f t="shared" si="489"/>
        <v>R</v>
      </c>
      <c r="K705" s="28">
        <v>6.0</v>
      </c>
      <c r="L705" s="26" t="str">
        <f t="shared" si="490"/>
        <v>R</v>
      </c>
      <c r="M705" s="28">
        <v>6.0</v>
      </c>
      <c r="N705" s="26" t="str">
        <f t="shared" si="491"/>
        <v>R</v>
      </c>
      <c r="O705" s="28">
        <v>26.0</v>
      </c>
      <c r="P705" s="26" t="str">
        <f t="shared" si="492"/>
        <v>S</v>
      </c>
      <c r="Q705" s="28">
        <v>12.0</v>
      </c>
      <c r="R705" s="26" t="str">
        <f t="shared" si="493"/>
        <v>R</v>
      </c>
      <c r="S705" s="28">
        <v>11.0</v>
      </c>
      <c r="T705" s="26" t="str">
        <f t="shared" si="494"/>
        <v>R</v>
      </c>
      <c r="U705" s="28">
        <v>19.0</v>
      </c>
      <c r="V705" s="26" t="str">
        <f t="shared" si="495"/>
        <v>I</v>
      </c>
      <c r="W705" s="32" t="s">
        <v>299</v>
      </c>
      <c r="X705" s="65">
        <v>6.0</v>
      </c>
      <c r="Y705" s="33" t="str">
        <f t="shared" si="496"/>
        <v>R</v>
      </c>
      <c r="Z705" s="65">
        <v>18.0</v>
      </c>
      <c r="AA705" s="33" t="str">
        <f t="shared" si="497"/>
        <v>S</v>
      </c>
      <c r="AB705" s="65">
        <v>6.0</v>
      </c>
      <c r="AC705" s="33" t="str">
        <f t="shared" si="498"/>
        <v>R</v>
      </c>
      <c r="AD705" s="65">
        <v>16.0</v>
      </c>
      <c r="AE705" s="33" t="str">
        <f t="shared" si="499"/>
        <v>S</v>
      </c>
      <c r="AF705" s="65">
        <v>6.0</v>
      </c>
      <c r="AG705" s="33" t="str">
        <f t="shared" si="500"/>
        <v>R</v>
      </c>
      <c r="AH705" s="65" t="s">
        <v>299</v>
      </c>
      <c r="AI705" s="66">
        <v>23.0</v>
      </c>
      <c r="AJ705" s="36" t="str">
        <f t="shared" si="501"/>
        <v>I</v>
      </c>
      <c r="AK705" s="66">
        <v>23.0</v>
      </c>
      <c r="AL705" s="36" t="str">
        <f t="shared" si="502"/>
        <v>S</v>
      </c>
      <c r="AM705" s="66">
        <v>23.0</v>
      </c>
      <c r="AN705" s="36" t="str">
        <f t="shared" si="503"/>
        <v>S</v>
      </c>
      <c r="AO705" s="66" t="s">
        <v>299</v>
      </c>
      <c r="AP705" s="67">
        <v>6.0</v>
      </c>
      <c r="AQ705" s="37" t="str">
        <f t="shared" si="504"/>
        <v>R</v>
      </c>
      <c r="AR705" s="65">
        <v>18.0</v>
      </c>
      <c r="AS705" s="33" t="str">
        <f t="shared" si="505"/>
        <v>S</v>
      </c>
      <c r="AT705" s="65">
        <v>13.0</v>
      </c>
      <c r="AU705" s="33" t="str">
        <f t="shared" si="506"/>
        <v>R</v>
      </c>
      <c r="AV705" s="65" t="s">
        <v>299</v>
      </c>
      <c r="AW705" s="28">
        <v>20.0</v>
      </c>
      <c r="AX705" s="26" t="str">
        <f t="shared" si="507"/>
        <v>S</v>
      </c>
      <c r="AY705" s="67">
        <v>6.0</v>
      </c>
      <c r="AZ705" s="37" t="str">
        <f t="shared" si="508"/>
        <v>R</v>
      </c>
      <c r="BA705" s="66">
        <v>16.0</v>
      </c>
      <c r="BB705" s="36" t="str">
        <f t="shared" si="509"/>
        <v>R</v>
      </c>
      <c r="BC705" s="39" t="s">
        <v>357</v>
      </c>
      <c r="BD705" s="39" t="s">
        <v>357</v>
      </c>
      <c r="BE705" s="66">
        <v>15.0</v>
      </c>
      <c r="BF705" s="36" t="str">
        <f t="shared" si="510"/>
        <v>R</v>
      </c>
      <c r="BG705" s="68">
        <v>16.0</v>
      </c>
      <c r="BH705" s="41" t="str">
        <f t="shared" si="511"/>
        <v>R</v>
      </c>
      <c r="BI705" s="41"/>
    </row>
    <row r="706">
      <c r="A706" s="21" t="s">
        <v>1139</v>
      </c>
      <c r="B706" s="21" t="s">
        <v>444</v>
      </c>
      <c r="C706" s="21" t="s">
        <v>2237</v>
      </c>
      <c r="D706" s="69" t="s">
        <v>571</v>
      </c>
      <c r="E706" s="18" t="s">
        <v>572</v>
      </c>
      <c r="F706" s="18" t="s">
        <v>192</v>
      </c>
      <c r="G706" s="63" t="s">
        <v>2238</v>
      </c>
      <c r="H706" s="42" t="s">
        <v>479</v>
      </c>
      <c r="I706" s="28">
        <v>6.0</v>
      </c>
      <c r="J706" s="26" t="str">
        <f t="shared" si="489"/>
        <v>R</v>
      </c>
      <c r="K706" s="28">
        <v>6.0</v>
      </c>
      <c r="L706" s="26" t="str">
        <f t="shared" si="490"/>
        <v>R</v>
      </c>
      <c r="M706" s="28">
        <v>6.0</v>
      </c>
      <c r="N706" s="26" t="str">
        <f t="shared" si="491"/>
        <v>R</v>
      </c>
      <c r="O706" s="28">
        <v>26.0</v>
      </c>
      <c r="P706" s="26" t="str">
        <f t="shared" si="492"/>
        <v>S</v>
      </c>
      <c r="Q706" s="28">
        <v>12.0</v>
      </c>
      <c r="R706" s="26" t="str">
        <f t="shared" si="493"/>
        <v>R</v>
      </c>
      <c r="S706" s="28">
        <v>11.0</v>
      </c>
      <c r="T706" s="26" t="str">
        <f t="shared" si="494"/>
        <v>R</v>
      </c>
      <c r="U706" s="28">
        <v>19.0</v>
      </c>
      <c r="V706" s="26" t="str">
        <f t="shared" si="495"/>
        <v>I</v>
      </c>
      <c r="W706" s="32" t="s">
        <v>299</v>
      </c>
      <c r="X706" s="65">
        <v>6.0</v>
      </c>
      <c r="Y706" s="33" t="str">
        <f t="shared" si="496"/>
        <v>R</v>
      </c>
      <c r="Z706" s="65">
        <v>19.0</v>
      </c>
      <c r="AA706" s="33" t="str">
        <f t="shared" si="497"/>
        <v>S</v>
      </c>
      <c r="AB706" s="65">
        <v>6.0</v>
      </c>
      <c r="AC706" s="33" t="str">
        <f t="shared" si="498"/>
        <v>R</v>
      </c>
      <c r="AD706" s="65">
        <v>16.0</v>
      </c>
      <c r="AE706" s="33" t="str">
        <f t="shared" si="499"/>
        <v>S</v>
      </c>
      <c r="AF706" s="65">
        <v>6.0</v>
      </c>
      <c r="AG706" s="33" t="str">
        <f t="shared" si="500"/>
        <v>R</v>
      </c>
      <c r="AH706" s="65" t="s">
        <v>299</v>
      </c>
      <c r="AI706" s="66">
        <v>23.0</v>
      </c>
      <c r="AJ706" s="36" t="str">
        <f t="shared" si="501"/>
        <v>I</v>
      </c>
      <c r="AK706" s="66">
        <v>23.0</v>
      </c>
      <c r="AL706" s="36" t="str">
        <f t="shared" si="502"/>
        <v>S</v>
      </c>
      <c r="AM706" s="66">
        <v>21.0</v>
      </c>
      <c r="AN706" s="36" t="str">
        <f t="shared" si="503"/>
        <v>S</v>
      </c>
      <c r="AO706" s="66" t="s">
        <v>299</v>
      </c>
      <c r="AP706" s="67">
        <v>6.0</v>
      </c>
      <c r="AQ706" s="37" t="str">
        <f t="shared" si="504"/>
        <v>R</v>
      </c>
      <c r="AR706" s="65">
        <v>20.0</v>
      </c>
      <c r="AS706" s="33" t="str">
        <f t="shared" si="505"/>
        <v>S</v>
      </c>
      <c r="AT706" s="65">
        <v>13.0</v>
      </c>
      <c r="AU706" s="33" t="str">
        <f t="shared" si="506"/>
        <v>R</v>
      </c>
      <c r="AV706" s="65" t="s">
        <v>299</v>
      </c>
      <c r="AW706" s="28">
        <v>20.0</v>
      </c>
      <c r="AX706" s="26" t="str">
        <f t="shared" si="507"/>
        <v>S</v>
      </c>
      <c r="AY706" s="67">
        <v>6.0</v>
      </c>
      <c r="AZ706" s="37" t="str">
        <f t="shared" si="508"/>
        <v>R</v>
      </c>
      <c r="BA706" s="66">
        <v>15.0</v>
      </c>
      <c r="BB706" s="36" t="str">
        <f t="shared" si="509"/>
        <v>R</v>
      </c>
      <c r="BC706" s="39" t="s">
        <v>357</v>
      </c>
      <c r="BD706" s="39" t="s">
        <v>357</v>
      </c>
      <c r="BE706" s="66">
        <v>15.0</v>
      </c>
      <c r="BF706" s="36" t="str">
        <f t="shared" si="510"/>
        <v>R</v>
      </c>
      <c r="BG706" s="68">
        <v>16.0</v>
      </c>
      <c r="BH706" s="41" t="str">
        <f t="shared" si="511"/>
        <v>R</v>
      </c>
      <c r="BI706" s="41"/>
    </row>
    <row r="707">
      <c r="A707" s="21" t="s">
        <v>1139</v>
      </c>
      <c r="B707" s="21" t="s">
        <v>444</v>
      </c>
      <c r="C707" s="21" t="s">
        <v>2239</v>
      </c>
      <c r="D707" s="69" t="s">
        <v>571</v>
      </c>
      <c r="E707" s="18" t="s">
        <v>572</v>
      </c>
      <c r="F707" s="18" t="s">
        <v>192</v>
      </c>
      <c r="G707" s="63" t="s">
        <v>2240</v>
      </c>
      <c r="H707" s="42" t="s">
        <v>479</v>
      </c>
      <c r="I707" s="28">
        <v>6.0</v>
      </c>
      <c r="J707" s="26" t="str">
        <f t="shared" si="489"/>
        <v>R</v>
      </c>
      <c r="K707" s="28">
        <v>6.0</v>
      </c>
      <c r="L707" s="26" t="str">
        <f t="shared" si="490"/>
        <v>R</v>
      </c>
      <c r="M707" s="28">
        <v>6.0</v>
      </c>
      <c r="N707" s="26" t="str">
        <f t="shared" si="491"/>
        <v>R</v>
      </c>
      <c r="O707" s="28">
        <v>26.0</v>
      </c>
      <c r="P707" s="26" t="str">
        <f t="shared" si="492"/>
        <v>S</v>
      </c>
      <c r="Q707" s="28">
        <v>12.0</v>
      </c>
      <c r="R707" s="26" t="str">
        <f t="shared" si="493"/>
        <v>R</v>
      </c>
      <c r="S707" s="28">
        <v>11.0</v>
      </c>
      <c r="T707" s="26" t="str">
        <f t="shared" si="494"/>
        <v>R</v>
      </c>
      <c r="U707" s="28">
        <v>19.0</v>
      </c>
      <c r="V707" s="26" t="str">
        <f t="shared" si="495"/>
        <v>I</v>
      </c>
      <c r="W707" s="32" t="s">
        <v>299</v>
      </c>
      <c r="X707" s="65">
        <v>6.0</v>
      </c>
      <c r="Y707" s="33" t="str">
        <f t="shared" si="496"/>
        <v>R</v>
      </c>
      <c r="Z707" s="65">
        <v>18.0</v>
      </c>
      <c r="AA707" s="33" t="str">
        <f t="shared" si="497"/>
        <v>S</v>
      </c>
      <c r="AB707" s="65">
        <v>6.0</v>
      </c>
      <c r="AC707" s="33" t="str">
        <f t="shared" si="498"/>
        <v>R</v>
      </c>
      <c r="AD707" s="65">
        <v>16.0</v>
      </c>
      <c r="AE707" s="33" t="str">
        <f t="shared" si="499"/>
        <v>S</v>
      </c>
      <c r="AF707" s="65">
        <v>6.0</v>
      </c>
      <c r="AG707" s="33" t="str">
        <f t="shared" si="500"/>
        <v>R</v>
      </c>
      <c r="AH707" s="65" t="s">
        <v>299</v>
      </c>
      <c r="AI707" s="66">
        <v>23.0</v>
      </c>
      <c r="AJ707" s="36" t="str">
        <f t="shared" si="501"/>
        <v>I</v>
      </c>
      <c r="AK707" s="66">
        <v>23.0</v>
      </c>
      <c r="AL707" s="36" t="str">
        <f t="shared" si="502"/>
        <v>S</v>
      </c>
      <c r="AM707" s="66">
        <v>21.0</v>
      </c>
      <c r="AN707" s="36" t="str">
        <f t="shared" si="503"/>
        <v>S</v>
      </c>
      <c r="AO707" s="66" t="s">
        <v>299</v>
      </c>
      <c r="AP707" s="67">
        <v>6.0</v>
      </c>
      <c r="AQ707" s="37" t="str">
        <f t="shared" si="504"/>
        <v>R</v>
      </c>
      <c r="AR707" s="65">
        <v>18.0</v>
      </c>
      <c r="AS707" s="33" t="str">
        <f t="shared" si="505"/>
        <v>S</v>
      </c>
      <c r="AT707" s="65">
        <v>13.0</v>
      </c>
      <c r="AU707" s="33" t="str">
        <f t="shared" si="506"/>
        <v>R</v>
      </c>
      <c r="AV707" s="65" t="s">
        <v>299</v>
      </c>
      <c r="AW707" s="28">
        <v>20.0</v>
      </c>
      <c r="AX707" s="26" t="str">
        <f t="shared" si="507"/>
        <v>S</v>
      </c>
      <c r="AY707" s="67">
        <v>6.0</v>
      </c>
      <c r="AZ707" s="37" t="str">
        <f t="shared" si="508"/>
        <v>R</v>
      </c>
      <c r="BA707" s="66">
        <v>16.0</v>
      </c>
      <c r="BB707" s="36" t="str">
        <f t="shared" si="509"/>
        <v>R</v>
      </c>
      <c r="BC707" s="39" t="s">
        <v>357</v>
      </c>
      <c r="BD707" s="39" t="s">
        <v>357</v>
      </c>
      <c r="BE707" s="66">
        <v>15.0</v>
      </c>
      <c r="BF707" s="36" t="str">
        <f t="shared" si="510"/>
        <v>R</v>
      </c>
      <c r="BG707" s="68">
        <v>16.0</v>
      </c>
      <c r="BH707" s="41" t="str">
        <f t="shared" si="511"/>
        <v>R</v>
      </c>
      <c r="BI707" s="41"/>
    </row>
    <row r="708">
      <c r="A708" s="21" t="s">
        <v>1139</v>
      </c>
      <c r="B708" s="23">
        <v>291.0</v>
      </c>
      <c r="C708" s="21" t="s">
        <v>1751</v>
      </c>
      <c r="D708" s="69" t="s">
        <v>1046</v>
      </c>
      <c r="E708" s="18" t="s">
        <v>103</v>
      </c>
      <c r="F708" s="18" t="s">
        <v>192</v>
      </c>
      <c r="G708" s="63" t="s">
        <v>1752</v>
      </c>
      <c r="H708" s="42" t="s">
        <v>479</v>
      </c>
      <c r="I708" s="28">
        <v>9.0</v>
      </c>
      <c r="J708" s="26" t="str">
        <f t="shared" si="489"/>
        <v>R</v>
      </c>
      <c r="K708" s="28">
        <v>19.0</v>
      </c>
      <c r="L708" s="26" t="str">
        <f t="shared" si="490"/>
        <v>S</v>
      </c>
      <c r="M708" s="28">
        <v>6.0</v>
      </c>
      <c r="N708" s="26" t="str">
        <f t="shared" si="491"/>
        <v>R</v>
      </c>
      <c r="O708" s="28">
        <v>15.0</v>
      </c>
      <c r="P708" s="26" t="str">
        <f t="shared" si="492"/>
        <v>R</v>
      </c>
      <c r="Q708" s="28">
        <v>11.0</v>
      </c>
      <c r="R708" s="26" t="str">
        <f t="shared" si="493"/>
        <v>R</v>
      </c>
      <c r="S708" s="28">
        <v>23.0</v>
      </c>
      <c r="T708" s="26" t="str">
        <f t="shared" si="494"/>
        <v>S</v>
      </c>
      <c r="U708" s="28">
        <v>20.0</v>
      </c>
      <c r="V708" s="26" t="str">
        <f t="shared" si="495"/>
        <v>S</v>
      </c>
      <c r="W708" s="32" t="s">
        <v>299</v>
      </c>
      <c r="X708" s="65">
        <v>17.0</v>
      </c>
      <c r="Y708" s="33" t="str">
        <f t="shared" si="496"/>
        <v>I</v>
      </c>
      <c r="Z708" s="65">
        <v>24.0</v>
      </c>
      <c r="AA708" s="33" t="str">
        <f t="shared" si="497"/>
        <v>S</v>
      </c>
      <c r="AB708" s="65">
        <v>21.0</v>
      </c>
      <c r="AC708" s="33" t="str">
        <f t="shared" si="498"/>
        <v>I</v>
      </c>
      <c r="AD708" s="65">
        <v>24.0</v>
      </c>
      <c r="AE708" s="33" t="str">
        <f t="shared" si="499"/>
        <v>S</v>
      </c>
      <c r="AF708" s="65">
        <v>23.0</v>
      </c>
      <c r="AG708" s="33" t="str">
        <f t="shared" si="500"/>
        <v>R</v>
      </c>
      <c r="AH708" s="65" t="s">
        <v>299</v>
      </c>
      <c r="AI708" s="66">
        <v>32.0</v>
      </c>
      <c r="AJ708" s="36" t="str">
        <f t="shared" si="501"/>
        <v>S</v>
      </c>
      <c r="AK708" s="66">
        <v>26.0</v>
      </c>
      <c r="AL708" s="36" t="str">
        <f t="shared" si="502"/>
        <v>S</v>
      </c>
      <c r="AM708" s="66">
        <v>26.0</v>
      </c>
      <c r="AN708" s="36" t="str">
        <f t="shared" si="503"/>
        <v>S</v>
      </c>
      <c r="AO708" s="36" t="s">
        <v>300</v>
      </c>
      <c r="AP708" s="67">
        <v>6.0</v>
      </c>
      <c r="AQ708" s="37" t="str">
        <f t="shared" si="504"/>
        <v>R</v>
      </c>
      <c r="AR708" s="65">
        <v>24.0</v>
      </c>
      <c r="AS708" s="33" t="str">
        <f t="shared" si="505"/>
        <v>S</v>
      </c>
      <c r="AT708" s="65">
        <v>24.0</v>
      </c>
      <c r="AU708" s="33" t="str">
        <f t="shared" si="506"/>
        <v>S</v>
      </c>
      <c r="AV708" s="33" t="s">
        <v>300</v>
      </c>
      <c r="AW708" s="28">
        <v>6.0</v>
      </c>
      <c r="AX708" s="26" t="str">
        <f t="shared" si="507"/>
        <v>R</v>
      </c>
      <c r="AY708" s="67">
        <v>26.0</v>
      </c>
      <c r="AZ708" s="37" t="str">
        <f t="shared" si="508"/>
        <v>S</v>
      </c>
      <c r="BA708" s="66">
        <v>34.0</v>
      </c>
      <c r="BB708" s="36" t="str">
        <f t="shared" si="509"/>
        <v>S</v>
      </c>
      <c r="BC708" s="39" t="s">
        <v>357</v>
      </c>
      <c r="BD708" s="39" t="s">
        <v>357</v>
      </c>
      <c r="BE708" s="66">
        <v>27.0</v>
      </c>
      <c r="BF708" s="36" t="str">
        <f t="shared" si="510"/>
        <v>S</v>
      </c>
      <c r="BG708" s="68">
        <v>23.0</v>
      </c>
      <c r="BH708" s="41" t="str">
        <f t="shared" si="511"/>
        <v>S</v>
      </c>
      <c r="BI708" s="41"/>
    </row>
    <row r="709">
      <c r="A709" s="21" t="s">
        <v>1139</v>
      </c>
      <c r="B709" s="21" t="s">
        <v>444</v>
      </c>
      <c r="C709" s="21" t="s">
        <v>2241</v>
      </c>
      <c r="D709" s="69" t="s">
        <v>1046</v>
      </c>
      <c r="E709" s="18" t="s">
        <v>103</v>
      </c>
      <c r="F709" s="18" t="s">
        <v>192</v>
      </c>
      <c r="G709" s="63" t="s">
        <v>2242</v>
      </c>
      <c r="H709" s="42" t="s">
        <v>479</v>
      </c>
      <c r="I709" s="28">
        <v>6.0</v>
      </c>
      <c r="J709" s="26" t="str">
        <f t="shared" si="489"/>
        <v>R</v>
      </c>
      <c r="K709" s="28">
        <v>19.0</v>
      </c>
      <c r="L709" s="26" t="str">
        <f t="shared" si="490"/>
        <v>S</v>
      </c>
      <c r="M709" s="28">
        <v>6.0</v>
      </c>
      <c r="N709" s="26" t="str">
        <f t="shared" si="491"/>
        <v>R</v>
      </c>
      <c r="O709" s="28">
        <v>15.0</v>
      </c>
      <c r="P709" s="26" t="str">
        <f t="shared" si="492"/>
        <v>R</v>
      </c>
      <c r="Q709" s="28">
        <v>10.0</v>
      </c>
      <c r="R709" s="26" t="str">
        <f t="shared" si="493"/>
        <v>R</v>
      </c>
      <c r="S709" s="28">
        <v>20.0</v>
      </c>
      <c r="T709" s="26" t="str">
        <f t="shared" si="494"/>
        <v>S</v>
      </c>
      <c r="U709" s="28">
        <v>20.0</v>
      </c>
      <c r="V709" s="26" t="str">
        <f t="shared" si="495"/>
        <v>S</v>
      </c>
      <c r="W709" s="32" t="s">
        <v>299</v>
      </c>
      <c r="X709" s="65">
        <v>18.0</v>
      </c>
      <c r="Y709" s="33" t="str">
        <f t="shared" si="496"/>
        <v>I</v>
      </c>
      <c r="Z709" s="65">
        <v>22.0</v>
      </c>
      <c r="AA709" s="33" t="str">
        <f t="shared" si="497"/>
        <v>S</v>
      </c>
      <c r="AB709" s="65">
        <v>20.0</v>
      </c>
      <c r="AC709" s="33" t="str">
        <f t="shared" si="498"/>
        <v>I</v>
      </c>
      <c r="AD709" s="65">
        <v>22.0</v>
      </c>
      <c r="AE709" s="33" t="str">
        <f t="shared" si="499"/>
        <v>S</v>
      </c>
      <c r="AF709" s="65">
        <v>22.0</v>
      </c>
      <c r="AG709" s="33" t="str">
        <f t="shared" si="500"/>
        <v>R</v>
      </c>
      <c r="AH709" s="65" t="s">
        <v>299</v>
      </c>
      <c r="AI709" s="66">
        <v>32.0</v>
      </c>
      <c r="AJ709" s="36" t="str">
        <f t="shared" si="501"/>
        <v>S</v>
      </c>
      <c r="AK709" s="66">
        <v>26.0</v>
      </c>
      <c r="AL709" s="36" t="str">
        <f t="shared" si="502"/>
        <v>S</v>
      </c>
      <c r="AM709" s="66">
        <v>25.0</v>
      </c>
      <c r="AN709" s="36" t="str">
        <f t="shared" si="503"/>
        <v>S</v>
      </c>
      <c r="AO709" s="36" t="s">
        <v>300</v>
      </c>
      <c r="AP709" s="67">
        <v>9.0</v>
      </c>
      <c r="AQ709" s="37" t="str">
        <f t="shared" si="504"/>
        <v>R</v>
      </c>
      <c r="AR709" s="65">
        <v>22.0</v>
      </c>
      <c r="AS709" s="33" t="str">
        <f t="shared" si="505"/>
        <v>S</v>
      </c>
      <c r="AT709" s="65">
        <v>24.0</v>
      </c>
      <c r="AU709" s="33" t="str">
        <f t="shared" si="506"/>
        <v>S</v>
      </c>
      <c r="AV709" s="33" t="s">
        <v>300</v>
      </c>
      <c r="AW709" s="28">
        <v>9.0</v>
      </c>
      <c r="AX709" s="26" t="str">
        <f t="shared" si="507"/>
        <v>R</v>
      </c>
      <c r="AY709" s="67">
        <v>25.0</v>
      </c>
      <c r="AZ709" s="37" t="str">
        <f t="shared" si="508"/>
        <v>I</v>
      </c>
      <c r="BA709" s="66">
        <v>32.0</v>
      </c>
      <c r="BB709" s="36" t="str">
        <f t="shared" si="509"/>
        <v>S</v>
      </c>
      <c r="BC709" s="39" t="s">
        <v>357</v>
      </c>
      <c r="BD709" s="39" t="s">
        <v>357</v>
      </c>
      <c r="BE709" s="66">
        <v>28.0</v>
      </c>
      <c r="BF709" s="36" t="str">
        <f t="shared" si="510"/>
        <v>S</v>
      </c>
      <c r="BG709" s="68">
        <v>23.0</v>
      </c>
      <c r="BH709" s="41" t="str">
        <f t="shared" si="511"/>
        <v>S</v>
      </c>
      <c r="BI709" s="41"/>
    </row>
    <row r="710">
      <c r="A710" s="21" t="s">
        <v>1139</v>
      </c>
      <c r="B710" s="21" t="s">
        <v>444</v>
      </c>
      <c r="C710" s="21" t="s">
        <v>2243</v>
      </c>
      <c r="D710" s="69" t="s">
        <v>1046</v>
      </c>
      <c r="E710" s="18" t="s">
        <v>103</v>
      </c>
      <c r="F710" s="18" t="s">
        <v>192</v>
      </c>
      <c r="G710" s="63" t="s">
        <v>2244</v>
      </c>
      <c r="H710" s="42" t="s">
        <v>479</v>
      </c>
      <c r="I710" s="28">
        <v>6.0</v>
      </c>
      <c r="J710" s="26" t="str">
        <f t="shared" si="489"/>
        <v>R</v>
      </c>
      <c r="K710" s="28">
        <v>19.0</v>
      </c>
      <c r="L710" s="26" t="str">
        <f t="shared" si="490"/>
        <v>S</v>
      </c>
      <c r="M710" s="28">
        <v>6.0</v>
      </c>
      <c r="N710" s="26" t="str">
        <f t="shared" si="491"/>
        <v>R</v>
      </c>
      <c r="O710" s="28">
        <v>15.0</v>
      </c>
      <c r="P710" s="26" t="str">
        <f t="shared" si="492"/>
        <v>R</v>
      </c>
      <c r="Q710" s="28">
        <v>11.0</v>
      </c>
      <c r="R710" s="26" t="str">
        <f t="shared" si="493"/>
        <v>R</v>
      </c>
      <c r="S710" s="28">
        <v>22.0</v>
      </c>
      <c r="T710" s="26" t="str">
        <f t="shared" si="494"/>
        <v>S</v>
      </c>
      <c r="U710" s="28">
        <v>20.0</v>
      </c>
      <c r="V710" s="26" t="str">
        <f t="shared" si="495"/>
        <v>S</v>
      </c>
      <c r="W710" s="32" t="s">
        <v>299</v>
      </c>
      <c r="X710" s="65">
        <v>18.0</v>
      </c>
      <c r="Y710" s="33" t="str">
        <f t="shared" si="496"/>
        <v>I</v>
      </c>
      <c r="Z710" s="65">
        <v>24.0</v>
      </c>
      <c r="AA710" s="33" t="str">
        <f t="shared" si="497"/>
        <v>S</v>
      </c>
      <c r="AB710" s="65">
        <v>21.0</v>
      </c>
      <c r="AC710" s="33" t="str">
        <f t="shared" si="498"/>
        <v>I</v>
      </c>
      <c r="AD710" s="65">
        <v>22.0</v>
      </c>
      <c r="AE710" s="33" t="str">
        <f t="shared" si="499"/>
        <v>S</v>
      </c>
      <c r="AF710" s="65">
        <v>23.0</v>
      </c>
      <c r="AG710" s="33" t="str">
        <f t="shared" si="500"/>
        <v>R</v>
      </c>
      <c r="AH710" s="65" t="s">
        <v>299</v>
      </c>
      <c r="AI710" s="66">
        <v>32.0</v>
      </c>
      <c r="AJ710" s="36" t="str">
        <f t="shared" si="501"/>
        <v>S</v>
      </c>
      <c r="AK710" s="66">
        <v>26.0</v>
      </c>
      <c r="AL710" s="36" t="str">
        <f t="shared" si="502"/>
        <v>S</v>
      </c>
      <c r="AM710" s="66">
        <v>26.0</v>
      </c>
      <c r="AN710" s="36" t="str">
        <f t="shared" si="503"/>
        <v>S</v>
      </c>
      <c r="AO710" s="36" t="s">
        <v>300</v>
      </c>
      <c r="AP710" s="67">
        <v>6.0</v>
      </c>
      <c r="AQ710" s="37" t="str">
        <f t="shared" si="504"/>
        <v>R</v>
      </c>
      <c r="AR710" s="65">
        <v>22.0</v>
      </c>
      <c r="AS710" s="33" t="str">
        <f t="shared" si="505"/>
        <v>S</v>
      </c>
      <c r="AT710" s="65">
        <v>24.0</v>
      </c>
      <c r="AU710" s="33" t="str">
        <f t="shared" si="506"/>
        <v>S</v>
      </c>
      <c r="AV710" s="33" t="s">
        <v>300</v>
      </c>
      <c r="AW710" s="28">
        <v>6.0</v>
      </c>
      <c r="AX710" s="26" t="str">
        <f t="shared" si="507"/>
        <v>R</v>
      </c>
      <c r="AY710" s="67">
        <v>26.0</v>
      </c>
      <c r="AZ710" s="37" t="str">
        <f t="shared" si="508"/>
        <v>S</v>
      </c>
      <c r="BA710" s="66">
        <v>34.0</v>
      </c>
      <c r="BB710" s="36" t="str">
        <f t="shared" si="509"/>
        <v>S</v>
      </c>
      <c r="BC710" s="39" t="s">
        <v>357</v>
      </c>
      <c r="BD710" s="39" t="s">
        <v>357</v>
      </c>
      <c r="BE710" s="66">
        <v>25.0</v>
      </c>
      <c r="BF710" s="36" t="str">
        <f t="shared" si="510"/>
        <v>S</v>
      </c>
      <c r="BG710" s="68">
        <v>23.0</v>
      </c>
      <c r="BH710" s="41" t="str">
        <f t="shared" si="511"/>
        <v>S</v>
      </c>
      <c r="BI710" s="41"/>
    </row>
    <row r="711">
      <c r="A711" s="51" t="s">
        <v>1143</v>
      </c>
      <c r="B711" s="53">
        <v>292.0</v>
      </c>
      <c r="C711" s="51" t="s">
        <v>1755</v>
      </c>
      <c r="D711" s="69" t="s">
        <v>190</v>
      </c>
      <c r="E711" s="18" t="s">
        <v>190</v>
      </c>
      <c r="F711" s="18" t="s">
        <v>192</v>
      </c>
      <c r="G711" s="63" t="s">
        <v>1756</v>
      </c>
      <c r="H711" s="22" t="s">
        <v>198</v>
      </c>
      <c r="I711" s="28">
        <v>6.0</v>
      </c>
      <c r="J711" s="26" t="str">
        <f t="shared" si="489"/>
        <v>R</v>
      </c>
      <c r="K711" s="28">
        <v>20.0</v>
      </c>
      <c r="L711" s="26" t="str">
        <f t="shared" si="490"/>
        <v>S</v>
      </c>
      <c r="M711" s="28">
        <v>6.0</v>
      </c>
      <c r="N711" s="26" t="str">
        <f t="shared" si="491"/>
        <v>R</v>
      </c>
      <c r="O711" s="28">
        <v>22.0</v>
      </c>
      <c r="P711" s="26" t="str">
        <f t="shared" si="492"/>
        <v>I</v>
      </c>
      <c r="Q711" s="28">
        <v>6.0</v>
      </c>
      <c r="R711" s="26" t="str">
        <f t="shared" si="493"/>
        <v>R</v>
      </c>
      <c r="S711" s="28">
        <v>21.0</v>
      </c>
      <c r="T711" s="26" t="str">
        <f t="shared" si="494"/>
        <v>S</v>
      </c>
      <c r="U711" s="28">
        <v>6.0</v>
      </c>
      <c r="V711" s="26" t="str">
        <f t="shared" si="495"/>
        <v>R</v>
      </c>
      <c r="W711" s="32" t="s">
        <v>299</v>
      </c>
      <c r="X711" s="65">
        <v>11.0</v>
      </c>
      <c r="Y711" s="33" t="str">
        <f t="shared" si="496"/>
        <v>R</v>
      </c>
      <c r="Z711" s="65">
        <v>20.0</v>
      </c>
      <c r="AA711" s="33" t="str">
        <f t="shared" si="497"/>
        <v>S</v>
      </c>
      <c r="AB711" s="65">
        <v>9.0</v>
      </c>
      <c r="AC711" s="33" t="str">
        <f t="shared" si="498"/>
        <v>R</v>
      </c>
      <c r="AD711" s="65">
        <v>21.0</v>
      </c>
      <c r="AE711" s="33" t="str">
        <f t="shared" si="499"/>
        <v>S</v>
      </c>
      <c r="AF711" s="65">
        <v>14.0</v>
      </c>
      <c r="AG711" s="33" t="str">
        <f t="shared" si="500"/>
        <v>R</v>
      </c>
      <c r="AH711" s="65" t="s">
        <v>299</v>
      </c>
      <c r="AI711" s="66">
        <v>6.0</v>
      </c>
      <c r="AJ711" s="36" t="str">
        <f t="shared" si="501"/>
        <v>R</v>
      </c>
      <c r="AK711" s="66">
        <v>9.0</v>
      </c>
      <c r="AL711" s="36" t="str">
        <f t="shared" si="502"/>
        <v>R</v>
      </c>
      <c r="AM711" s="66">
        <v>6.0</v>
      </c>
      <c r="AN711" s="36" t="str">
        <f t="shared" si="503"/>
        <v>R</v>
      </c>
      <c r="AO711" s="66" t="s">
        <v>299</v>
      </c>
      <c r="AP711" s="67">
        <v>6.0</v>
      </c>
      <c r="AQ711" s="37" t="str">
        <f t="shared" si="504"/>
        <v>R</v>
      </c>
      <c r="AR711" s="65">
        <v>18.0</v>
      </c>
      <c r="AS711" s="33" t="str">
        <f t="shared" si="505"/>
        <v>S</v>
      </c>
      <c r="AT711" s="65">
        <v>18.0</v>
      </c>
      <c r="AU711" s="33" t="str">
        <f t="shared" si="506"/>
        <v>S</v>
      </c>
      <c r="AV711" s="33" t="s">
        <v>300</v>
      </c>
      <c r="AW711" s="28">
        <v>21.0</v>
      </c>
      <c r="AX711" s="26" t="str">
        <f t="shared" si="507"/>
        <v>S</v>
      </c>
      <c r="AY711" s="67">
        <v>10.0</v>
      </c>
      <c r="AZ711" s="37" t="str">
        <f t="shared" si="508"/>
        <v>R</v>
      </c>
      <c r="BA711" s="66">
        <v>25.0</v>
      </c>
      <c r="BB711" s="36" t="str">
        <f t="shared" si="509"/>
        <v>S</v>
      </c>
      <c r="BC711" s="39" t="s">
        <v>357</v>
      </c>
      <c r="BD711" s="39" t="s">
        <v>357</v>
      </c>
      <c r="BE711" s="66">
        <v>30.0</v>
      </c>
      <c r="BF711" s="36" t="str">
        <f t="shared" si="510"/>
        <v>S</v>
      </c>
      <c r="BG711" s="68">
        <v>20.0</v>
      </c>
      <c r="BH711" s="41" t="str">
        <f t="shared" si="511"/>
        <v>S</v>
      </c>
      <c r="BI711" s="41"/>
    </row>
    <row r="712">
      <c r="A712" s="51" t="s">
        <v>1143</v>
      </c>
      <c r="B712" s="51" t="s">
        <v>444</v>
      </c>
      <c r="C712" s="51" t="s">
        <v>2245</v>
      </c>
      <c r="D712" s="69" t="s">
        <v>190</v>
      </c>
      <c r="E712" s="18" t="s">
        <v>190</v>
      </c>
      <c r="F712" s="18" t="s">
        <v>192</v>
      </c>
      <c r="G712" s="63" t="s">
        <v>2246</v>
      </c>
      <c r="H712" s="22" t="s">
        <v>198</v>
      </c>
      <c r="I712" s="28">
        <v>6.0</v>
      </c>
      <c r="J712" s="26" t="str">
        <f t="shared" si="489"/>
        <v>R</v>
      </c>
      <c r="K712" s="28">
        <v>20.0</v>
      </c>
      <c r="L712" s="26" t="str">
        <f t="shared" si="490"/>
        <v>S</v>
      </c>
      <c r="M712" s="28">
        <v>6.0</v>
      </c>
      <c r="N712" s="26" t="str">
        <f t="shared" si="491"/>
        <v>R</v>
      </c>
      <c r="O712" s="28">
        <v>22.0</v>
      </c>
      <c r="P712" s="26" t="str">
        <f t="shared" si="492"/>
        <v>I</v>
      </c>
      <c r="Q712" s="28">
        <v>6.0</v>
      </c>
      <c r="R712" s="26" t="str">
        <f t="shared" si="493"/>
        <v>R</v>
      </c>
      <c r="S712" s="28">
        <v>21.0</v>
      </c>
      <c r="T712" s="26" t="str">
        <f t="shared" si="494"/>
        <v>S</v>
      </c>
      <c r="U712" s="28">
        <v>6.0</v>
      </c>
      <c r="V712" s="26" t="str">
        <f t="shared" si="495"/>
        <v>R</v>
      </c>
      <c r="W712" s="32" t="s">
        <v>299</v>
      </c>
      <c r="X712" s="65">
        <v>11.0</v>
      </c>
      <c r="Y712" s="33" t="str">
        <f t="shared" si="496"/>
        <v>R</v>
      </c>
      <c r="Z712" s="65">
        <v>20.0</v>
      </c>
      <c r="AA712" s="33" t="str">
        <f t="shared" si="497"/>
        <v>S</v>
      </c>
      <c r="AB712" s="65">
        <v>9.0</v>
      </c>
      <c r="AC712" s="33" t="str">
        <f t="shared" si="498"/>
        <v>R</v>
      </c>
      <c r="AD712" s="65">
        <v>21.0</v>
      </c>
      <c r="AE712" s="33" t="str">
        <f t="shared" si="499"/>
        <v>S</v>
      </c>
      <c r="AF712" s="65">
        <v>14.0</v>
      </c>
      <c r="AG712" s="33" t="str">
        <f t="shared" si="500"/>
        <v>R</v>
      </c>
      <c r="AH712" s="65" t="s">
        <v>299</v>
      </c>
      <c r="AI712" s="66">
        <v>6.0</v>
      </c>
      <c r="AJ712" s="36" t="str">
        <f t="shared" si="501"/>
        <v>R</v>
      </c>
      <c r="AK712" s="66">
        <v>9.0</v>
      </c>
      <c r="AL712" s="36" t="str">
        <f t="shared" si="502"/>
        <v>R</v>
      </c>
      <c r="AM712" s="66">
        <v>6.0</v>
      </c>
      <c r="AN712" s="36" t="str">
        <f t="shared" si="503"/>
        <v>R</v>
      </c>
      <c r="AO712" s="66" t="s">
        <v>299</v>
      </c>
      <c r="AP712" s="67">
        <v>6.0</v>
      </c>
      <c r="AQ712" s="37" t="str">
        <f t="shared" si="504"/>
        <v>R</v>
      </c>
      <c r="AR712" s="65">
        <v>18.0</v>
      </c>
      <c r="AS712" s="33" t="str">
        <f t="shared" si="505"/>
        <v>S</v>
      </c>
      <c r="AT712" s="65">
        <v>18.0</v>
      </c>
      <c r="AU712" s="33" t="str">
        <f t="shared" si="506"/>
        <v>S</v>
      </c>
      <c r="AV712" s="33" t="s">
        <v>300</v>
      </c>
      <c r="AW712" s="28">
        <v>21.0</v>
      </c>
      <c r="AX712" s="26" t="str">
        <f t="shared" si="507"/>
        <v>S</v>
      </c>
      <c r="AY712" s="67">
        <v>10.0</v>
      </c>
      <c r="AZ712" s="37" t="str">
        <f t="shared" si="508"/>
        <v>R</v>
      </c>
      <c r="BA712" s="66">
        <v>25.0</v>
      </c>
      <c r="BB712" s="36" t="str">
        <f t="shared" si="509"/>
        <v>S</v>
      </c>
      <c r="BC712" s="39" t="s">
        <v>357</v>
      </c>
      <c r="BD712" s="39" t="s">
        <v>357</v>
      </c>
      <c r="BE712" s="66">
        <v>30.0</v>
      </c>
      <c r="BF712" s="36" t="str">
        <f t="shared" si="510"/>
        <v>S</v>
      </c>
      <c r="BG712" s="68">
        <v>20.0</v>
      </c>
      <c r="BH712" s="41" t="str">
        <f t="shared" si="511"/>
        <v>S</v>
      </c>
      <c r="BI712" s="41"/>
    </row>
    <row r="713">
      <c r="A713" s="51" t="s">
        <v>1143</v>
      </c>
      <c r="B713" s="51" t="s">
        <v>444</v>
      </c>
      <c r="C713" s="51" t="s">
        <v>2247</v>
      </c>
      <c r="D713" s="69" t="s">
        <v>190</v>
      </c>
      <c r="E713" s="18" t="s">
        <v>190</v>
      </c>
      <c r="F713" s="18" t="s">
        <v>192</v>
      </c>
      <c r="G713" s="63" t="s">
        <v>2248</v>
      </c>
      <c r="H713" s="22" t="s">
        <v>198</v>
      </c>
      <c r="I713" s="28">
        <v>6.0</v>
      </c>
      <c r="J713" s="26" t="str">
        <f t="shared" si="489"/>
        <v>R</v>
      </c>
      <c r="K713" s="28">
        <v>20.0</v>
      </c>
      <c r="L713" s="26" t="str">
        <f t="shared" si="490"/>
        <v>S</v>
      </c>
      <c r="M713" s="28">
        <v>6.0</v>
      </c>
      <c r="N713" s="26" t="str">
        <f t="shared" si="491"/>
        <v>R</v>
      </c>
      <c r="O713" s="28">
        <v>22.0</v>
      </c>
      <c r="P713" s="26" t="str">
        <f t="shared" si="492"/>
        <v>I</v>
      </c>
      <c r="Q713" s="28">
        <v>6.0</v>
      </c>
      <c r="R713" s="26" t="str">
        <f t="shared" si="493"/>
        <v>R</v>
      </c>
      <c r="S713" s="28">
        <v>21.0</v>
      </c>
      <c r="T713" s="26" t="str">
        <f t="shared" si="494"/>
        <v>S</v>
      </c>
      <c r="U713" s="28">
        <v>6.0</v>
      </c>
      <c r="V713" s="26" t="str">
        <f t="shared" si="495"/>
        <v>R</v>
      </c>
      <c r="W713" s="32" t="s">
        <v>299</v>
      </c>
      <c r="X713" s="65">
        <v>11.0</v>
      </c>
      <c r="Y713" s="33" t="str">
        <f t="shared" si="496"/>
        <v>R</v>
      </c>
      <c r="Z713" s="65">
        <v>20.0</v>
      </c>
      <c r="AA713" s="33" t="str">
        <f t="shared" si="497"/>
        <v>S</v>
      </c>
      <c r="AB713" s="65">
        <v>9.0</v>
      </c>
      <c r="AC713" s="33" t="str">
        <f t="shared" si="498"/>
        <v>R</v>
      </c>
      <c r="AD713" s="65">
        <v>21.0</v>
      </c>
      <c r="AE713" s="33" t="str">
        <f t="shared" si="499"/>
        <v>S</v>
      </c>
      <c r="AF713" s="65">
        <v>14.0</v>
      </c>
      <c r="AG713" s="33" t="str">
        <f t="shared" si="500"/>
        <v>R</v>
      </c>
      <c r="AH713" s="65" t="s">
        <v>299</v>
      </c>
      <c r="AI713" s="66">
        <v>6.0</v>
      </c>
      <c r="AJ713" s="36" t="str">
        <f t="shared" si="501"/>
        <v>R</v>
      </c>
      <c r="AK713" s="66">
        <v>9.0</v>
      </c>
      <c r="AL713" s="36" t="str">
        <f t="shared" si="502"/>
        <v>R</v>
      </c>
      <c r="AM713" s="66">
        <v>6.0</v>
      </c>
      <c r="AN713" s="36" t="str">
        <f t="shared" si="503"/>
        <v>R</v>
      </c>
      <c r="AO713" s="66" t="s">
        <v>299</v>
      </c>
      <c r="AP713" s="67">
        <v>6.0</v>
      </c>
      <c r="AQ713" s="37" t="str">
        <f t="shared" si="504"/>
        <v>R</v>
      </c>
      <c r="AR713" s="65">
        <v>18.0</v>
      </c>
      <c r="AS713" s="33" t="str">
        <f t="shared" si="505"/>
        <v>S</v>
      </c>
      <c r="AT713" s="65">
        <v>18.0</v>
      </c>
      <c r="AU713" s="33" t="str">
        <f t="shared" si="506"/>
        <v>S</v>
      </c>
      <c r="AV713" s="33" t="s">
        <v>300</v>
      </c>
      <c r="AW713" s="28">
        <v>21.0</v>
      </c>
      <c r="AX713" s="26" t="str">
        <f t="shared" si="507"/>
        <v>S</v>
      </c>
      <c r="AY713" s="67">
        <v>10.0</v>
      </c>
      <c r="AZ713" s="37" t="str">
        <f t="shared" si="508"/>
        <v>R</v>
      </c>
      <c r="BA713" s="66">
        <v>25.0</v>
      </c>
      <c r="BB713" s="36" t="str">
        <f t="shared" si="509"/>
        <v>S</v>
      </c>
      <c r="BC713" s="39" t="s">
        <v>357</v>
      </c>
      <c r="BD713" s="39" t="s">
        <v>357</v>
      </c>
      <c r="BE713" s="66">
        <v>30.0</v>
      </c>
      <c r="BF713" s="36" t="str">
        <f t="shared" si="510"/>
        <v>S</v>
      </c>
      <c r="BG713" s="68">
        <v>20.0</v>
      </c>
      <c r="BH713" s="41" t="str">
        <f t="shared" si="511"/>
        <v>S</v>
      </c>
      <c r="BI713" s="41"/>
    </row>
    <row r="714">
      <c r="A714" s="51" t="s">
        <v>1143</v>
      </c>
      <c r="B714" s="53">
        <v>293.0</v>
      </c>
      <c r="C714" s="51" t="s">
        <v>1759</v>
      </c>
      <c r="D714" s="69" t="s">
        <v>571</v>
      </c>
      <c r="E714" s="18" t="s">
        <v>572</v>
      </c>
      <c r="F714" s="18" t="s">
        <v>192</v>
      </c>
      <c r="G714" s="63" t="s">
        <v>1760</v>
      </c>
      <c r="H714" s="42" t="s">
        <v>479</v>
      </c>
      <c r="I714" s="28">
        <v>6.0</v>
      </c>
      <c r="J714" s="26" t="str">
        <f t="shared" si="489"/>
        <v>R</v>
      </c>
      <c r="K714" s="28">
        <v>10.0</v>
      </c>
      <c r="L714" s="26" t="str">
        <f t="shared" si="490"/>
        <v>R</v>
      </c>
      <c r="M714" s="28">
        <v>6.0</v>
      </c>
      <c r="N714" s="26" t="str">
        <f t="shared" si="491"/>
        <v>R</v>
      </c>
      <c r="O714" s="28">
        <v>19.0</v>
      </c>
      <c r="P714" s="26" t="str">
        <f t="shared" si="492"/>
        <v>R</v>
      </c>
      <c r="Q714" s="28">
        <v>6.0</v>
      </c>
      <c r="R714" s="26" t="str">
        <f t="shared" si="493"/>
        <v>R</v>
      </c>
      <c r="S714" s="28">
        <v>22.0</v>
      </c>
      <c r="T714" s="26" t="str">
        <f t="shared" si="494"/>
        <v>S</v>
      </c>
      <c r="U714" s="28">
        <v>21.0</v>
      </c>
      <c r="V714" s="26" t="str">
        <f t="shared" si="495"/>
        <v>S</v>
      </c>
      <c r="W714" s="32" t="s">
        <v>299</v>
      </c>
      <c r="X714" s="65">
        <v>12.0</v>
      </c>
      <c r="Y714" s="33" t="str">
        <f t="shared" si="496"/>
        <v>R</v>
      </c>
      <c r="Z714" s="65">
        <v>10.0</v>
      </c>
      <c r="AA714" s="33" t="str">
        <f t="shared" si="497"/>
        <v>R</v>
      </c>
      <c r="AB714" s="65">
        <v>11.0</v>
      </c>
      <c r="AC714" s="33" t="str">
        <f t="shared" si="498"/>
        <v>R</v>
      </c>
      <c r="AD714" s="65">
        <v>23.0</v>
      </c>
      <c r="AE714" s="33" t="str">
        <f t="shared" si="499"/>
        <v>S</v>
      </c>
      <c r="AF714" s="65">
        <v>18.0</v>
      </c>
      <c r="AG714" s="33" t="str">
        <f t="shared" si="500"/>
        <v>R</v>
      </c>
      <c r="AH714" s="65" t="s">
        <v>299</v>
      </c>
      <c r="AI714" s="66">
        <v>6.0</v>
      </c>
      <c r="AJ714" s="36" t="str">
        <f t="shared" si="501"/>
        <v>R</v>
      </c>
      <c r="AK714" s="66">
        <v>10.0</v>
      </c>
      <c r="AL714" s="36" t="str">
        <f t="shared" si="502"/>
        <v>R</v>
      </c>
      <c r="AM714" s="66">
        <v>10.0</v>
      </c>
      <c r="AN714" s="36" t="str">
        <f t="shared" si="503"/>
        <v>R</v>
      </c>
      <c r="AO714" s="66" t="s">
        <v>299</v>
      </c>
      <c r="AP714" s="67">
        <v>9.0</v>
      </c>
      <c r="AQ714" s="37" t="str">
        <f t="shared" si="504"/>
        <v>R</v>
      </c>
      <c r="AR714" s="65">
        <v>20.0</v>
      </c>
      <c r="AS714" s="33" t="str">
        <f t="shared" si="505"/>
        <v>S</v>
      </c>
      <c r="AT714" s="65">
        <v>18.0</v>
      </c>
      <c r="AU714" s="33" t="str">
        <f t="shared" si="506"/>
        <v>S</v>
      </c>
      <c r="AV714" s="33" t="s">
        <v>300</v>
      </c>
      <c r="AW714" s="28">
        <v>6.0</v>
      </c>
      <c r="AX714" s="26" t="str">
        <f t="shared" si="507"/>
        <v>R</v>
      </c>
      <c r="AY714" s="67">
        <v>15.0</v>
      </c>
      <c r="AZ714" s="37" t="str">
        <f t="shared" si="508"/>
        <v>R</v>
      </c>
      <c r="BA714" s="66">
        <v>26.0</v>
      </c>
      <c r="BB714" s="36" t="str">
        <f t="shared" si="509"/>
        <v>S</v>
      </c>
      <c r="BC714" s="39" t="s">
        <v>357</v>
      </c>
      <c r="BD714" s="39" t="s">
        <v>357</v>
      </c>
      <c r="BE714" s="66">
        <v>21.0</v>
      </c>
      <c r="BF714" s="36" t="str">
        <f t="shared" si="510"/>
        <v>I</v>
      </c>
      <c r="BG714" s="68">
        <v>18.0</v>
      </c>
      <c r="BH714" s="41" t="str">
        <f t="shared" si="511"/>
        <v>S</v>
      </c>
      <c r="BI714" s="41"/>
    </row>
    <row r="715">
      <c r="A715" s="51" t="s">
        <v>1143</v>
      </c>
      <c r="B715" s="51" t="s">
        <v>444</v>
      </c>
      <c r="C715" s="51" t="s">
        <v>2249</v>
      </c>
      <c r="D715" s="69" t="s">
        <v>571</v>
      </c>
      <c r="E715" s="18" t="s">
        <v>572</v>
      </c>
      <c r="F715" s="18" t="s">
        <v>192</v>
      </c>
      <c r="G715" s="63" t="s">
        <v>2250</v>
      </c>
      <c r="H715" s="42" t="s">
        <v>479</v>
      </c>
      <c r="I715" s="28">
        <v>6.0</v>
      </c>
      <c r="J715" s="26" t="str">
        <f t="shared" si="489"/>
        <v>R</v>
      </c>
      <c r="K715" s="28">
        <v>11.0</v>
      </c>
      <c r="L715" s="26" t="str">
        <f t="shared" si="490"/>
        <v>R</v>
      </c>
      <c r="M715" s="28">
        <v>6.0</v>
      </c>
      <c r="N715" s="26" t="str">
        <f t="shared" si="491"/>
        <v>R</v>
      </c>
      <c r="O715" s="28">
        <v>19.0</v>
      </c>
      <c r="P715" s="26" t="str">
        <f t="shared" si="492"/>
        <v>R</v>
      </c>
      <c r="Q715" s="28">
        <v>6.0</v>
      </c>
      <c r="R715" s="26" t="str">
        <f t="shared" si="493"/>
        <v>R</v>
      </c>
      <c r="S715" s="28">
        <v>18.0</v>
      </c>
      <c r="T715" s="26" t="str">
        <f t="shared" si="494"/>
        <v>R</v>
      </c>
      <c r="U715" s="28">
        <v>21.0</v>
      </c>
      <c r="V715" s="26" t="str">
        <f t="shared" si="495"/>
        <v>S</v>
      </c>
      <c r="W715" s="32" t="s">
        <v>299</v>
      </c>
      <c r="X715" s="65">
        <v>12.0</v>
      </c>
      <c r="Y715" s="33" t="str">
        <f t="shared" si="496"/>
        <v>R</v>
      </c>
      <c r="Z715" s="65">
        <v>6.0</v>
      </c>
      <c r="AA715" s="33" t="str">
        <f t="shared" si="497"/>
        <v>R</v>
      </c>
      <c r="AB715" s="65">
        <v>6.0</v>
      </c>
      <c r="AC715" s="33" t="str">
        <f t="shared" si="498"/>
        <v>R</v>
      </c>
      <c r="AD715" s="65">
        <v>20.0</v>
      </c>
      <c r="AE715" s="33" t="str">
        <f t="shared" si="499"/>
        <v>S</v>
      </c>
      <c r="AF715" s="65">
        <v>17.0</v>
      </c>
      <c r="AG715" s="33" t="str">
        <f t="shared" si="500"/>
        <v>R</v>
      </c>
      <c r="AH715" s="65" t="s">
        <v>299</v>
      </c>
      <c r="AI715" s="66">
        <v>6.0</v>
      </c>
      <c r="AJ715" s="36" t="str">
        <f t="shared" si="501"/>
        <v>R</v>
      </c>
      <c r="AK715" s="66">
        <v>6.0</v>
      </c>
      <c r="AL715" s="36" t="str">
        <f t="shared" si="502"/>
        <v>R</v>
      </c>
      <c r="AM715" s="66">
        <v>6.0</v>
      </c>
      <c r="AN715" s="36" t="str">
        <f t="shared" si="503"/>
        <v>R</v>
      </c>
      <c r="AO715" s="66" t="s">
        <v>299</v>
      </c>
      <c r="AP715" s="67">
        <v>20.0</v>
      </c>
      <c r="AQ715" s="37" t="str">
        <f t="shared" si="504"/>
        <v>S</v>
      </c>
      <c r="AR715" s="65">
        <v>20.0</v>
      </c>
      <c r="AS715" s="33" t="str">
        <f t="shared" si="505"/>
        <v>S</v>
      </c>
      <c r="AT715" s="65">
        <v>12.0</v>
      </c>
      <c r="AU715" s="33" t="str">
        <f t="shared" si="506"/>
        <v>R</v>
      </c>
      <c r="AV715" s="65" t="s">
        <v>299</v>
      </c>
      <c r="AW715" s="28">
        <v>6.0</v>
      </c>
      <c r="AX715" s="26" t="str">
        <f t="shared" si="507"/>
        <v>R</v>
      </c>
      <c r="AY715" s="67">
        <v>11.0</v>
      </c>
      <c r="AZ715" s="37" t="str">
        <f t="shared" si="508"/>
        <v>R</v>
      </c>
      <c r="BA715" s="66">
        <v>23.0</v>
      </c>
      <c r="BB715" s="36" t="str">
        <f t="shared" si="509"/>
        <v>S</v>
      </c>
      <c r="BC715" s="39" t="s">
        <v>357</v>
      </c>
      <c r="BD715" s="39" t="s">
        <v>357</v>
      </c>
      <c r="BE715" s="66">
        <v>26.0</v>
      </c>
      <c r="BF715" s="36" t="str">
        <f t="shared" si="510"/>
        <v>S</v>
      </c>
      <c r="BG715" s="68">
        <v>6.0</v>
      </c>
      <c r="BH715" s="41" t="str">
        <f t="shared" si="511"/>
        <v>R</v>
      </c>
      <c r="BI715" s="41"/>
    </row>
    <row r="716">
      <c r="A716" s="51" t="s">
        <v>1143</v>
      </c>
      <c r="B716" s="51" t="s">
        <v>444</v>
      </c>
      <c r="C716" s="51" t="s">
        <v>2251</v>
      </c>
      <c r="D716" s="69" t="s">
        <v>571</v>
      </c>
      <c r="E716" s="18" t="s">
        <v>572</v>
      </c>
      <c r="F716" s="18" t="s">
        <v>192</v>
      </c>
      <c r="G716" s="63" t="s">
        <v>2252</v>
      </c>
      <c r="H716" s="42" t="s">
        <v>479</v>
      </c>
      <c r="I716" s="28">
        <v>6.0</v>
      </c>
      <c r="J716" s="26" t="str">
        <f t="shared" si="489"/>
        <v>R</v>
      </c>
      <c r="K716" s="28">
        <v>10.0</v>
      </c>
      <c r="L716" s="26" t="str">
        <f t="shared" si="490"/>
        <v>R</v>
      </c>
      <c r="M716" s="28">
        <v>6.0</v>
      </c>
      <c r="N716" s="26" t="str">
        <f t="shared" si="491"/>
        <v>R</v>
      </c>
      <c r="O716" s="28">
        <v>20.0</v>
      </c>
      <c r="P716" s="26" t="str">
        <f t="shared" si="492"/>
        <v>I</v>
      </c>
      <c r="Q716" s="28">
        <v>6.0</v>
      </c>
      <c r="R716" s="26" t="str">
        <f t="shared" si="493"/>
        <v>R</v>
      </c>
      <c r="S716" s="28">
        <v>15.0</v>
      </c>
      <c r="T716" s="26" t="str">
        <f t="shared" si="494"/>
        <v>R</v>
      </c>
      <c r="U716" s="28">
        <v>21.0</v>
      </c>
      <c r="V716" s="26" t="str">
        <f t="shared" si="495"/>
        <v>S</v>
      </c>
      <c r="W716" s="32" t="s">
        <v>299</v>
      </c>
      <c r="X716" s="65">
        <v>10.0</v>
      </c>
      <c r="Y716" s="33" t="str">
        <f t="shared" si="496"/>
        <v>R</v>
      </c>
      <c r="Z716" s="65">
        <v>10.0</v>
      </c>
      <c r="AA716" s="33" t="str">
        <f t="shared" si="497"/>
        <v>R</v>
      </c>
      <c r="AB716" s="65">
        <v>9.0</v>
      </c>
      <c r="AC716" s="33" t="str">
        <f t="shared" si="498"/>
        <v>R</v>
      </c>
      <c r="AD716" s="65">
        <v>21.0</v>
      </c>
      <c r="AE716" s="33" t="str">
        <f t="shared" si="499"/>
        <v>S</v>
      </c>
      <c r="AF716" s="65">
        <v>18.0</v>
      </c>
      <c r="AG716" s="33" t="str">
        <f t="shared" si="500"/>
        <v>R</v>
      </c>
      <c r="AH716" s="65" t="s">
        <v>299</v>
      </c>
      <c r="AI716" s="66">
        <v>9.0</v>
      </c>
      <c r="AJ716" s="36" t="str">
        <f t="shared" si="501"/>
        <v>R</v>
      </c>
      <c r="AK716" s="66">
        <v>14.0</v>
      </c>
      <c r="AL716" s="36" t="str">
        <f t="shared" si="502"/>
        <v>R</v>
      </c>
      <c r="AM716" s="66">
        <v>6.0</v>
      </c>
      <c r="AN716" s="36" t="str">
        <f t="shared" si="503"/>
        <v>R</v>
      </c>
      <c r="AO716" s="66" t="s">
        <v>299</v>
      </c>
      <c r="AP716" s="67">
        <v>18.0</v>
      </c>
      <c r="AQ716" s="37" t="str">
        <f t="shared" si="504"/>
        <v>S</v>
      </c>
      <c r="AR716" s="65">
        <v>18.0</v>
      </c>
      <c r="AS716" s="33" t="str">
        <f t="shared" si="505"/>
        <v>S</v>
      </c>
      <c r="AT716" s="65">
        <v>12.0</v>
      </c>
      <c r="AU716" s="33" t="str">
        <f t="shared" si="506"/>
        <v>R</v>
      </c>
      <c r="AV716" s="65" t="s">
        <v>299</v>
      </c>
      <c r="AW716" s="28">
        <v>9.0</v>
      </c>
      <c r="AX716" s="26" t="str">
        <f t="shared" si="507"/>
        <v>R</v>
      </c>
      <c r="AY716" s="67">
        <v>10.0</v>
      </c>
      <c r="AZ716" s="37" t="str">
        <f t="shared" si="508"/>
        <v>R</v>
      </c>
      <c r="BA716" s="66">
        <v>22.0</v>
      </c>
      <c r="BB716" s="36" t="str">
        <f t="shared" si="509"/>
        <v>R</v>
      </c>
      <c r="BC716" s="39" t="s">
        <v>357</v>
      </c>
      <c r="BD716" s="39" t="s">
        <v>357</v>
      </c>
      <c r="BE716" s="66">
        <v>25.0</v>
      </c>
      <c r="BF716" s="36" t="str">
        <f t="shared" si="510"/>
        <v>S</v>
      </c>
      <c r="BG716" s="68">
        <v>6.0</v>
      </c>
      <c r="BH716" s="41" t="str">
        <f t="shared" si="511"/>
        <v>R</v>
      </c>
      <c r="BI716" s="41"/>
    </row>
    <row r="717">
      <c r="A717" s="21" t="s">
        <v>1149</v>
      </c>
      <c r="B717" s="23">
        <v>294.0</v>
      </c>
      <c r="C717" s="21" t="s">
        <v>1761</v>
      </c>
      <c r="D717" s="69" t="s">
        <v>571</v>
      </c>
      <c r="E717" s="18" t="s">
        <v>572</v>
      </c>
      <c r="F717" s="18" t="s">
        <v>192</v>
      </c>
      <c r="G717" s="63" t="s">
        <v>1762</v>
      </c>
      <c r="H717" s="52" t="s">
        <v>581</v>
      </c>
      <c r="I717" s="28">
        <v>6.0</v>
      </c>
      <c r="J717" s="26" t="str">
        <f t="shared" si="489"/>
        <v>R</v>
      </c>
      <c r="K717" s="28">
        <v>18.0</v>
      </c>
      <c r="L717" s="26" t="str">
        <f t="shared" si="490"/>
        <v>R</v>
      </c>
      <c r="M717" s="28">
        <v>6.0</v>
      </c>
      <c r="N717" s="26" t="str">
        <f t="shared" si="491"/>
        <v>R</v>
      </c>
      <c r="O717" s="28">
        <v>22.0</v>
      </c>
      <c r="P717" s="26" t="str">
        <f t="shared" si="492"/>
        <v>I</v>
      </c>
      <c r="Q717" s="28">
        <v>6.0</v>
      </c>
      <c r="R717" s="26" t="str">
        <f t="shared" si="493"/>
        <v>R</v>
      </c>
      <c r="S717" s="28">
        <v>16.0</v>
      </c>
      <c r="T717" s="26" t="str">
        <f t="shared" si="494"/>
        <v>R</v>
      </c>
      <c r="U717" s="28">
        <v>21.0</v>
      </c>
      <c r="V717" s="26" t="str">
        <f t="shared" si="495"/>
        <v>S</v>
      </c>
      <c r="W717" s="32" t="s">
        <v>299</v>
      </c>
      <c r="X717" s="65">
        <v>6.0</v>
      </c>
      <c r="Y717" s="33" t="str">
        <f t="shared" si="496"/>
        <v>R</v>
      </c>
      <c r="Z717" s="65">
        <v>24.0</v>
      </c>
      <c r="AA717" s="33" t="str">
        <f t="shared" si="497"/>
        <v>S</v>
      </c>
      <c r="AB717" s="65">
        <v>6.0</v>
      </c>
      <c r="AC717" s="33" t="str">
        <f t="shared" si="498"/>
        <v>R</v>
      </c>
      <c r="AD717" s="65">
        <v>16.0</v>
      </c>
      <c r="AE717" s="33" t="str">
        <f t="shared" si="499"/>
        <v>S</v>
      </c>
      <c r="AF717" s="65">
        <v>15.0</v>
      </c>
      <c r="AG717" s="33" t="str">
        <f t="shared" si="500"/>
        <v>R</v>
      </c>
      <c r="AH717" s="65" t="s">
        <v>299</v>
      </c>
      <c r="AI717" s="66">
        <v>6.0</v>
      </c>
      <c r="AJ717" s="36" t="str">
        <f t="shared" si="501"/>
        <v>R</v>
      </c>
      <c r="AK717" s="66">
        <v>6.0</v>
      </c>
      <c r="AL717" s="36" t="str">
        <f t="shared" si="502"/>
        <v>R</v>
      </c>
      <c r="AM717" s="66">
        <v>6.0</v>
      </c>
      <c r="AN717" s="36" t="str">
        <f t="shared" si="503"/>
        <v>R</v>
      </c>
      <c r="AO717" s="66" t="s">
        <v>299</v>
      </c>
      <c r="AP717" s="67">
        <v>6.0</v>
      </c>
      <c r="AQ717" s="37" t="str">
        <f t="shared" si="504"/>
        <v>R</v>
      </c>
      <c r="AR717" s="65">
        <v>12.0</v>
      </c>
      <c r="AS717" s="33" t="str">
        <f t="shared" si="505"/>
        <v>R</v>
      </c>
      <c r="AT717" s="65">
        <v>13.0</v>
      </c>
      <c r="AU717" s="33" t="str">
        <f t="shared" si="506"/>
        <v>R</v>
      </c>
      <c r="AV717" s="65" t="s">
        <v>299</v>
      </c>
      <c r="AW717" s="28">
        <v>6.0</v>
      </c>
      <c r="AX717" s="26" t="str">
        <f t="shared" si="507"/>
        <v>R</v>
      </c>
      <c r="AY717" s="67">
        <v>14.0</v>
      </c>
      <c r="AZ717" s="37" t="str">
        <f t="shared" si="508"/>
        <v>R</v>
      </c>
      <c r="BA717" s="66">
        <v>13.0</v>
      </c>
      <c r="BB717" s="36" t="str">
        <f t="shared" si="509"/>
        <v>R</v>
      </c>
      <c r="BC717" s="39" t="s">
        <v>357</v>
      </c>
      <c r="BD717" s="39" t="s">
        <v>357</v>
      </c>
      <c r="BE717" s="66">
        <v>18.0</v>
      </c>
      <c r="BF717" s="36" t="str">
        <f t="shared" si="510"/>
        <v>R</v>
      </c>
      <c r="BG717" s="68">
        <v>16.0</v>
      </c>
      <c r="BH717" s="41" t="str">
        <f t="shared" si="511"/>
        <v>R</v>
      </c>
      <c r="BI717" s="41"/>
    </row>
    <row r="718">
      <c r="A718" s="21" t="s">
        <v>1149</v>
      </c>
      <c r="B718" s="21" t="s">
        <v>444</v>
      </c>
      <c r="C718" s="21" t="s">
        <v>2253</v>
      </c>
      <c r="D718" s="69" t="s">
        <v>571</v>
      </c>
      <c r="E718" s="18" t="s">
        <v>572</v>
      </c>
      <c r="F718" s="18" t="s">
        <v>192</v>
      </c>
      <c r="G718" s="63" t="s">
        <v>2254</v>
      </c>
      <c r="H718" s="52" t="s">
        <v>581</v>
      </c>
      <c r="I718" s="28">
        <v>6.0</v>
      </c>
      <c r="J718" s="26" t="str">
        <f t="shared" si="489"/>
        <v>R</v>
      </c>
      <c r="K718" s="28">
        <v>18.0</v>
      </c>
      <c r="L718" s="26" t="str">
        <f t="shared" si="490"/>
        <v>R</v>
      </c>
      <c r="M718" s="28">
        <v>6.0</v>
      </c>
      <c r="N718" s="26" t="str">
        <f t="shared" si="491"/>
        <v>R</v>
      </c>
      <c r="O718" s="28">
        <v>22.0</v>
      </c>
      <c r="P718" s="26" t="str">
        <f t="shared" si="492"/>
        <v>I</v>
      </c>
      <c r="Q718" s="28">
        <v>6.0</v>
      </c>
      <c r="R718" s="26" t="str">
        <f t="shared" si="493"/>
        <v>R</v>
      </c>
      <c r="S718" s="28">
        <v>16.0</v>
      </c>
      <c r="T718" s="26" t="str">
        <f t="shared" si="494"/>
        <v>R</v>
      </c>
      <c r="U718" s="28">
        <v>21.0</v>
      </c>
      <c r="V718" s="26" t="str">
        <f t="shared" si="495"/>
        <v>S</v>
      </c>
      <c r="W718" s="32" t="s">
        <v>299</v>
      </c>
      <c r="X718" s="65">
        <v>6.0</v>
      </c>
      <c r="Y718" s="33" t="str">
        <f t="shared" si="496"/>
        <v>R</v>
      </c>
      <c r="Z718" s="65">
        <v>25.0</v>
      </c>
      <c r="AA718" s="33" t="str">
        <f t="shared" si="497"/>
        <v>S</v>
      </c>
      <c r="AB718" s="65">
        <v>6.0</v>
      </c>
      <c r="AC718" s="33" t="str">
        <f t="shared" si="498"/>
        <v>R</v>
      </c>
      <c r="AD718" s="65">
        <v>16.0</v>
      </c>
      <c r="AE718" s="33" t="str">
        <f t="shared" si="499"/>
        <v>S</v>
      </c>
      <c r="AF718" s="65">
        <v>15.0</v>
      </c>
      <c r="AG718" s="33" t="str">
        <f t="shared" si="500"/>
        <v>R</v>
      </c>
      <c r="AH718" s="65" t="s">
        <v>299</v>
      </c>
      <c r="AI718" s="66">
        <v>6.0</v>
      </c>
      <c r="AJ718" s="36" t="str">
        <f t="shared" si="501"/>
        <v>R</v>
      </c>
      <c r="AK718" s="66">
        <v>6.0</v>
      </c>
      <c r="AL718" s="36" t="str">
        <f t="shared" si="502"/>
        <v>R</v>
      </c>
      <c r="AM718" s="66">
        <v>6.0</v>
      </c>
      <c r="AN718" s="36" t="str">
        <f t="shared" si="503"/>
        <v>R</v>
      </c>
      <c r="AO718" s="66" t="s">
        <v>299</v>
      </c>
      <c r="AP718" s="67">
        <v>6.0</v>
      </c>
      <c r="AQ718" s="37" t="str">
        <f t="shared" si="504"/>
        <v>R</v>
      </c>
      <c r="AR718" s="65">
        <v>13.0</v>
      </c>
      <c r="AS718" s="33" t="str">
        <f t="shared" si="505"/>
        <v>R</v>
      </c>
      <c r="AT718" s="65">
        <v>13.0</v>
      </c>
      <c r="AU718" s="33" t="str">
        <f t="shared" si="506"/>
        <v>R</v>
      </c>
      <c r="AV718" s="65" t="s">
        <v>299</v>
      </c>
      <c r="AW718" s="28">
        <v>6.0</v>
      </c>
      <c r="AX718" s="26" t="str">
        <f t="shared" si="507"/>
        <v>R</v>
      </c>
      <c r="AY718" s="67">
        <v>14.0</v>
      </c>
      <c r="AZ718" s="37" t="str">
        <f t="shared" si="508"/>
        <v>R</v>
      </c>
      <c r="BA718" s="66">
        <v>13.0</v>
      </c>
      <c r="BB718" s="36" t="str">
        <f t="shared" si="509"/>
        <v>R</v>
      </c>
      <c r="BC718" s="39" t="s">
        <v>357</v>
      </c>
      <c r="BD718" s="39" t="s">
        <v>357</v>
      </c>
      <c r="BE718" s="66">
        <v>18.0</v>
      </c>
      <c r="BF718" s="36" t="str">
        <f t="shared" si="510"/>
        <v>R</v>
      </c>
      <c r="BG718" s="68">
        <v>16.0</v>
      </c>
      <c r="BH718" s="41" t="str">
        <f t="shared" si="511"/>
        <v>R</v>
      </c>
      <c r="BI718" s="41"/>
    </row>
    <row r="719">
      <c r="A719" s="21" t="s">
        <v>1149</v>
      </c>
      <c r="B719" s="21" t="s">
        <v>444</v>
      </c>
      <c r="C719" s="21" t="s">
        <v>2255</v>
      </c>
      <c r="D719" s="69" t="s">
        <v>571</v>
      </c>
      <c r="E719" s="18" t="s">
        <v>572</v>
      </c>
      <c r="F719" s="18" t="s">
        <v>192</v>
      </c>
      <c r="G719" s="63" t="s">
        <v>2256</v>
      </c>
      <c r="H719" s="52" t="s">
        <v>581</v>
      </c>
      <c r="I719" s="28">
        <v>14.0</v>
      </c>
      <c r="J719" s="26" t="str">
        <f t="shared" si="489"/>
        <v>R</v>
      </c>
      <c r="K719" s="28">
        <v>12.0</v>
      </c>
      <c r="L719" s="26" t="str">
        <f t="shared" si="490"/>
        <v>R</v>
      </c>
      <c r="M719" s="28">
        <v>6.0</v>
      </c>
      <c r="N719" s="26" t="str">
        <f t="shared" si="491"/>
        <v>R</v>
      </c>
      <c r="O719" s="28">
        <v>22.0</v>
      </c>
      <c r="P719" s="26" t="str">
        <f t="shared" si="492"/>
        <v>I</v>
      </c>
      <c r="Q719" s="28">
        <v>6.0</v>
      </c>
      <c r="R719" s="26" t="str">
        <f t="shared" si="493"/>
        <v>R</v>
      </c>
      <c r="S719" s="28">
        <v>15.0</v>
      </c>
      <c r="T719" s="26" t="str">
        <f t="shared" si="494"/>
        <v>R</v>
      </c>
      <c r="U719" s="28">
        <v>25.0</v>
      </c>
      <c r="V719" s="26" t="str">
        <f t="shared" si="495"/>
        <v>S</v>
      </c>
      <c r="W719" s="32" t="s">
        <v>299</v>
      </c>
      <c r="X719" s="65">
        <v>6.0</v>
      </c>
      <c r="Y719" s="33" t="str">
        <f t="shared" si="496"/>
        <v>R</v>
      </c>
      <c r="Z719" s="65">
        <v>21.0</v>
      </c>
      <c r="AA719" s="33" t="str">
        <f t="shared" si="497"/>
        <v>S</v>
      </c>
      <c r="AB719" s="65">
        <v>6.0</v>
      </c>
      <c r="AC719" s="33" t="str">
        <f t="shared" si="498"/>
        <v>R</v>
      </c>
      <c r="AD719" s="65">
        <v>6.0</v>
      </c>
      <c r="AE719" s="33" t="str">
        <f t="shared" si="499"/>
        <v>R</v>
      </c>
      <c r="AF719" s="65">
        <v>6.0</v>
      </c>
      <c r="AG719" s="33" t="str">
        <f t="shared" si="500"/>
        <v>R</v>
      </c>
      <c r="AH719" s="65" t="s">
        <v>299</v>
      </c>
      <c r="AI719" s="66">
        <v>6.0</v>
      </c>
      <c r="AJ719" s="36" t="str">
        <f t="shared" si="501"/>
        <v>R</v>
      </c>
      <c r="AK719" s="66">
        <v>6.0</v>
      </c>
      <c r="AL719" s="36" t="str">
        <f t="shared" si="502"/>
        <v>R</v>
      </c>
      <c r="AM719" s="66">
        <v>6.0</v>
      </c>
      <c r="AN719" s="36" t="str">
        <f t="shared" si="503"/>
        <v>R</v>
      </c>
      <c r="AO719" s="66" t="s">
        <v>299</v>
      </c>
      <c r="AP719" s="67">
        <v>6.0</v>
      </c>
      <c r="AQ719" s="37" t="str">
        <f t="shared" si="504"/>
        <v>R</v>
      </c>
      <c r="AR719" s="65">
        <v>6.0</v>
      </c>
      <c r="AS719" s="33" t="str">
        <f t="shared" si="505"/>
        <v>R</v>
      </c>
      <c r="AT719" s="65">
        <v>6.0</v>
      </c>
      <c r="AU719" s="33" t="str">
        <f t="shared" si="506"/>
        <v>R</v>
      </c>
      <c r="AV719" s="65" t="s">
        <v>299</v>
      </c>
      <c r="AW719" s="28">
        <v>6.0</v>
      </c>
      <c r="AX719" s="26" t="str">
        <f t="shared" si="507"/>
        <v>R</v>
      </c>
      <c r="AY719" s="67">
        <v>6.0</v>
      </c>
      <c r="AZ719" s="37" t="str">
        <f t="shared" si="508"/>
        <v>R</v>
      </c>
      <c r="BA719" s="66">
        <v>22.0</v>
      </c>
      <c r="BB719" s="36" t="str">
        <f t="shared" si="509"/>
        <v>R</v>
      </c>
      <c r="BC719" s="39" t="s">
        <v>357</v>
      </c>
      <c r="BD719" s="39" t="s">
        <v>357</v>
      </c>
      <c r="BE719" s="66">
        <v>6.0</v>
      </c>
      <c r="BF719" s="36" t="str">
        <f t="shared" si="510"/>
        <v>R</v>
      </c>
      <c r="BG719" s="68">
        <v>17.0</v>
      </c>
      <c r="BH719" s="41" t="str">
        <f t="shared" si="511"/>
        <v>S</v>
      </c>
      <c r="BI719" s="41"/>
    </row>
    <row r="720">
      <c r="A720" s="21" t="s">
        <v>1149</v>
      </c>
      <c r="B720" s="23">
        <v>295.0</v>
      </c>
      <c r="C720" s="21" t="s">
        <v>1765</v>
      </c>
      <c r="D720" s="69" t="s">
        <v>705</v>
      </c>
      <c r="E720" s="18" t="s">
        <v>572</v>
      </c>
      <c r="F720" s="18" t="s">
        <v>192</v>
      </c>
      <c r="G720" s="63" t="s">
        <v>1767</v>
      </c>
      <c r="H720" s="22" t="s">
        <v>198</v>
      </c>
      <c r="I720" s="28">
        <v>26.0</v>
      </c>
      <c r="J720" s="26" t="str">
        <f t="shared" si="489"/>
        <v>S</v>
      </c>
      <c r="K720" s="28">
        <v>24.0</v>
      </c>
      <c r="L720" s="26" t="str">
        <f t="shared" si="490"/>
        <v>S</v>
      </c>
      <c r="M720" s="28">
        <v>29.0</v>
      </c>
      <c r="N720" s="26" t="str">
        <f t="shared" si="491"/>
        <v>S</v>
      </c>
      <c r="O720" s="28">
        <v>25.0</v>
      </c>
      <c r="P720" s="26" t="str">
        <f t="shared" si="492"/>
        <v>S</v>
      </c>
      <c r="Q720" s="28">
        <v>22.0</v>
      </c>
      <c r="R720" s="26" t="str">
        <f t="shared" si="493"/>
        <v>S</v>
      </c>
      <c r="S720" s="28">
        <v>15.0</v>
      </c>
      <c r="T720" s="26" t="str">
        <f t="shared" si="494"/>
        <v>R</v>
      </c>
      <c r="U720" s="28">
        <v>12.0</v>
      </c>
      <c r="V720" s="26" t="str">
        <f t="shared" si="495"/>
        <v>R</v>
      </c>
      <c r="W720" s="32" t="s">
        <v>299</v>
      </c>
      <c r="X720" s="65">
        <v>28.0</v>
      </c>
      <c r="Y720" s="33" t="str">
        <f t="shared" si="496"/>
        <v>S</v>
      </c>
      <c r="Z720" s="65">
        <v>23.0</v>
      </c>
      <c r="AA720" s="33" t="str">
        <f t="shared" si="497"/>
        <v>S</v>
      </c>
      <c r="AB720" s="65">
        <v>26.0</v>
      </c>
      <c r="AC720" s="33" t="str">
        <f t="shared" si="498"/>
        <v>S</v>
      </c>
      <c r="AD720" s="65">
        <v>18.0</v>
      </c>
      <c r="AE720" s="33" t="str">
        <f t="shared" si="499"/>
        <v>S</v>
      </c>
      <c r="AF720" s="65">
        <v>31.0</v>
      </c>
      <c r="AG720" s="33" t="str">
        <f t="shared" si="500"/>
        <v>S</v>
      </c>
      <c r="AH720" s="33" t="s">
        <v>300</v>
      </c>
      <c r="AI720" s="66">
        <v>36.0</v>
      </c>
      <c r="AJ720" s="36" t="str">
        <f t="shared" si="501"/>
        <v>S</v>
      </c>
      <c r="AK720" s="66">
        <v>27.0</v>
      </c>
      <c r="AL720" s="36" t="str">
        <f t="shared" si="502"/>
        <v>S</v>
      </c>
      <c r="AM720" s="66">
        <v>18.0</v>
      </c>
      <c r="AN720" s="36" t="str">
        <f t="shared" si="503"/>
        <v>S</v>
      </c>
      <c r="AO720" s="36" t="s">
        <v>300</v>
      </c>
      <c r="AP720" s="67">
        <v>21.0</v>
      </c>
      <c r="AQ720" s="37" t="str">
        <f t="shared" si="504"/>
        <v>S</v>
      </c>
      <c r="AR720" s="65">
        <v>15.0</v>
      </c>
      <c r="AS720" s="33" t="str">
        <f t="shared" si="505"/>
        <v>R</v>
      </c>
      <c r="AT720" s="65">
        <v>24.0</v>
      </c>
      <c r="AU720" s="33" t="str">
        <f t="shared" si="506"/>
        <v>S</v>
      </c>
      <c r="AV720" s="65" t="s">
        <v>299</v>
      </c>
      <c r="AW720" s="28">
        <v>25.0</v>
      </c>
      <c r="AX720" s="26" t="str">
        <f t="shared" si="507"/>
        <v>S</v>
      </c>
      <c r="AY720" s="67">
        <v>22.0</v>
      </c>
      <c r="AZ720" s="37" t="str">
        <f t="shared" si="508"/>
        <v>I</v>
      </c>
      <c r="BA720" s="66">
        <v>25.0</v>
      </c>
      <c r="BB720" s="36" t="str">
        <f t="shared" si="509"/>
        <v>S</v>
      </c>
      <c r="BC720" s="39" t="s">
        <v>357</v>
      </c>
      <c r="BD720" s="39" t="s">
        <v>357</v>
      </c>
      <c r="BE720" s="66">
        <v>28.0</v>
      </c>
      <c r="BF720" s="36" t="str">
        <f t="shared" si="510"/>
        <v>S</v>
      </c>
      <c r="BG720" s="68">
        <v>18.0</v>
      </c>
      <c r="BH720" s="41" t="str">
        <f t="shared" si="511"/>
        <v>S</v>
      </c>
      <c r="BI720" s="41"/>
    </row>
    <row r="721">
      <c r="A721" s="21" t="s">
        <v>1149</v>
      </c>
      <c r="B721" s="21" t="s">
        <v>444</v>
      </c>
      <c r="C721" s="21" t="s">
        <v>2257</v>
      </c>
      <c r="D721" s="69" t="s">
        <v>705</v>
      </c>
      <c r="E721" s="18" t="s">
        <v>572</v>
      </c>
      <c r="F721" s="18" t="s">
        <v>192</v>
      </c>
      <c r="G721" s="63" t="s">
        <v>2258</v>
      </c>
      <c r="H721" s="22" t="s">
        <v>198</v>
      </c>
      <c r="I721" s="28">
        <v>26.0</v>
      </c>
      <c r="J721" s="26" t="str">
        <f t="shared" si="489"/>
        <v>S</v>
      </c>
      <c r="K721" s="28">
        <v>24.0</v>
      </c>
      <c r="L721" s="26" t="str">
        <f t="shared" si="490"/>
        <v>S</v>
      </c>
      <c r="M721" s="28">
        <v>29.0</v>
      </c>
      <c r="N721" s="26" t="str">
        <f t="shared" si="491"/>
        <v>S</v>
      </c>
      <c r="O721" s="28">
        <v>25.0</v>
      </c>
      <c r="P721" s="26" t="str">
        <f t="shared" si="492"/>
        <v>S</v>
      </c>
      <c r="Q721" s="28">
        <v>22.0</v>
      </c>
      <c r="R721" s="26" t="str">
        <f t="shared" si="493"/>
        <v>S</v>
      </c>
      <c r="S721" s="28">
        <v>15.0</v>
      </c>
      <c r="T721" s="26" t="str">
        <f t="shared" si="494"/>
        <v>R</v>
      </c>
      <c r="U721" s="28">
        <v>12.0</v>
      </c>
      <c r="V721" s="26" t="str">
        <f t="shared" si="495"/>
        <v>R</v>
      </c>
      <c r="W721" s="32" t="s">
        <v>299</v>
      </c>
      <c r="X721" s="65">
        <v>28.0</v>
      </c>
      <c r="Y721" s="33" t="str">
        <f t="shared" si="496"/>
        <v>S</v>
      </c>
      <c r="Z721" s="65">
        <v>23.0</v>
      </c>
      <c r="AA721" s="33" t="str">
        <f t="shared" si="497"/>
        <v>S</v>
      </c>
      <c r="AB721" s="65">
        <v>26.0</v>
      </c>
      <c r="AC721" s="33" t="str">
        <f t="shared" si="498"/>
        <v>S</v>
      </c>
      <c r="AD721" s="65">
        <v>18.0</v>
      </c>
      <c r="AE721" s="33" t="str">
        <f t="shared" si="499"/>
        <v>S</v>
      </c>
      <c r="AF721" s="65">
        <v>31.0</v>
      </c>
      <c r="AG721" s="33" t="str">
        <f t="shared" si="500"/>
        <v>S</v>
      </c>
      <c r="AH721" s="33" t="s">
        <v>300</v>
      </c>
      <c r="AI721" s="66">
        <v>36.0</v>
      </c>
      <c r="AJ721" s="36" t="str">
        <f t="shared" si="501"/>
        <v>S</v>
      </c>
      <c r="AK721" s="66">
        <v>27.0</v>
      </c>
      <c r="AL721" s="36" t="str">
        <f t="shared" si="502"/>
        <v>S</v>
      </c>
      <c r="AM721" s="66">
        <v>18.0</v>
      </c>
      <c r="AN721" s="36" t="str">
        <f t="shared" si="503"/>
        <v>S</v>
      </c>
      <c r="AO721" s="36" t="s">
        <v>300</v>
      </c>
      <c r="AP721" s="67">
        <v>21.0</v>
      </c>
      <c r="AQ721" s="37" t="str">
        <f t="shared" si="504"/>
        <v>S</v>
      </c>
      <c r="AR721" s="65">
        <v>15.0</v>
      </c>
      <c r="AS721" s="33" t="str">
        <f t="shared" si="505"/>
        <v>R</v>
      </c>
      <c r="AT721" s="65">
        <v>24.0</v>
      </c>
      <c r="AU721" s="33" t="str">
        <f t="shared" si="506"/>
        <v>S</v>
      </c>
      <c r="AV721" s="65" t="s">
        <v>299</v>
      </c>
      <c r="AW721" s="28">
        <v>25.0</v>
      </c>
      <c r="AX721" s="26" t="str">
        <f t="shared" si="507"/>
        <v>S</v>
      </c>
      <c r="AY721" s="67">
        <v>22.0</v>
      </c>
      <c r="AZ721" s="37" t="str">
        <f t="shared" si="508"/>
        <v>I</v>
      </c>
      <c r="BA721" s="66">
        <v>25.0</v>
      </c>
      <c r="BB721" s="36" t="str">
        <f t="shared" si="509"/>
        <v>S</v>
      </c>
      <c r="BC721" s="39" t="s">
        <v>357</v>
      </c>
      <c r="BD721" s="39" t="s">
        <v>357</v>
      </c>
      <c r="BE721" s="66">
        <v>28.0</v>
      </c>
      <c r="BF721" s="36" t="str">
        <f t="shared" si="510"/>
        <v>S</v>
      </c>
      <c r="BG721" s="68">
        <v>18.0</v>
      </c>
      <c r="BH721" s="41" t="str">
        <f t="shared" si="511"/>
        <v>S</v>
      </c>
      <c r="BI721" s="41"/>
    </row>
    <row r="722">
      <c r="A722" s="21" t="s">
        <v>1149</v>
      </c>
      <c r="B722" s="21" t="s">
        <v>444</v>
      </c>
      <c r="C722" s="21" t="s">
        <v>2259</v>
      </c>
      <c r="D722" s="69" t="s">
        <v>705</v>
      </c>
      <c r="E722" s="18" t="s">
        <v>572</v>
      </c>
      <c r="F722" s="18" t="s">
        <v>192</v>
      </c>
      <c r="G722" s="63" t="s">
        <v>2260</v>
      </c>
      <c r="H722" s="22" t="s">
        <v>198</v>
      </c>
      <c r="I722" s="28">
        <v>26.0</v>
      </c>
      <c r="J722" s="26" t="str">
        <f t="shared" si="489"/>
        <v>S</v>
      </c>
      <c r="K722" s="28">
        <v>24.0</v>
      </c>
      <c r="L722" s="26" t="str">
        <f t="shared" si="490"/>
        <v>S</v>
      </c>
      <c r="M722" s="28">
        <v>29.0</v>
      </c>
      <c r="N722" s="26" t="str">
        <f t="shared" si="491"/>
        <v>S</v>
      </c>
      <c r="O722" s="28">
        <v>25.0</v>
      </c>
      <c r="P722" s="26" t="str">
        <f t="shared" si="492"/>
        <v>S</v>
      </c>
      <c r="Q722" s="28">
        <v>22.0</v>
      </c>
      <c r="R722" s="26" t="str">
        <f t="shared" si="493"/>
        <v>S</v>
      </c>
      <c r="S722" s="28">
        <v>15.0</v>
      </c>
      <c r="T722" s="26" t="str">
        <f t="shared" si="494"/>
        <v>R</v>
      </c>
      <c r="U722" s="28">
        <v>12.0</v>
      </c>
      <c r="V722" s="26" t="str">
        <f t="shared" si="495"/>
        <v>R</v>
      </c>
      <c r="W722" s="32" t="s">
        <v>299</v>
      </c>
      <c r="X722" s="65">
        <v>28.0</v>
      </c>
      <c r="Y722" s="33" t="str">
        <f t="shared" si="496"/>
        <v>S</v>
      </c>
      <c r="Z722" s="65">
        <v>23.0</v>
      </c>
      <c r="AA722" s="33" t="str">
        <f t="shared" si="497"/>
        <v>S</v>
      </c>
      <c r="AB722" s="65">
        <v>26.0</v>
      </c>
      <c r="AC722" s="33" t="str">
        <f t="shared" si="498"/>
        <v>S</v>
      </c>
      <c r="AD722" s="65">
        <v>18.0</v>
      </c>
      <c r="AE722" s="33" t="str">
        <f t="shared" si="499"/>
        <v>S</v>
      </c>
      <c r="AF722" s="65">
        <v>31.0</v>
      </c>
      <c r="AG722" s="33" t="str">
        <f t="shared" si="500"/>
        <v>S</v>
      </c>
      <c r="AH722" s="33" t="s">
        <v>300</v>
      </c>
      <c r="AI722" s="66">
        <v>36.0</v>
      </c>
      <c r="AJ722" s="36" t="str">
        <f t="shared" si="501"/>
        <v>S</v>
      </c>
      <c r="AK722" s="66">
        <v>27.0</v>
      </c>
      <c r="AL722" s="36" t="str">
        <f t="shared" si="502"/>
        <v>S</v>
      </c>
      <c r="AM722" s="66">
        <v>18.0</v>
      </c>
      <c r="AN722" s="36" t="str">
        <f t="shared" si="503"/>
        <v>S</v>
      </c>
      <c r="AO722" s="36" t="s">
        <v>300</v>
      </c>
      <c r="AP722" s="67">
        <v>21.0</v>
      </c>
      <c r="AQ722" s="37" t="str">
        <f t="shared" si="504"/>
        <v>S</v>
      </c>
      <c r="AR722" s="65">
        <v>15.0</v>
      </c>
      <c r="AS722" s="33" t="str">
        <f t="shared" si="505"/>
        <v>R</v>
      </c>
      <c r="AT722" s="65">
        <v>24.0</v>
      </c>
      <c r="AU722" s="33" t="str">
        <f t="shared" si="506"/>
        <v>S</v>
      </c>
      <c r="AV722" s="65" t="s">
        <v>299</v>
      </c>
      <c r="AW722" s="28">
        <v>25.0</v>
      </c>
      <c r="AX722" s="26" t="str">
        <f t="shared" si="507"/>
        <v>S</v>
      </c>
      <c r="AY722" s="67">
        <v>22.0</v>
      </c>
      <c r="AZ722" s="37" t="str">
        <f t="shared" si="508"/>
        <v>I</v>
      </c>
      <c r="BA722" s="66">
        <v>25.0</v>
      </c>
      <c r="BB722" s="36" t="str">
        <f t="shared" si="509"/>
        <v>S</v>
      </c>
      <c r="BC722" s="39" t="s">
        <v>357</v>
      </c>
      <c r="BD722" s="39" t="s">
        <v>357</v>
      </c>
      <c r="BE722" s="66">
        <v>28.0</v>
      </c>
      <c r="BF722" s="36" t="str">
        <f t="shared" si="510"/>
        <v>S</v>
      </c>
      <c r="BG722" s="68">
        <v>18.0</v>
      </c>
      <c r="BH722" s="41" t="str">
        <f t="shared" si="511"/>
        <v>S</v>
      </c>
      <c r="BI722" s="41"/>
    </row>
    <row r="723">
      <c r="A723" s="51" t="s">
        <v>1156</v>
      </c>
      <c r="B723" s="53">
        <v>296.0</v>
      </c>
      <c r="C723" s="51" t="s">
        <v>1240</v>
      </c>
      <c r="D723" s="69" t="s">
        <v>190</v>
      </c>
      <c r="E723" s="18" t="s">
        <v>190</v>
      </c>
      <c r="F723" s="18" t="s">
        <v>192</v>
      </c>
      <c r="G723" s="63" t="s">
        <v>1241</v>
      </c>
      <c r="H723" s="22" t="s">
        <v>198</v>
      </c>
      <c r="I723" s="28">
        <v>6.0</v>
      </c>
      <c r="J723" s="26" t="str">
        <f t="shared" si="489"/>
        <v>R</v>
      </c>
      <c r="K723" s="28">
        <v>14.0</v>
      </c>
      <c r="L723" s="26" t="str">
        <f t="shared" si="490"/>
        <v>R</v>
      </c>
      <c r="M723" s="28">
        <v>6.0</v>
      </c>
      <c r="N723" s="26" t="str">
        <f t="shared" si="491"/>
        <v>R</v>
      </c>
      <c r="O723" s="28">
        <v>22.0</v>
      </c>
      <c r="P723" s="26" t="str">
        <f t="shared" si="492"/>
        <v>I</v>
      </c>
      <c r="Q723" s="28">
        <v>6.0</v>
      </c>
      <c r="R723" s="26" t="str">
        <f t="shared" si="493"/>
        <v>R</v>
      </c>
      <c r="S723" s="28">
        <v>11.0</v>
      </c>
      <c r="T723" s="26" t="str">
        <f t="shared" si="494"/>
        <v>R</v>
      </c>
      <c r="U723" s="28">
        <v>16.0</v>
      </c>
      <c r="V723" s="26" t="str">
        <f t="shared" si="495"/>
        <v>R</v>
      </c>
      <c r="W723" s="32" t="s">
        <v>299</v>
      </c>
      <c r="X723" s="65">
        <v>6.0</v>
      </c>
      <c r="Y723" s="33" t="str">
        <f t="shared" si="496"/>
        <v>R</v>
      </c>
      <c r="Z723" s="65">
        <v>10.0</v>
      </c>
      <c r="AA723" s="33" t="str">
        <f t="shared" si="497"/>
        <v>R</v>
      </c>
      <c r="AB723" s="65">
        <v>6.0</v>
      </c>
      <c r="AC723" s="33" t="str">
        <f t="shared" si="498"/>
        <v>R</v>
      </c>
      <c r="AD723" s="65">
        <v>20.0</v>
      </c>
      <c r="AE723" s="33" t="str">
        <f t="shared" si="499"/>
        <v>S</v>
      </c>
      <c r="AF723" s="65">
        <v>11.0</v>
      </c>
      <c r="AG723" s="33" t="str">
        <f t="shared" si="500"/>
        <v>R</v>
      </c>
      <c r="AH723" s="65" t="s">
        <v>299</v>
      </c>
      <c r="AI723" s="66">
        <v>20.0</v>
      </c>
      <c r="AJ723" s="36" t="str">
        <f t="shared" si="501"/>
        <v>R</v>
      </c>
      <c r="AK723" s="66">
        <v>14.0</v>
      </c>
      <c r="AL723" s="36" t="str">
        <f t="shared" si="502"/>
        <v>R</v>
      </c>
      <c r="AM723" s="66">
        <v>11.0</v>
      </c>
      <c r="AN723" s="36" t="str">
        <f t="shared" si="503"/>
        <v>R</v>
      </c>
      <c r="AO723" s="66" t="s">
        <v>299</v>
      </c>
      <c r="AP723" s="67">
        <v>6.0</v>
      </c>
      <c r="AQ723" s="37" t="str">
        <f t="shared" si="504"/>
        <v>R</v>
      </c>
      <c r="AR723" s="65">
        <v>20.0</v>
      </c>
      <c r="AS723" s="33" t="str">
        <f t="shared" si="505"/>
        <v>S</v>
      </c>
      <c r="AT723" s="65">
        <v>20.0</v>
      </c>
      <c r="AU723" s="33" t="str">
        <f t="shared" si="506"/>
        <v>S</v>
      </c>
      <c r="AV723" s="33" t="s">
        <v>300</v>
      </c>
      <c r="AW723" s="28">
        <v>6.0</v>
      </c>
      <c r="AX723" s="26" t="str">
        <f t="shared" si="507"/>
        <v>R</v>
      </c>
      <c r="AY723" s="67">
        <v>6.0</v>
      </c>
      <c r="AZ723" s="37" t="str">
        <f t="shared" si="508"/>
        <v>R</v>
      </c>
      <c r="BA723" s="66">
        <v>14.0</v>
      </c>
      <c r="BB723" s="36" t="str">
        <f t="shared" si="509"/>
        <v>R</v>
      </c>
      <c r="BC723" s="39" t="s">
        <v>357</v>
      </c>
      <c r="BD723" s="39" t="s">
        <v>357</v>
      </c>
      <c r="BE723" s="66">
        <v>16.0</v>
      </c>
      <c r="BF723" s="36" t="str">
        <f t="shared" si="510"/>
        <v>R</v>
      </c>
      <c r="BG723" s="68">
        <v>14.0</v>
      </c>
      <c r="BH723" s="41" t="str">
        <f t="shared" si="511"/>
        <v>R</v>
      </c>
      <c r="BI723" s="41"/>
    </row>
    <row r="724">
      <c r="A724" s="51" t="s">
        <v>1156</v>
      </c>
      <c r="B724" s="51" t="s">
        <v>444</v>
      </c>
      <c r="C724" s="51" t="s">
        <v>2261</v>
      </c>
      <c r="D724" s="69" t="s">
        <v>190</v>
      </c>
      <c r="E724" s="18" t="s">
        <v>190</v>
      </c>
      <c r="F724" s="18" t="s">
        <v>192</v>
      </c>
      <c r="G724" s="63" t="s">
        <v>2262</v>
      </c>
      <c r="H724" s="22" t="s">
        <v>198</v>
      </c>
      <c r="I724" s="28">
        <v>6.0</v>
      </c>
      <c r="J724" s="26" t="str">
        <f t="shared" si="489"/>
        <v>R</v>
      </c>
      <c r="K724" s="28">
        <v>6.0</v>
      </c>
      <c r="L724" s="26" t="str">
        <f t="shared" si="490"/>
        <v>R</v>
      </c>
      <c r="M724" s="28">
        <v>6.0</v>
      </c>
      <c r="N724" s="26" t="str">
        <f t="shared" si="491"/>
        <v>R</v>
      </c>
      <c r="O724" s="28">
        <v>20.0</v>
      </c>
      <c r="P724" s="26" t="str">
        <f t="shared" si="492"/>
        <v>I</v>
      </c>
      <c r="Q724" s="28">
        <v>6.0</v>
      </c>
      <c r="R724" s="26" t="str">
        <f t="shared" si="493"/>
        <v>R</v>
      </c>
      <c r="S724" s="28">
        <v>22.0</v>
      </c>
      <c r="T724" s="26" t="str">
        <f t="shared" si="494"/>
        <v>S</v>
      </c>
      <c r="U724" s="28">
        <v>13.0</v>
      </c>
      <c r="V724" s="26" t="str">
        <f t="shared" si="495"/>
        <v>R</v>
      </c>
      <c r="W724" s="32" t="s">
        <v>299</v>
      </c>
      <c r="X724" s="65">
        <v>9.0</v>
      </c>
      <c r="Y724" s="33" t="str">
        <f t="shared" si="496"/>
        <v>R</v>
      </c>
      <c r="Z724" s="65">
        <v>9.0</v>
      </c>
      <c r="AA724" s="33" t="str">
        <f t="shared" si="497"/>
        <v>R</v>
      </c>
      <c r="AB724" s="65">
        <v>6.0</v>
      </c>
      <c r="AC724" s="33" t="str">
        <f t="shared" si="498"/>
        <v>R</v>
      </c>
      <c r="AD724" s="65">
        <v>23.0</v>
      </c>
      <c r="AE724" s="33" t="str">
        <f t="shared" si="499"/>
        <v>S</v>
      </c>
      <c r="AF724" s="65">
        <v>6.0</v>
      </c>
      <c r="AG724" s="33" t="str">
        <f t="shared" si="500"/>
        <v>R</v>
      </c>
      <c r="AH724" s="65" t="s">
        <v>299</v>
      </c>
      <c r="AI724" s="66">
        <v>6.0</v>
      </c>
      <c r="AJ724" s="36" t="str">
        <f t="shared" si="501"/>
        <v>R</v>
      </c>
      <c r="AK724" s="66">
        <v>6.0</v>
      </c>
      <c r="AL724" s="36" t="str">
        <f t="shared" si="502"/>
        <v>R</v>
      </c>
      <c r="AM724" s="66">
        <v>6.0</v>
      </c>
      <c r="AN724" s="36" t="str">
        <f t="shared" si="503"/>
        <v>R</v>
      </c>
      <c r="AO724" s="66" t="s">
        <v>299</v>
      </c>
      <c r="AP724" s="67">
        <v>6.0</v>
      </c>
      <c r="AQ724" s="37" t="str">
        <f t="shared" si="504"/>
        <v>R</v>
      </c>
      <c r="AR724" s="65">
        <v>12.0</v>
      </c>
      <c r="AS724" s="33" t="str">
        <f t="shared" si="505"/>
        <v>R</v>
      </c>
      <c r="AT724" s="65">
        <v>12.0</v>
      </c>
      <c r="AU724" s="33" t="str">
        <f t="shared" si="506"/>
        <v>R</v>
      </c>
      <c r="AV724" s="65" t="s">
        <v>299</v>
      </c>
      <c r="AW724" s="28">
        <v>6.0</v>
      </c>
      <c r="AX724" s="26" t="str">
        <f t="shared" si="507"/>
        <v>R</v>
      </c>
      <c r="AY724" s="67">
        <v>11.0</v>
      </c>
      <c r="AZ724" s="37" t="str">
        <f t="shared" si="508"/>
        <v>R</v>
      </c>
      <c r="BA724" s="66">
        <v>18.0</v>
      </c>
      <c r="BB724" s="36" t="str">
        <f t="shared" si="509"/>
        <v>R</v>
      </c>
      <c r="BC724" s="39" t="s">
        <v>357</v>
      </c>
      <c r="BD724" s="39" t="s">
        <v>357</v>
      </c>
      <c r="BE724" s="66">
        <v>18.0</v>
      </c>
      <c r="BF724" s="36" t="str">
        <f t="shared" si="510"/>
        <v>R</v>
      </c>
      <c r="BG724" s="68">
        <v>6.0</v>
      </c>
      <c r="BH724" s="41" t="str">
        <f t="shared" si="511"/>
        <v>R</v>
      </c>
      <c r="BI724" s="41"/>
    </row>
    <row r="725">
      <c r="A725" s="51" t="s">
        <v>1156</v>
      </c>
      <c r="B725" s="51" t="s">
        <v>444</v>
      </c>
      <c r="C725" s="51" t="s">
        <v>2263</v>
      </c>
      <c r="D725" s="69" t="s">
        <v>190</v>
      </c>
      <c r="E725" s="18" t="s">
        <v>190</v>
      </c>
      <c r="F725" s="18" t="s">
        <v>192</v>
      </c>
      <c r="G725" s="63" t="s">
        <v>2264</v>
      </c>
      <c r="H725" s="22" t="s">
        <v>198</v>
      </c>
      <c r="I725" s="28">
        <v>11.0</v>
      </c>
      <c r="J725" s="26" t="str">
        <f t="shared" si="489"/>
        <v>R</v>
      </c>
      <c r="K725" s="28">
        <v>9.0</v>
      </c>
      <c r="L725" s="26" t="str">
        <f t="shared" si="490"/>
        <v>R</v>
      </c>
      <c r="M725" s="28">
        <v>6.0</v>
      </c>
      <c r="N725" s="26" t="str">
        <f t="shared" si="491"/>
        <v>R</v>
      </c>
      <c r="O725" s="28">
        <v>20.0</v>
      </c>
      <c r="P725" s="26" t="str">
        <f t="shared" si="492"/>
        <v>I</v>
      </c>
      <c r="Q725" s="28">
        <v>6.0</v>
      </c>
      <c r="R725" s="26" t="str">
        <f t="shared" si="493"/>
        <v>R</v>
      </c>
      <c r="S725" s="28">
        <v>21.0</v>
      </c>
      <c r="T725" s="26" t="str">
        <f t="shared" si="494"/>
        <v>S</v>
      </c>
      <c r="U725" s="28">
        <v>13.0</v>
      </c>
      <c r="V725" s="26" t="str">
        <f t="shared" si="495"/>
        <v>R</v>
      </c>
      <c r="W725" s="32" t="s">
        <v>299</v>
      </c>
      <c r="X725" s="65">
        <v>6.0</v>
      </c>
      <c r="Y725" s="33" t="str">
        <f t="shared" si="496"/>
        <v>R</v>
      </c>
      <c r="Z725" s="65">
        <v>6.0</v>
      </c>
      <c r="AA725" s="33" t="str">
        <f t="shared" si="497"/>
        <v>R</v>
      </c>
      <c r="AB725" s="65">
        <v>12.0</v>
      </c>
      <c r="AC725" s="33" t="str">
        <f t="shared" si="498"/>
        <v>R</v>
      </c>
      <c r="AD725" s="65">
        <v>22.0</v>
      </c>
      <c r="AE725" s="33" t="str">
        <f t="shared" si="499"/>
        <v>S</v>
      </c>
      <c r="AF725" s="65">
        <v>6.0</v>
      </c>
      <c r="AG725" s="33" t="str">
        <f t="shared" si="500"/>
        <v>R</v>
      </c>
      <c r="AH725" s="65" t="s">
        <v>299</v>
      </c>
      <c r="AI725" s="66">
        <v>9.0</v>
      </c>
      <c r="AJ725" s="36" t="str">
        <f t="shared" si="501"/>
        <v>R</v>
      </c>
      <c r="AK725" s="66">
        <v>6.0</v>
      </c>
      <c r="AL725" s="36" t="str">
        <f t="shared" si="502"/>
        <v>R</v>
      </c>
      <c r="AM725" s="66">
        <v>6.0</v>
      </c>
      <c r="AN725" s="36" t="str">
        <f t="shared" si="503"/>
        <v>R</v>
      </c>
      <c r="AO725" s="66" t="s">
        <v>299</v>
      </c>
      <c r="AP725" s="67">
        <v>6.0</v>
      </c>
      <c r="AQ725" s="37" t="str">
        <f t="shared" si="504"/>
        <v>R</v>
      </c>
      <c r="AR725" s="65">
        <v>15.0</v>
      </c>
      <c r="AS725" s="33" t="str">
        <f t="shared" si="505"/>
        <v>R</v>
      </c>
      <c r="AT725" s="65">
        <v>14.0</v>
      </c>
      <c r="AU725" s="33" t="str">
        <f t="shared" si="506"/>
        <v>R</v>
      </c>
      <c r="AV725" s="65" t="s">
        <v>299</v>
      </c>
      <c r="AW725" s="28">
        <v>9.0</v>
      </c>
      <c r="AX725" s="26" t="str">
        <f t="shared" si="507"/>
        <v>R</v>
      </c>
      <c r="AY725" s="67">
        <v>10.0</v>
      </c>
      <c r="AZ725" s="37" t="str">
        <f t="shared" si="508"/>
        <v>R</v>
      </c>
      <c r="BA725" s="66">
        <v>22.0</v>
      </c>
      <c r="BB725" s="36" t="str">
        <f t="shared" si="509"/>
        <v>R</v>
      </c>
      <c r="BC725" s="39" t="s">
        <v>357</v>
      </c>
      <c r="BD725" s="39" t="s">
        <v>357</v>
      </c>
      <c r="BE725" s="66">
        <v>16.0</v>
      </c>
      <c r="BF725" s="36" t="str">
        <f t="shared" si="510"/>
        <v>R</v>
      </c>
      <c r="BG725" s="68">
        <v>6.0</v>
      </c>
      <c r="BH725" s="41" t="str">
        <f t="shared" si="511"/>
        <v>R</v>
      </c>
      <c r="BI725" s="41"/>
    </row>
    <row r="726">
      <c r="A726" s="51" t="s">
        <v>1156</v>
      </c>
      <c r="B726" s="53">
        <v>297.0</v>
      </c>
      <c r="C726" s="51" t="s">
        <v>1243</v>
      </c>
      <c r="D726" s="69" t="s">
        <v>190</v>
      </c>
      <c r="E726" s="18" t="s">
        <v>190</v>
      </c>
      <c r="F726" s="18" t="s">
        <v>192</v>
      </c>
      <c r="G726" s="63" t="s">
        <v>1244</v>
      </c>
      <c r="H726" s="22" t="s">
        <v>198</v>
      </c>
      <c r="I726" s="28">
        <v>21.0</v>
      </c>
      <c r="J726" s="26" t="str">
        <f t="shared" si="489"/>
        <v>S</v>
      </c>
      <c r="K726" s="28">
        <v>22.0</v>
      </c>
      <c r="L726" s="26" t="str">
        <f t="shared" si="490"/>
        <v>S</v>
      </c>
      <c r="M726" s="28">
        <v>6.0</v>
      </c>
      <c r="N726" s="26" t="str">
        <f t="shared" si="491"/>
        <v>R</v>
      </c>
      <c r="O726" s="28">
        <v>35.0</v>
      </c>
      <c r="P726" s="26" t="str">
        <f t="shared" si="492"/>
        <v>S</v>
      </c>
      <c r="Q726" s="28">
        <v>6.0</v>
      </c>
      <c r="R726" s="26" t="str">
        <f t="shared" si="493"/>
        <v>R</v>
      </c>
      <c r="S726" s="28">
        <v>21.0</v>
      </c>
      <c r="T726" s="26" t="str">
        <f t="shared" si="494"/>
        <v>S</v>
      </c>
      <c r="U726" s="28">
        <v>25.0</v>
      </c>
      <c r="V726" s="26" t="str">
        <f t="shared" si="495"/>
        <v>S</v>
      </c>
      <c r="W726" s="32" t="s">
        <v>299</v>
      </c>
      <c r="X726" s="65">
        <v>19.0</v>
      </c>
      <c r="Y726" s="33" t="str">
        <f t="shared" si="496"/>
        <v>I</v>
      </c>
      <c r="Z726" s="65">
        <v>18.0</v>
      </c>
      <c r="AA726" s="33" t="str">
        <f t="shared" si="497"/>
        <v>S</v>
      </c>
      <c r="AB726" s="65">
        <v>22.0</v>
      </c>
      <c r="AC726" s="33" t="str">
        <f t="shared" si="498"/>
        <v>S</v>
      </c>
      <c r="AD726" s="65">
        <v>29.0</v>
      </c>
      <c r="AE726" s="33" t="str">
        <f t="shared" si="499"/>
        <v>S</v>
      </c>
      <c r="AF726" s="65">
        <v>20.0</v>
      </c>
      <c r="AG726" s="33" t="str">
        <f t="shared" si="500"/>
        <v>R</v>
      </c>
      <c r="AH726" s="65" t="s">
        <v>299</v>
      </c>
      <c r="AI726" s="66">
        <v>21.0</v>
      </c>
      <c r="AJ726" s="36" t="str">
        <f t="shared" si="501"/>
        <v>R</v>
      </c>
      <c r="AK726" s="66">
        <v>21.0</v>
      </c>
      <c r="AL726" s="36" t="str">
        <f t="shared" si="502"/>
        <v>I</v>
      </c>
      <c r="AM726" s="66">
        <v>22.0</v>
      </c>
      <c r="AN726" s="36" t="str">
        <f t="shared" si="503"/>
        <v>S</v>
      </c>
      <c r="AO726" s="66" t="s">
        <v>299</v>
      </c>
      <c r="AP726" s="67">
        <v>6.0</v>
      </c>
      <c r="AQ726" s="37" t="str">
        <f t="shared" si="504"/>
        <v>R</v>
      </c>
      <c r="AR726" s="65">
        <v>15.0</v>
      </c>
      <c r="AS726" s="33" t="str">
        <f t="shared" si="505"/>
        <v>R</v>
      </c>
      <c r="AT726" s="65">
        <v>28.0</v>
      </c>
      <c r="AU726" s="33" t="str">
        <f t="shared" si="506"/>
        <v>S</v>
      </c>
      <c r="AV726" s="65" t="s">
        <v>299</v>
      </c>
      <c r="AW726" s="28">
        <v>21.0</v>
      </c>
      <c r="AX726" s="26" t="str">
        <f t="shared" si="507"/>
        <v>S</v>
      </c>
      <c r="AY726" s="67">
        <v>18.0</v>
      </c>
      <c r="AZ726" s="37" t="str">
        <f t="shared" si="508"/>
        <v>R</v>
      </c>
      <c r="BA726" s="66">
        <v>25.0</v>
      </c>
      <c r="BB726" s="36" t="str">
        <f t="shared" si="509"/>
        <v>S</v>
      </c>
      <c r="BC726" s="39" t="s">
        <v>357</v>
      </c>
      <c r="BD726" s="39" t="s">
        <v>357</v>
      </c>
      <c r="BE726" s="66">
        <v>26.0</v>
      </c>
      <c r="BF726" s="36" t="str">
        <f t="shared" si="510"/>
        <v>S</v>
      </c>
      <c r="BG726" s="68">
        <v>13.0</v>
      </c>
      <c r="BH726" s="41" t="str">
        <f t="shared" si="511"/>
        <v>R</v>
      </c>
      <c r="BI726" s="41"/>
    </row>
    <row r="727">
      <c r="A727" s="51" t="s">
        <v>1156</v>
      </c>
      <c r="B727" s="51" t="s">
        <v>444</v>
      </c>
      <c r="C727" s="51" t="s">
        <v>2265</v>
      </c>
      <c r="D727" s="69" t="s">
        <v>190</v>
      </c>
      <c r="E727" s="18" t="s">
        <v>190</v>
      </c>
      <c r="F727" s="18" t="s">
        <v>192</v>
      </c>
      <c r="G727" s="63" t="s">
        <v>2266</v>
      </c>
      <c r="H727" s="22" t="s">
        <v>198</v>
      </c>
      <c r="I727" s="28">
        <v>20.0</v>
      </c>
      <c r="J727" s="26" t="str">
        <f t="shared" si="489"/>
        <v>S</v>
      </c>
      <c r="K727" s="28">
        <v>20.0</v>
      </c>
      <c r="L727" s="26" t="str">
        <f t="shared" si="490"/>
        <v>S</v>
      </c>
      <c r="M727" s="28">
        <v>6.0</v>
      </c>
      <c r="N727" s="26" t="str">
        <f t="shared" si="491"/>
        <v>R</v>
      </c>
      <c r="O727" s="28">
        <v>35.0</v>
      </c>
      <c r="P727" s="26" t="str">
        <f t="shared" si="492"/>
        <v>S</v>
      </c>
      <c r="Q727" s="28">
        <v>6.0</v>
      </c>
      <c r="R727" s="26" t="str">
        <f t="shared" si="493"/>
        <v>R</v>
      </c>
      <c r="S727" s="28">
        <v>21.0</v>
      </c>
      <c r="T727" s="26" t="str">
        <f t="shared" si="494"/>
        <v>S</v>
      </c>
      <c r="U727" s="28">
        <v>25.0</v>
      </c>
      <c r="V727" s="26" t="str">
        <f t="shared" si="495"/>
        <v>S</v>
      </c>
      <c r="W727" s="32" t="s">
        <v>299</v>
      </c>
      <c r="X727" s="65">
        <v>18.0</v>
      </c>
      <c r="Y727" s="33" t="str">
        <f t="shared" si="496"/>
        <v>I</v>
      </c>
      <c r="Z727" s="65">
        <v>19.0</v>
      </c>
      <c r="AA727" s="33" t="str">
        <f t="shared" si="497"/>
        <v>S</v>
      </c>
      <c r="AB727" s="65">
        <v>25.0</v>
      </c>
      <c r="AC727" s="33" t="str">
        <f t="shared" si="498"/>
        <v>S</v>
      </c>
      <c r="AD727" s="65">
        <v>29.0</v>
      </c>
      <c r="AE727" s="33" t="str">
        <f t="shared" si="499"/>
        <v>S</v>
      </c>
      <c r="AF727" s="65">
        <v>23.0</v>
      </c>
      <c r="AG727" s="33" t="str">
        <f t="shared" si="500"/>
        <v>R</v>
      </c>
      <c r="AH727" s="65" t="s">
        <v>299</v>
      </c>
      <c r="AI727" s="66">
        <v>21.0</v>
      </c>
      <c r="AJ727" s="36" t="str">
        <f t="shared" si="501"/>
        <v>R</v>
      </c>
      <c r="AK727" s="66">
        <v>21.0</v>
      </c>
      <c r="AL727" s="36" t="str">
        <f t="shared" si="502"/>
        <v>I</v>
      </c>
      <c r="AM727" s="66">
        <v>21.0</v>
      </c>
      <c r="AN727" s="36" t="str">
        <f t="shared" si="503"/>
        <v>S</v>
      </c>
      <c r="AO727" s="66" t="s">
        <v>299</v>
      </c>
      <c r="AP727" s="67">
        <v>6.0</v>
      </c>
      <c r="AQ727" s="37" t="str">
        <f t="shared" si="504"/>
        <v>R</v>
      </c>
      <c r="AR727" s="65">
        <v>15.0</v>
      </c>
      <c r="AS727" s="33" t="str">
        <f t="shared" si="505"/>
        <v>R</v>
      </c>
      <c r="AT727" s="65">
        <v>28.0</v>
      </c>
      <c r="AU727" s="33" t="str">
        <f t="shared" si="506"/>
        <v>S</v>
      </c>
      <c r="AV727" s="65" t="s">
        <v>299</v>
      </c>
      <c r="AW727" s="28">
        <v>22.0</v>
      </c>
      <c r="AX727" s="26" t="str">
        <f t="shared" si="507"/>
        <v>S</v>
      </c>
      <c r="AY727" s="67">
        <v>18.0</v>
      </c>
      <c r="AZ727" s="37" t="str">
        <f t="shared" si="508"/>
        <v>R</v>
      </c>
      <c r="BA727" s="66">
        <v>26.0</v>
      </c>
      <c r="BB727" s="36" t="str">
        <f t="shared" si="509"/>
        <v>S</v>
      </c>
      <c r="BC727" s="39" t="s">
        <v>357</v>
      </c>
      <c r="BD727" s="39" t="s">
        <v>357</v>
      </c>
      <c r="BE727" s="66">
        <v>26.0</v>
      </c>
      <c r="BF727" s="36" t="str">
        <f t="shared" si="510"/>
        <v>S</v>
      </c>
      <c r="BG727" s="68">
        <v>13.0</v>
      </c>
      <c r="BH727" s="41" t="str">
        <f t="shared" si="511"/>
        <v>R</v>
      </c>
      <c r="BI727" s="41"/>
    </row>
    <row r="728">
      <c r="A728" s="51" t="s">
        <v>1156</v>
      </c>
      <c r="B728" s="51" t="s">
        <v>444</v>
      </c>
      <c r="C728" s="51" t="s">
        <v>2267</v>
      </c>
      <c r="D728" s="69" t="s">
        <v>190</v>
      </c>
      <c r="E728" s="18" t="s">
        <v>190</v>
      </c>
      <c r="F728" s="18" t="s">
        <v>192</v>
      </c>
      <c r="G728" s="63" t="s">
        <v>2268</v>
      </c>
      <c r="H728" s="22" t="s">
        <v>198</v>
      </c>
      <c r="I728" s="28">
        <v>20.0</v>
      </c>
      <c r="J728" s="26" t="str">
        <f t="shared" si="489"/>
        <v>S</v>
      </c>
      <c r="K728" s="28">
        <v>24.0</v>
      </c>
      <c r="L728" s="26" t="str">
        <f t="shared" si="490"/>
        <v>S</v>
      </c>
      <c r="M728" s="28">
        <v>6.0</v>
      </c>
      <c r="N728" s="26" t="str">
        <f t="shared" si="491"/>
        <v>R</v>
      </c>
      <c r="O728" s="28">
        <v>35.0</v>
      </c>
      <c r="P728" s="26" t="str">
        <f t="shared" si="492"/>
        <v>S</v>
      </c>
      <c r="Q728" s="28">
        <v>6.0</v>
      </c>
      <c r="R728" s="26" t="str">
        <f t="shared" si="493"/>
        <v>R</v>
      </c>
      <c r="S728" s="28">
        <v>21.0</v>
      </c>
      <c r="T728" s="26" t="str">
        <f t="shared" si="494"/>
        <v>S</v>
      </c>
      <c r="U728" s="28">
        <v>25.0</v>
      </c>
      <c r="V728" s="26" t="str">
        <f t="shared" si="495"/>
        <v>S</v>
      </c>
      <c r="W728" s="32" t="s">
        <v>299</v>
      </c>
      <c r="X728" s="65">
        <v>17.0</v>
      </c>
      <c r="Y728" s="33" t="str">
        <f t="shared" si="496"/>
        <v>I</v>
      </c>
      <c r="Z728" s="65">
        <v>18.0</v>
      </c>
      <c r="AA728" s="33" t="str">
        <f t="shared" si="497"/>
        <v>S</v>
      </c>
      <c r="AB728" s="65">
        <v>22.0</v>
      </c>
      <c r="AC728" s="33" t="str">
        <f t="shared" si="498"/>
        <v>S</v>
      </c>
      <c r="AD728" s="65">
        <v>29.0</v>
      </c>
      <c r="AE728" s="33" t="str">
        <f t="shared" si="499"/>
        <v>S</v>
      </c>
      <c r="AF728" s="65">
        <v>20.0</v>
      </c>
      <c r="AG728" s="33" t="str">
        <f t="shared" si="500"/>
        <v>R</v>
      </c>
      <c r="AH728" s="65" t="s">
        <v>299</v>
      </c>
      <c r="AI728" s="66">
        <v>21.0</v>
      </c>
      <c r="AJ728" s="36" t="str">
        <f t="shared" si="501"/>
        <v>R</v>
      </c>
      <c r="AK728" s="66">
        <v>21.0</v>
      </c>
      <c r="AL728" s="36" t="str">
        <f t="shared" si="502"/>
        <v>I</v>
      </c>
      <c r="AM728" s="66">
        <v>22.0</v>
      </c>
      <c r="AN728" s="36" t="str">
        <f t="shared" si="503"/>
        <v>S</v>
      </c>
      <c r="AO728" s="66" t="s">
        <v>299</v>
      </c>
      <c r="AP728" s="67">
        <v>6.0</v>
      </c>
      <c r="AQ728" s="37" t="str">
        <f t="shared" si="504"/>
        <v>R</v>
      </c>
      <c r="AR728" s="65">
        <v>14.0</v>
      </c>
      <c r="AS728" s="33" t="str">
        <f t="shared" si="505"/>
        <v>R</v>
      </c>
      <c r="AT728" s="65">
        <v>28.0</v>
      </c>
      <c r="AU728" s="33" t="str">
        <f t="shared" si="506"/>
        <v>S</v>
      </c>
      <c r="AV728" s="65" t="s">
        <v>299</v>
      </c>
      <c r="AW728" s="28">
        <v>21.0</v>
      </c>
      <c r="AX728" s="26" t="str">
        <f t="shared" si="507"/>
        <v>S</v>
      </c>
      <c r="AY728" s="67">
        <v>18.0</v>
      </c>
      <c r="AZ728" s="37" t="str">
        <f t="shared" si="508"/>
        <v>R</v>
      </c>
      <c r="BA728" s="66">
        <v>25.0</v>
      </c>
      <c r="BB728" s="36" t="str">
        <f t="shared" si="509"/>
        <v>S</v>
      </c>
      <c r="BC728" s="39" t="s">
        <v>357</v>
      </c>
      <c r="BD728" s="39" t="s">
        <v>357</v>
      </c>
      <c r="BE728" s="66">
        <v>26.0</v>
      </c>
      <c r="BF728" s="36" t="str">
        <f t="shared" si="510"/>
        <v>S</v>
      </c>
      <c r="BG728" s="68">
        <v>13.0</v>
      </c>
      <c r="BH728" s="41" t="str">
        <f t="shared" si="511"/>
        <v>R</v>
      </c>
      <c r="BI728" s="41"/>
    </row>
    <row r="729">
      <c r="A729" s="51" t="s">
        <v>1156</v>
      </c>
      <c r="B729" s="53">
        <v>298.0</v>
      </c>
      <c r="C729" s="51" t="s">
        <v>1246</v>
      </c>
      <c r="D729" s="69" t="s">
        <v>190</v>
      </c>
      <c r="E729" s="18" t="s">
        <v>190</v>
      </c>
      <c r="F729" s="18" t="s">
        <v>192</v>
      </c>
      <c r="G729" s="63" t="s">
        <v>1247</v>
      </c>
      <c r="H729" s="22" t="s">
        <v>198</v>
      </c>
      <c r="I729" s="28">
        <v>6.0</v>
      </c>
      <c r="J729" s="26" t="str">
        <f t="shared" si="489"/>
        <v>R</v>
      </c>
      <c r="K729" s="28">
        <v>24.0</v>
      </c>
      <c r="L729" s="26" t="str">
        <f t="shared" si="490"/>
        <v>S</v>
      </c>
      <c r="M729" s="28">
        <v>6.0</v>
      </c>
      <c r="N729" s="26" t="str">
        <f t="shared" si="491"/>
        <v>R</v>
      </c>
      <c r="O729" s="28">
        <v>24.0</v>
      </c>
      <c r="P729" s="26" t="str">
        <f t="shared" si="492"/>
        <v>S</v>
      </c>
      <c r="Q729" s="28">
        <v>6.0</v>
      </c>
      <c r="R729" s="26" t="str">
        <f t="shared" si="493"/>
        <v>R</v>
      </c>
      <c r="S729" s="28">
        <v>20.0</v>
      </c>
      <c r="T729" s="26" t="str">
        <f t="shared" si="494"/>
        <v>S</v>
      </c>
      <c r="U729" s="28">
        <v>18.0</v>
      </c>
      <c r="V729" s="26" t="str">
        <f t="shared" si="495"/>
        <v>I</v>
      </c>
      <c r="W729" s="32" t="s">
        <v>299</v>
      </c>
      <c r="X729" s="65">
        <v>12.0</v>
      </c>
      <c r="Y729" s="33" t="str">
        <f t="shared" si="496"/>
        <v>R</v>
      </c>
      <c r="Z729" s="65">
        <v>21.0</v>
      </c>
      <c r="AA729" s="33" t="str">
        <f t="shared" si="497"/>
        <v>S</v>
      </c>
      <c r="AB729" s="65">
        <v>19.0</v>
      </c>
      <c r="AC729" s="33" t="str">
        <f t="shared" si="498"/>
        <v>I</v>
      </c>
      <c r="AD729" s="65">
        <v>18.0</v>
      </c>
      <c r="AE729" s="33" t="str">
        <f t="shared" si="499"/>
        <v>S</v>
      </c>
      <c r="AF729" s="65">
        <v>17.0</v>
      </c>
      <c r="AG729" s="33" t="str">
        <f t="shared" si="500"/>
        <v>R</v>
      </c>
      <c r="AH729" s="65" t="s">
        <v>299</v>
      </c>
      <c r="AI729" s="66">
        <v>21.0</v>
      </c>
      <c r="AJ729" s="36" t="str">
        <f t="shared" si="501"/>
        <v>R</v>
      </c>
      <c r="AK729" s="66">
        <v>21.0</v>
      </c>
      <c r="AL729" s="36" t="str">
        <f t="shared" si="502"/>
        <v>I</v>
      </c>
      <c r="AM729" s="66">
        <v>22.0</v>
      </c>
      <c r="AN729" s="36" t="str">
        <f t="shared" si="503"/>
        <v>S</v>
      </c>
      <c r="AO729" s="66" t="s">
        <v>299</v>
      </c>
      <c r="AP729" s="67">
        <v>6.0</v>
      </c>
      <c r="AQ729" s="37" t="str">
        <f t="shared" si="504"/>
        <v>R</v>
      </c>
      <c r="AR729" s="65">
        <v>15.0</v>
      </c>
      <c r="AS729" s="33" t="str">
        <f t="shared" si="505"/>
        <v>R</v>
      </c>
      <c r="AT729" s="65">
        <v>22.0</v>
      </c>
      <c r="AU729" s="33" t="str">
        <f t="shared" si="506"/>
        <v>S</v>
      </c>
      <c r="AV729" s="65" t="s">
        <v>299</v>
      </c>
      <c r="AW729" s="28">
        <v>23.0</v>
      </c>
      <c r="AX729" s="26" t="str">
        <f t="shared" si="507"/>
        <v>S</v>
      </c>
      <c r="AY729" s="67">
        <v>14.0</v>
      </c>
      <c r="AZ729" s="37" t="str">
        <f t="shared" si="508"/>
        <v>R</v>
      </c>
      <c r="BA729" s="66">
        <v>23.0</v>
      </c>
      <c r="BB729" s="36" t="str">
        <f t="shared" si="509"/>
        <v>S</v>
      </c>
      <c r="BC729" s="39" t="s">
        <v>357</v>
      </c>
      <c r="BD729" s="39" t="s">
        <v>357</v>
      </c>
      <c r="BE729" s="66">
        <v>22.0</v>
      </c>
      <c r="BF729" s="36" t="str">
        <f t="shared" si="510"/>
        <v>S</v>
      </c>
      <c r="BG729" s="68">
        <v>15.0</v>
      </c>
      <c r="BH729" s="41" t="str">
        <f t="shared" si="511"/>
        <v>R</v>
      </c>
      <c r="BI729" s="41"/>
    </row>
    <row r="730">
      <c r="A730" s="51" t="s">
        <v>1156</v>
      </c>
      <c r="B730" s="51" t="s">
        <v>444</v>
      </c>
      <c r="C730" s="51" t="s">
        <v>2269</v>
      </c>
      <c r="D730" s="69" t="s">
        <v>190</v>
      </c>
      <c r="E730" s="18" t="s">
        <v>190</v>
      </c>
      <c r="F730" s="18" t="s">
        <v>192</v>
      </c>
      <c r="G730" s="63" t="s">
        <v>2270</v>
      </c>
      <c r="H730" s="22" t="s">
        <v>198</v>
      </c>
      <c r="I730" s="28">
        <v>6.0</v>
      </c>
      <c r="J730" s="26" t="str">
        <f t="shared" si="489"/>
        <v>R</v>
      </c>
      <c r="K730" s="28">
        <v>26.0</v>
      </c>
      <c r="L730" s="26" t="str">
        <f t="shared" si="490"/>
        <v>S</v>
      </c>
      <c r="M730" s="28">
        <v>6.0</v>
      </c>
      <c r="N730" s="26" t="str">
        <f t="shared" si="491"/>
        <v>R</v>
      </c>
      <c r="O730" s="28">
        <v>24.0</v>
      </c>
      <c r="P730" s="26" t="str">
        <f t="shared" si="492"/>
        <v>S</v>
      </c>
      <c r="Q730" s="28">
        <v>6.0</v>
      </c>
      <c r="R730" s="26" t="str">
        <f t="shared" si="493"/>
        <v>R</v>
      </c>
      <c r="S730" s="28">
        <v>20.0</v>
      </c>
      <c r="T730" s="26" t="str">
        <f t="shared" si="494"/>
        <v>S</v>
      </c>
      <c r="U730" s="28">
        <v>18.0</v>
      </c>
      <c r="V730" s="26" t="str">
        <f t="shared" si="495"/>
        <v>I</v>
      </c>
      <c r="W730" s="32" t="s">
        <v>299</v>
      </c>
      <c r="X730" s="65">
        <v>11.0</v>
      </c>
      <c r="Y730" s="33" t="str">
        <f t="shared" si="496"/>
        <v>R</v>
      </c>
      <c r="Z730" s="65">
        <v>18.0</v>
      </c>
      <c r="AA730" s="33" t="str">
        <f t="shared" si="497"/>
        <v>S</v>
      </c>
      <c r="AB730" s="65">
        <v>20.0</v>
      </c>
      <c r="AC730" s="33" t="str">
        <f t="shared" si="498"/>
        <v>I</v>
      </c>
      <c r="AD730" s="65">
        <v>18.0</v>
      </c>
      <c r="AE730" s="33" t="str">
        <f t="shared" si="499"/>
        <v>S</v>
      </c>
      <c r="AF730" s="65">
        <v>16.0</v>
      </c>
      <c r="AG730" s="33" t="str">
        <f t="shared" si="500"/>
        <v>R</v>
      </c>
      <c r="AH730" s="65" t="s">
        <v>299</v>
      </c>
      <c r="AI730" s="66">
        <v>21.0</v>
      </c>
      <c r="AJ730" s="36" t="str">
        <f t="shared" si="501"/>
        <v>R</v>
      </c>
      <c r="AK730" s="66">
        <v>21.0</v>
      </c>
      <c r="AL730" s="36" t="str">
        <f t="shared" si="502"/>
        <v>I</v>
      </c>
      <c r="AM730" s="66">
        <v>21.0</v>
      </c>
      <c r="AN730" s="36" t="str">
        <f t="shared" si="503"/>
        <v>S</v>
      </c>
      <c r="AO730" s="66" t="s">
        <v>299</v>
      </c>
      <c r="AP730" s="67">
        <v>6.0</v>
      </c>
      <c r="AQ730" s="37" t="str">
        <f t="shared" si="504"/>
        <v>R</v>
      </c>
      <c r="AR730" s="65">
        <v>15.0</v>
      </c>
      <c r="AS730" s="33" t="str">
        <f t="shared" si="505"/>
        <v>R</v>
      </c>
      <c r="AT730" s="65">
        <v>22.0</v>
      </c>
      <c r="AU730" s="33" t="str">
        <f t="shared" si="506"/>
        <v>S</v>
      </c>
      <c r="AV730" s="65" t="s">
        <v>299</v>
      </c>
      <c r="AW730" s="28">
        <v>22.0</v>
      </c>
      <c r="AX730" s="26" t="str">
        <f t="shared" si="507"/>
        <v>S</v>
      </c>
      <c r="AY730" s="67">
        <v>14.0</v>
      </c>
      <c r="AZ730" s="37" t="str">
        <f t="shared" si="508"/>
        <v>R</v>
      </c>
      <c r="BA730" s="66">
        <v>22.0</v>
      </c>
      <c r="BB730" s="36" t="str">
        <f t="shared" si="509"/>
        <v>R</v>
      </c>
      <c r="BC730" s="39" t="s">
        <v>357</v>
      </c>
      <c r="BD730" s="39" t="s">
        <v>357</v>
      </c>
      <c r="BE730" s="66">
        <v>22.0</v>
      </c>
      <c r="BF730" s="36" t="str">
        <f t="shared" si="510"/>
        <v>S</v>
      </c>
      <c r="BG730" s="68">
        <v>15.0</v>
      </c>
      <c r="BH730" s="41" t="str">
        <f t="shared" si="511"/>
        <v>R</v>
      </c>
      <c r="BI730" s="41"/>
    </row>
    <row r="731">
      <c r="A731" s="51" t="s">
        <v>1156</v>
      </c>
      <c r="B731" s="51" t="s">
        <v>444</v>
      </c>
      <c r="C731" s="51" t="s">
        <v>2271</v>
      </c>
      <c r="D731" s="69" t="s">
        <v>190</v>
      </c>
      <c r="E731" s="18" t="s">
        <v>190</v>
      </c>
      <c r="F731" s="18" t="s">
        <v>192</v>
      </c>
      <c r="G731" s="63" t="s">
        <v>2272</v>
      </c>
      <c r="H731" s="22" t="s">
        <v>198</v>
      </c>
      <c r="I731" s="28">
        <v>6.0</v>
      </c>
      <c r="J731" s="26" t="str">
        <f t="shared" si="489"/>
        <v>R</v>
      </c>
      <c r="K731" s="28">
        <v>24.0</v>
      </c>
      <c r="L731" s="26" t="str">
        <f t="shared" si="490"/>
        <v>S</v>
      </c>
      <c r="M731" s="28">
        <v>6.0</v>
      </c>
      <c r="N731" s="26" t="str">
        <f t="shared" si="491"/>
        <v>R</v>
      </c>
      <c r="O731" s="28">
        <v>24.0</v>
      </c>
      <c r="P731" s="26" t="str">
        <f t="shared" si="492"/>
        <v>S</v>
      </c>
      <c r="Q731" s="28">
        <v>6.0</v>
      </c>
      <c r="R731" s="26" t="str">
        <f t="shared" si="493"/>
        <v>R</v>
      </c>
      <c r="S731" s="28">
        <v>20.0</v>
      </c>
      <c r="T731" s="26" t="str">
        <f t="shared" si="494"/>
        <v>S</v>
      </c>
      <c r="U731" s="28">
        <v>18.0</v>
      </c>
      <c r="V731" s="26" t="str">
        <f t="shared" si="495"/>
        <v>I</v>
      </c>
      <c r="W731" s="32" t="s">
        <v>299</v>
      </c>
      <c r="X731" s="65">
        <v>12.0</v>
      </c>
      <c r="Y731" s="33" t="str">
        <f t="shared" si="496"/>
        <v>R</v>
      </c>
      <c r="Z731" s="65">
        <v>22.0</v>
      </c>
      <c r="AA731" s="33" t="str">
        <f t="shared" si="497"/>
        <v>S</v>
      </c>
      <c r="AB731" s="65">
        <v>21.0</v>
      </c>
      <c r="AC731" s="33" t="str">
        <f t="shared" si="498"/>
        <v>I</v>
      </c>
      <c r="AD731" s="65">
        <v>18.0</v>
      </c>
      <c r="AE731" s="33" t="str">
        <f t="shared" si="499"/>
        <v>S</v>
      </c>
      <c r="AF731" s="65">
        <v>16.0</v>
      </c>
      <c r="AG731" s="33" t="str">
        <f t="shared" si="500"/>
        <v>R</v>
      </c>
      <c r="AH731" s="65" t="s">
        <v>299</v>
      </c>
      <c r="AI731" s="66">
        <v>21.0</v>
      </c>
      <c r="AJ731" s="36" t="str">
        <f t="shared" si="501"/>
        <v>R</v>
      </c>
      <c r="AK731" s="66">
        <v>21.0</v>
      </c>
      <c r="AL731" s="36" t="str">
        <f t="shared" si="502"/>
        <v>I</v>
      </c>
      <c r="AM731" s="66">
        <v>20.0</v>
      </c>
      <c r="AN731" s="36" t="str">
        <f t="shared" si="503"/>
        <v>S</v>
      </c>
      <c r="AO731" s="66" t="s">
        <v>299</v>
      </c>
      <c r="AP731" s="67">
        <v>6.0</v>
      </c>
      <c r="AQ731" s="37" t="str">
        <f t="shared" si="504"/>
        <v>R</v>
      </c>
      <c r="AR731" s="65">
        <v>13.0</v>
      </c>
      <c r="AS731" s="33" t="str">
        <f t="shared" si="505"/>
        <v>R</v>
      </c>
      <c r="AT731" s="65">
        <v>22.0</v>
      </c>
      <c r="AU731" s="33" t="str">
        <f t="shared" si="506"/>
        <v>S</v>
      </c>
      <c r="AV731" s="65" t="s">
        <v>299</v>
      </c>
      <c r="AW731" s="28">
        <v>22.0</v>
      </c>
      <c r="AX731" s="26" t="str">
        <f t="shared" si="507"/>
        <v>S</v>
      </c>
      <c r="AY731" s="67">
        <v>14.0</v>
      </c>
      <c r="AZ731" s="37" t="str">
        <f t="shared" si="508"/>
        <v>R</v>
      </c>
      <c r="BA731" s="66">
        <v>22.0</v>
      </c>
      <c r="BB731" s="36" t="str">
        <f t="shared" si="509"/>
        <v>R</v>
      </c>
      <c r="BC731" s="39" t="s">
        <v>357</v>
      </c>
      <c r="BD731" s="39" t="s">
        <v>357</v>
      </c>
      <c r="BE731" s="66">
        <v>22.0</v>
      </c>
      <c r="BF731" s="36" t="str">
        <f t="shared" si="510"/>
        <v>S</v>
      </c>
      <c r="BG731" s="68">
        <v>15.0</v>
      </c>
      <c r="BH731" s="41" t="str">
        <f t="shared" si="511"/>
        <v>R</v>
      </c>
      <c r="BI731" s="41"/>
    </row>
    <row r="732">
      <c r="A732" s="51" t="s">
        <v>1156</v>
      </c>
      <c r="B732" s="53">
        <v>299.0</v>
      </c>
      <c r="C732" s="51" t="s">
        <v>1249</v>
      </c>
      <c r="D732" s="69" t="s">
        <v>571</v>
      </c>
      <c r="E732" s="18" t="s">
        <v>572</v>
      </c>
      <c r="F732" s="18" t="s">
        <v>192</v>
      </c>
      <c r="G732" s="63" t="s">
        <v>1250</v>
      </c>
      <c r="H732" s="22" t="s">
        <v>198</v>
      </c>
      <c r="I732" s="28">
        <v>6.0</v>
      </c>
      <c r="J732" s="26" t="str">
        <f t="shared" si="489"/>
        <v>R</v>
      </c>
      <c r="K732" s="28">
        <v>6.0</v>
      </c>
      <c r="L732" s="26" t="str">
        <f t="shared" si="490"/>
        <v>R</v>
      </c>
      <c r="M732" s="28">
        <v>6.0</v>
      </c>
      <c r="N732" s="26" t="str">
        <f t="shared" si="491"/>
        <v>R</v>
      </c>
      <c r="O732" s="28">
        <v>26.0</v>
      </c>
      <c r="P732" s="26" t="str">
        <f t="shared" si="492"/>
        <v>S</v>
      </c>
      <c r="Q732" s="28">
        <v>12.0</v>
      </c>
      <c r="R732" s="26" t="str">
        <f t="shared" si="493"/>
        <v>R</v>
      </c>
      <c r="S732" s="28">
        <v>11.0</v>
      </c>
      <c r="T732" s="26" t="str">
        <f t="shared" si="494"/>
        <v>R</v>
      </c>
      <c r="U732" s="28">
        <v>19.0</v>
      </c>
      <c r="V732" s="26" t="str">
        <f t="shared" si="495"/>
        <v>I</v>
      </c>
      <c r="W732" s="32" t="s">
        <v>299</v>
      </c>
      <c r="X732" s="65">
        <v>6.0</v>
      </c>
      <c r="Y732" s="33" t="str">
        <f t="shared" si="496"/>
        <v>R</v>
      </c>
      <c r="Z732" s="65">
        <v>18.0</v>
      </c>
      <c r="AA732" s="33" t="str">
        <f t="shared" si="497"/>
        <v>S</v>
      </c>
      <c r="AB732" s="65">
        <v>6.0</v>
      </c>
      <c r="AC732" s="33" t="str">
        <f t="shared" si="498"/>
        <v>R</v>
      </c>
      <c r="AD732" s="65">
        <v>16.0</v>
      </c>
      <c r="AE732" s="33" t="str">
        <f t="shared" si="499"/>
        <v>S</v>
      </c>
      <c r="AF732" s="65">
        <v>6.0</v>
      </c>
      <c r="AG732" s="33" t="str">
        <f t="shared" si="500"/>
        <v>R</v>
      </c>
      <c r="AH732" s="65" t="s">
        <v>299</v>
      </c>
      <c r="AI732" s="66">
        <v>23.0</v>
      </c>
      <c r="AJ732" s="36" t="str">
        <f t="shared" si="501"/>
        <v>I</v>
      </c>
      <c r="AK732" s="66">
        <v>23.0</v>
      </c>
      <c r="AL732" s="36" t="str">
        <f t="shared" si="502"/>
        <v>S</v>
      </c>
      <c r="AM732" s="66">
        <v>23.0</v>
      </c>
      <c r="AN732" s="36" t="str">
        <f t="shared" si="503"/>
        <v>S</v>
      </c>
      <c r="AO732" s="66" t="s">
        <v>299</v>
      </c>
      <c r="AP732" s="67">
        <v>6.0</v>
      </c>
      <c r="AQ732" s="37" t="str">
        <f t="shared" si="504"/>
        <v>R</v>
      </c>
      <c r="AR732" s="65">
        <v>18.0</v>
      </c>
      <c r="AS732" s="33" t="str">
        <f t="shared" si="505"/>
        <v>S</v>
      </c>
      <c r="AT732" s="65">
        <v>13.0</v>
      </c>
      <c r="AU732" s="33" t="str">
        <f t="shared" si="506"/>
        <v>R</v>
      </c>
      <c r="AV732" s="65" t="s">
        <v>299</v>
      </c>
      <c r="AW732" s="28">
        <v>20.0</v>
      </c>
      <c r="AX732" s="26" t="str">
        <f t="shared" si="507"/>
        <v>S</v>
      </c>
      <c r="AY732" s="67">
        <v>6.0</v>
      </c>
      <c r="AZ732" s="37" t="str">
        <f t="shared" si="508"/>
        <v>R</v>
      </c>
      <c r="BA732" s="66">
        <v>16.0</v>
      </c>
      <c r="BB732" s="36" t="str">
        <f t="shared" si="509"/>
        <v>R</v>
      </c>
      <c r="BC732" s="39" t="s">
        <v>357</v>
      </c>
      <c r="BD732" s="39" t="s">
        <v>357</v>
      </c>
      <c r="BE732" s="66">
        <v>15.0</v>
      </c>
      <c r="BF732" s="36" t="str">
        <f t="shared" si="510"/>
        <v>R</v>
      </c>
      <c r="BG732" s="68">
        <v>16.0</v>
      </c>
      <c r="BH732" s="41" t="str">
        <f t="shared" si="511"/>
        <v>R</v>
      </c>
      <c r="BI732" s="41"/>
    </row>
    <row r="733">
      <c r="A733" s="51" t="s">
        <v>1156</v>
      </c>
      <c r="B733" s="51" t="s">
        <v>444</v>
      </c>
      <c r="C733" s="51" t="s">
        <v>2273</v>
      </c>
      <c r="D733" s="69" t="s">
        <v>571</v>
      </c>
      <c r="E733" s="18" t="s">
        <v>572</v>
      </c>
      <c r="F733" s="18" t="s">
        <v>192</v>
      </c>
      <c r="G733" s="63" t="s">
        <v>2274</v>
      </c>
      <c r="H733" s="22" t="s">
        <v>198</v>
      </c>
      <c r="I733" s="28">
        <v>6.0</v>
      </c>
      <c r="J733" s="26" t="str">
        <f t="shared" si="489"/>
        <v>R</v>
      </c>
      <c r="K733" s="28">
        <v>6.0</v>
      </c>
      <c r="L733" s="26" t="str">
        <f t="shared" si="490"/>
        <v>R</v>
      </c>
      <c r="M733" s="28">
        <v>6.0</v>
      </c>
      <c r="N733" s="26" t="str">
        <f t="shared" si="491"/>
        <v>R</v>
      </c>
      <c r="O733" s="28">
        <v>26.0</v>
      </c>
      <c r="P733" s="26" t="str">
        <f t="shared" si="492"/>
        <v>S</v>
      </c>
      <c r="Q733" s="28">
        <v>12.0</v>
      </c>
      <c r="R733" s="26" t="str">
        <f t="shared" si="493"/>
        <v>R</v>
      </c>
      <c r="S733" s="28">
        <v>11.0</v>
      </c>
      <c r="T733" s="26" t="str">
        <f t="shared" si="494"/>
        <v>R</v>
      </c>
      <c r="U733" s="28">
        <v>19.0</v>
      </c>
      <c r="V733" s="26" t="str">
        <f t="shared" si="495"/>
        <v>I</v>
      </c>
      <c r="W733" s="32" t="s">
        <v>299</v>
      </c>
      <c r="X733" s="65">
        <v>6.0</v>
      </c>
      <c r="Y733" s="33" t="str">
        <f t="shared" si="496"/>
        <v>R</v>
      </c>
      <c r="Z733" s="65">
        <v>19.0</v>
      </c>
      <c r="AA733" s="33" t="str">
        <f t="shared" si="497"/>
        <v>S</v>
      </c>
      <c r="AB733" s="65">
        <v>6.0</v>
      </c>
      <c r="AC733" s="33" t="str">
        <f t="shared" si="498"/>
        <v>R</v>
      </c>
      <c r="AD733" s="65">
        <v>16.0</v>
      </c>
      <c r="AE733" s="33" t="str">
        <f t="shared" si="499"/>
        <v>S</v>
      </c>
      <c r="AF733" s="65">
        <v>6.0</v>
      </c>
      <c r="AG733" s="33" t="str">
        <f t="shared" si="500"/>
        <v>R</v>
      </c>
      <c r="AH733" s="65" t="s">
        <v>299</v>
      </c>
      <c r="AI733" s="66">
        <v>23.0</v>
      </c>
      <c r="AJ733" s="36" t="str">
        <f t="shared" si="501"/>
        <v>I</v>
      </c>
      <c r="AK733" s="66">
        <v>23.0</v>
      </c>
      <c r="AL733" s="36" t="str">
        <f t="shared" si="502"/>
        <v>S</v>
      </c>
      <c r="AM733" s="66">
        <v>21.0</v>
      </c>
      <c r="AN733" s="36" t="str">
        <f t="shared" si="503"/>
        <v>S</v>
      </c>
      <c r="AO733" s="66" t="s">
        <v>299</v>
      </c>
      <c r="AP733" s="67">
        <v>6.0</v>
      </c>
      <c r="AQ733" s="37" t="str">
        <f t="shared" si="504"/>
        <v>R</v>
      </c>
      <c r="AR733" s="65">
        <v>20.0</v>
      </c>
      <c r="AS733" s="33" t="str">
        <f t="shared" si="505"/>
        <v>S</v>
      </c>
      <c r="AT733" s="65">
        <v>13.0</v>
      </c>
      <c r="AU733" s="33" t="str">
        <f t="shared" si="506"/>
        <v>R</v>
      </c>
      <c r="AV733" s="65" t="s">
        <v>299</v>
      </c>
      <c r="AW733" s="28">
        <v>20.0</v>
      </c>
      <c r="AX733" s="26" t="str">
        <f t="shared" si="507"/>
        <v>S</v>
      </c>
      <c r="AY733" s="67">
        <v>6.0</v>
      </c>
      <c r="AZ733" s="37" t="str">
        <f t="shared" si="508"/>
        <v>R</v>
      </c>
      <c r="BA733" s="66">
        <v>15.0</v>
      </c>
      <c r="BB733" s="36" t="str">
        <f t="shared" si="509"/>
        <v>R</v>
      </c>
      <c r="BC733" s="39" t="s">
        <v>357</v>
      </c>
      <c r="BD733" s="39" t="s">
        <v>357</v>
      </c>
      <c r="BE733" s="66">
        <v>15.0</v>
      </c>
      <c r="BF733" s="36" t="str">
        <f t="shared" si="510"/>
        <v>R</v>
      </c>
      <c r="BG733" s="68">
        <v>16.0</v>
      </c>
      <c r="BH733" s="41" t="str">
        <f t="shared" si="511"/>
        <v>R</v>
      </c>
      <c r="BI733" s="41"/>
    </row>
    <row r="734">
      <c r="A734" s="51" t="s">
        <v>1156</v>
      </c>
      <c r="B734" s="51" t="s">
        <v>444</v>
      </c>
      <c r="C734" s="51" t="s">
        <v>2275</v>
      </c>
      <c r="D734" s="69" t="s">
        <v>571</v>
      </c>
      <c r="E734" s="18" t="s">
        <v>572</v>
      </c>
      <c r="F734" s="18" t="s">
        <v>192</v>
      </c>
      <c r="G734" s="63" t="s">
        <v>2276</v>
      </c>
      <c r="H734" s="22" t="s">
        <v>198</v>
      </c>
      <c r="I734" s="28">
        <v>6.0</v>
      </c>
      <c r="J734" s="26" t="str">
        <f t="shared" si="489"/>
        <v>R</v>
      </c>
      <c r="K734" s="28">
        <v>6.0</v>
      </c>
      <c r="L734" s="26" t="str">
        <f t="shared" si="490"/>
        <v>R</v>
      </c>
      <c r="M734" s="28">
        <v>6.0</v>
      </c>
      <c r="N734" s="26" t="str">
        <f t="shared" si="491"/>
        <v>R</v>
      </c>
      <c r="O734" s="28">
        <v>26.0</v>
      </c>
      <c r="P734" s="26" t="str">
        <f t="shared" si="492"/>
        <v>S</v>
      </c>
      <c r="Q734" s="28">
        <v>12.0</v>
      </c>
      <c r="R734" s="26" t="str">
        <f t="shared" si="493"/>
        <v>R</v>
      </c>
      <c r="S734" s="28">
        <v>11.0</v>
      </c>
      <c r="T734" s="26" t="str">
        <f t="shared" si="494"/>
        <v>R</v>
      </c>
      <c r="U734" s="28">
        <v>19.0</v>
      </c>
      <c r="V734" s="26" t="str">
        <f t="shared" si="495"/>
        <v>I</v>
      </c>
      <c r="W734" s="32" t="s">
        <v>299</v>
      </c>
      <c r="X734" s="65">
        <v>6.0</v>
      </c>
      <c r="Y734" s="33" t="str">
        <f t="shared" si="496"/>
        <v>R</v>
      </c>
      <c r="Z734" s="65">
        <v>18.0</v>
      </c>
      <c r="AA734" s="33" t="str">
        <f t="shared" si="497"/>
        <v>S</v>
      </c>
      <c r="AB734" s="65">
        <v>6.0</v>
      </c>
      <c r="AC734" s="33" t="str">
        <f t="shared" si="498"/>
        <v>R</v>
      </c>
      <c r="AD734" s="65">
        <v>16.0</v>
      </c>
      <c r="AE734" s="33" t="str">
        <f t="shared" si="499"/>
        <v>S</v>
      </c>
      <c r="AF734" s="65">
        <v>6.0</v>
      </c>
      <c r="AG734" s="33" t="str">
        <f t="shared" si="500"/>
        <v>R</v>
      </c>
      <c r="AH734" s="65" t="s">
        <v>299</v>
      </c>
      <c r="AI734" s="66">
        <v>23.0</v>
      </c>
      <c r="AJ734" s="36" t="str">
        <f t="shared" si="501"/>
        <v>I</v>
      </c>
      <c r="AK734" s="66">
        <v>23.0</v>
      </c>
      <c r="AL734" s="36" t="str">
        <f t="shared" si="502"/>
        <v>S</v>
      </c>
      <c r="AM734" s="66">
        <v>21.0</v>
      </c>
      <c r="AN734" s="36" t="str">
        <f t="shared" si="503"/>
        <v>S</v>
      </c>
      <c r="AO734" s="66" t="s">
        <v>299</v>
      </c>
      <c r="AP734" s="67">
        <v>6.0</v>
      </c>
      <c r="AQ734" s="37" t="str">
        <f t="shared" si="504"/>
        <v>R</v>
      </c>
      <c r="AR734" s="65">
        <v>18.0</v>
      </c>
      <c r="AS734" s="33" t="str">
        <f t="shared" si="505"/>
        <v>S</v>
      </c>
      <c r="AT734" s="65">
        <v>13.0</v>
      </c>
      <c r="AU734" s="33" t="str">
        <f t="shared" si="506"/>
        <v>R</v>
      </c>
      <c r="AV734" s="65" t="s">
        <v>299</v>
      </c>
      <c r="AW734" s="28">
        <v>20.0</v>
      </c>
      <c r="AX734" s="26" t="str">
        <f t="shared" si="507"/>
        <v>S</v>
      </c>
      <c r="AY734" s="67">
        <v>6.0</v>
      </c>
      <c r="AZ734" s="37" t="str">
        <f t="shared" si="508"/>
        <v>R</v>
      </c>
      <c r="BA734" s="66">
        <v>16.0</v>
      </c>
      <c r="BB734" s="36" t="str">
        <f t="shared" si="509"/>
        <v>R</v>
      </c>
      <c r="BC734" s="39" t="s">
        <v>357</v>
      </c>
      <c r="BD734" s="39" t="s">
        <v>357</v>
      </c>
      <c r="BE734" s="66">
        <v>15.0</v>
      </c>
      <c r="BF734" s="36" t="str">
        <f t="shared" si="510"/>
        <v>R</v>
      </c>
      <c r="BG734" s="68">
        <v>16.0</v>
      </c>
      <c r="BH734" s="41" t="str">
        <f t="shared" si="511"/>
        <v>R</v>
      </c>
      <c r="BI734" s="41"/>
    </row>
    <row r="735">
      <c r="A735" s="51" t="s">
        <v>1156</v>
      </c>
      <c r="B735" s="53">
        <v>300.0</v>
      </c>
      <c r="C735" s="51" t="s">
        <v>1252</v>
      </c>
      <c r="D735" s="69" t="s">
        <v>555</v>
      </c>
      <c r="E735" s="18" t="s">
        <v>103</v>
      </c>
      <c r="F735" s="18" t="s">
        <v>192</v>
      </c>
      <c r="G735" s="63" t="s">
        <v>1253</v>
      </c>
      <c r="H735" s="22" t="s">
        <v>198</v>
      </c>
      <c r="I735" s="28">
        <v>6.0</v>
      </c>
      <c r="J735" s="26" t="str">
        <f t="shared" si="489"/>
        <v>R</v>
      </c>
      <c r="K735" s="28">
        <v>18.0</v>
      </c>
      <c r="L735" s="26" t="str">
        <f t="shared" si="490"/>
        <v>R</v>
      </c>
      <c r="M735" s="28">
        <v>6.0</v>
      </c>
      <c r="N735" s="26" t="str">
        <f t="shared" si="491"/>
        <v>R</v>
      </c>
      <c r="O735" s="28">
        <v>20.0</v>
      </c>
      <c r="P735" s="26" t="str">
        <f t="shared" si="492"/>
        <v>I</v>
      </c>
      <c r="Q735" s="28">
        <v>6.0</v>
      </c>
      <c r="R735" s="26" t="str">
        <f t="shared" si="493"/>
        <v>R</v>
      </c>
      <c r="S735" s="28">
        <v>20.0</v>
      </c>
      <c r="T735" s="26" t="str">
        <f t="shared" si="494"/>
        <v>S</v>
      </c>
      <c r="U735" s="28">
        <v>12.0</v>
      </c>
      <c r="V735" s="26" t="str">
        <f t="shared" si="495"/>
        <v>R</v>
      </c>
      <c r="W735" s="32" t="s">
        <v>299</v>
      </c>
      <c r="X735" s="65">
        <v>6.0</v>
      </c>
      <c r="Y735" s="33" t="str">
        <f t="shared" si="496"/>
        <v>R</v>
      </c>
      <c r="Z735" s="65">
        <v>17.0</v>
      </c>
      <c r="AA735" s="33" t="str">
        <f t="shared" si="497"/>
        <v>R</v>
      </c>
      <c r="AB735" s="65">
        <v>6.0</v>
      </c>
      <c r="AC735" s="33" t="str">
        <f t="shared" si="498"/>
        <v>R</v>
      </c>
      <c r="AD735" s="65">
        <v>22.0</v>
      </c>
      <c r="AE735" s="33" t="str">
        <f t="shared" si="499"/>
        <v>S</v>
      </c>
      <c r="AF735" s="65">
        <v>10.0</v>
      </c>
      <c r="AG735" s="33" t="str">
        <f t="shared" si="500"/>
        <v>R</v>
      </c>
      <c r="AH735" s="65" t="s">
        <v>299</v>
      </c>
      <c r="AI735" s="66">
        <v>16.0</v>
      </c>
      <c r="AJ735" s="36" t="str">
        <f t="shared" si="501"/>
        <v>R</v>
      </c>
      <c r="AK735" s="66">
        <v>18.0</v>
      </c>
      <c r="AL735" s="36" t="str">
        <f t="shared" si="502"/>
        <v>R</v>
      </c>
      <c r="AM735" s="66">
        <v>11.0</v>
      </c>
      <c r="AN735" s="36" t="str">
        <f t="shared" si="503"/>
        <v>R</v>
      </c>
      <c r="AO735" s="66" t="s">
        <v>299</v>
      </c>
      <c r="AP735" s="67">
        <v>12.0</v>
      </c>
      <c r="AQ735" s="37" t="str">
        <f t="shared" si="504"/>
        <v>I</v>
      </c>
      <c r="AR735" s="65">
        <v>18.0</v>
      </c>
      <c r="AS735" s="33" t="str">
        <f t="shared" si="505"/>
        <v>S</v>
      </c>
      <c r="AT735" s="65">
        <v>17.0</v>
      </c>
      <c r="AU735" s="33" t="str">
        <f t="shared" si="506"/>
        <v>S</v>
      </c>
      <c r="AV735" s="33" t="s">
        <v>300</v>
      </c>
      <c r="AW735" s="28">
        <v>21.0</v>
      </c>
      <c r="AX735" s="26" t="str">
        <f t="shared" si="507"/>
        <v>S</v>
      </c>
      <c r="AY735" s="67">
        <v>11.0</v>
      </c>
      <c r="AZ735" s="37" t="str">
        <f t="shared" si="508"/>
        <v>R</v>
      </c>
      <c r="BA735" s="66">
        <v>20.0</v>
      </c>
      <c r="BB735" s="36" t="str">
        <f t="shared" si="509"/>
        <v>R</v>
      </c>
      <c r="BC735" s="39" t="s">
        <v>357</v>
      </c>
      <c r="BD735" s="39" t="s">
        <v>357</v>
      </c>
      <c r="BE735" s="66">
        <v>18.0</v>
      </c>
      <c r="BF735" s="36" t="str">
        <f t="shared" si="510"/>
        <v>R</v>
      </c>
      <c r="BG735" s="68">
        <v>15.0</v>
      </c>
      <c r="BH735" s="41" t="str">
        <f t="shared" si="511"/>
        <v>R</v>
      </c>
      <c r="BI735" s="41"/>
    </row>
    <row r="736">
      <c r="A736" s="51" t="s">
        <v>1156</v>
      </c>
      <c r="B736" s="51" t="s">
        <v>444</v>
      </c>
      <c r="C736" s="51" t="s">
        <v>2277</v>
      </c>
      <c r="D736" s="69" t="s">
        <v>555</v>
      </c>
      <c r="E736" s="18" t="s">
        <v>103</v>
      </c>
      <c r="F736" s="18" t="s">
        <v>192</v>
      </c>
      <c r="G736" s="63" t="s">
        <v>2278</v>
      </c>
      <c r="H736" s="22" t="s">
        <v>198</v>
      </c>
      <c r="I736" s="28">
        <v>6.0</v>
      </c>
      <c r="J736" s="26" t="str">
        <f t="shared" si="489"/>
        <v>R</v>
      </c>
      <c r="K736" s="28">
        <v>16.0</v>
      </c>
      <c r="L736" s="26" t="str">
        <f t="shared" si="490"/>
        <v>R</v>
      </c>
      <c r="M736" s="28">
        <v>6.0</v>
      </c>
      <c r="N736" s="26" t="str">
        <f t="shared" si="491"/>
        <v>R</v>
      </c>
      <c r="O736" s="28">
        <v>20.0</v>
      </c>
      <c r="P736" s="26" t="str">
        <f t="shared" si="492"/>
        <v>I</v>
      </c>
      <c r="Q736" s="28">
        <v>6.0</v>
      </c>
      <c r="R736" s="26" t="str">
        <f t="shared" si="493"/>
        <v>R</v>
      </c>
      <c r="S736" s="28">
        <v>20.0</v>
      </c>
      <c r="T736" s="26" t="str">
        <f t="shared" si="494"/>
        <v>S</v>
      </c>
      <c r="U736" s="28">
        <v>12.0</v>
      </c>
      <c r="V736" s="26" t="str">
        <f t="shared" si="495"/>
        <v>R</v>
      </c>
      <c r="W736" s="32" t="s">
        <v>299</v>
      </c>
      <c r="X736" s="65">
        <v>6.0</v>
      </c>
      <c r="Y736" s="33" t="str">
        <f t="shared" si="496"/>
        <v>R</v>
      </c>
      <c r="Z736" s="65">
        <v>16.0</v>
      </c>
      <c r="AA736" s="33" t="str">
        <f t="shared" si="497"/>
        <v>R</v>
      </c>
      <c r="AB736" s="65">
        <v>6.0</v>
      </c>
      <c r="AC736" s="33" t="str">
        <f t="shared" si="498"/>
        <v>R</v>
      </c>
      <c r="AD736" s="65">
        <v>21.0</v>
      </c>
      <c r="AE736" s="33" t="str">
        <f t="shared" si="499"/>
        <v>S</v>
      </c>
      <c r="AF736" s="65">
        <v>14.0</v>
      </c>
      <c r="AG736" s="33" t="str">
        <f t="shared" si="500"/>
        <v>R</v>
      </c>
      <c r="AH736" s="65" t="s">
        <v>299</v>
      </c>
      <c r="AI736" s="66">
        <v>16.0</v>
      </c>
      <c r="AJ736" s="36" t="str">
        <f t="shared" si="501"/>
        <v>R</v>
      </c>
      <c r="AK736" s="66">
        <v>18.0</v>
      </c>
      <c r="AL736" s="36" t="str">
        <f t="shared" si="502"/>
        <v>R</v>
      </c>
      <c r="AM736" s="66">
        <v>11.0</v>
      </c>
      <c r="AN736" s="36" t="str">
        <f t="shared" si="503"/>
        <v>R</v>
      </c>
      <c r="AO736" s="66" t="s">
        <v>299</v>
      </c>
      <c r="AP736" s="67">
        <v>11.0</v>
      </c>
      <c r="AQ736" s="37" t="str">
        <f t="shared" si="504"/>
        <v>I</v>
      </c>
      <c r="AR736" s="65">
        <v>18.0</v>
      </c>
      <c r="AS736" s="33" t="str">
        <f t="shared" si="505"/>
        <v>S</v>
      </c>
      <c r="AT736" s="65">
        <v>17.0</v>
      </c>
      <c r="AU736" s="33" t="str">
        <f t="shared" si="506"/>
        <v>S</v>
      </c>
      <c r="AV736" s="33" t="s">
        <v>300</v>
      </c>
      <c r="AW736" s="28">
        <v>21.0</v>
      </c>
      <c r="AX736" s="26" t="str">
        <f t="shared" si="507"/>
        <v>S</v>
      </c>
      <c r="AY736" s="67">
        <v>10.0</v>
      </c>
      <c r="AZ736" s="37" t="str">
        <f t="shared" si="508"/>
        <v>R</v>
      </c>
      <c r="BA736" s="66">
        <v>20.0</v>
      </c>
      <c r="BB736" s="36" t="str">
        <f t="shared" si="509"/>
        <v>R</v>
      </c>
      <c r="BC736" s="39" t="s">
        <v>357</v>
      </c>
      <c r="BD736" s="39" t="s">
        <v>357</v>
      </c>
      <c r="BE736" s="66">
        <v>10.0</v>
      </c>
      <c r="BF736" s="36" t="str">
        <f t="shared" si="510"/>
        <v>R</v>
      </c>
      <c r="BG736" s="68">
        <v>12.0</v>
      </c>
      <c r="BH736" s="41" t="str">
        <f t="shared" si="511"/>
        <v>R</v>
      </c>
      <c r="BI736" s="41"/>
    </row>
    <row r="737">
      <c r="A737" s="51" t="s">
        <v>1156</v>
      </c>
      <c r="B737" s="51" t="s">
        <v>444</v>
      </c>
      <c r="C737" s="51" t="s">
        <v>2279</v>
      </c>
      <c r="D737" s="69" t="s">
        <v>555</v>
      </c>
      <c r="E737" s="18" t="s">
        <v>103</v>
      </c>
      <c r="F737" s="18" t="s">
        <v>192</v>
      </c>
      <c r="G737" s="63" t="s">
        <v>2280</v>
      </c>
      <c r="H737" s="22" t="s">
        <v>198</v>
      </c>
      <c r="I737" s="28">
        <v>6.0</v>
      </c>
      <c r="J737" s="26" t="str">
        <f t="shared" si="489"/>
        <v>R</v>
      </c>
      <c r="K737" s="28">
        <v>16.0</v>
      </c>
      <c r="L737" s="26" t="str">
        <f t="shared" si="490"/>
        <v>R</v>
      </c>
      <c r="M737" s="28">
        <v>6.0</v>
      </c>
      <c r="N737" s="26" t="str">
        <f t="shared" si="491"/>
        <v>R</v>
      </c>
      <c r="O737" s="28">
        <v>20.0</v>
      </c>
      <c r="P737" s="26" t="str">
        <f t="shared" si="492"/>
        <v>I</v>
      </c>
      <c r="Q737" s="28">
        <v>6.0</v>
      </c>
      <c r="R737" s="26" t="str">
        <f t="shared" si="493"/>
        <v>R</v>
      </c>
      <c r="S737" s="28">
        <v>20.0</v>
      </c>
      <c r="T737" s="26" t="str">
        <f t="shared" si="494"/>
        <v>S</v>
      </c>
      <c r="U737" s="28">
        <v>12.0</v>
      </c>
      <c r="V737" s="26" t="str">
        <f t="shared" si="495"/>
        <v>R</v>
      </c>
      <c r="W737" s="32" t="s">
        <v>299</v>
      </c>
      <c r="X737" s="65">
        <v>6.0</v>
      </c>
      <c r="Y737" s="33" t="str">
        <f t="shared" si="496"/>
        <v>R</v>
      </c>
      <c r="Z737" s="65">
        <v>14.0</v>
      </c>
      <c r="AA737" s="33" t="str">
        <f t="shared" si="497"/>
        <v>R</v>
      </c>
      <c r="AB737" s="65">
        <v>6.0</v>
      </c>
      <c r="AC737" s="33" t="str">
        <f t="shared" si="498"/>
        <v>R</v>
      </c>
      <c r="AD737" s="65">
        <v>20.0</v>
      </c>
      <c r="AE737" s="33" t="str">
        <f t="shared" si="499"/>
        <v>S</v>
      </c>
      <c r="AF737" s="65">
        <v>11.0</v>
      </c>
      <c r="AG737" s="33" t="str">
        <f t="shared" si="500"/>
        <v>R</v>
      </c>
      <c r="AH737" s="65" t="s">
        <v>299</v>
      </c>
      <c r="AI737" s="66">
        <v>16.0</v>
      </c>
      <c r="AJ737" s="36" t="str">
        <f t="shared" si="501"/>
        <v>R</v>
      </c>
      <c r="AK737" s="66">
        <v>18.0</v>
      </c>
      <c r="AL737" s="36" t="str">
        <f t="shared" si="502"/>
        <v>R</v>
      </c>
      <c r="AM737" s="66">
        <v>11.0</v>
      </c>
      <c r="AN737" s="36" t="str">
        <f t="shared" si="503"/>
        <v>R</v>
      </c>
      <c r="AO737" s="66" t="s">
        <v>299</v>
      </c>
      <c r="AP737" s="67">
        <v>12.0</v>
      </c>
      <c r="AQ737" s="37" t="str">
        <f t="shared" si="504"/>
        <v>I</v>
      </c>
      <c r="AR737" s="65">
        <v>18.0</v>
      </c>
      <c r="AS737" s="33" t="str">
        <f t="shared" si="505"/>
        <v>S</v>
      </c>
      <c r="AT737" s="65">
        <v>17.0</v>
      </c>
      <c r="AU737" s="33" t="str">
        <f t="shared" si="506"/>
        <v>S</v>
      </c>
      <c r="AV737" s="33" t="s">
        <v>300</v>
      </c>
      <c r="AW737" s="28">
        <v>21.0</v>
      </c>
      <c r="AX737" s="26" t="str">
        <f t="shared" si="507"/>
        <v>S</v>
      </c>
      <c r="AY737" s="67">
        <v>10.0</v>
      </c>
      <c r="AZ737" s="37" t="str">
        <f t="shared" si="508"/>
        <v>R</v>
      </c>
      <c r="BA737" s="66">
        <v>20.0</v>
      </c>
      <c r="BB737" s="36" t="str">
        <f t="shared" si="509"/>
        <v>R</v>
      </c>
      <c r="BC737" s="39" t="s">
        <v>357</v>
      </c>
      <c r="BD737" s="39" t="s">
        <v>357</v>
      </c>
      <c r="BE737" s="66">
        <v>16.0</v>
      </c>
      <c r="BF737" s="36" t="str">
        <f t="shared" si="510"/>
        <v>R</v>
      </c>
      <c r="BG737" s="68">
        <v>13.0</v>
      </c>
      <c r="BH737" s="41" t="str">
        <f t="shared" si="511"/>
        <v>R</v>
      </c>
      <c r="BI737" s="41"/>
    </row>
    <row r="738">
      <c r="A738" s="21" t="s">
        <v>1166</v>
      </c>
      <c r="B738" s="23">
        <v>301.0</v>
      </c>
      <c r="C738" s="21" t="s">
        <v>1255</v>
      </c>
      <c r="D738" s="69" t="s">
        <v>190</v>
      </c>
      <c r="E738" s="18" t="s">
        <v>190</v>
      </c>
      <c r="F738" s="18" t="s">
        <v>192</v>
      </c>
      <c r="G738" s="63" t="s">
        <v>1256</v>
      </c>
      <c r="H738" s="22" t="s">
        <v>198</v>
      </c>
      <c r="I738" s="28">
        <v>6.0</v>
      </c>
      <c r="J738" s="26" t="str">
        <f t="shared" si="489"/>
        <v>R</v>
      </c>
      <c r="K738" s="28">
        <v>17.0</v>
      </c>
      <c r="L738" s="26" t="str">
        <f t="shared" si="490"/>
        <v>R</v>
      </c>
      <c r="M738" s="28">
        <v>6.0</v>
      </c>
      <c r="N738" s="26" t="str">
        <f t="shared" si="491"/>
        <v>R</v>
      </c>
      <c r="O738" s="28">
        <v>18.0</v>
      </c>
      <c r="P738" s="26" t="str">
        <f t="shared" si="492"/>
        <v>R</v>
      </c>
      <c r="Q738" s="28">
        <v>6.0</v>
      </c>
      <c r="R738" s="26" t="str">
        <f t="shared" si="493"/>
        <v>R</v>
      </c>
      <c r="S738" s="28">
        <v>14.0</v>
      </c>
      <c r="T738" s="26" t="str">
        <f t="shared" si="494"/>
        <v>R</v>
      </c>
      <c r="U738" s="28">
        <v>19.0</v>
      </c>
      <c r="V738" s="26" t="str">
        <f t="shared" si="495"/>
        <v>I</v>
      </c>
      <c r="W738" s="32" t="s">
        <v>299</v>
      </c>
      <c r="X738" s="65">
        <v>10.0</v>
      </c>
      <c r="Y738" s="33" t="str">
        <f t="shared" si="496"/>
        <v>R</v>
      </c>
      <c r="Z738" s="65">
        <v>20.0</v>
      </c>
      <c r="AA738" s="33" t="str">
        <f t="shared" si="497"/>
        <v>S</v>
      </c>
      <c r="AB738" s="65">
        <v>8.0</v>
      </c>
      <c r="AC738" s="33" t="str">
        <f t="shared" si="498"/>
        <v>R</v>
      </c>
      <c r="AD738" s="65">
        <v>23.0</v>
      </c>
      <c r="AE738" s="33" t="str">
        <f t="shared" si="499"/>
        <v>S</v>
      </c>
      <c r="AF738" s="65">
        <v>14.0</v>
      </c>
      <c r="AG738" s="33" t="str">
        <f t="shared" si="500"/>
        <v>R</v>
      </c>
      <c r="AH738" s="65" t="s">
        <v>299</v>
      </c>
      <c r="AI738" s="66">
        <v>6.0</v>
      </c>
      <c r="AJ738" s="36" t="str">
        <f t="shared" si="501"/>
        <v>R</v>
      </c>
      <c r="AK738" s="66">
        <v>9.0</v>
      </c>
      <c r="AL738" s="36" t="str">
        <f t="shared" si="502"/>
        <v>R</v>
      </c>
      <c r="AM738" s="66">
        <v>6.0</v>
      </c>
      <c r="AN738" s="36" t="str">
        <f t="shared" si="503"/>
        <v>R</v>
      </c>
      <c r="AO738" s="66" t="s">
        <v>299</v>
      </c>
      <c r="AP738" s="67">
        <v>6.0</v>
      </c>
      <c r="AQ738" s="37" t="str">
        <f t="shared" si="504"/>
        <v>R</v>
      </c>
      <c r="AR738" s="65">
        <v>18.0</v>
      </c>
      <c r="AS738" s="33" t="str">
        <f t="shared" si="505"/>
        <v>S</v>
      </c>
      <c r="AT738" s="65">
        <v>6.0</v>
      </c>
      <c r="AU738" s="33" t="str">
        <f t="shared" si="506"/>
        <v>R</v>
      </c>
      <c r="AV738" s="65" t="s">
        <v>299</v>
      </c>
      <c r="AW738" s="28">
        <v>6.0</v>
      </c>
      <c r="AX738" s="26" t="str">
        <f t="shared" si="507"/>
        <v>R</v>
      </c>
      <c r="AY738" s="67">
        <v>14.0</v>
      </c>
      <c r="AZ738" s="37" t="str">
        <f t="shared" si="508"/>
        <v>R</v>
      </c>
      <c r="BA738" s="66">
        <v>26.0</v>
      </c>
      <c r="BB738" s="36" t="str">
        <f t="shared" si="509"/>
        <v>S</v>
      </c>
      <c r="BC738" s="39" t="s">
        <v>357</v>
      </c>
      <c r="BD738" s="39" t="s">
        <v>357</v>
      </c>
      <c r="BE738" s="66">
        <v>29.0</v>
      </c>
      <c r="BF738" s="36" t="str">
        <f t="shared" si="510"/>
        <v>S</v>
      </c>
      <c r="BG738" s="68">
        <v>20.0</v>
      </c>
      <c r="BH738" s="41" t="str">
        <f t="shared" si="511"/>
        <v>S</v>
      </c>
      <c r="BI738" s="41"/>
    </row>
    <row r="739">
      <c r="A739" s="21" t="s">
        <v>1166</v>
      </c>
      <c r="B739" s="21" t="s">
        <v>444</v>
      </c>
      <c r="C739" s="21" t="s">
        <v>2281</v>
      </c>
      <c r="D739" s="69" t="s">
        <v>190</v>
      </c>
      <c r="E739" s="18" t="s">
        <v>190</v>
      </c>
      <c r="F739" s="18" t="s">
        <v>192</v>
      </c>
      <c r="G739" s="63" t="s">
        <v>2282</v>
      </c>
      <c r="H739" s="22" t="s">
        <v>198</v>
      </c>
      <c r="I739" s="28">
        <v>9.0</v>
      </c>
      <c r="J739" s="26" t="str">
        <f t="shared" si="489"/>
        <v>R</v>
      </c>
      <c r="K739" s="28">
        <v>16.0</v>
      </c>
      <c r="L739" s="26" t="str">
        <f t="shared" si="490"/>
        <v>R</v>
      </c>
      <c r="M739" s="28">
        <v>6.0</v>
      </c>
      <c r="N739" s="26" t="str">
        <f t="shared" si="491"/>
        <v>R</v>
      </c>
      <c r="O739" s="28">
        <v>18.0</v>
      </c>
      <c r="P739" s="26" t="str">
        <f t="shared" si="492"/>
        <v>R</v>
      </c>
      <c r="Q739" s="28">
        <v>6.0</v>
      </c>
      <c r="R739" s="26" t="str">
        <f t="shared" si="493"/>
        <v>R</v>
      </c>
      <c r="S739" s="28">
        <v>16.0</v>
      </c>
      <c r="T739" s="26" t="str">
        <f t="shared" si="494"/>
        <v>R</v>
      </c>
      <c r="U739" s="28">
        <v>19.0</v>
      </c>
      <c r="V739" s="26" t="str">
        <f t="shared" si="495"/>
        <v>I</v>
      </c>
      <c r="W739" s="32" t="s">
        <v>299</v>
      </c>
      <c r="X739" s="65">
        <v>10.0</v>
      </c>
      <c r="Y739" s="33" t="str">
        <f t="shared" si="496"/>
        <v>R</v>
      </c>
      <c r="Z739" s="65">
        <v>21.0</v>
      </c>
      <c r="AA739" s="33" t="str">
        <f t="shared" si="497"/>
        <v>S</v>
      </c>
      <c r="AB739" s="65">
        <v>9.0</v>
      </c>
      <c r="AC739" s="33" t="str">
        <f t="shared" si="498"/>
        <v>R</v>
      </c>
      <c r="AD739" s="65">
        <v>22.0</v>
      </c>
      <c r="AE739" s="33" t="str">
        <f t="shared" si="499"/>
        <v>S</v>
      </c>
      <c r="AF739" s="65">
        <v>14.0</v>
      </c>
      <c r="AG739" s="33" t="str">
        <f t="shared" si="500"/>
        <v>R</v>
      </c>
      <c r="AH739" s="65" t="s">
        <v>299</v>
      </c>
      <c r="AI739" s="66">
        <v>12.0</v>
      </c>
      <c r="AJ739" s="36" t="str">
        <f t="shared" si="501"/>
        <v>R</v>
      </c>
      <c r="AK739" s="66">
        <v>6.0</v>
      </c>
      <c r="AL739" s="36" t="str">
        <f t="shared" si="502"/>
        <v>R</v>
      </c>
      <c r="AM739" s="66">
        <v>9.0</v>
      </c>
      <c r="AN739" s="36" t="str">
        <f t="shared" si="503"/>
        <v>R</v>
      </c>
      <c r="AO739" s="66" t="s">
        <v>299</v>
      </c>
      <c r="AP739" s="67">
        <v>9.0</v>
      </c>
      <c r="AQ739" s="37" t="str">
        <f t="shared" si="504"/>
        <v>R</v>
      </c>
      <c r="AR739" s="65">
        <v>18.0</v>
      </c>
      <c r="AS739" s="33" t="str">
        <f t="shared" si="505"/>
        <v>S</v>
      </c>
      <c r="AT739" s="65">
        <v>6.0</v>
      </c>
      <c r="AU739" s="33" t="str">
        <f t="shared" si="506"/>
        <v>R</v>
      </c>
      <c r="AV739" s="65" t="s">
        <v>299</v>
      </c>
      <c r="AW739" s="28">
        <v>6.0</v>
      </c>
      <c r="AX739" s="26" t="str">
        <f t="shared" si="507"/>
        <v>R</v>
      </c>
      <c r="AY739" s="67">
        <v>15.0</v>
      </c>
      <c r="AZ739" s="37" t="str">
        <f t="shared" si="508"/>
        <v>R</v>
      </c>
      <c r="BA739" s="66">
        <v>25.0</v>
      </c>
      <c r="BB739" s="36" t="str">
        <f t="shared" si="509"/>
        <v>S</v>
      </c>
      <c r="BC739" s="39" t="s">
        <v>357</v>
      </c>
      <c r="BD739" s="39" t="s">
        <v>357</v>
      </c>
      <c r="BE739" s="66">
        <v>28.0</v>
      </c>
      <c r="BF739" s="36" t="str">
        <f t="shared" si="510"/>
        <v>S</v>
      </c>
      <c r="BG739" s="68">
        <v>20.0</v>
      </c>
      <c r="BH739" s="41" t="str">
        <f t="shared" si="511"/>
        <v>S</v>
      </c>
      <c r="BI739" s="41"/>
    </row>
    <row r="740">
      <c r="A740" s="21" t="s">
        <v>1166</v>
      </c>
      <c r="B740" s="21" t="s">
        <v>444</v>
      </c>
      <c r="C740" s="21" t="s">
        <v>2283</v>
      </c>
      <c r="D740" s="69" t="s">
        <v>190</v>
      </c>
      <c r="E740" s="18" t="s">
        <v>190</v>
      </c>
      <c r="F740" s="18" t="s">
        <v>192</v>
      </c>
      <c r="G740" s="63" t="s">
        <v>2284</v>
      </c>
      <c r="H740" s="22" t="s">
        <v>198</v>
      </c>
      <c r="I740" s="28">
        <v>9.0</v>
      </c>
      <c r="J740" s="26" t="str">
        <f t="shared" si="489"/>
        <v>R</v>
      </c>
      <c r="K740" s="28">
        <v>17.0</v>
      </c>
      <c r="L740" s="26" t="str">
        <f t="shared" si="490"/>
        <v>R</v>
      </c>
      <c r="M740" s="28">
        <v>6.0</v>
      </c>
      <c r="N740" s="26" t="str">
        <f t="shared" si="491"/>
        <v>R</v>
      </c>
      <c r="O740" s="28">
        <v>18.0</v>
      </c>
      <c r="P740" s="26" t="str">
        <f t="shared" si="492"/>
        <v>R</v>
      </c>
      <c r="Q740" s="28">
        <v>6.0</v>
      </c>
      <c r="R740" s="26" t="str">
        <f t="shared" si="493"/>
        <v>R</v>
      </c>
      <c r="S740" s="28">
        <v>11.0</v>
      </c>
      <c r="T740" s="26" t="str">
        <f t="shared" si="494"/>
        <v>R</v>
      </c>
      <c r="U740" s="28">
        <v>19.0</v>
      </c>
      <c r="V740" s="26" t="str">
        <f t="shared" si="495"/>
        <v>I</v>
      </c>
      <c r="W740" s="32" t="s">
        <v>299</v>
      </c>
      <c r="X740" s="65">
        <v>11.0</v>
      </c>
      <c r="Y740" s="33" t="str">
        <f t="shared" si="496"/>
        <v>R</v>
      </c>
      <c r="Z740" s="65">
        <v>19.0</v>
      </c>
      <c r="AA740" s="33" t="str">
        <f t="shared" si="497"/>
        <v>S</v>
      </c>
      <c r="AB740" s="65">
        <v>6.0</v>
      </c>
      <c r="AC740" s="33" t="str">
        <f t="shared" si="498"/>
        <v>R</v>
      </c>
      <c r="AD740" s="65">
        <v>23.0</v>
      </c>
      <c r="AE740" s="33" t="str">
        <f t="shared" si="499"/>
        <v>S</v>
      </c>
      <c r="AF740" s="65">
        <v>14.0</v>
      </c>
      <c r="AG740" s="33" t="str">
        <f t="shared" si="500"/>
        <v>R</v>
      </c>
      <c r="AH740" s="65" t="s">
        <v>299</v>
      </c>
      <c r="AI740" s="66">
        <v>9.0</v>
      </c>
      <c r="AJ740" s="36" t="str">
        <f t="shared" si="501"/>
        <v>R</v>
      </c>
      <c r="AK740" s="66">
        <v>11.0</v>
      </c>
      <c r="AL740" s="36" t="str">
        <f t="shared" si="502"/>
        <v>R</v>
      </c>
      <c r="AM740" s="66">
        <v>9.0</v>
      </c>
      <c r="AN740" s="36" t="str">
        <f t="shared" si="503"/>
        <v>R</v>
      </c>
      <c r="AO740" s="66" t="s">
        <v>299</v>
      </c>
      <c r="AP740" s="67">
        <v>6.0</v>
      </c>
      <c r="AQ740" s="37" t="str">
        <f t="shared" si="504"/>
        <v>R</v>
      </c>
      <c r="AR740" s="65">
        <v>18.0</v>
      </c>
      <c r="AS740" s="33" t="str">
        <f t="shared" si="505"/>
        <v>S</v>
      </c>
      <c r="AT740" s="65">
        <v>9.0</v>
      </c>
      <c r="AU740" s="33" t="str">
        <f t="shared" si="506"/>
        <v>R</v>
      </c>
      <c r="AV740" s="65" t="s">
        <v>299</v>
      </c>
      <c r="AW740" s="28">
        <v>6.0</v>
      </c>
      <c r="AX740" s="26" t="str">
        <f t="shared" si="507"/>
        <v>R</v>
      </c>
      <c r="AY740" s="67">
        <v>12.0</v>
      </c>
      <c r="AZ740" s="37" t="str">
        <f t="shared" si="508"/>
        <v>R</v>
      </c>
      <c r="BA740" s="66">
        <v>25.0</v>
      </c>
      <c r="BB740" s="36" t="str">
        <f t="shared" si="509"/>
        <v>S</v>
      </c>
      <c r="BC740" s="39" t="s">
        <v>357</v>
      </c>
      <c r="BD740" s="39" t="s">
        <v>357</v>
      </c>
      <c r="BE740" s="66">
        <v>26.0</v>
      </c>
      <c r="BF740" s="36" t="str">
        <f t="shared" si="510"/>
        <v>S</v>
      </c>
      <c r="BG740" s="68">
        <v>19.0</v>
      </c>
      <c r="BH740" s="41" t="str">
        <f t="shared" si="511"/>
        <v>S</v>
      </c>
      <c r="BI740" s="41"/>
    </row>
    <row r="741">
      <c r="A741" s="21" t="s">
        <v>1166</v>
      </c>
      <c r="B741" s="23">
        <v>302.0</v>
      </c>
      <c r="C741" s="21" t="s">
        <v>1257</v>
      </c>
      <c r="D741" s="69" t="s">
        <v>190</v>
      </c>
      <c r="E741" s="18" t="s">
        <v>190</v>
      </c>
      <c r="F741" s="18" t="s">
        <v>192</v>
      </c>
      <c r="G741" s="63" t="s">
        <v>1258</v>
      </c>
      <c r="H741" s="42" t="s">
        <v>479</v>
      </c>
      <c r="I741" s="28">
        <v>6.0</v>
      </c>
      <c r="J741" s="26" t="str">
        <f t="shared" si="489"/>
        <v>R</v>
      </c>
      <c r="K741" s="28">
        <v>19.0</v>
      </c>
      <c r="L741" s="26" t="str">
        <f t="shared" si="490"/>
        <v>S</v>
      </c>
      <c r="M741" s="28">
        <v>6.0</v>
      </c>
      <c r="N741" s="26" t="str">
        <f t="shared" si="491"/>
        <v>R</v>
      </c>
      <c r="O741" s="28">
        <v>21.0</v>
      </c>
      <c r="P741" s="26" t="str">
        <f t="shared" si="492"/>
        <v>I</v>
      </c>
      <c r="Q741" s="28">
        <v>11.0</v>
      </c>
      <c r="R741" s="26" t="str">
        <f t="shared" si="493"/>
        <v>R</v>
      </c>
      <c r="S741" s="28">
        <v>23.0</v>
      </c>
      <c r="T741" s="26" t="str">
        <f t="shared" si="494"/>
        <v>S</v>
      </c>
      <c r="U741" s="28">
        <v>20.0</v>
      </c>
      <c r="V741" s="26" t="str">
        <f t="shared" si="495"/>
        <v>S</v>
      </c>
      <c r="W741" s="32" t="s">
        <v>299</v>
      </c>
      <c r="X741" s="65">
        <v>17.0</v>
      </c>
      <c r="Y741" s="33" t="str">
        <f t="shared" si="496"/>
        <v>I</v>
      </c>
      <c r="Z741" s="65">
        <v>24.0</v>
      </c>
      <c r="AA741" s="33" t="str">
        <f t="shared" si="497"/>
        <v>S</v>
      </c>
      <c r="AB741" s="65">
        <v>21.0</v>
      </c>
      <c r="AC741" s="33" t="str">
        <f t="shared" si="498"/>
        <v>I</v>
      </c>
      <c r="AD741" s="65">
        <v>24.0</v>
      </c>
      <c r="AE741" s="33" t="str">
        <f t="shared" si="499"/>
        <v>S</v>
      </c>
      <c r="AF741" s="65">
        <v>23.0</v>
      </c>
      <c r="AG741" s="33" t="str">
        <f t="shared" si="500"/>
        <v>R</v>
      </c>
      <c r="AH741" s="65" t="s">
        <v>299</v>
      </c>
      <c r="AI741" s="66">
        <v>32.0</v>
      </c>
      <c r="AJ741" s="36" t="str">
        <f t="shared" si="501"/>
        <v>S</v>
      </c>
      <c r="AK741" s="66">
        <v>26.0</v>
      </c>
      <c r="AL741" s="36" t="str">
        <f t="shared" si="502"/>
        <v>S</v>
      </c>
      <c r="AM741" s="66">
        <v>26.0</v>
      </c>
      <c r="AN741" s="36" t="str">
        <f t="shared" si="503"/>
        <v>S</v>
      </c>
      <c r="AO741" s="36" t="s">
        <v>300</v>
      </c>
      <c r="AP741" s="67">
        <v>6.0</v>
      </c>
      <c r="AQ741" s="37" t="str">
        <f t="shared" si="504"/>
        <v>R</v>
      </c>
      <c r="AR741" s="65">
        <v>24.0</v>
      </c>
      <c r="AS741" s="33" t="str">
        <f t="shared" si="505"/>
        <v>S</v>
      </c>
      <c r="AT741" s="65">
        <v>24.0</v>
      </c>
      <c r="AU741" s="33" t="str">
        <f t="shared" si="506"/>
        <v>S</v>
      </c>
      <c r="AV741" s="33" t="s">
        <v>300</v>
      </c>
      <c r="AW741" s="28">
        <v>6.0</v>
      </c>
      <c r="AX741" s="26" t="str">
        <f t="shared" si="507"/>
        <v>R</v>
      </c>
      <c r="AY741" s="67">
        <v>26.0</v>
      </c>
      <c r="AZ741" s="37" t="str">
        <f t="shared" si="508"/>
        <v>S</v>
      </c>
      <c r="BA741" s="66">
        <v>34.0</v>
      </c>
      <c r="BB741" s="36" t="str">
        <f t="shared" si="509"/>
        <v>S</v>
      </c>
      <c r="BC741" s="39" t="s">
        <v>357</v>
      </c>
      <c r="BD741" s="39" t="s">
        <v>357</v>
      </c>
      <c r="BE741" s="66">
        <v>27.0</v>
      </c>
      <c r="BF741" s="36" t="str">
        <f t="shared" si="510"/>
        <v>S</v>
      </c>
      <c r="BG741" s="68">
        <v>23.0</v>
      </c>
      <c r="BH741" s="41" t="str">
        <f t="shared" si="511"/>
        <v>S</v>
      </c>
      <c r="BI741" s="41"/>
    </row>
    <row r="742">
      <c r="A742" s="21" t="s">
        <v>1166</v>
      </c>
      <c r="B742" s="21" t="s">
        <v>444</v>
      </c>
      <c r="C742" s="21" t="s">
        <v>2285</v>
      </c>
      <c r="D742" s="69" t="s">
        <v>190</v>
      </c>
      <c r="E742" s="18" t="s">
        <v>190</v>
      </c>
      <c r="F742" s="18" t="s">
        <v>192</v>
      </c>
      <c r="G742" s="63" t="s">
        <v>2286</v>
      </c>
      <c r="H742" s="42" t="s">
        <v>479</v>
      </c>
      <c r="I742" s="28">
        <v>6.0</v>
      </c>
      <c r="J742" s="26" t="str">
        <f t="shared" si="489"/>
        <v>R</v>
      </c>
      <c r="K742" s="28">
        <v>19.0</v>
      </c>
      <c r="L742" s="26" t="str">
        <f t="shared" si="490"/>
        <v>S</v>
      </c>
      <c r="M742" s="28">
        <v>6.0</v>
      </c>
      <c r="N742" s="26" t="str">
        <f t="shared" si="491"/>
        <v>R</v>
      </c>
      <c r="O742" s="28">
        <v>21.0</v>
      </c>
      <c r="P742" s="26" t="str">
        <f t="shared" si="492"/>
        <v>I</v>
      </c>
      <c r="Q742" s="28">
        <v>10.0</v>
      </c>
      <c r="R742" s="26" t="str">
        <f t="shared" si="493"/>
        <v>R</v>
      </c>
      <c r="S742" s="28">
        <v>20.0</v>
      </c>
      <c r="T742" s="26" t="str">
        <f t="shared" si="494"/>
        <v>S</v>
      </c>
      <c r="U742" s="28">
        <v>20.0</v>
      </c>
      <c r="V742" s="26" t="str">
        <f t="shared" si="495"/>
        <v>S</v>
      </c>
      <c r="W742" s="32" t="s">
        <v>299</v>
      </c>
      <c r="X742" s="65">
        <v>18.0</v>
      </c>
      <c r="Y742" s="33" t="str">
        <f t="shared" si="496"/>
        <v>I</v>
      </c>
      <c r="Z742" s="65">
        <v>24.0</v>
      </c>
      <c r="AA742" s="33" t="str">
        <f t="shared" si="497"/>
        <v>S</v>
      </c>
      <c r="AB742" s="65">
        <v>20.0</v>
      </c>
      <c r="AC742" s="33" t="str">
        <f t="shared" si="498"/>
        <v>I</v>
      </c>
      <c r="AD742" s="65">
        <v>22.0</v>
      </c>
      <c r="AE742" s="33" t="str">
        <f t="shared" si="499"/>
        <v>S</v>
      </c>
      <c r="AF742" s="65">
        <v>22.0</v>
      </c>
      <c r="AG742" s="33" t="str">
        <f t="shared" si="500"/>
        <v>R</v>
      </c>
      <c r="AH742" s="65" t="s">
        <v>299</v>
      </c>
      <c r="AI742" s="66">
        <v>32.0</v>
      </c>
      <c r="AJ742" s="36" t="str">
        <f t="shared" si="501"/>
        <v>S</v>
      </c>
      <c r="AK742" s="66">
        <v>26.0</v>
      </c>
      <c r="AL742" s="36" t="str">
        <f t="shared" si="502"/>
        <v>S</v>
      </c>
      <c r="AM742" s="66">
        <v>25.0</v>
      </c>
      <c r="AN742" s="36" t="str">
        <f t="shared" si="503"/>
        <v>S</v>
      </c>
      <c r="AO742" s="36" t="s">
        <v>300</v>
      </c>
      <c r="AP742" s="67">
        <v>9.0</v>
      </c>
      <c r="AQ742" s="37" t="str">
        <f t="shared" si="504"/>
        <v>R</v>
      </c>
      <c r="AR742" s="65">
        <v>24.0</v>
      </c>
      <c r="AS742" s="33" t="str">
        <f t="shared" si="505"/>
        <v>S</v>
      </c>
      <c r="AT742" s="65">
        <v>24.0</v>
      </c>
      <c r="AU742" s="33" t="str">
        <f t="shared" si="506"/>
        <v>S</v>
      </c>
      <c r="AV742" s="33" t="s">
        <v>300</v>
      </c>
      <c r="AW742" s="28">
        <v>9.0</v>
      </c>
      <c r="AX742" s="26" t="str">
        <f t="shared" si="507"/>
        <v>R</v>
      </c>
      <c r="AY742" s="67">
        <v>25.0</v>
      </c>
      <c r="AZ742" s="37" t="str">
        <f t="shared" si="508"/>
        <v>I</v>
      </c>
      <c r="BA742" s="66">
        <v>32.0</v>
      </c>
      <c r="BB742" s="36" t="str">
        <f t="shared" si="509"/>
        <v>S</v>
      </c>
      <c r="BC742" s="39" t="s">
        <v>357</v>
      </c>
      <c r="BD742" s="39" t="s">
        <v>357</v>
      </c>
      <c r="BE742" s="66">
        <v>28.0</v>
      </c>
      <c r="BF742" s="36" t="str">
        <f t="shared" si="510"/>
        <v>S</v>
      </c>
      <c r="BG742" s="68">
        <v>23.0</v>
      </c>
      <c r="BH742" s="41" t="str">
        <f t="shared" si="511"/>
        <v>S</v>
      </c>
      <c r="BI742" s="41"/>
    </row>
    <row r="743">
      <c r="A743" s="21" t="s">
        <v>1166</v>
      </c>
      <c r="B743" s="21" t="s">
        <v>444</v>
      </c>
      <c r="C743" s="21" t="s">
        <v>2287</v>
      </c>
      <c r="D743" s="69" t="s">
        <v>190</v>
      </c>
      <c r="E743" s="18" t="s">
        <v>190</v>
      </c>
      <c r="F743" s="18" t="s">
        <v>192</v>
      </c>
      <c r="G743" s="63" t="s">
        <v>2288</v>
      </c>
      <c r="H743" s="42" t="s">
        <v>479</v>
      </c>
      <c r="I743" s="28">
        <v>6.0</v>
      </c>
      <c r="J743" s="26" t="str">
        <f t="shared" si="489"/>
        <v>R</v>
      </c>
      <c r="K743" s="28">
        <v>19.0</v>
      </c>
      <c r="L743" s="26" t="str">
        <f t="shared" si="490"/>
        <v>S</v>
      </c>
      <c r="M743" s="28">
        <v>6.0</v>
      </c>
      <c r="N743" s="26" t="str">
        <f t="shared" si="491"/>
        <v>R</v>
      </c>
      <c r="O743" s="28">
        <v>21.0</v>
      </c>
      <c r="P743" s="26" t="str">
        <f t="shared" si="492"/>
        <v>I</v>
      </c>
      <c r="Q743" s="28">
        <v>11.0</v>
      </c>
      <c r="R743" s="26" t="str">
        <f t="shared" si="493"/>
        <v>R</v>
      </c>
      <c r="S743" s="28">
        <v>22.0</v>
      </c>
      <c r="T743" s="26" t="str">
        <f t="shared" si="494"/>
        <v>S</v>
      </c>
      <c r="U743" s="28">
        <v>20.0</v>
      </c>
      <c r="V743" s="26" t="str">
        <f t="shared" si="495"/>
        <v>S</v>
      </c>
      <c r="W743" s="32" t="s">
        <v>299</v>
      </c>
      <c r="X743" s="65">
        <v>18.0</v>
      </c>
      <c r="Y743" s="33" t="str">
        <f t="shared" si="496"/>
        <v>I</v>
      </c>
      <c r="Z743" s="65">
        <v>24.0</v>
      </c>
      <c r="AA743" s="33" t="str">
        <f t="shared" si="497"/>
        <v>S</v>
      </c>
      <c r="AB743" s="65">
        <v>21.0</v>
      </c>
      <c r="AC743" s="33" t="str">
        <f t="shared" si="498"/>
        <v>I</v>
      </c>
      <c r="AD743" s="65">
        <v>22.0</v>
      </c>
      <c r="AE743" s="33" t="str">
        <f t="shared" si="499"/>
        <v>S</v>
      </c>
      <c r="AF743" s="65">
        <v>23.0</v>
      </c>
      <c r="AG743" s="33" t="str">
        <f t="shared" si="500"/>
        <v>R</v>
      </c>
      <c r="AH743" s="65" t="s">
        <v>299</v>
      </c>
      <c r="AI743" s="66">
        <v>32.0</v>
      </c>
      <c r="AJ743" s="36" t="str">
        <f t="shared" si="501"/>
        <v>S</v>
      </c>
      <c r="AK743" s="66">
        <v>26.0</v>
      </c>
      <c r="AL743" s="36" t="str">
        <f t="shared" si="502"/>
        <v>S</v>
      </c>
      <c r="AM743" s="66">
        <v>26.0</v>
      </c>
      <c r="AN743" s="36" t="str">
        <f t="shared" si="503"/>
        <v>S</v>
      </c>
      <c r="AO743" s="36" t="s">
        <v>300</v>
      </c>
      <c r="AP743" s="67">
        <v>6.0</v>
      </c>
      <c r="AQ743" s="37" t="str">
        <f t="shared" si="504"/>
        <v>R</v>
      </c>
      <c r="AR743" s="65">
        <v>24.0</v>
      </c>
      <c r="AS743" s="33" t="str">
        <f t="shared" si="505"/>
        <v>S</v>
      </c>
      <c r="AT743" s="65">
        <v>24.0</v>
      </c>
      <c r="AU743" s="33" t="str">
        <f t="shared" si="506"/>
        <v>S</v>
      </c>
      <c r="AV743" s="33" t="s">
        <v>300</v>
      </c>
      <c r="AW743" s="28">
        <v>6.0</v>
      </c>
      <c r="AX743" s="26" t="str">
        <f t="shared" si="507"/>
        <v>R</v>
      </c>
      <c r="AY743" s="67">
        <v>26.0</v>
      </c>
      <c r="AZ743" s="37" t="str">
        <f t="shared" si="508"/>
        <v>S</v>
      </c>
      <c r="BA743" s="66">
        <v>34.0</v>
      </c>
      <c r="BB743" s="36" t="str">
        <f t="shared" si="509"/>
        <v>S</v>
      </c>
      <c r="BC743" s="39" t="s">
        <v>357</v>
      </c>
      <c r="BD743" s="39" t="s">
        <v>357</v>
      </c>
      <c r="BE743" s="66">
        <v>25.0</v>
      </c>
      <c r="BF743" s="36" t="str">
        <f t="shared" si="510"/>
        <v>S</v>
      </c>
      <c r="BG743" s="68">
        <v>23.0</v>
      </c>
      <c r="BH743" s="41" t="str">
        <f t="shared" si="511"/>
        <v>S</v>
      </c>
      <c r="BI743" s="41"/>
    </row>
    <row r="744">
      <c r="A744" s="21" t="s">
        <v>1166</v>
      </c>
      <c r="B744" s="23">
        <v>303.0</v>
      </c>
      <c r="C744" s="21" t="s">
        <v>1260</v>
      </c>
      <c r="D744" s="69" t="s">
        <v>571</v>
      </c>
      <c r="E744" s="18" t="s">
        <v>572</v>
      </c>
      <c r="F744" s="18" t="s">
        <v>192</v>
      </c>
      <c r="G744" s="63" t="s">
        <v>1261</v>
      </c>
      <c r="H744" s="42" t="s">
        <v>479</v>
      </c>
      <c r="I744" s="28">
        <v>15.0</v>
      </c>
      <c r="J744" s="26" t="str">
        <f t="shared" si="489"/>
        <v>R</v>
      </c>
      <c r="K744" s="28">
        <v>18.0</v>
      </c>
      <c r="L744" s="26" t="str">
        <f t="shared" si="490"/>
        <v>R</v>
      </c>
      <c r="M744" s="28">
        <v>17.0</v>
      </c>
      <c r="N744" s="26" t="str">
        <f t="shared" si="491"/>
        <v>R</v>
      </c>
      <c r="O744" s="28">
        <v>14.0</v>
      </c>
      <c r="P744" s="26" t="str">
        <f t="shared" si="492"/>
        <v>R</v>
      </c>
      <c r="Q744" s="28">
        <v>16.0</v>
      </c>
      <c r="R744" s="26" t="str">
        <f t="shared" si="493"/>
        <v>R</v>
      </c>
      <c r="S744" s="28">
        <v>17.0</v>
      </c>
      <c r="T744" s="26" t="str">
        <f t="shared" si="494"/>
        <v>R</v>
      </c>
      <c r="U744" s="28">
        <v>6.0</v>
      </c>
      <c r="V744" s="26" t="str">
        <f t="shared" si="495"/>
        <v>R</v>
      </c>
      <c r="W744" s="32" t="s">
        <v>299</v>
      </c>
      <c r="X744" s="65">
        <v>6.0</v>
      </c>
      <c r="Y744" s="33" t="str">
        <f t="shared" si="496"/>
        <v>R</v>
      </c>
      <c r="Z744" s="65">
        <v>6.0</v>
      </c>
      <c r="AA744" s="33" t="str">
        <f t="shared" si="497"/>
        <v>R</v>
      </c>
      <c r="AB744" s="65">
        <v>6.0</v>
      </c>
      <c r="AC744" s="33" t="str">
        <f t="shared" si="498"/>
        <v>R</v>
      </c>
      <c r="AD744" s="65">
        <v>6.0</v>
      </c>
      <c r="AE744" s="33" t="str">
        <f t="shared" si="499"/>
        <v>R</v>
      </c>
      <c r="AF744" s="65">
        <v>6.0</v>
      </c>
      <c r="AG744" s="33" t="str">
        <f t="shared" si="500"/>
        <v>R</v>
      </c>
      <c r="AH744" s="65" t="s">
        <v>299</v>
      </c>
      <c r="AI744" s="66">
        <v>6.0</v>
      </c>
      <c r="AJ744" s="36" t="str">
        <f t="shared" si="501"/>
        <v>R</v>
      </c>
      <c r="AK744" s="66">
        <v>12.0</v>
      </c>
      <c r="AL744" s="36" t="str">
        <f t="shared" si="502"/>
        <v>R</v>
      </c>
      <c r="AM744" s="66">
        <v>6.0</v>
      </c>
      <c r="AN744" s="36" t="str">
        <f t="shared" si="503"/>
        <v>R</v>
      </c>
      <c r="AO744" s="66" t="s">
        <v>299</v>
      </c>
      <c r="AP744" s="67">
        <v>6.0</v>
      </c>
      <c r="AQ744" s="37" t="str">
        <f t="shared" si="504"/>
        <v>R</v>
      </c>
      <c r="AR744" s="65">
        <v>6.0</v>
      </c>
      <c r="AS744" s="33" t="str">
        <f t="shared" si="505"/>
        <v>R</v>
      </c>
      <c r="AT744" s="65">
        <v>6.0</v>
      </c>
      <c r="AU744" s="33" t="str">
        <f t="shared" si="506"/>
        <v>R</v>
      </c>
      <c r="AV744" s="65" t="s">
        <v>299</v>
      </c>
      <c r="AW744" s="28">
        <v>15.0</v>
      </c>
      <c r="AX744" s="26" t="str">
        <f t="shared" si="507"/>
        <v>R</v>
      </c>
      <c r="AY744" s="67">
        <v>6.0</v>
      </c>
      <c r="AZ744" s="37" t="str">
        <f t="shared" si="508"/>
        <v>R</v>
      </c>
      <c r="BA744" s="66">
        <v>12.0</v>
      </c>
      <c r="BB744" s="36" t="str">
        <f t="shared" si="509"/>
        <v>R</v>
      </c>
      <c r="BC744" s="39" t="s">
        <v>357</v>
      </c>
      <c r="BD744" s="39" t="s">
        <v>357</v>
      </c>
      <c r="BE744" s="66">
        <v>20.0</v>
      </c>
      <c r="BF744" s="36" t="str">
        <f t="shared" si="510"/>
        <v>I</v>
      </c>
      <c r="BG744" s="68">
        <v>11.0</v>
      </c>
      <c r="BH744" s="41" t="str">
        <f t="shared" si="511"/>
        <v>R</v>
      </c>
      <c r="BI744" s="41"/>
    </row>
    <row r="745">
      <c r="A745" s="21" t="s">
        <v>1166</v>
      </c>
      <c r="B745" s="21" t="s">
        <v>444</v>
      </c>
      <c r="C745" s="21" t="s">
        <v>2289</v>
      </c>
      <c r="D745" s="69" t="s">
        <v>571</v>
      </c>
      <c r="E745" s="18" t="s">
        <v>572</v>
      </c>
      <c r="F745" s="18" t="s">
        <v>192</v>
      </c>
      <c r="G745" s="63" t="s">
        <v>2290</v>
      </c>
      <c r="H745" s="42" t="s">
        <v>479</v>
      </c>
      <c r="I745" s="28">
        <v>6.0</v>
      </c>
      <c r="J745" s="26" t="str">
        <f t="shared" si="489"/>
        <v>R</v>
      </c>
      <c r="K745" s="28">
        <v>17.0</v>
      </c>
      <c r="L745" s="26" t="str">
        <f t="shared" si="490"/>
        <v>R</v>
      </c>
      <c r="M745" s="28">
        <v>6.0</v>
      </c>
      <c r="N745" s="26" t="str">
        <f t="shared" si="491"/>
        <v>R</v>
      </c>
      <c r="O745" s="28">
        <v>23.0</v>
      </c>
      <c r="P745" s="26" t="str">
        <f t="shared" si="492"/>
        <v>S</v>
      </c>
      <c r="Q745" s="28">
        <v>6.0</v>
      </c>
      <c r="R745" s="26" t="str">
        <f t="shared" si="493"/>
        <v>R</v>
      </c>
      <c r="S745" s="28">
        <v>17.0</v>
      </c>
      <c r="T745" s="26" t="str">
        <f t="shared" si="494"/>
        <v>R</v>
      </c>
      <c r="U745" s="28">
        <v>19.0</v>
      </c>
      <c r="V745" s="26" t="str">
        <f t="shared" si="495"/>
        <v>I</v>
      </c>
      <c r="W745" s="32" t="s">
        <v>299</v>
      </c>
      <c r="X745" s="65">
        <v>6.0</v>
      </c>
      <c r="Y745" s="33" t="str">
        <f t="shared" si="496"/>
        <v>R</v>
      </c>
      <c r="Z745" s="65">
        <v>15.0</v>
      </c>
      <c r="AA745" s="33" t="str">
        <f t="shared" si="497"/>
        <v>R</v>
      </c>
      <c r="AB745" s="65">
        <v>6.0</v>
      </c>
      <c r="AC745" s="33" t="str">
        <f t="shared" si="498"/>
        <v>R</v>
      </c>
      <c r="AD745" s="65">
        <v>15.0</v>
      </c>
      <c r="AE745" s="33" t="str">
        <f t="shared" si="499"/>
        <v>S</v>
      </c>
      <c r="AF745" s="65">
        <v>6.0</v>
      </c>
      <c r="AG745" s="33" t="str">
        <f t="shared" si="500"/>
        <v>R</v>
      </c>
      <c r="AH745" s="65" t="s">
        <v>299</v>
      </c>
      <c r="AI745" s="66">
        <v>6.0</v>
      </c>
      <c r="AJ745" s="36" t="str">
        <f t="shared" si="501"/>
        <v>R</v>
      </c>
      <c r="AK745" s="66">
        <v>6.0</v>
      </c>
      <c r="AL745" s="36" t="str">
        <f t="shared" si="502"/>
        <v>R</v>
      </c>
      <c r="AM745" s="66">
        <v>6.0</v>
      </c>
      <c r="AN745" s="36" t="str">
        <f t="shared" si="503"/>
        <v>R</v>
      </c>
      <c r="AO745" s="66" t="s">
        <v>299</v>
      </c>
      <c r="AP745" s="67">
        <v>6.0</v>
      </c>
      <c r="AQ745" s="37" t="str">
        <f t="shared" si="504"/>
        <v>R</v>
      </c>
      <c r="AR745" s="65">
        <v>14.0</v>
      </c>
      <c r="AS745" s="33" t="str">
        <f t="shared" si="505"/>
        <v>R</v>
      </c>
      <c r="AT745" s="65">
        <v>13.0</v>
      </c>
      <c r="AU745" s="33" t="str">
        <f t="shared" si="506"/>
        <v>R</v>
      </c>
      <c r="AV745" s="65" t="s">
        <v>299</v>
      </c>
      <c r="AW745" s="28">
        <v>6.0</v>
      </c>
      <c r="AX745" s="26" t="str">
        <f t="shared" si="507"/>
        <v>R</v>
      </c>
      <c r="AY745" s="67">
        <v>12.0</v>
      </c>
      <c r="AZ745" s="37" t="str">
        <f t="shared" si="508"/>
        <v>R</v>
      </c>
      <c r="BA745" s="66">
        <v>22.0</v>
      </c>
      <c r="BB745" s="36" t="str">
        <f t="shared" si="509"/>
        <v>R</v>
      </c>
      <c r="BC745" s="39" t="s">
        <v>357</v>
      </c>
      <c r="BD745" s="39" t="s">
        <v>357</v>
      </c>
      <c r="BE745" s="66">
        <v>21.0</v>
      </c>
      <c r="BF745" s="36" t="str">
        <f t="shared" si="510"/>
        <v>I</v>
      </c>
      <c r="BG745" s="68">
        <v>16.0</v>
      </c>
      <c r="BH745" s="41" t="str">
        <f t="shared" si="511"/>
        <v>R</v>
      </c>
      <c r="BI745" s="41"/>
    </row>
    <row r="746">
      <c r="A746" s="21" t="s">
        <v>1166</v>
      </c>
      <c r="B746" s="21" t="s">
        <v>444</v>
      </c>
      <c r="C746" s="21" t="s">
        <v>2291</v>
      </c>
      <c r="D746" s="69" t="s">
        <v>571</v>
      </c>
      <c r="E746" s="18" t="s">
        <v>572</v>
      </c>
      <c r="F746" s="18" t="s">
        <v>192</v>
      </c>
      <c r="G746" s="63" t="s">
        <v>2292</v>
      </c>
      <c r="H746" s="42" t="s">
        <v>479</v>
      </c>
      <c r="I746" s="28">
        <v>6.0</v>
      </c>
      <c r="J746" s="26" t="str">
        <f t="shared" si="489"/>
        <v>R</v>
      </c>
      <c r="K746" s="28">
        <v>17.0</v>
      </c>
      <c r="L746" s="26" t="str">
        <f t="shared" si="490"/>
        <v>R</v>
      </c>
      <c r="M746" s="28">
        <v>6.0</v>
      </c>
      <c r="N746" s="26" t="str">
        <f t="shared" si="491"/>
        <v>R</v>
      </c>
      <c r="O746" s="28">
        <v>23.0</v>
      </c>
      <c r="P746" s="26" t="str">
        <f t="shared" si="492"/>
        <v>S</v>
      </c>
      <c r="Q746" s="28">
        <v>6.0</v>
      </c>
      <c r="R746" s="26" t="str">
        <f t="shared" si="493"/>
        <v>R</v>
      </c>
      <c r="S746" s="28">
        <v>17.0</v>
      </c>
      <c r="T746" s="26" t="str">
        <f t="shared" si="494"/>
        <v>R</v>
      </c>
      <c r="U746" s="28">
        <v>19.0</v>
      </c>
      <c r="V746" s="26" t="str">
        <f t="shared" si="495"/>
        <v>I</v>
      </c>
      <c r="W746" s="32" t="s">
        <v>299</v>
      </c>
      <c r="X746" s="65">
        <v>6.0</v>
      </c>
      <c r="Y746" s="33" t="str">
        <f t="shared" si="496"/>
        <v>R</v>
      </c>
      <c r="Z746" s="65">
        <v>15.0</v>
      </c>
      <c r="AA746" s="33" t="str">
        <f t="shared" si="497"/>
        <v>R</v>
      </c>
      <c r="AB746" s="65">
        <v>6.0</v>
      </c>
      <c r="AC746" s="33" t="str">
        <f t="shared" si="498"/>
        <v>R</v>
      </c>
      <c r="AD746" s="65">
        <v>15.0</v>
      </c>
      <c r="AE746" s="33" t="str">
        <f t="shared" si="499"/>
        <v>S</v>
      </c>
      <c r="AF746" s="65">
        <v>6.0</v>
      </c>
      <c r="AG746" s="33" t="str">
        <f t="shared" si="500"/>
        <v>R</v>
      </c>
      <c r="AH746" s="65" t="s">
        <v>299</v>
      </c>
      <c r="AI746" s="66">
        <v>6.0</v>
      </c>
      <c r="AJ746" s="36" t="str">
        <f t="shared" si="501"/>
        <v>R</v>
      </c>
      <c r="AK746" s="66">
        <v>6.0</v>
      </c>
      <c r="AL746" s="36" t="str">
        <f t="shared" si="502"/>
        <v>R</v>
      </c>
      <c r="AM746" s="66">
        <v>6.0</v>
      </c>
      <c r="AN746" s="36" t="str">
        <f t="shared" si="503"/>
        <v>R</v>
      </c>
      <c r="AO746" s="66" t="s">
        <v>299</v>
      </c>
      <c r="AP746" s="67">
        <v>6.0</v>
      </c>
      <c r="AQ746" s="37" t="str">
        <f t="shared" si="504"/>
        <v>R</v>
      </c>
      <c r="AR746" s="65">
        <v>14.0</v>
      </c>
      <c r="AS746" s="33" t="str">
        <f t="shared" si="505"/>
        <v>R</v>
      </c>
      <c r="AT746" s="65">
        <v>13.0</v>
      </c>
      <c r="AU746" s="33" t="str">
        <f t="shared" si="506"/>
        <v>R</v>
      </c>
      <c r="AV746" s="65" t="s">
        <v>299</v>
      </c>
      <c r="AW746" s="28">
        <v>6.0</v>
      </c>
      <c r="AX746" s="26" t="str">
        <f t="shared" si="507"/>
        <v>R</v>
      </c>
      <c r="AY746" s="67">
        <v>12.0</v>
      </c>
      <c r="AZ746" s="37" t="str">
        <f t="shared" si="508"/>
        <v>R</v>
      </c>
      <c r="BA746" s="66">
        <v>22.0</v>
      </c>
      <c r="BB746" s="36" t="str">
        <f t="shared" si="509"/>
        <v>R</v>
      </c>
      <c r="BC746" s="39" t="s">
        <v>357</v>
      </c>
      <c r="BD746" s="39" t="s">
        <v>357</v>
      </c>
      <c r="BE746" s="66">
        <v>21.0</v>
      </c>
      <c r="BF746" s="36" t="str">
        <f t="shared" si="510"/>
        <v>I</v>
      </c>
      <c r="BG746" s="68">
        <v>16.0</v>
      </c>
      <c r="BH746" s="41" t="str">
        <f t="shared" si="511"/>
        <v>R</v>
      </c>
      <c r="BI746" s="41"/>
    </row>
    <row r="747">
      <c r="A747" s="51" t="s">
        <v>693</v>
      </c>
      <c r="B747" s="53">
        <v>304.0</v>
      </c>
      <c r="C747" s="51" t="s">
        <v>1123</v>
      </c>
      <c r="D747" s="69" t="s">
        <v>190</v>
      </c>
      <c r="E747" s="18" t="s">
        <v>190</v>
      </c>
      <c r="F747" s="18" t="s">
        <v>192</v>
      </c>
      <c r="G747" s="63" t="s">
        <v>1124</v>
      </c>
      <c r="H747" s="42" t="s">
        <v>479</v>
      </c>
      <c r="I747" s="28">
        <v>6.0</v>
      </c>
      <c r="J747" s="26" t="str">
        <f t="shared" si="489"/>
        <v>R</v>
      </c>
      <c r="K747" s="28">
        <v>15.0</v>
      </c>
      <c r="L747" s="26" t="str">
        <f t="shared" si="490"/>
        <v>R</v>
      </c>
      <c r="M747" s="28">
        <v>6.0</v>
      </c>
      <c r="N747" s="26" t="str">
        <f t="shared" si="491"/>
        <v>R</v>
      </c>
      <c r="O747" s="28">
        <v>22.0</v>
      </c>
      <c r="P747" s="26" t="str">
        <f t="shared" si="492"/>
        <v>I</v>
      </c>
      <c r="Q747" s="28">
        <v>6.0</v>
      </c>
      <c r="R747" s="26" t="str">
        <f t="shared" si="493"/>
        <v>R</v>
      </c>
      <c r="S747" s="28">
        <v>14.0</v>
      </c>
      <c r="T747" s="26" t="str">
        <f t="shared" si="494"/>
        <v>R</v>
      </c>
      <c r="U747" s="28">
        <v>16.0</v>
      </c>
      <c r="V747" s="26" t="str">
        <f t="shared" si="495"/>
        <v>R</v>
      </c>
      <c r="W747" s="32" t="s">
        <v>299</v>
      </c>
      <c r="X747" s="65">
        <v>6.0</v>
      </c>
      <c r="Y747" s="33" t="str">
        <f t="shared" si="496"/>
        <v>R</v>
      </c>
      <c r="Z747" s="65">
        <v>12.0</v>
      </c>
      <c r="AA747" s="33" t="str">
        <f t="shared" si="497"/>
        <v>R</v>
      </c>
      <c r="AB747" s="65">
        <v>6.0</v>
      </c>
      <c r="AC747" s="33" t="str">
        <f t="shared" si="498"/>
        <v>R</v>
      </c>
      <c r="AD747" s="65">
        <v>22.0</v>
      </c>
      <c r="AE747" s="33" t="str">
        <f t="shared" si="499"/>
        <v>S</v>
      </c>
      <c r="AF747" s="65">
        <v>6.0</v>
      </c>
      <c r="AG747" s="33" t="str">
        <f t="shared" si="500"/>
        <v>R</v>
      </c>
      <c r="AH747" s="65" t="s">
        <v>299</v>
      </c>
      <c r="AI747" s="66">
        <v>20.0</v>
      </c>
      <c r="AJ747" s="36" t="str">
        <f t="shared" si="501"/>
        <v>R</v>
      </c>
      <c r="AK747" s="66">
        <v>15.0</v>
      </c>
      <c r="AL747" s="36" t="str">
        <f t="shared" si="502"/>
        <v>R</v>
      </c>
      <c r="AM747" s="66">
        <v>11.0</v>
      </c>
      <c r="AN747" s="36" t="str">
        <f t="shared" si="503"/>
        <v>R</v>
      </c>
      <c r="AO747" s="66" t="s">
        <v>299</v>
      </c>
      <c r="AP747" s="67">
        <v>6.0</v>
      </c>
      <c r="AQ747" s="37" t="str">
        <f t="shared" si="504"/>
        <v>R</v>
      </c>
      <c r="AR747" s="65">
        <v>20.0</v>
      </c>
      <c r="AS747" s="33" t="str">
        <f t="shared" si="505"/>
        <v>S</v>
      </c>
      <c r="AT747" s="65">
        <v>20.0</v>
      </c>
      <c r="AU747" s="33" t="str">
        <f t="shared" si="506"/>
        <v>S</v>
      </c>
      <c r="AV747" s="33" t="s">
        <v>300</v>
      </c>
      <c r="AW747" s="28">
        <v>17.0</v>
      </c>
      <c r="AX747" s="26" t="str">
        <f t="shared" si="507"/>
        <v>R</v>
      </c>
      <c r="AY747" s="67">
        <v>6.0</v>
      </c>
      <c r="AZ747" s="37" t="str">
        <f t="shared" si="508"/>
        <v>R</v>
      </c>
      <c r="BA747" s="66">
        <v>15.0</v>
      </c>
      <c r="BB747" s="36" t="str">
        <f t="shared" si="509"/>
        <v>R</v>
      </c>
      <c r="BC747" s="39" t="s">
        <v>357</v>
      </c>
      <c r="BD747" s="39" t="s">
        <v>357</v>
      </c>
      <c r="BE747" s="66">
        <v>16.0</v>
      </c>
      <c r="BF747" s="36" t="str">
        <f t="shared" si="510"/>
        <v>R</v>
      </c>
      <c r="BG747" s="68">
        <v>14.0</v>
      </c>
      <c r="BH747" s="41" t="str">
        <f t="shared" si="511"/>
        <v>R</v>
      </c>
      <c r="BI747" s="41"/>
    </row>
    <row r="748">
      <c r="A748" s="51" t="s">
        <v>693</v>
      </c>
      <c r="B748" s="51" t="s">
        <v>444</v>
      </c>
      <c r="C748" s="51" t="s">
        <v>2293</v>
      </c>
      <c r="D748" s="69" t="s">
        <v>190</v>
      </c>
      <c r="E748" s="18" t="s">
        <v>190</v>
      </c>
      <c r="F748" s="18" t="s">
        <v>192</v>
      </c>
      <c r="G748" s="63" t="s">
        <v>2294</v>
      </c>
      <c r="H748" s="42" t="s">
        <v>479</v>
      </c>
      <c r="I748" s="28">
        <v>6.0</v>
      </c>
      <c r="J748" s="26" t="str">
        <f t="shared" si="489"/>
        <v>R</v>
      </c>
      <c r="K748" s="28">
        <v>14.0</v>
      </c>
      <c r="L748" s="26" t="str">
        <f t="shared" si="490"/>
        <v>R</v>
      </c>
      <c r="M748" s="28">
        <v>6.0</v>
      </c>
      <c r="N748" s="26" t="str">
        <f t="shared" si="491"/>
        <v>R</v>
      </c>
      <c r="O748" s="28">
        <v>22.0</v>
      </c>
      <c r="P748" s="26" t="str">
        <f t="shared" si="492"/>
        <v>I</v>
      </c>
      <c r="Q748" s="28">
        <v>6.0</v>
      </c>
      <c r="R748" s="26" t="str">
        <f t="shared" si="493"/>
        <v>R</v>
      </c>
      <c r="S748" s="28">
        <v>15.0</v>
      </c>
      <c r="T748" s="26" t="str">
        <f t="shared" si="494"/>
        <v>R</v>
      </c>
      <c r="U748" s="28">
        <v>16.0</v>
      </c>
      <c r="V748" s="26" t="str">
        <f t="shared" si="495"/>
        <v>R</v>
      </c>
      <c r="W748" s="32" t="s">
        <v>299</v>
      </c>
      <c r="X748" s="65">
        <v>6.0</v>
      </c>
      <c r="Y748" s="33" t="str">
        <f t="shared" si="496"/>
        <v>R</v>
      </c>
      <c r="Z748" s="65">
        <v>11.0</v>
      </c>
      <c r="AA748" s="33" t="str">
        <f t="shared" si="497"/>
        <v>R</v>
      </c>
      <c r="AB748" s="65">
        <v>6.0</v>
      </c>
      <c r="AC748" s="33" t="str">
        <f t="shared" si="498"/>
        <v>R</v>
      </c>
      <c r="AD748" s="65">
        <v>20.0</v>
      </c>
      <c r="AE748" s="33" t="str">
        <f t="shared" si="499"/>
        <v>S</v>
      </c>
      <c r="AF748" s="65">
        <v>10.0</v>
      </c>
      <c r="AG748" s="33" t="str">
        <f t="shared" si="500"/>
        <v>R</v>
      </c>
      <c r="AH748" s="65" t="s">
        <v>299</v>
      </c>
      <c r="AI748" s="66">
        <v>21.0</v>
      </c>
      <c r="AJ748" s="36" t="str">
        <f t="shared" si="501"/>
        <v>R</v>
      </c>
      <c r="AK748" s="66">
        <v>14.0</v>
      </c>
      <c r="AL748" s="36" t="str">
        <f t="shared" si="502"/>
        <v>R</v>
      </c>
      <c r="AM748" s="66">
        <v>10.0</v>
      </c>
      <c r="AN748" s="36" t="str">
        <f t="shared" si="503"/>
        <v>R</v>
      </c>
      <c r="AO748" s="66" t="s">
        <v>299</v>
      </c>
      <c r="AP748" s="67">
        <v>6.0</v>
      </c>
      <c r="AQ748" s="37" t="str">
        <f t="shared" si="504"/>
        <v>R</v>
      </c>
      <c r="AR748" s="65">
        <v>20.0</v>
      </c>
      <c r="AS748" s="33" t="str">
        <f t="shared" si="505"/>
        <v>S</v>
      </c>
      <c r="AT748" s="65">
        <v>21.0</v>
      </c>
      <c r="AU748" s="33" t="str">
        <f t="shared" si="506"/>
        <v>S</v>
      </c>
      <c r="AV748" s="33" t="s">
        <v>300</v>
      </c>
      <c r="AW748" s="28">
        <v>14.0</v>
      </c>
      <c r="AX748" s="26" t="str">
        <f t="shared" si="507"/>
        <v>R</v>
      </c>
      <c r="AY748" s="67">
        <v>9.0</v>
      </c>
      <c r="AZ748" s="37" t="str">
        <f t="shared" si="508"/>
        <v>R</v>
      </c>
      <c r="BA748" s="66">
        <v>14.0</v>
      </c>
      <c r="BB748" s="36" t="str">
        <f t="shared" si="509"/>
        <v>R</v>
      </c>
      <c r="BC748" s="39" t="s">
        <v>357</v>
      </c>
      <c r="BD748" s="39" t="s">
        <v>357</v>
      </c>
      <c r="BE748" s="66">
        <v>16.0</v>
      </c>
      <c r="BF748" s="36" t="str">
        <f t="shared" si="510"/>
        <v>R</v>
      </c>
      <c r="BG748" s="68">
        <v>12.0</v>
      </c>
      <c r="BH748" s="41" t="str">
        <f t="shared" si="511"/>
        <v>R</v>
      </c>
      <c r="BI748" s="41"/>
    </row>
    <row r="749">
      <c r="A749" s="51" t="s">
        <v>693</v>
      </c>
      <c r="B749" s="51" t="s">
        <v>444</v>
      </c>
      <c r="C749" s="51" t="s">
        <v>2295</v>
      </c>
      <c r="D749" s="69" t="s">
        <v>190</v>
      </c>
      <c r="E749" s="18" t="s">
        <v>190</v>
      </c>
      <c r="F749" s="18" t="s">
        <v>192</v>
      </c>
      <c r="G749" s="63" t="s">
        <v>2296</v>
      </c>
      <c r="H749" s="42" t="s">
        <v>479</v>
      </c>
      <c r="I749" s="28">
        <v>6.0</v>
      </c>
      <c r="J749" s="26" t="str">
        <f t="shared" si="489"/>
        <v>R</v>
      </c>
      <c r="K749" s="28">
        <v>14.0</v>
      </c>
      <c r="L749" s="26" t="str">
        <f t="shared" si="490"/>
        <v>R</v>
      </c>
      <c r="M749" s="28">
        <v>6.0</v>
      </c>
      <c r="N749" s="26" t="str">
        <f t="shared" si="491"/>
        <v>R</v>
      </c>
      <c r="O749" s="28">
        <v>22.0</v>
      </c>
      <c r="P749" s="26" t="str">
        <f t="shared" si="492"/>
        <v>I</v>
      </c>
      <c r="Q749" s="28">
        <v>6.0</v>
      </c>
      <c r="R749" s="26" t="str">
        <f t="shared" si="493"/>
        <v>R</v>
      </c>
      <c r="S749" s="28">
        <v>11.0</v>
      </c>
      <c r="T749" s="26" t="str">
        <f t="shared" si="494"/>
        <v>R</v>
      </c>
      <c r="U749" s="28">
        <v>16.0</v>
      </c>
      <c r="V749" s="26" t="str">
        <f t="shared" si="495"/>
        <v>R</v>
      </c>
      <c r="W749" s="32" t="s">
        <v>299</v>
      </c>
      <c r="X749" s="65">
        <v>6.0</v>
      </c>
      <c r="Y749" s="33" t="str">
        <f t="shared" si="496"/>
        <v>R</v>
      </c>
      <c r="Z749" s="65">
        <v>10.0</v>
      </c>
      <c r="AA749" s="33" t="str">
        <f t="shared" si="497"/>
        <v>R</v>
      </c>
      <c r="AB749" s="65">
        <v>6.0</v>
      </c>
      <c r="AC749" s="33" t="str">
        <f t="shared" si="498"/>
        <v>R</v>
      </c>
      <c r="AD749" s="65">
        <v>20.0</v>
      </c>
      <c r="AE749" s="33" t="str">
        <f t="shared" si="499"/>
        <v>S</v>
      </c>
      <c r="AF749" s="65">
        <v>11.0</v>
      </c>
      <c r="AG749" s="33" t="str">
        <f t="shared" si="500"/>
        <v>R</v>
      </c>
      <c r="AH749" s="65" t="s">
        <v>299</v>
      </c>
      <c r="AI749" s="66">
        <v>20.0</v>
      </c>
      <c r="AJ749" s="36" t="str">
        <f t="shared" si="501"/>
        <v>R</v>
      </c>
      <c r="AK749" s="66">
        <v>14.0</v>
      </c>
      <c r="AL749" s="36" t="str">
        <f t="shared" si="502"/>
        <v>R</v>
      </c>
      <c r="AM749" s="66">
        <v>11.0</v>
      </c>
      <c r="AN749" s="36" t="str">
        <f t="shared" si="503"/>
        <v>R</v>
      </c>
      <c r="AO749" s="66" t="s">
        <v>299</v>
      </c>
      <c r="AP749" s="67">
        <v>6.0</v>
      </c>
      <c r="AQ749" s="37" t="str">
        <f t="shared" si="504"/>
        <v>R</v>
      </c>
      <c r="AR749" s="65">
        <v>20.0</v>
      </c>
      <c r="AS749" s="33" t="str">
        <f t="shared" si="505"/>
        <v>S</v>
      </c>
      <c r="AT749" s="65">
        <v>20.0</v>
      </c>
      <c r="AU749" s="33" t="str">
        <f t="shared" si="506"/>
        <v>S</v>
      </c>
      <c r="AV749" s="33" t="s">
        <v>300</v>
      </c>
      <c r="AW749" s="28">
        <v>6.0</v>
      </c>
      <c r="AX749" s="26" t="str">
        <f t="shared" si="507"/>
        <v>R</v>
      </c>
      <c r="AY749" s="67">
        <v>6.0</v>
      </c>
      <c r="AZ749" s="37" t="str">
        <f t="shared" si="508"/>
        <v>R</v>
      </c>
      <c r="BA749" s="66">
        <v>14.0</v>
      </c>
      <c r="BB749" s="36" t="str">
        <f t="shared" si="509"/>
        <v>R</v>
      </c>
      <c r="BC749" s="39" t="s">
        <v>357</v>
      </c>
      <c r="BD749" s="39" t="s">
        <v>357</v>
      </c>
      <c r="BE749" s="66">
        <v>16.0</v>
      </c>
      <c r="BF749" s="36" t="str">
        <f t="shared" si="510"/>
        <v>R</v>
      </c>
      <c r="BG749" s="68">
        <v>14.0</v>
      </c>
      <c r="BH749" s="41" t="str">
        <f t="shared" si="511"/>
        <v>R</v>
      </c>
      <c r="BI749" s="41"/>
    </row>
    <row r="750">
      <c r="A750" s="51" t="s">
        <v>693</v>
      </c>
      <c r="B750" s="53">
        <v>305.0</v>
      </c>
      <c r="C750" s="51" t="s">
        <v>1131</v>
      </c>
      <c r="D750" s="69" t="s">
        <v>190</v>
      </c>
      <c r="E750" s="18" t="s">
        <v>190</v>
      </c>
      <c r="F750" s="18" t="s">
        <v>192</v>
      </c>
      <c r="G750" s="63" t="s">
        <v>1132</v>
      </c>
      <c r="H750" s="22" t="s">
        <v>198</v>
      </c>
      <c r="I750" s="28">
        <v>6.0</v>
      </c>
      <c r="J750" s="26" t="str">
        <f t="shared" si="489"/>
        <v>R</v>
      </c>
      <c r="K750" s="28">
        <v>6.0</v>
      </c>
      <c r="L750" s="26" t="str">
        <f t="shared" si="490"/>
        <v>R</v>
      </c>
      <c r="M750" s="28">
        <v>6.0</v>
      </c>
      <c r="N750" s="26" t="str">
        <f t="shared" si="491"/>
        <v>R</v>
      </c>
      <c r="O750" s="28">
        <v>20.0</v>
      </c>
      <c r="P750" s="26" t="str">
        <f t="shared" si="492"/>
        <v>I</v>
      </c>
      <c r="Q750" s="28">
        <v>6.0</v>
      </c>
      <c r="R750" s="26" t="str">
        <f t="shared" si="493"/>
        <v>R</v>
      </c>
      <c r="S750" s="28">
        <v>22.0</v>
      </c>
      <c r="T750" s="26" t="str">
        <f t="shared" si="494"/>
        <v>S</v>
      </c>
      <c r="U750" s="28">
        <v>13.0</v>
      </c>
      <c r="V750" s="26" t="str">
        <f t="shared" si="495"/>
        <v>R</v>
      </c>
      <c r="W750" s="32" t="s">
        <v>299</v>
      </c>
      <c r="X750" s="65">
        <v>9.0</v>
      </c>
      <c r="Y750" s="33" t="str">
        <f t="shared" si="496"/>
        <v>R</v>
      </c>
      <c r="Z750" s="65">
        <v>9.0</v>
      </c>
      <c r="AA750" s="33" t="str">
        <f t="shared" si="497"/>
        <v>R</v>
      </c>
      <c r="AB750" s="65">
        <v>6.0</v>
      </c>
      <c r="AC750" s="33" t="str">
        <f t="shared" si="498"/>
        <v>R</v>
      </c>
      <c r="AD750" s="65">
        <v>23.0</v>
      </c>
      <c r="AE750" s="33" t="str">
        <f t="shared" si="499"/>
        <v>S</v>
      </c>
      <c r="AF750" s="65">
        <v>6.0</v>
      </c>
      <c r="AG750" s="33" t="str">
        <f t="shared" si="500"/>
        <v>R</v>
      </c>
      <c r="AH750" s="65" t="s">
        <v>299</v>
      </c>
      <c r="AI750" s="66">
        <v>6.0</v>
      </c>
      <c r="AJ750" s="36" t="str">
        <f t="shared" si="501"/>
        <v>R</v>
      </c>
      <c r="AK750" s="66">
        <v>6.0</v>
      </c>
      <c r="AL750" s="36" t="str">
        <f t="shared" si="502"/>
        <v>R</v>
      </c>
      <c r="AM750" s="66">
        <v>6.0</v>
      </c>
      <c r="AN750" s="36" t="str">
        <f t="shared" si="503"/>
        <v>R</v>
      </c>
      <c r="AO750" s="66" t="s">
        <v>299</v>
      </c>
      <c r="AP750" s="67">
        <v>6.0</v>
      </c>
      <c r="AQ750" s="37" t="str">
        <f t="shared" si="504"/>
        <v>R</v>
      </c>
      <c r="AR750" s="65">
        <v>12.0</v>
      </c>
      <c r="AS750" s="33" t="str">
        <f t="shared" si="505"/>
        <v>R</v>
      </c>
      <c r="AT750" s="65">
        <v>12.0</v>
      </c>
      <c r="AU750" s="33" t="str">
        <f t="shared" si="506"/>
        <v>R</v>
      </c>
      <c r="AV750" s="65" t="s">
        <v>299</v>
      </c>
      <c r="AW750" s="28">
        <v>6.0</v>
      </c>
      <c r="AX750" s="26" t="str">
        <f t="shared" si="507"/>
        <v>R</v>
      </c>
      <c r="AY750" s="67">
        <v>11.0</v>
      </c>
      <c r="AZ750" s="37" t="str">
        <f t="shared" si="508"/>
        <v>R</v>
      </c>
      <c r="BA750" s="66">
        <v>18.0</v>
      </c>
      <c r="BB750" s="36" t="str">
        <f t="shared" si="509"/>
        <v>R</v>
      </c>
      <c r="BC750" s="39" t="s">
        <v>357</v>
      </c>
      <c r="BD750" s="39" t="s">
        <v>357</v>
      </c>
      <c r="BE750" s="66">
        <v>18.0</v>
      </c>
      <c r="BF750" s="36" t="str">
        <f t="shared" si="510"/>
        <v>R</v>
      </c>
      <c r="BG750" s="68">
        <v>6.0</v>
      </c>
      <c r="BH750" s="41" t="str">
        <f t="shared" si="511"/>
        <v>R</v>
      </c>
      <c r="BI750" s="41"/>
    </row>
    <row r="751">
      <c r="A751" s="51" t="s">
        <v>693</v>
      </c>
      <c r="B751" s="51" t="s">
        <v>444</v>
      </c>
      <c r="C751" s="51" t="s">
        <v>2297</v>
      </c>
      <c r="D751" s="69" t="s">
        <v>190</v>
      </c>
      <c r="E751" s="18" t="s">
        <v>190</v>
      </c>
      <c r="F751" s="18" t="s">
        <v>192</v>
      </c>
      <c r="G751" s="63" t="s">
        <v>2298</v>
      </c>
      <c r="H751" s="22" t="s">
        <v>198</v>
      </c>
      <c r="I751" s="28">
        <v>11.0</v>
      </c>
      <c r="J751" s="26" t="str">
        <f t="shared" si="489"/>
        <v>R</v>
      </c>
      <c r="K751" s="28">
        <v>9.0</v>
      </c>
      <c r="L751" s="26" t="str">
        <f t="shared" si="490"/>
        <v>R</v>
      </c>
      <c r="M751" s="28">
        <v>6.0</v>
      </c>
      <c r="N751" s="26" t="str">
        <f t="shared" si="491"/>
        <v>R</v>
      </c>
      <c r="O751" s="28">
        <v>20.0</v>
      </c>
      <c r="P751" s="26" t="str">
        <f t="shared" si="492"/>
        <v>I</v>
      </c>
      <c r="Q751" s="28">
        <v>6.0</v>
      </c>
      <c r="R751" s="26" t="str">
        <f t="shared" si="493"/>
        <v>R</v>
      </c>
      <c r="S751" s="28">
        <v>21.0</v>
      </c>
      <c r="T751" s="26" t="str">
        <f t="shared" si="494"/>
        <v>S</v>
      </c>
      <c r="U751" s="28">
        <v>13.0</v>
      </c>
      <c r="V751" s="26" t="str">
        <f t="shared" si="495"/>
        <v>R</v>
      </c>
      <c r="W751" s="32" t="s">
        <v>299</v>
      </c>
      <c r="X751" s="65">
        <v>6.0</v>
      </c>
      <c r="Y751" s="33" t="str">
        <f t="shared" si="496"/>
        <v>R</v>
      </c>
      <c r="Z751" s="65">
        <v>6.0</v>
      </c>
      <c r="AA751" s="33" t="str">
        <f t="shared" si="497"/>
        <v>R</v>
      </c>
      <c r="AB751" s="65">
        <v>12.0</v>
      </c>
      <c r="AC751" s="33" t="str">
        <f t="shared" si="498"/>
        <v>R</v>
      </c>
      <c r="AD751" s="65">
        <v>22.0</v>
      </c>
      <c r="AE751" s="33" t="str">
        <f t="shared" si="499"/>
        <v>S</v>
      </c>
      <c r="AF751" s="65">
        <v>6.0</v>
      </c>
      <c r="AG751" s="33" t="str">
        <f t="shared" si="500"/>
        <v>R</v>
      </c>
      <c r="AH751" s="65" t="s">
        <v>299</v>
      </c>
      <c r="AI751" s="66">
        <v>9.0</v>
      </c>
      <c r="AJ751" s="36" t="str">
        <f t="shared" si="501"/>
        <v>R</v>
      </c>
      <c r="AK751" s="66">
        <v>6.0</v>
      </c>
      <c r="AL751" s="36" t="str">
        <f t="shared" si="502"/>
        <v>R</v>
      </c>
      <c r="AM751" s="66">
        <v>6.0</v>
      </c>
      <c r="AN751" s="36" t="str">
        <f t="shared" si="503"/>
        <v>R</v>
      </c>
      <c r="AO751" s="66" t="s">
        <v>299</v>
      </c>
      <c r="AP751" s="67">
        <v>6.0</v>
      </c>
      <c r="AQ751" s="37" t="str">
        <f t="shared" si="504"/>
        <v>R</v>
      </c>
      <c r="AR751" s="65">
        <v>15.0</v>
      </c>
      <c r="AS751" s="33" t="str">
        <f t="shared" si="505"/>
        <v>R</v>
      </c>
      <c r="AT751" s="65">
        <v>14.0</v>
      </c>
      <c r="AU751" s="33" t="str">
        <f t="shared" si="506"/>
        <v>R</v>
      </c>
      <c r="AV751" s="65" t="s">
        <v>299</v>
      </c>
      <c r="AW751" s="28">
        <v>9.0</v>
      </c>
      <c r="AX751" s="26" t="str">
        <f t="shared" si="507"/>
        <v>R</v>
      </c>
      <c r="AY751" s="67">
        <v>10.0</v>
      </c>
      <c r="AZ751" s="37" t="str">
        <f t="shared" si="508"/>
        <v>R</v>
      </c>
      <c r="BA751" s="66">
        <v>22.0</v>
      </c>
      <c r="BB751" s="36" t="str">
        <f t="shared" si="509"/>
        <v>R</v>
      </c>
      <c r="BC751" s="39" t="s">
        <v>357</v>
      </c>
      <c r="BD751" s="39" t="s">
        <v>357</v>
      </c>
      <c r="BE751" s="66">
        <v>16.0</v>
      </c>
      <c r="BF751" s="36" t="str">
        <f t="shared" si="510"/>
        <v>R</v>
      </c>
      <c r="BG751" s="68">
        <v>6.0</v>
      </c>
      <c r="BH751" s="41" t="str">
        <f t="shared" si="511"/>
        <v>R</v>
      </c>
      <c r="BI751" s="41"/>
    </row>
    <row r="752">
      <c r="A752" s="51" t="s">
        <v>693</v>
      </c>
      <c r="B752" s="51" t="s">
        <v>444</v>
      </c>
      <c r="C752" s="51" t="s">
        <v>2299</v>
      </c>
      <c r="D752" s="69" t="s">
        <v>190</v>
      </c>
      <c r="E752" s="18" t="s">
        <v>190</v>
      </c>
      <c r="F752" s="18" t="s">
        <v>192</v>
      </c>
      <c r="G752" s="63" t="s">
        <v>2300</v>
      </c>
      <c r="H752" s="22" t="s">
        <v>198</v>
      </c>
      <c r="I752" s="28">
        <v>10.0</v>
      </c>
      <c r="J752" s="26" t="str">
        <f t="shared" si="489"/>
        <v>R</v>
      </c>
      <c r="K752" s="28">
        <v>11.0</v>
      </c>
      <c r="L752" s="26" t="str">
        <f t="shared" si="490"/>
        <v>R</v>
      </c>
      <c r="M752" s="28">
        <v>6.0</v>
      </c>
      <c r="N752" s="26" t="str">
        <f t="shared" si="491"/>
        <v>R</v>
      </c>
      <c r="O752" s="28">
        <v>20.0</v>
      </c>
      <c r="P752" s="26" t="str">
        <f t="shared" si="492"/>
        <v>I</v>
      </c>
      <c r="Q752" s="28">
        <v>6.0</v>
      </c>
      <c r="R752" s="26" t="str">
        <f t="shared" si="493"/>
        <v>R</v>
      </c>
      <c r="S752" s="28">
        <v>20.0</v>
      </c>
      <c r="T752" s="26" t="str">
        <f t="shared" si="494"/>
        <v>S</v>
      </c>
      <c r="U752" s="28">
        <v>13.0</v>
      </c>
      <c r="V752" s="26" t="str">
        <f t="shared" si="495"/>
        <v>R</v>
      </c>
      <c r="W752" s="32" t="s">
        <v>299</v>
      </c>
      <c r="X752" s="65">
        <v>6.0</v>
      </c>
      <c r="Y752" s="33" t="str">
        <f t="shared" si="496"/>
        <v>R</v>
      </c>
      <c r="Z752" s="65">
        <v>6.0</v>
      </c>
      <c r="AA752" s="33" t="str">
        <f t="shared" si="497"/>
        <v>R</v>
      </c>
      <c r="AB752" s="65">
        <v>10.0</v>
      </c>
      <c r="AC752" s="33" t="str">
        <f t="shared" si="498"/>
        <v>R</v>
      </c>
      <c r="AD752" s="65">
        <v>21.0</v>
      </c>
      <c r="AE752" s="33" t="str">
        <f t="shared" si="499"/>
        <v>S</v>
      </c>
      <c r="AF752" s="65">
        <v>6.0</v>
      </c>
      <c r="AG752" s="33" t="str">
        <f t="shared" si="500"/>
        <v>R</v>
      </c>
      <c r="AH752" s="65" t="s">
        <v>299</v>
      </c>
      <c r="AI752" s="66">
        <v>11.0</v>
      </c>
      <c r="AJ752" s="36" t="str">
        <f t="shared" si="501"/>
        <v>R</v>
      </c>
      <c r="AK752" s="66">
        <v>6.0</v>
      </c>
      <c r="AL752" s="36" t="str">
        <f t="shared" si="502"/>
        <v>R</v>
      </c>
      <c r="AM752" s="66">
        <v>6.0</v>
      </c>
      <c r="AN752" s="36" t="str">
        <f t="shared" si="503"/>
        <v>R</v>
      </c>
      <c r="AO752" s="66" t="s">
        <v>299</v>
      </c>
      <c r="AP752" s="67">
        <v>6.0</v>
      </c>
      <c r="AQ752" s="37" t="str">
        <f t="shared" si="504"/>
        <v>R</v>
      </c>
      <c r="AR752" s="65">
        <v>13.0</v>
      </c>
      <c r="AS752" s="33" t="str">
        <f t="shared" si="505"/>
        <v>R</v>
      </c>
      <c r="AT752" s="65">
        <v>11.0</v>
      </c>
      <c r="AU752" s="33" t="str">
        <f t="shared" si="506"/>
        <v>R</v>
      </c>
      <c r="AV752" s="65" t="s">
        <v>299</v>
      </c>
      <c r="AW752" s="28">
        <v>6.0</v>
      </c>
      <c r="AX752" s="26" t="str">
        <f t="shared" si="507"/>
        <v>R</v>
      </c>
      <c r="AY752" s="67">
        <v>11.0</v>
      </c>
      <c r="AZ752" s="37" t="str">
        <f t="shared" si="508"/>
        <v>R</v>
      </c>
      <c r="BA752" s="66">
        <v>20.0</v>
      </c>
      <c r="BB752" s="36" t="str">
        <f t="shared" si="509"/>
        <v>R</v>
      </c>
      <c r="BC752" s="39" t="s">
        <v>357</v>
      </c>
      <c r="BD752" s="39" t="s">
        <v>357</v>
      </c>
      <c r="BE752" s="66">
        <v>18.0</v>
      </c>
      <c r="BF752" s="36" t="str">
        <f t="shared" si="510"/>
        <v>R</v>
      </c>
      <c r="BG752" s="68">
        <v>6.0</v>
      </c>
      <c r="BH752" s="41" t="str">
        <f t="shared" si="511"/>
        <v>R</v>
      </c>
      <c r="BI752" s="41"/>
    </row>
    <row r="753">
      <c r="A753" s="21" t="s">
        <v>1177</v>
      </c>
      <c r="B753" s="23">
        <v>306.0</v>
      </c>
      <c r="C753" s="21" t="s">
        <v>2301</v>
      </c>
      <c r="D753" s="69" t="s">
        <v>190</v>
      </c>
      <c r="E753" s="18" t="s">
        <v>190</v>
      </c>
      <c r="F753" s="18" t="s">
        <v>192</v>
      </c>
      <c r="G753" s="63" t="s">
        <v>2302</v>
      </c>
      <c r="H753" s="22" t="s">
        <v>198</v>
      </c>
      <c r="I753" s="28">
        <v>6.0</v>
      </c>
      <c r="J753" s="26" t="str">
        <f t="shared" si="489"/>
        <v>R</v>
      </c>
      <c r="K753" s="28">
        <v>6.0</v>
      </c>
      <c r="L753" s="26" t="str">
        <f t="shared" si="490"/>
        <v>R</v>
      </c>
      <c r="M753" s="28">
        <v>6.0</v>
      </c>
      <c r="N753" s="26" t="str">
        <f t="shared" si="491"/>
        <v>R</v>
      </c>
      <c r="O753" s="28">
        <v>28.0</v>
      </c>
      <c r="P753" s="26" t="str">
        <f t="shared" si="492"/>
        <v>S</v>
      </c>
      <c r="Q753" s="28">
        <v>6.0</v>
      </c>
      <c r="R753" s="26" t="str">
        <f t="shared" si="493"/>
        <v>R</v>
      </c>
      <c r="S753" s="28">
        <v>21.0</v>
      </c>
      <c r="T753" s="26" t="str">
        <f t="shared" si="494"/>
        <v>S</v>
      </c>
      <c r="U753" s="28">
        <v>21.0</v>
      </c>
      <c r="V753" s="26" t="str">
        <f t="shared" si="495"/>
        <v>S</v>
      </c>
      <c r="W753" s="32" t="s">
        <v>299</v>
      </c>
      <c r="X753" s="65">
        <v>6.0</v>
      </c>
      <c r="Y753" s="33" t="str">
        <f t="shared" si="496"/>
        <v>R</v>
      </c>
      <c r="Z753" s="65">
        <v>6.0</v>
      </c>
      <c r="AA753" s="33" t="str">
        <f t="shared" si="497"/>
        <v>R</v>
      </c>
      <c r="AB753" s="65">
        <v>6.0</v>
      </c>
      <c r="AC753" s="33" t="str">
        <f t="shared" si="498"/>
        <v>R</v>
      </c>
      <c r="AD753" s="65">
        <v>23.0</v>
      </c>
      <c r="AE753" s="33" t="str">
        <f t="shared" si="499"/>
        <v>S</v>
      </c>
      <c r="AF753" s="65">
        <v>18.0</v>
      </c>
      <c r="AG753" s="33" t="str">
        <f t="shared" si="500"/>
        <v>R</v>
      </c>
      <c r="AH753" s="65" t="s">
        <v>299</v>
      </c>
      <c r="AI753" s="66">
        <v>6.0</v>
      </c>
      <c r="AJ753" s="36" t="str">
        <f t="shared" si="501"/>
        <v>R</v>
      </c>
      <c r="AK753" s="66">
        <v>6.0</v>
      </c>
      <c r="AL753" s="36" t="str">
        <f t="shared" si="502"/>
        <v>R</v>
      </c>
      <c r="AM753" s="66">
        <v>6.0</v>
      </c>
      <c r="AN753" s="36" t="str">
        <f t="shared" si="503"/>
        <v>R</v>
      </c>
      <c r="AO753" s="66" t="s">
        <v>299</v>
      </c>
      <c r="AP753" s="67">
        <v>6.0</v>
      </c>
      <c r="AQ753" s="37" t="str">
        <f t="shared" si="504"/>
        <v>R</v>
      </c>
      <c r="AR753" s="65">
        <v>20.0</v>
      </c>
      <c r="AS753" s="33" t="str">
        <f t="shared" si="505"/>
        <v>S</v>
      </c>
      <c r="AT753" s="65">
        <v>20.0</v>
      </c>
      <c r="AU753" s="33" t="str">
        <f t="shared" si="506"/>
        <v>S</v>
      </c>
      <c r="AV753" s="33" t="s">
        <v>300</v>
      </c>
      <c r="AW753" s="28">
        <v>6.0</v>
      </c>
      <c r="AX753" s="26" t="str">
        <f t="shared" si="507"/>
        <v>R</v>
      </c>
      <c r="AY753" s="67">
        <v>13.0</v>
      </c>
      <c r="AZ753" s="37" t="str">
        <f t="shared" si="508"/>
        <v>R</v>
      </c>
      <c r="BA753" s="66">
        <v>26.0</v>
      </c>
      <c r="BB753" s="36" t="str">
        <f t="shared" si="509"/>
        <v>S</v>
      </c>
      <c r="BC753" s="39" t="s">
        <v>357</v>
      </c>
      <c r="BD753" s="39" t="s">
        <v>357</v>
      </c>
      <c r="BE753" s="66">
        <v>20.0</v>
      </c>
      <c r="BF753" s="36" t="str">
        <f t="shared" si="510"/>
        <v>I</v>
      </c>
      <c r="BG753" s="68">
        <v>20.0</v>
      </c>
      <c r="BH753" s="41" t="str">
        <f t="shared" si="511"/>
        <v>S</v>
      </c>
      <c r="BI753" s="41"/>
    </row>
    <row r="754">
      <c r="A754" s="21" t="s">
        <v>1177</v>
      </c>
      <c r="B754" s="21" t="s">
        <v>444</v>
      </c>
      <c r="C754" s="21" t="s">
        <v>2303</v>
      </c>
      <c r="D754" s="69" t="s">
        <v>190</v>
      </c>
      <c r="E754" s="18" t="s">
        <v>190</v>
      </c>
      <c r="F754" s="18" t="s">
        <v>192</v>
      </c>
      <c r="G754" s="63" t="s">
        <v>2304</v>
      </c>
      <c r="H754" s="22" t="s">
        <v>198</v>
      </c>
      <c r="I754" s="28">
        <v>6.0</v>
      </c>
      <c r="J754" s="26" t="str">
        <f t="shared" si="489"/>
        <v>R</v>
      </c>
      <c r="K754" s="28">
        <v>15.0</v>
      </c>
      <c r="L754" s="26" t="str">
        <f t="shared" si="490"/>
        <v>R</v>
      </c>
      <c r="M754" s="28">
        <v>6.0</v>
      </c>
      <c r="N754" s="26" t="str">
        <f t="shared" si="491"/>
        <v>R</v>
      </c>
      <c r="O754" s="28">
        <v>28.0</v>
      </c>
      <c r="P754" s="26" t="str">
        <f t="shared" si="492"/>
        <v>S</v>
      </c>
      <c r="Q754" s="28">
        <v>6.0</v>
      </c>
      <c r="R754" s="26" t="str">
        <f t="shared" si="493"/>
        <v>R</v>
      </c>
      <c r="S754" s="28">
        <v>21.0</v>
      </c>
      <c r="T754" s="26" t="str">
        <f t="shared" si="494"/>
        <v>S</v>
      </c>
      <c r="U754" s="28">
        <v>21.0</v>
      </c>
      <c r="V754" s="26" t="str">
        <f t="shared" si="495"/>
        <v>S</v>
      </c>
      <c r="W754" s="32" t="s">
        <v>299</v>
      </c>
      <c r="X754" s="65">
        <v>8.0</v>
      </c>
      <c r="Y754" s="33" t="str">
        <f t="shared" si="496"/>
        <v>R</v>
      </c>
      <c r="Z754" s="65">
        <v>9.0</v>
      </c>
      <c r="AA754" s="33" t="str">
        <f t="shared" si="497"/>
        <v>R</v>
      </c>
      <c r="AB754" s="65">
        <v>10.0</v>
      </c>
      <c r="AC754" s="33" t="str">
        <f t="shared" si="498"/>
        <v>R</v>
      </c>
      <c r="AD754" s="65">
        <v>22.0</v>
      </c>
      <c r="AE754" s="33" t="str">
        <f t="shared" si="499"/>
        <v>S</v>
      </c>
      <c r="AF754" s="65">
        <v>18.0</v>
      </c>
      <c r="AG754" s="33" t="str">
        <f t="shared" si="500"/>
        <v>R</v>
      </c>
      <c r="AH754" s="65" t="s">
        <v>299</v>
      </c>
      <c r="AI754" s="66">
        <v>6.0</v>
      </c>
      <c r="AJ754" s="36" t="str">
        <f t="shared" si="501"/>
        <v>R</v>
      </c>
      <c r="AK754" s="66">
        <v>8.0</v>
      </c>
      <c r="AL754" s="36" t="str">
        <f t="shared" si="502"/>
        <v>R</v>
      </c>
      <c r="AM754" s="66">
        <v>12.0</v>
      </c>
      <c r="AN754" s="36" t="str">
        <f t="shared" si="503"/>
        <v>R</v>
      </c>
      <c r="AO754" s="66" t="s">
        <v>299</v>
      </c>
      <c r="AP754" s="67">
        <v>8.0</v>
      </c>
      <c r="AQ754" s="37" t="str">
        <f t="shared" si="504"/>
        <v>R</v>
      </c>
      <c r="AR754" s="65">
        <v>21.0</v>
      </c>
      <c r="AS754" s="33" t="str">
        <f t="shared" si="505"/>
        <v>S</v>
      </c>
      <c r="AT754" s="65">
        <v>22.0</v>
      </c>
      <c r="AU754" s="33" t="str">
        <f t="shared" si="506"/>
        <v>S</v>
      </c>
      <c r="AV754" s="33" t="s">
        <v>300</v>
      </c>
      <c r="AW754" s="28">
        <v>9.0</v>
      </c>
      <c r="AX754" s="26" t="str">
        <f t="shared" si="507"/>
        <v>R</v>
      </c>
      <c r="AY754" s="67">
        <v>12.0</v>
      </c>
      <c r="AZ754" s="37" t="str">
        <f t="shared" si="508"/>
        <v>R</v>
      </c>
      <c r="BA754" s="66">
        <v>25.0</v>
      </c>
      <c r="BB754" s="36" t="str">
        <f t="shared" si="509"/>
        <v>S</v>
      </c>
      <c r="BC754" s="39" t="s">
        <v>357</v>
      </c>
      <c r="BD754" s="39" t="s">
        <v>357</v>
      </c>
      <c r="BE754" s="66">
        <v>19.0</v>
      </c>
      <c r="BF754" s="36" t="str">
        <f t="shared" si="510"/>
        <v>I</v>
      </c>
      <c r="BG754" s="68">
        <v>21.0</v>
      </c>
      <c r="BH754" s="41" t="str">
        <f t="shared" si="511"/>
        <v>S</v>
      </c>
      <c r="BI754" s="41"/>
    </row>
    <row r="755">
      <c r="A755" s="21" t="s">
        <v>1177</v>
      </c>
      <c r="B755" s="21" t="s">
        <v>444</v>
      </c>
      <c r="C755" s="21" t="s">
        <v>2305</v>
      </c>
      <c r="D755" s="69" t="s">
        <v>190</v>
      </c>
      <c r="E755" s="18" t="s">
        <v>190</v>
      </c>
      <c r="F755" s="18" t="s">
        <v>192</v>
      </c>
      <c r="G755" s="63" t="s">
        <v>2306</v>
      </c>
      <c r="H755" s="22" t="s">
        <v>198</v>
      </c>
      <c r="I755" s="28">
        <v>6.0</v>
      </c>
      <c r="J755" s="26" t="str">
        <f t="shared" si="489"/>
        <v>R</v>
      </c>
      <c r="K755" s="28">
        <v>10.0</v>
      </c>
      <c r="L755" s="26" t="str">
        <f t="shared" si="490"/>
        <v>R</v>
      </c>
      <c r="M755" s="28">
        <v>6.0</v>
      </c>
      <c r="N755" s="26" t="str">
        <f t="shared" si="491"/>
        <v>R</v>
      </c>
      <c r="O755" s="28">
        <v>28.0</v>
      </c>
      <c r="P755" s="26" t="str">
        <f t="shared" si="492"/>
        <v>S</v>
      </c>
      <c r="Q755" s="28">
        <v>6.0</v>
      </c>
      <c r="R755" s="26" t="str">
        <f t="shared" si="493"/>
        <v>R</v>
      </c>
      <c r="S755" s="28">
        <v>22.0</v>
      </c>
      <c r="T755" s="26" t="str">
        <f t="shared" si="494"/>
        <v>S</v>
      </c>
      <c r="U755" s="28">
        <v>21.0</v>
      </c>
      <c r="V755" s="26" t="str">
        <f t="shared" si="495"/>
        <v>S</v>
      </c>
      <c r="W755" s="32" t="s">
        <v>299</v>
      </c>
      <c r="X755" s="65">
        <v>12.0</v>
      </c>
      <c r="Y755" s="33" t="str">
        <f t="shared" si="496"/>
        <v>R</v>
      </c>
      <c r="Z755" s="65">
        <v>10.0</v>
      </c>
      <c r="AA755" s="33" t="str">
        <f t="shared" si="497"/>
        <v>R</v>
      </c>
      <c r="AB755" s="65">
        <v>11.0</v>
      </c>
      <c r="AC755" s="33" t="str">
        <f t="shared" si="498"/>
        <v>R</v>
      </c>
      <c r="AD755" s="65">
        <v>23.0</v>
      </c>
      <c r="AE755" s="33" t="str">
        <f t="shared" si="499"/>
        <v>S</v>
      </c>
      <c r="AF755" s="65">
        <v>18.0</v>
      </c>
      <c r="AG755" s="33" t="str">
        <f t="shared" si="500"/>
        <v>R</v>
      </c>
      <c r="AH755" s="65" t="s">
        <v>299</v>
      </c>
      <c r="AI755" s="66">
        <v>6.0</v>
      </c>
      <c r="AJ755" s="36" t="str">
        <f t="shared" si="501"/>
        <v>R</v>
      </c>
      <c r="AK755" s="66">
        <v>10.0</v>
      </c>
      <c r="AL755" s="36" t="str">
        <f t="shared" si="502"/>
        <v>R</v>
      </c>
      <c r="AM755" s="66">
        <v>10.0</v>
      </c>
      <c r="AN755" s="36" t="str">
        <f t="shared" si="503"/>
        <v>R</v>
      </c>
      <c r="AO755" s="66" t="s">
        <v>299</v>
      </c>
      <c r="AP755" s="67">
        <v>9.0</v>
      </c>
      <c r="AQ755" s="37" t="str">
        <f t="shared" si="504"/>
        <v>R</v>
      </c>
      <c r="AR755" s="65">
        <v>20.0</v>
      </c>
      <c r="AS755" s="33" t="str">
        <f t="shared" si="505"/>
        <v>S</v>
      </c>
      <c r="AT755" s="65">
        <v>18.0</v>
      </c>
      <c r="AU755" s="33" t="str">
        <f t="shared" si="506"/>
        <v>S</v>
      </c>
      <c r="AV755" s="33" t="s">
        <v>300</v>
      </c>
      <c r="AW755" s="28">
        <v>6.0</v>
      </c>
      <c r="AX755" s="26" t="str">
        <f t="shared" si="507"/>
        <v>R</v>
      </c>
      <c r="AY755" s="67">
        <v>15.0</v>
      </c>
      <c r="AZ755" s="37" t="str">
        <f t="shared" si="508"/>
        <v>R</v>
      </c>
      <c r="BA755" s="66">
        <v>26.0</v>
      </c>
      <c r="BB755" s="36" t="str">
        <f t="shared" si="509"/>
        <v>S</v>
      </c>
      <c r="BC755" s="39" t="s">
        <v>357</v>
      </c>
      <c r="BD755" s="39" t="s">
        <v>357</v>
      </c>
      <c r="BE755" s="66">
        <v>21.0</v>
      </c>
      <c r="BF755" s="36" t="str">
        <f t="shared" si="510"/>
        <v>I</v>
      </c>
      <c r="BG755" s="68">
        <v>18.0</v>
      </c>
      <c r="BH755" s="41" t="str">
        <f t="shared" si="511"/>
        <v>S</v>
      </c>
      <c r="BI755" s="41"/>
    </row>
    <row r="756">
      <c r="A756" s="21" t="s">
        <v>1177</v>
      </c>
      <c r="B756" s="23">
        <v>307.0</v>
      </c>
      <c r="C756" s="21" t="s">
        <v>2307</v>
      </c>
      <c r="D756" s="69" t="s">
        <v>571</v>
      </c>
      <c r="E756" s="18" t="s">
        <v>572</v>
      </c>
      <c r="F756" s="18" t="s">
        <v>192</v>
      </c>
      <c r="G756" s="63" t="s">
        <v>2308</v>
      </c>
      <c r="H756" s="22" t="s">
        <v>198</v>
      </c>
      <c r="I756" s="28">
        <v>6.0</v>
      </c>
      <c r="J756" s="26" t="str">
        <f t="shared" si="489"/>
        <v>R</v>
      </c>
      <c r="K756" s="28">
        <v>11.0</v>
      </c>
      <c r="L756" s="26" t="str">
        <f t="shared" si="490"/>
        <v>R</v>
      </c>
      <c r="M756" s="28">
        <v>6.0</v>
      </c>
      <c r="N756" s="26" t="str">
        <f t="shared" si="491"/>
        <v>R</v>
      </c>
      <c r="O756" s="28">
        <v>23.0</v>
      </c>
      <c r="P756" s="26" t="str">
        <f t="shared" si="492"/>
        <v>S</v>
      </c>
      <c r="Q756" s="28">
        <v>6.0</v>
      </c>
      <c r="R756" s="26" t="str">
        <f t="shared" si="493"/>
        <v>R</v>
      </c>
      <c r="S756" s="28">
        <v>18.0</v>
      </c>
      <c r="T756" s="26" t="str">
        <f t="shared" si="494"/>
        <v>R</v>
      </c>
      <c r="U756" s="28">
        <v>19.0</v>
      </c>
      <c r="V756" s="26" t="str">
        <f t="shared" si="495"/>
        <v>I</v>
      </c>
      <c r="W756" s="32" t="s">
        <v>299</v>
      </c>
      <c r="X756" s="65">
        <v>12.0</v>
      </c>
      <c r="Y756" s="33" t="str">
        <f t="shared" si="496"/>
        <v>R</v>
      </c>
      <c r="Z756" s="65">
        <v>6.0</v>
      </c>
      <c r="AA756" s="33" t="str">
        <f t="shared" si="497"/>
        <v>R</v>
      </c>
      <c r="AB756" s="65">
        <v>6.0</v>
      </c>
      <c r="AC756" s="33" t="str">
        <f t="shared" si="498"/>
        <v>R</v>
      </c>
      <c r="AD756" s="65">
        <v>20.0</v>
      </c>
      <c r="AE756" s="33" t="str">
        <f t="shared" si="499"/>
        <v>S</v>
      </c>
      <c r="AF756" s="65">
        <v>17.0</v>
      </c>
      <c r="AG756" s="33" t="str">
        <f t="shared" si="500"/>
        <v>R</v>
      </c>
      <c r="AH756" s="65" t="s">
        <v>299</v>
      </c>
      <c r="AI756" s="66">
        <v>6.0</v>
      </c>
      <c r="AJ756" s="36" t="str">
        <f t="shared" si="501"/>
        <v>R</v>
      </c>
      <c r="AK756" s="66">
        <v>6.0</v>
      </c>
      <c r="AL756" s="36" t="str">
        <f t="shared" si="502"/>
        <v>R</v>
      </c>
      <c r="AM756" s="66">
        <v>6.0</v>
      </c>
      <c r="AN756" s="36" t="str">
        <f t="shared" si="503"/>
        <v>R</v>
      </c>
      <c r="AO756" s="66" t="s">
        <v>299</v>
      </c>
      <c r="AP756" s="67">
        <v>20.0</v>
      </c>
      <c r="AQ756" s="37" t="str">
        <f t="shared" si="504"/>
        <v>S</v>
      </c>
      <c r="AR756" s="65">
        <v>20.0</v>
      </c>
      <c r="AS756" s="33" t="str">
        <f t="shared" si="505"/>
        <v>S</v>
      </c>
      <c r="AT756" s="65">
        <v>12.0</v>
      </c>
      <c r="AU756" s="33" t="str">
        <f t="shared" si="506"/>
        <v>R</v>
      </c>
      <c r="AV756" s="65" t="s">
        <v>299</v>
      </c>
      <c r="AW756" s="28">
        <v>6.0</v>
      </c>
      <c r="AX756" s="26" t="str">
        <f t="shared" si="507"/>
        <v>R</v>
      </c>
      <c r="AY756" s="67">
        <v>11.0</v>
      </c>
      <c r="AZ756" s="37" t="str">
        <f t="shared" si="508"/>
        <v>R</v>
      </c>
      <c r="BA756" s="66">
        <v>23.0</v>
      </c>
      <c r="BB756" s="36" t="str">
        <f t="shared" si="509"/>
        <v>S</v>
      </c>
      <c r="BC756" s="39" t="s">
        <v>357</v>
      </c>
      <c r="BD756" s="39" t="s">
        <v>357</v>
      </c>
      <c r="BE756" s="66">
        <v>26.0</v>
      </c>
      <c r="BF756" s="36" t="str">
        <f t="shared" si="510"/>
        <v>S</v>
      </c>
      <c r="BG756" s="68">
        <v>6.0</v>
      </c>
      <c r="BH756" s="41" t="str">
        <f t="shared" si="511"/>
        <v>R</v>
      </c>
      <c r="BI756" s="41"/>
    </row>
    <row r="757">
      <c r="A757" s="21" t="s">
        <v>1177</v>
      </c>
      <c r="B757" s="21" t="s">
        <v>444</v>
      </c>
      <c r="C757" s="21" t="s">
        <v>2309</v>
      </c>
      <c r="D757" s="69" t="s">
        <v>571</v>
      </c>
      <c r="E757" s="18" t="s">
        <v>572</v>
      </c>
      <c r="F757" s="18" t="s">
        <v>192</v>
      </c>
      <c r="G757" s="63" t="s">
        <v>2310</v>
      </c>
      <c r="H757" s="22" t="s">
        <v>198</v>
      </c>
      <c r="I757" s="28">
        <v>6.0</v>
      </c>
      <c r="J757" s="26" t="str">
        <f t="shared" si="489"/>
        <v>R</v>
      </c>
      <c r="K757" s="28">
        <v>10.0</v>
      </c>
      <c r="L757" s="26" t="str">
        <f t="shared" si="490"/>
        <v>R</v>
      </c>
      <c r="M757" s="28">
        <v>6.0</v>
      </c>
      <c r="N757" s="26" t="str">
        <f t="shared" si="491"/>
        <v>R</v>
      </c>
      <c r="O757" s="28">
        <v>23.0</v>
      </c>
      <c r="P757" s="26" t="str">
        <f t="shared" si="492"/>
        <v>S</v>
      </c>
      <c r="Q757" s="28">
        <v>6.0</v>
      </c>
      <c r="R757" s="26" t="str">
        <f t="shared" si="493"/>
        <v>R</v>
      </c>
      <c r="S757" s="28">
        <v>15.0</v>
      </c>
      <c r="T757" s="26" t="str">
        <f t="shared" si="494"/>
        <v>R</v>
      </c>
      <c r="U757" s="28">
        <v>19.0</v>
      </c>
      <c r="V757" s="26" t="str">
        <f t="shared" si="495"/>
        <v>I</v>
      </c>
      <c r="W757" s="32" t="s">
        <v>299</v>
      </c>
      <c r="X757" s="65">
        <v>10.0</v>
      </c>
      <c r="Y757" s="33" t="str">
        <f t="shared" si="496"/>
        <v>R</v>
      </c>
      <c r="Z757" s="65">
        <v>10.0</v>
      </c>
      <c r="AA757" s="33" t="str">
        <f t="shared" si="497"/>
        <v>R</v>
      </c>
      <c r="AB757" s="65">
        <v>9.0</v>
      </c>
      <c r="AC757" s="33" t="str">
        <f t="shared" si="498"/>
        <v>R</v>
      </c>
      <c r="AD757" s="65">
        <v>21.0</v>
      </c>
      <c r="AE757" s="33" t="str">
        <f t="shared" si="499"/>
        <v>S</v>
      </c>
      <c r="AF757" s="65">
        <v>18.0</v>
      </c>
      <c r="AG757" s="33" t="str">
        <f t="shared" si="500"/>
        <v>R</v>
      </c>
      <c r="AH757" s="65" t="s">
        <v>299</v>
      </c>
      <c r="AI757" s="66">
        <v>9.0</v>
      </c>
      <c r="AJ757" s="36" t="str">
        <f t="shared" si="501"/>
        <v>R</v>
      </c>
      <c r="AK757" s="66">
        <v>14.0</v>
      </c>
      <c r="AL757" s="36" t="str">
        <f t="shared" si="502"/>
        <v>R</v>
      </c>
      <c r="AM757" s="66">
        <v>6.0</v>
      </c>
      <c r="AN757" s="36" t="str">
        <f t="shared" si="503"/>
        <v>R</v>
      </c>
      <c r="AO757" s="66" t="s">
        <v>299</v>
      </c>
      <c r="AP757" s="67">
        <v>18.0</v>
      </c>
      <c r="AQ757" s="37" t="str">
        <f t="shared" si="504"/>
        <v>S</v>
      </c>
      <c r="AR757" s="65">
        <v>18.0</v>
      </c>
      <c r="AS757" s="33" t="str">
        <f t="shared" si="505"/>
        <v>S</v>
      </c>
      <c r="AT757" s="65">
        <v>12.0</v>
      </c>
      <c r="AU757" s="33" t="str">
        <f t="shared" si="506"/>
        <v>R</v>
      </c>
      <c r="AV757" s="65" t="s">
        <v>299</v>
      </c>
      <c r="AW757" s="28">
        <v>9.0</v>
      </c>
      <c r="AX757" s="26" t="str">
        <f t="shared" si="507"/>
        <v>R</v>
      </c>
      <c r="AY757" s="67">
        <v>10.0</v>
      </c>
      <c r="AZ757" s="37" t="str">
        <f t="shared" si="508"/>
        <v>R</v>
      </c>
      <c r="BA757" s="66">
        <v>22.0</v>
      </c>
      <c r="BB757" s="36" t="str">
        <f t="shared" si="509"/>
        <v>R</v>
      </c>
      <c r="BC757" s="39" t="s">
        <v>357</v>
      </c>
      <c r="BD757" s="39" t="s">
        <v>357</v>
      </c>
      <c r="BE757" s="66">
        <v>25.0</v>
      </c>
      <c r="BF757" s="36" t="str">
        <f t="shared" si="510"/>
        <v>S</v>
      </c>
      <c r="BG757" s="68">
        <v>6.0</v>
      </c>
      <c r="BH757" s="41" t="str">
        <f t="shared" si="511"/>
        <v>R</v>
      </c>
      <c r="BI757" s="41"/>
    </row>
    <row r="758">
      <c r="A758" s="21" t="s">
        <v>1177</v>
      </c>
      <c r="B758" s="21" t="s">
        <v>444</v>
      </c>
      <c r="C758" s="21" t="s">
        <v>2311</v>
      </c>
      <c r="D758" s="69" t="s">
        <v>571</v>
      </c>
      <c r="E758" s="18" t="s">
        <v>572</v>
      </c>
      <c r="F758" s="18" t="s">
        <v>192</v>
      </c>
      <c r="G758" s="63" t="s">
        <v>2312</v>
      </c>
      <c r="H758" s="22" t="s">
        <v>198</v>
      </c>
      <c r="I758" s="28">
        <v>6.0</v>
      </c>
      <c r="J758" s="26" t="str">
        <f t="shared" si="489"/>
        <v>R</v>
      </c>
      <c r="K758" s="28">
        <v>12.0</v>
      </c>
      <c r="L758" s="26" t="str">
        <f t="shared" si="490"/>
        <v>R</v>
      </c>
      <c r="M758" s="28">
        <v>6.0</v>
      </c>
      <c r="N758" s="26" t="str">
        <f t="shared" si="491"/>
        <v>R</v>
      </c>
      <c r="O758" s="28">
        <v>23.0</v>
      </c>
      <c r="P758" s="26" t="str">
        <f t="shared" si="492"/>
        <v>S</v>
      </c>
      <c r="Q758" s="28">
        <v>6.0</v>
      </c>
      <c r="R758" s="26" t="str">
        <f t="shared" si="493"/>
        <v>R</v>
      </c>
      <c r="S758" s="28">
        <v>16.0</v>
      </c>
      <c r="T758" s="26" t="str">
        <f t="shared" si="494"/>
        <v>R</v>
      </c>
      <c r="U758" s="28">
        <v>19.0</v>
      </c>
      <c r="V758" s="26" t="str">
        <f t="shared" si="495"/>
        <v>I</v>
      </c>
      <c r="W758" s="32" t="s">
        <v>299</v>
      </c>
      <c r="X758" s="65">
        <v>11.0</v>
      </c>
      <c r="Y758" s="33" t="str">
        <f t="shared" si="496"/>
        <v>R</v>
      </c>
      <c r="Z758" s="65">
        <v>6.0</v>
      </c>
      <c r="AA758" s="33" t="str">
        <f t="shared" si="497"/>
        <v>R</v>
      </c>
      <c r="AB758" s="65">
        <v>6.0</v>
      </c>
      <c r="AC758" s="33" t="str">
        <f t="shared" si="498"/>
        <v>R</v>
      </c>
      <c r="AD758" s="65">
        <v>19.0</v>
      </c>
      <c r="AE758" s="33" t="str">
        <f t="shared" si="499"/>
        <v>S</v>
      </c>
      <c r="AF758" s="65">
        <v>20.0</v>
      </c>
      <c r="AG758" s="33" t="str">
        <f t="shared" si="500"/>
        <v>R</v>
      </c>
      <c r="AH758" s="65" t="s">
        <v>299</v>
      </c>
      <c r="AI758" s="66">
        <v>9.0</v>
      </c>
      <c r="AJ758" s="36" t="str">
        <f t="shared" si="501"/>
        <v>R</v>
      </c>
      <c r="AK758" s="66">
        <v>12.0</v>
      </c>
      <c r="AL758" s="36" t="str">
        <f t="shared" si="502"/>
        <v>R</v>
      </c>
      <c r="AM758" s="66">
        <v>6.0</v>
      </c>
      <c r="AN758" s="36" t="str">
        <f t="shared" si="503"/>
        <v>R</v>
      </c>
      <c r="AO758" s="66" t="s">
        <v>299</v>
      </c>
      <c r="AP758" s="67">
        <v>18.0</v>
      </c>
      <c r="AQ758" s="37" t="str">
        <f t="shared" si="504"/>
        <v>S</v>
      </c>
      <c r="AR758" s="65">
        <v>20.0</v>
      </c>
      <c r="AS758" s="33" t="str">
        <f t="shared" si="505"/>
        <v>S</v>
      </c>
      <c r="AT758" s="65">
        <v>11.0</v>
      </c>
      <c r="AU758" s="33" t="str">
        <f t="shared" si="506"/>
        <v>R</v>
      </c>
      <c r="AV758" s="65" t="s">
        <v>299</v>
      </c>
      <c r="AW758" s="28">
        <v>9.0</v>
      </c>
      <c r="AX758" s="26" t="str">
        <f t="shared" si="507"/>
        <v>R</v>
      </c>
      <c r="AY758" s="67">
        <v>11.0</v>
      </c>
      <c r="AZ758" s="37" t="str">
        <f t="shared" si="508"/>
        <v>R</v>
      </c>
      <c r="BA758" s="66">
        <v>23.0</v>
      </c>
      <c r="BB758" s="36" t="str">
        <f t="shared" si="509"/>
        <v>S</v>
      </c>
      <c r="BC758" s="39" t="s">
        <v>357</v>
      </c>
      <c r="BD758" s="39" t="s">
        <v>357</v>
      </c>
      <c r="BE758" s="66">
        <v>25.0</v>
      </c>
      <c r="BF758" s="36" t="str">
        <f t="shared" si="510"/>
        <v>S</v>
      </c>
      <c r="BG758" s="68">
        <v>6.0</v>
      </c>
      <c r="BH758" s="41" t="str">
        <f t="shared" si="511"/>
        <v>R</v>
      </c>
      <c r="BI758" s="41"/>
    </row>
    <row r="759">
      <c r="A759" s="21" t="s">
        <v>1177</v>
      </c>
      <c r="B759" s="23">
        <v>308.0</v>
      </c>
      <c r="C759" s="21" t="s">
        <v>2313</v>
      </c>
      <c r="D759" s="69" t="s">
        <v>705</v>
      </c>
      <c r="E759" s="18" t="s">
        <v>572</v>
      </c>
      <c r="F759" s="18" t="s">
        <v>192</v>
      </c>
      <c r="G759" s="63" t="s">
        <v>2314</v>
      </c>
      <c r="H759" s="22" t="s">
        <v>198</v>
      </c>
      <c r="I759" s="28">
        <v>15.0</v>
      </c>
      <c r="J759" s="26" t="str">
        <f t="shared" si="489"/>
        <v>R</v>
      </c>
      <c r="K759" s="28">
        <v>13.0</v>
      </c>
      <c r="L759" s="26" t="str">
        <f t="shared" si="490"/>
        <v>R</v>
      </c>
      <c r="M759" s="28">
        <v>12.0</v>
      </c>
      <c r="N759" s="26" t="str">
        <f t="shared" si="491"/>
        <v>R</v>
      </c>
      <c r="O759" s="28">
        <v>21.0</v>
      </c>
      <c r="P759" s="26" t="str">
        <f t="shared" si="492"/>
        <v>I</v>
      </c>
      <c r="Q759" s="28">
        <v>6.0</v>
      </c>
      <c r="R759" s="26" t="str">
        <f t="shared" si="493"/>
        <v>R</v>
      </c>
      <c r="S759" s="28">
        <v>15.0</v>
      </c>
      <c r="T759" s="26" t="str">
        <f t="shared" si="494"/>
        <v>R</v>
      </c>
      <c r="U759" s="28">
        <v>22.0</v>
      </c>
      <c r="V759" s="26" t="str">
        <f t="shared" si="495"/>
        <v>S</v>
      </c>
      <c r="W759" s="32" t="s">
        <v>299</v>
      </c>
      <c r="X759" s="65">
        <v>6.0</v>
      </c>
      <c r="Y759" s="33" t="str">
        <f t="shared" si="496"/>
        <v>R</v>
      </c>
      <c r="Z759" s="65">
        <v>21.0</v>
      </c>
      <c r="AA759" s="33" t="str">
        <f t="shared" si="497"/>
        <v>S</v>
      </c>
      <c r="AB759" s="65">
        <v>6.0</v>
      </c>
      <c r="AC759" s="33" t="str">
        <f t="shared" si="498"/>
        <v>R</v>
      </c>
      <c r="AD759" s="65">
        <v>14.0</v>
      </c>
      <c r="AE759" s="33" t="str">
        <f t="shared" si="499"/>
        <v>S</v>
      </c>
      <c r="AF759" s="65">
        <v>17.0</v>
      </c>
      <c r="AG759" s="33" t="str">
        <f t="shared" si="500"/>
        <v>R</v>
      </c>
      <c r="AH759" s="65" t="s">
        <v>299</v>
      </c>
      <c r="AI759" s="66">
        <v>6.0</v>
      </c>
      <c r="AJ759" s="36" t="str">
        <f t="shared" si="501"/>
        <v>R</v>
      </c>
      <c r="AK759" s="66">
        <v>12.0</v>
      </c>
      <c r="AL759" s="36" t="str">
        <f t="shared" si="502"/>
        <v>R</v>
      </c>
      <c r="AM759" s="66">
        <v>9.0</v>
      </c>
      <c r="AN759" s="36" t="str">
        <f t="shared" si="503"/>
        <v>R</v>
      </c>
      <c r="AO759" s="66" t="s">
        <v>299</v>
      </c>
      <c r="AP759" s="67">
        <v>6.0</v>
      </c>
      <c r="AQ759" s="37" t="str">
        <f t="shared" si="504"/>
        <v>R</v>
      </c>
      <c r="AR759" s="65">
        <v>6.0</v>
      </c>
      <c r="AS759" s="33" t="str">
        <f t="shared" si="505"/>
        <v>R</v>
      </c>
      <c r="AT759" s="65">
        <v>15.0</v>
      </c>
      <c r="AU759" s="33" t="str">
        <f t="shared" si="506"/>
        <v>R</v>
      </c>
      <c r="AV759" s="65" t="s">
        <v>299</v>
      </c>
      <c r="AW759" s="28">
        <v>6.0</v>
      </c>
      <c r="AX759" s="26" t="str">
        <f t="shared" si="507"/>
        <v>R</v>
      </c>
      <c r="AY759" s="67">
        <v>14.0</v>
      </c>
      <c r="AZ759" s="37" t="str">
        <f t="shared" si="508"/>
        <v>R</v>
      </c>
      <c r="BA759" s="66">
        <v>20.0</v>
      </c>
      <c r="BB759" s="36" t="str">
        <f t="shared" si="509"/>
        <v>R</v>
      </c>
      <c r="BC759" s="39" t="s">
        <v>357</v>
      </c>
      <c r="BD759" s="39" t="s">
        <v>357</v>
      </c>
      <c r="BE759" s="66">
        <v>16.0</v>
      </c>
      <c r="BF759" s="36" t="str">
        <f t="shared" si="510"/>
        <v>R</v>
      </c>
      <c r="BG759" s="68">
        <v>17.0</v>
      </c>
      <c r="BH759" s="41" t="str">
        <f t="shared" si="511"/>
        <v>S</v>
      </c>
      <c r="BI759" s="41"/>
    </row>
    <row r="760">
      <c r="A760" s="21" t="s">
        <v>1177</v>
      </c>
      <c r="B760" s="21" t="s">
        <v>444</v>
      </c>
      <c r="C760" s="21" t="s">
        <v>2315</v>
      </c>
      <c r="D760" s="69" t="s">
        <v>705</v>
      </c>
      <c r="E760" s="18" t="s">
        <v>572</v>
      </c>
      <c r="F760" s="18" t="s">
        <v>192</v>
      </c>
      <c r="G760" s="63" t="s">
        <v>2316</v>
      </c>
      <c r="H760" s="22" t="s">
        <v>198</v>
      </c>
      <c r="I760" s="28">
        <v>15.0</v>
      </c>
      <c r="J760" s="26" t="str">
        <f t="shared" si="489"/>
        <v>R</v>
      </c>
      <c r="K760" s="28">
        <v>13.0</v>
      </c>
      <c r="L760" s="26" t="str">
        <f t="shared" si="490"/>
        <v>R</v>
      </c>
      <c r="M760" s="28">
        <v>12.0</v>
      </c>
      <c r="N760" s="26" t="str">
        <f t="shared" si="491"/>
        <v>R</v>
      </c>
      <c r="O760" s="28">
        <v>21.0</v>
      </c>
      <c r="P760" s="26" t="str">
        <f t="shared" si="492"/>
        <v>I</v>
      </c>
      <c r="Q760" s="28">
        <v>6.0</v>
      </c>
      <c r="R760" s="26" t="str">
        <f t="shared" si="493"/>
        <v>R</v>
      </c>
      <c r="S760" s="28">
        <v>15.0</v>
      </c>
      <c r="T760" s="26" t="str">
        <f t="shared" si="494"/>
        <v>R</v>
      </c>
      <c r="U760" s="28">
        <v>22.0</v>
      </c>
      <c r="V760" s="26" t="str">
        <f t="shared" si="495"/>
        <v>S</v>
      </c>
      <c r="W760" s="32" t="s">
        <v>299</v>
      </c>
      <c r="X760" s="65">
        <v>6.0</v>
      </c>
      <c r="Y760" s="33" t="str">
        <f t="shared" si="496"/>
        <v>R</v>
      </c>
      <c r="Z760" s="65">
        <v>21.0</v>
      </c>
      <c r="AA760" s="33" t="str">
        <f t="shared" si="497"/>
        <v>S</v>
      </c>
      <c r="AB760" s="65">
        <v>6.0</v>
      </c>
      <c r="AC760" s="33" t="str">
        <f t="shared" si="498"/>
        <v>R</v>
      </c>
      <c r="AD760" s="65">
        <v>14.0</v>
      </c>
      <c r="AE760" s="33" t="str">
        <f t="shared" si="499"/>
        <v>S</v>
      </c>
      <c r="AF760" s="65">
        <v>17.0</v>
      </c>
      <c r="AG760" s="33" t="str">
        <f t="shared" si="500"/>
        <v>R</v>
      </c>
      <c r="AH760" s="65" t="s">
        <v>299</v>
      </c>
      <c r="AI760" s="66">
        <v>6.0</v>
      </c>
      <c r="AJ760" s="36" t="str">
        <f t="shared" si="501"/>
        <v>R</v>
      </c>
      <c r="AK760" s="66">
        <v>12.0</v>
      </c>
      <c r="AL760" s="36" t="str">
        <f t="shared" si="502"/>
        <v>R</v>
      </c>
      <c r="AM760" s="66">
        <v>9.0</v>
      </c>
      <c r="AN760" s="36" t="str">
        <f t="shared" si="503"/>
        <v>R</v>
      </c>
      <c r="AO760" s="66" t="s">
        <v>299</v>
      </c>
      <c r="AP760" s="67">
        <v>6.0</v>
      </c>
      <c r="AQ760" s="37" t="str">
        <f t="shared" si="504"/>
        <v>R</v>
      </c>
      <c r="AR760" s="65">
        <v>6.0</v>
      </c>
      <c r="AS760" s="33" t="str">
        <f t="shared" si="505"/>
        <v>R</v>
      </c>
      <c r="AT760" s="65">
        <v>15.0</v>
      </c>
      <c r="AU760" s="33" t="str">
        <f t="shared" si="506"/>
        <v>R</v>
      </c>
      <c r="AV760" s="65" t="s">
        <v>299</v>
      </c>
      <c r="AW760" s="28">
        <v>6.0</v>
      </c>
      <c r="AX760" s="26" t="str">
        <f t="shared" si="507"/>
        <v>R</v>
      </c>
      <c r="AY760" s="67">
        <v>14.0</v>
      </c>
      <c r="AZ760" s="37" t="str">
        <f t="shared" si="508"/>
        <v>R</v>
      </c>
      <c r="BA760" s="66">
        <v>20.0</v>
      </c>
      <c r="BB760" s="36" t="str">
        <f t="shared" si="509"/>
        <v>R</v>
      </c>
      <c r="BC760" s="39" t="s">
        <v>357</v>
      </c>
      <c r="BD760" s="39" t="s">
        <v>357</v>
      </c>
      <c r="BE760" s="66">
        <v>16.0</v>
      </c>
      <c r="BF760" s="36" t="str">
        <f t="shared" si="510"/>
        <v>R</v>
      </c>
      <c r="BG760" s="68">
        <v>17.0</v>
      </c>
      <c r="BH760" s="41" t="str">
        <f t="shared" si="511"/>
        <v>S</v>
      </c>
      <c r="BI760" s="41"/>
    </row>
    <row r="761">
      <c r="A761" s="21" t="s">
        <v>1177</v>
      </c>
      <c r="B761" s="21" t="s">
        <v>444</v>
      </c>
      <c r="C761" s="21" t="s">
        <v>2317</v>
      </c>
      <c r="D761" s="69" t="s">
        <v>705</v>
      </c>
      <c r="E761" s="18" t="s">
        <v>572</v>
      </c>
      <c r="F761" s="18" t="s">
        <v>192</v>
      </c>
      <c r="G761" s="63" t="s">
        <v>2318</v>
      </c>
      <c r="H761" s="22" t="s">
        <v>198</v>
      </c>
      <c r="I761" s="28">
        <v>15.0</v>
      </c>
      <c r="J761" s="26" t="str">
        <f t="shared" si="489"/>
        <v>R</v>
      </c>
      <c r="K761" s="28">
        <v>13.0</v>
      </c>
      <c r="L761" s="26" t="str">
        <f t="shared" si="490"/>
        <v>R</v>
      </c>
      <c r="M761" s="28">
        <v>12.0</v>
      </c>
      <c r="N761" s="26" t="str">
        <f t="shared" si="491"/>
        <v>R</v>
      </c>
      <c r="O761" s="28">
        <v>21.0</v>
      </c>
      <c r="P761" s="26" t="str">
        <f t="shared" si="492"/>
        <v>I</v>
      </c>
      <c r="Q761" s="28">
        <v>6.0</v>
      </c>
      <c r="R761" s="26" t="str">
        <f t="shared" si="493"/>
        <v>R</v>
      </c>
      <c r="S761" s="28">
        <v>15.0</v>
      </c>
      <c r="T761" s="26" t="str">
        <f t="shared" si="494"/>
        <v>R</v>
      </c>
      <c r="U761" s="28">
        <v>22.0</v>
      </c>
      <c r="V761" s="26" t="str">
        <f t="shared" si="495"/>
        <v>S</v>
      </c>
      <c r="W761" s="32" t="s">
        <v>299</v>
      </c>
      <c r="X761" s="65">
        <v>6.0</v>
      </c>
      <c r="Y761" s="33" t="str">
        <f t="shared" si="496"/>
        <v>R</v>
      </c>
      <c r="Z761" s="65">
        <v>21.0</v>
      </c>
      <c r="AA761" s="33" t="str">
        <f t="shared" si="497"/>
        <v>S</v>
      </c>
      <c r="AB761" s="65">
        <v>6.0</v>
      </c>
      <c r="AC761" s="33" t="str">
        <f t="shared" si="498"/>
        <v>R</v>
      </c>
      <c r="AD761" s="65">
        <v>14.0</v>
      </c>
      <c r="AE761" s="33" t="str">
        <f t="shared" si="499"/>
        <v>S</v>
      </c>
      <c r="AF761" s="65">
        <v>17.0</v>
      </c>
      <c r="AG761" s="33" t="str">
        <f t="shared" si="500"/>
        <v>R</v>
      </c>
      <c r="AH761" s="65" t="s">
        <v>299</v>
      </c>
      <c r="AI761" s="66">
        <v>6.0</v>
      </c>
      <c r="AJ761" s="36" t="str">
        <f t="shared" si="501"/>
        <v>R</v>
      </c>
      <c r="AK761" s="66">
        <v>12.0</v>
      </c>
      <c r="AL761" s="36" t="str">
        <f t="shared" si="502"/>
        <v>R</v>
      </c>
      <c r="AM761" s="66">
        <v>9.0</v>
      </c>
      <c r="AN761" s="36" t="str">
        <f t="shared" si="503"/>
        <v>R</v>
      </c>
      <c r="AO761" s="66" t="s">
        <v>299</v>
      </c>
      <c r="AP761" s="67">
        <v>6.0</v>
      </c>
      <c r="AQ761" s="37" t="str">
        <f t="shared" si="504"/>
        <v>R</v>
      </c>
      <c r="AR761" s="65">
        <v>6.0</v>
      </c>
      <c r="AS761" s="33" t="str">
        <f t="shared" si="505"/>
        <v>R</v>
      </c>
      <c r="AT761" s="65">
        <v>15.0</v>
      </c>
      <c r="AU761" s="33" t="str">
        <f t="shared" si="506"/>
        <v>R</v>
      </c>
      <c r="AV761" s="65" t="s">
        <v>299</v>
      </c>
      <c r="AW761" s="28">
        <v>6.0</v>
      </c>
      <c r="AX761" s="26" t="str">
        <f t="shared" si="507"/>
        <v>R</v>
      </c>
      <c r="AY761" s="67">
        <v>14.0</v>
      </c>
      <c r="AZ761" s="37" t="str">
        <f t="shared" si="508"/>
        <v>R</v>
      </c>
      <c r="BA761" s="66">
        <v>20.0</v>
      </c>
      <c r="BB761" s="36" t="str">
        <f t="shared" si="509"/>
        <v>R</v>
      </c>
      <c r="BC761" s="39" t="s">
        <v>357</v>
      </c>
      <c r="BD761" s="39" t="s">
        <v>357</v>
      </c>
      <c r="BE761" s="66">
        <v>16.0</v>
      </c>
      <c r="BF761" s="36" t="str">
        <f t="shared" si="510"/>
        <v>R</v>
      </c>
      <c r="BG761" s="68">
        <v>17.0</v>
      </c>
      <c r="BH761" s="41" t="str">
        <f t="shared" si="511"/>
        <v>S</v>
      </c>
      <c r="BI761" s="41"/>
    </row>
    <row r="762">
      <c r="G762" s="89"/>
      <c r="H762" s="72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2"/>
      <c r="AJ762" s="92"/>
      <c r="AK762" s="92"/>
      <c r="AL762" s="92"/>
      <c r="AM762" s="92"/>
      <c r="AN762" s="92"/>
      <c r="AO762" s="92"/>
      <c r="AP762" s="93"/>
      <c r="AQ762" s="93"/>
      <c r="AR762" s="91"/>
      <c r="AS762" s="91"/>
      <c r="AT762" s="91"/>
      <c r="AU762" s="91"/>
      <c r="AV762" s="91"/>
      <c r="AW762" s="90"/>
      <c r="AX762" s="90"/>
      <c r="AY762" s="93"/>
      <c r="AZ762" s="93"/>
      <c r="BA762" s="92"/>
      <c r="BB762" s="92"/>
      <c r="BC762" s="92"/>
      <c r="BD762" s="92"/>
      <c r="BE762" s="92"/>
      <c r="BF762" s="92"/>
      <c r="BG762" s="94"/>
      <c r="BH762" s="94"/>
      <c r="BI762" s="94"/>
    </row>
    <row r="763">
      <c r="G763" s="95"/>
      <c r="H763" s="96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2"/>
      <c r="AJ763" s="92"/>
      <c r="AK763" s="92"/>
      <c r="AL763" s="92"/>
      <c r="AM763" s="92"/>
      <c r="AN763" s="92"/>
      <c r="AO763" s="92"/>
      <c r="AP763" s="93"/>
      <c r="AQ763" s="93"/>
      <c r="AR763" s="91"/>
      <c r="AS763" s="91"/>
      <c r="AT763" s="91"/>
      <c r="AU763" s="91"/>
      <c r="AV763" s="91"/>
      <c r="AW763" s="90"/>
      <c r="AX763" s="90"/>
      <c r="AY763" s="93"/>
      <c r="AZ763" s="93"/>
      <c r="BA763" s="92"/>
      <c r="BB763" s="92"/>
      <c r="BC763" s="92"/>
      <c r="BD763" s="92"/>
      <c r="BE763" s="92"/>
      <c r="BF763" s="92"/>
      <c r="BG763" s="94"/>
      <c r="BH763" s="94"/>
      <c r="BI763" s="94"/>
    </row>
    <row r="764">
      <c r="G764" s="95"/>
      <c r="H764" s="96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2"/>
      <c r="AJ764" s="92"/>
      <c r="AK764" s="92"/>
      <c r="AL764" s="92"/>
      <c r="AM764" s="92"/>
      <c r="AN764" s="92"/>
      <c r="AO764" s="92"/>
      <c r="AP764" s="93"/>
      <c r="AQ764" s="93"/>
      <c r="AR764" s="91"/>
      <c r="AS764" s="91"/>
      <c r="AT764" s="91"/>
      <c r="AU764" s="91"/>
      <c r="AV764" s="91"/>
      <c r="AW764" s="90"/>
      <c r="AX764" s="90"/>
      <c r="AY764" s="93"/>
      <c r="AZ764" s="93"/>
      <c r="BA764" s="92"/>
      <c r="BB764" s="92"/>
      <c r="BC764" s="92"/>
      <c r="BD764" s="92"/>
      <c r="BE764" s="92"/>
      <c r="BF764" s="92"/>
      <c r="BG764" s="94"/>
      <c r="BH764" s="94"/>
      <c r="BI764" s="94"/>
    </row>
    <row r="765">
      <c r="G765" s="95"/>
      <c r="H765" s="96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2"/>
      <c r="AJ765" s="92"/>
      <c r="AK765" s="92"/>
      <c r="AL765" s="92"/>
      <c r="AM765" s="92"/>
      <c r="AN765" s="92"/>
      <c r="AO765" s="92"/>
      <c r="AP765" s="93"/>
      <c r="AQ765" s="93"/>
      <c r="AR765" s="91"/>
      <c r="AS765" s="91"/>
      <c r="AT765" s="91"/>
      <c r="AU765" s="91"/>
      <c r="AV765" s="91"/>
      <c r="AW765" s="90"/>
      <c r="AX765" s="90"/>
      <c r="AY765" s="93"/>
      <c r="AZ765" s="93"/>
      <c r="BA765" s="92"/>
      <c r="BB765" s="92"/>
      <c r="BC765" s="92"/>
      <c r="BD765" s="92"/>
      <c r="BE765" s="92"/>
      <c r="BF765" s="92"/>
      <c r="BG765" s="94"/>
      <c r="BH765" s="94"/>
      <c r="BI765" s="94"/>
    </row>
    <row r="766">
      <c r="G766" s="95"/>
      <c r="H766" s="96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2"/>
      <c r="AJ766" s="92"/>
      <c r="AK766" s="92"/>
      <c r="AL766" s="92"/>
      <c r="AM766" s="92"/>
      <c r="AN766" s="92"/>
      <c r="AO766" s="92"/>
      <c r="AP766" s="93"/>
      <c r="AQ766" s="93"/>
      <c r="AR766" s="91"/>
      <c r="AS766" s="91"/>
      <c r="AT766" s="91"/>
      <c r="AU766" s="91"/>
      <c r="AV766" s="91"/>
      <c r="AW766" s="90"/>
      <c r="AX766" s="90"/>
      <c r="AY766" s="93"/>
      <c r="AZ766" s="93"/>
      <c r="BA766" s="92"/>
      <c r="BB766" s="92"/>
      <c r="BC766" s="92"/>
      <c r="BD766" s="92"/>
      <c r="BE766" s="92"/>
      <c r="BF766" s="92"/>
      <c r="BG766" s="94"/>
      <c r="BH766" s="94"/>
      <c r="BI766" s="94"/>
    </row>
    <row r="767">
      <c r="G767" s="95"/>
      <c r="H767" s="96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2"/>
      <c r="AJ767" s="92"/>
      <c r="AK767" s="92"/>
      <c r="AL767" s="92"/>
      <c r="AM767" s="92"/>
      <c r="AN767" s="92"/>
      <c r="AO767" s="92"/>
      <c r="AP767" s="93"/>
      <c r="AQ767" s="93"/>
      <c r="AR767" s="91"/>
      <c r="AS767" s="91"/>
      <c r="AT767" s="91"/>
      <c r="AU767" s="91"/>
      <c r="AV767" s="91"/>
      <c r="AW767" s="90"/>
      <c r="AX767" s="90"/>
      <c r="AY767" s="93"/>
      <c r="AZ767" s="93"/>
      <c r="BA767" s="92"/>
      <c r="BB767" s="92"/>
      <c r="BC767" s="92"/>
      <c r="BD767" s="92"/>
      <c r="BE767" s="92"/>
      <c r="BF767" s="92"/>
      <c r="BG767" s="94"/>
      <c r="BH767" s="94"/>
      <c r="BI767" s="94"/>
    </row>
    <row r="768">
      <c r="G768" s="95"/>
      <c r="H768" s="96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2"/>
      <c r="AJ768" s="92"/>
      <c r="AK768" s="92"/>
      <c r="AL768" s="92"/>
      <c r="AM768" s="92"/>
      <c r="AN768" s="92"/>
      <c r="AO768" s="92"/>
      <c r="AP768" s="93"/>
      <c r="AQ768" s="93"/>
      <c r="AR768" s="91"/>
      <c r="AS768" s="91"/>
      <c r="AT768" s="91"/>
      <c r="AU768" s="91"/>
      <c r="AV768" s="91"/>
      <c r="AW768" s="90"/>
      <c r="AX768" s="90"/>
      <c r="AY768" s="93"/>
      <c r="AZ768" s="93"/>
      <c r="BA768" s="92"/>
      <c r="BB768" s="92"/>
      <c r="BC768" s="92"/>
      <c r="BD768" s="92"/>
      <c r="BE768" s="92"/>
      <c r="BF768" s="92"/>
      <c r="BG768" s="94"/>
      <c r="BH768" s="94"/>
      <c r="BI768" s="94"/>
    </row>
    <row r="769">
      <c r="G769" s="95"/>
      <c r="H769" s="96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2"/>
      <c r="AJ769" s="92"/>
      <c r="AK769" s="92"/>
      <c r="AL769" s="92"/>
      <c r="AM769" s="92"/>
      <c r="AN769" s="92"/>
      <c r="AO769" s="92"/>
      <c r="AP769" s="93"/>
      <c r="AQ769" s="93"/>
      <c r="AR769" s="91"/>
      <c r="AS769" s="91"/>
      <c r="AT769" s="91"/>
      <c r="AU769" s="91"/>
      <c r="AV769" s="91"/>
      <c r="AW769" s="90"/>
      <c r="AX769" s="90"/>
      <c r="AY769" s="93"/>
      <c r="AZ769" s="93"/>
      <c r="BA769" s="92"/>
      <c r="BB769" s="92"/>
      <c r="BC769" s="92"/>
      <c r="BD769" s="92"/>
      <c r="BE769" s="92"/>
      <c r="BF769" s="92"/>
      <c r="BG769" s="94"/>
      <c r="BH769" s="94"/>
      <c r="BI769" s="94"/>
    </row>
    <row r="770">
      <c r="G770" s="95"/>
      <c r="H770" s="96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2"/>
      <c r="AJ770" s="92"/>
      <c r="AK770" s="92"/>
      <c r="AL770" s="92"/>
      <c r="AM770" s="92"/>
      <c r="AN770" s="92"/>
      <c r="AO770" s="92"/>
      <c r="AP770" s="93"/>
      <c r="AQ770" s="93"/>
      <c r="AR770" s="91"/>
      <c r="AS770" s="91"/>
      <c r="AT770" s="91"/>
      <c r="AU770" s="91"/>
      <c r="AV770" s="91"/>
      <c r="AW770" s="90"/>
      <c r="AX770" s="90"/>
      <c r="AY770" s="93"/>
      <c r="AZ770" s="93"/>
      <c r="BA770" s="92"/>
      <c r="BB770" s="92"/>
      <c r="BC770" s="92"/>
      <c r="BD770" s="92"/>
      <c r="BE770" s="92"/>
      <c r="BF770" s="92"/>
      <c r="BG770" s="94"/>
      <c r="BH770" s="94"/>
      <c r="BI770" s="94"/>
    </row>
    <row r="771">
      <c r="G771" s="95"/>
      <c r="H771" s="96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2"/>
      <c r="AJ771" s="92"/>
      <c r="AK771" s="92"/>
      <c r="AL771" s="92"/>
      <c r="AM771" s="92"/>
      <c r="AN771" s="92"/>
      <c r="AO771" s="92"/>
      <c r="AP771" s="93"/>
      <c r="AQ771" s="93"/>
      <c r="AR771" s="91"/>
      <c r="AS771" s="91"/>
      <c r="AT771" s="91"/>
      <c r="AU771" s="91"/>
      <c r="AV771" s="91"/>
      <c r="AW771" s="90"/>
      <c r="AX771" s="90"/>
      <c r="AY771" s="93"/>
      <c r="AZ771" s="93"/>
      <c r="BA771" s="92"/>
      <c r="BB771" s="92"/>
      <c r="BC771" s="92"/>
      <c r="BD771" s="92"/>
      <c r="BE771" s="92"/>
      <c r="BF771" s="92"/>
      <c r="BG771" s="94"/>
      <c r="BH771" s="94"/>
      <c r="BI771" s="94"/>
    </row>
    <row r="772">
      <c r="G772" s="95"/>
      <c r="H772" s="96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2"/>
      <c r="AJ772" s="92"/>
      <c r="AK772" s="92"/>
      <c r="AL772" s="92"/>
      <c r="AM772" s="92"/>
      <c r="AN772" s="92"/>
      <c r="AO772" s="92"/>
      <c r="AP772" s="93"/>
      <c r="AQ772" s="93"/>
      <c r="AR772" s="91"/>
      <c r="AS772" s="91"/>
      <c r="AT772" s="91"/>
      <c r="AU772" s="91"/>
      <c r="AV772" s="91"/>
      <c r="AW772" s="90"/>
      <c r="AX772" s="90"/>
      <c r="AY772" s="93"/>
      <c r="AZ772" s="93"/>
      <c r="BA772" s="92"/>
      <c r="BB772" s="92"/>
      <c r="BC772" s="92"/>
      <c r="BD772" s="92"/>
      <c r="BE772" s="92"/>
      <c r="BF772" s="92"/>
      <c r="BG772" s="94"/>
      <c r="BH772" s="94"/>
      <c r="BI772" s="94"/>
    </row>
    <row r="773">
      <c r="G773" s="95"/>
      <c r="H773" s="96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2"/>
      <c r="AJ773" s="92"/>
      <c r="AK773" s="92"/>
      <c r="AL773" s="92"/>
      <c r="AM773" s="92"/>
      <c r="AN773" s="92"/>
      <c r="AO773" s="92"/>
      <c r="AP773" s="93"/>
      <c r="AQ773" s="93"/>
      <c r="AR773" s="91"/>
      <c r="AS773" s="91"/>
      <c r="AT773" s="91"/>
      <c r="AU773" s="91"/>
      <c r="AV773" s="91"/>
      <c r="AW773" s="90"/>
      <c r="AX773" s="90"/>
      <c r="AY773" s="93"/>
      <c r="AZ773" s="93"/>
      <c r="BA773" s="92"/>
      <c r="BB773" s="92"/>
      <c r="BC773" s="92"/>
      <c r="BD773" s="92"/>
      <c r="BE773" s="92"/>
      <c r="BF773" s="92"/>
      <c r="BG773" s="94"/>
      <c r="BH773" s="94"/>
      <c r="BI773" s="94"/>
    </row>
    <row r="774">
      <c r="G774" s="95"/>
      <c r="H774" s="96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2"/>
      <c r="AJ774" s="92"/>
      <c r="AK774" s="92"/>
      <c r="AL774" s="92"/>
      <c r="AM774" s="92"/>
      <c r="AN774" s="92"/>
      <c r="AO774" s="92"/>
      <c r="AP774" s="93"/>
      <c r="AQ774" s="93"/>
      <c r="AR774" s="91"/>
      <c r="AS774" s="91"/>
      <c r="AT774" s="91"/>
      <c r="AU774" s="91"/>
      <c r="AV774" s="91"/>
      <c r="AW774" s="90"/>
      <c r="AX774" s="90"/>
      <c r="AY774" s="93"/>
      <c r="AZ774" s="93"/>
      <c r="BA774" s="92"/>
      <c r="BB774" s="92"/>
      <c r="BC774" s="92"/>
      <c r="BD774" s="92"/>
      <c r="BE774" s="92"/>
      <c r="BF774" s="92"/>
      <c r="BG774" s="94"/>
      <c r="BH774" s="94"/>
      <c r="BI774" s="94"/>
    </row>
    <row r="775">
      <c r="G775" s="95"/>
      <c r="H775" s="96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2"/>
      <c r="AJ775" s="92"/>
      <c r="AK775" s="92"/>
      <c r="AL775" s="92"/>
      <c r="AM775" s="92"/>
      <c r="AN775" s="92"/>
      <c r="AO775" s="92"/>
      <c r="AP775" s="93"/>
      <c r="AQ775" s="93"/>
      <c r="AR775" s="91"/>
      <c r="AS775" s="91"/>
      <c r="AT775" s="91"/>
      <c r="AU775" s="91"/>
      <c r="AV775" s="91"/>
      <c r="AW775" s="90"/>
      <c r="AX775" s="90"/>
      <c r="AY775" s="93"/>
      <c r="AZ775" s="93"/>
      <c r="BA775" s="92"/>
      <c r="BB775" s="92"/>
      <c r="BC775" s="92"/>
      <c r="BD775" s="92"/>
      <c r="BE775" s="92"/>
      <c r="BF775" s="92"/>
      <c r="BG775" s="94"/>
      <c r="BH775" s="94"/>
      <c r="BI775" s="94"/>
    </row>
    <row r="776">
      <c r="G776" s="95"/>
      <c r="H776" s="96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2"/>
      <c r="AJ776" s="92"/>
      <c r="AK776" s="92"/>
      <c r="AL776" s="92"/>
      <c r="AM776" s="92"/>
      <c r="AN776" s="92"/>
      <c r="AO776" s="92"/>
      <c r="AP776" s="93"/>
      <c r="AQ776" s="93"/>
      <c r="AR776" s="91"/>
      <c r="AS776" s="91"/>
      <c r="AT776" s="91"/>
      <c r="AU776" s="91"/>
      <c r="AV776" s="91"/>
      <c r="AW776" s="90"/>
      <c r="AX776" s="90"/>
      <c r="AY776" s="93"/>
      <c r="AZ776" s="93"/>
      <c r="BA776" s="92"/>
      <c r="BB776" s="92"/>
      <c r="BC776" s="92"/>
      <c r="BD776" s="92"/>
      <c r="BE776" s="92"/>
      <c r="BF776" s="92"/>
      <c r="BG776" s="94"/>
      <c r="BH776" s="94"/>
      <c r="BI776" s="94"/>
    </row>
    <row r="777">
      <c r="G777" s="95"/>
      <c r="H777" s="96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2"/>
      <c r="AJ777" s="92"/>
      <c r="AK777" s="92"/>
      <c r="AL777" s="92"/>
      <c r="AM777" s="92"/>
      <c r="AN777" s="92"/>
      <c r="AO777" s="92"/>
      <c r="AP777" s="93"/>
      <c r="AQ777" s="93"/>
      <c r="AR777" s="91"/>
      <c r="AS777" s="91"/>
      <c r="AT777" s="91"/>
      <c r="AU777" s="91"/>
      <c r="AV777" s="91"/>
      <c r="AW777" s="90"/>
      <c r="AX777" s="90"/>
      <c r="AY777" s="93"/>
      <c r="AZ777" s="93"/>
      <c r="BA777" s="92"/>
      <c r="BB777" s="92"/>
      <c r="BC777" s="92"/>
      <c r="BD777" s="92"/>
      <c r="BE777" s="92"/>
      <c r="BF777" s="92"/>
      <c r="BG777" s="94"/>
      <c r="BH777" s="94"/>
      <c r="BI777" s="94"/>
    </row>
    <row r="778">
      <c r="G778" s="95"/>
      <c r="H778" s="96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2"/>
      <c r="AJ778" s="92"/>
      <c r="AK778" s="92"/>
      <c r="AL778" s="92"/>
      <c r="AM778" s="92"/>
      <c r="AN778" s="92"/>
      <c r="AO778" s="92"/>
      <c r="AP778" s="93"/>
      <c r="AQ778" s="93"/>
      <c r="AR778" s="91"/>
      <c r="AS778" s="91"/>
      <c r="AT778" s="91"/>
      <c r="AU778" s="91"/>
      <c r="AV778" s="91"/>
      <c r="AW778" s="90"/>
      <c r="AX778" s="90"/>
      <c r="AY778" s="93"/>
      <c r="AZ778" s="93"/>
      <c r="BA778" s="92"/>
      <c r="BB778" s="92"/>
      <c r="BC778" s="92"/>
      <c r="BD778" s="92"/>
      <c r="BE778" s="92"/>
      <c r="BF778" s="92"/>
      <c r="BG778" s="94"/>
      <c r="BH778" s="94"/>
      <c r="BI778" s="94"/>
    </row>
    <row r="779">
      <c r="G779" s="95"/>
      <c r="H779" s="96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2"/>
      <c r="AJ779" s="92"/>
      <c r="AK779" s="92"/>
      <c r="AL779" s="92"/>
      <c r="AM779" s="92"/>
      <c r="AN779" s="92"/>
      <c r="AO779" s="92"/>
      <c r="AP779" s="93"/>
      <c r="AQ779" s="93"/>
      <c r="AR779" s="91"/>
      <c r="AS779" s="91"/>
      <c r="AT779" s="91"/>
      <c r="AU779" s="91"/>
      <c r="AV779" s="91"/>
      <c r="AW779" s="90"/>
      <c r="AX779" s="90"/>
      <c r="AY779" s="93"/>
      <c r="AZ779" s="93"/>
      <c r="BA779" s="92"/>
      <c r="BB779" s="92"/>
      <c r="BC779" s="92"/>
      <c r="BD779" s="92"/>
      <c r="BE779" s="92"/>
      <c r="BF779" s="92"/>
      <c r="BG779" s="94"/>
      <c r="BH779" s="94"/>
      <c r="BI779" s="94"/>
    </row>
    <row r="780">
      <c r="G780" s="95"/>
      <c r="H780" s="96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2"/>
      <c r="AJ780" s="92"/>
      <c r="AK780" s="92"/>
      <c r="AL780" s="92"/>
      <c r="AM780" s="92"/>
      <c r="AN780" s="92"/>
      <c r="AO780" s="92"/>
      <c r="AP780" s="93"/>
      <c r="AQ780" s="93"/>
      <c r="AR780" s="91"/>
      <c r="AS780" s="91"/>
      <c r="AT780" s="91"/>
      <c r="AU780" s="91"/>
      <c r="AV780" s="91"/>
      <c r="AW780" s="90"/>
      <c r="AX780" s="90"/>
      <c r="AY780" s="93"/>
      <c r="AZ780" s="93"/>
      <c r="BA780" s="92"/>
      <c r="BB780" s="92"/>
      <c r="BC780" s="92"/>
      <c r="BD780" s="92"/>
      <c r="BE780" s="92"/>
      <c r="BF780" s="92"/>
      <c r="BG780" s="94"/>
      <c r="BH780" s="94"/>
      <c r="BI780" s="94"/>
    </row>
    <row r="781">
      <c r="G781" s="95"/>
      <c r="H781" s="96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2"/>
      <c r="AJ781" s="92"/>
      <c r="AK781" s="92"/>
      <c r="AL781" s="92"/>
      <c r="AM781" s="92"/>
      <c r="AN781" s="92"/>
      <c r="AO781" s="92"/>
      <c r="AP781" s="93"/>
      <c r="AQ781" s="93"/>
      <c r="AR781" s="91"/>
      <c r="AS781" s="91"/>
      <c r="AT781" s="91"/>
      <c r="AU781" s="91"/>
      <c r="AV781" s="91"/>
      <c r="AW781" s="90"/>
      <c r="AX781" s="90"/>
      <c r="AY781" s="93"/>
      <c r="AZ781" s="93"/>
      <c r="BA781" s="92"/>
      <c r="BB781" s="92"/>
      <c r="BC781" s="92"/>
      <c r="BD781" s="92"/>
      <c r="BE781" s="92"/>
      <c r="BF781" s="92"/>
      <c r="BG781" s="94"/>
      <c r="BH781" s="94"/>
      <c r="BI781" s="94"/>
    </row>
    <row r="782">
      <c r="G782" s="95"/>
      <c r="H782" s="96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2"/>
      <c r="AJ782" s="92"/>
      <c r="AK782" s="92"/>
      <c r="AL782" s="92"/>
      <c r="AM782" s="92"/>
      <c r="AN782" s="92"/>
      <c r="AO782" s="92"/>
      <c r="AP782" s="93"/>
      <c r="AQ782" s="93"/>
      <c r="AR782" s="91"/>
      <c r="AS782" s="91"/>
      <c r="AT782" s="91"/>
      <c r="AU782" s="91"/>
      <c r="AV782" s="91"/>
      <c r="AW782" s="90"/>
      <c r="AX782" s="90"/>
      <c r="AY782" s="93"/>
      <c r="AZ782" s="93"/>
      <c r="BA782" s="92"/>
      <c r="BB782" s="92"/>
      <c r="BC782" s="92"/>
      <c r="BD782" s="92"/>
      <c r="BE782" s="92"/>
      <c r="BF782" s="92"/>
      <c r="BG782" s="94"/>
      <c r="BH782" s="94"/>
      <c r="BI782" s="94"/>
    </row>
    <row r="783">
      <c r="G783" s="95"/>
      <c r="H783" s="96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2"/>
      <c r="AJ783" s="92"/>
      <c r="AK783" s="92"/>
      <c r="AL783" s="92"/>
      <c r="AM783" s="92"/>
      <c r="AN783" s="92"/>
      <c r="AO783" s="92"/>
      <c r="AP783" s="93"/>
      <c r="AQ783" s="93"/>
      <c r="AR783" s="91"/>
      <c r="AS783" s="91"/>
      <c r="AT783" s="91"/>
      <c r="AU783" s="91"/>
      <c r="AV783" s="91"/>
      <c r="AW783" s="90"/>
      <c r="AX783" s="90"/>
      <c r="AY783" s="93"/>
      <c r="AZ783" s="93"/>
      <c r="BA783" s="92"/>
      <c r="BB783" s="92"/>
      <c r="BC783" s="92"/>
      <c r="BD783" s="92"/>
      <c r="BE783" s="92"/>
      <c r="BF783" s="92"/>
      <c r="BG783" s="94"/>
      <c r="BH783" s="94"/>
      <c r="BI783" s="94"/>
    </row>
    <row r="784">
      <c r="G784" s="95"/>
      <c r="H784" s="96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2"/>
      <c r="AJ784" s="92"/>
      <c r="AK784" s="92"/>
      <c r="AL784" s="92"/>
      <c r="AM784" s="92"/>
      <c r="AN784" s="92"/>
      <c r="AO784" s="92"/>
      <c r="AP784" s="93"/>
      <c r="AQ784" s="93"/>
      <c r="AR784" s="91"/>
      <c r="AS784" s="91"/>
      <c r="AT784" s="91"/>
      <c r="AU784" s="91"/>
      <c r="AV784" s="91"/>
      <c r="AW784" s="90"/>
      <c r="AX784" s="90"/>
      <c r="AY784" s="93"/>
      <c r="AZ784" s="93"/>
      <c r="BA784" s="92"/>
      <c r="BB784" s="92"/>
      <c r="BC784" s="92"/>
      <c r="BD784" s="92"/>
      <c r="BE784" s="92"/>
      <c r="BF784" s="92"/>
      <c r="BG784" s="94"/>
      <c r="BH784" s="94"/>
      <c r="BI784" s="94"/>
    </row>
    <row r="785">
      <c r="G785" s="95"/>
      <c r="H785" s="96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2"/>
      <c r="AJ785" s="92"/>
      <c r="AK785" s="92"/>
      <c r="AL785" s="92"/>
      <c r="AM785" s="92"/>
      <c r="AN785" s="92"/>
      <c r="AO785" s="92"/>
      <c r="AP785" s="93"/>
      <c r="AQ785" s="93"/>
      <c r="AR785" s="91"/>
      <c r="AS785" s="91"/>
      <c r="AT785" s="91"/>
      <c r="AU785" s="91"/>
      <c r="AV785" s="91"/>
      <c r="AW785" s="90"/>
      <c r="AX785" s="90"/>
      <c r="AY785" s="93"/>
      <c r="AZ785" s="93"/>
      <c r="BA785" s="92"/>
      <c r="BB785" s="92"/>
      <c r="BC785" s="92"/>
      <c r="BD785" s="92"/>
      <c r="BE785" s="92"/>
      <c r="BF785" s="92"/>
      <c r="BG785" s="94"/>
      <c r="BH785" s="94"/>
      <c r="BI785" s="94"/>
    </row>
    <row r="786">
      <c r="G786" s="95"/>
      <c r="H786" s="96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2"/>
      <c r="AJ786" s="92"/>
      <c r="AK786" s="92"/>
      <c r="AL786" s="92"/>
      <c r="AM786" s="92"/>
      <c r="AN786" s="92"/>
      <c r="AO786" s="92"/>
      <c r="AP786" s="93"/>
      <c r="AQ786" s="93"/>
      <c r="AR786" s="91"/>
      <c r="AS786" s="91"/>
      <c r="AT786" s="91"/>
      <c r="AU786" s="91"/>
      <c r="AV786" s="91"/>
      <c r="AW786" s="90"/>
      <c r="AX786" s="90"/>
      <c r="AY786" s="93"/>
      <c r="AZ786" s="93"/>
      <c r="BA786" s="92"/>
      <c r="BB786" s="92"/>
      <c r="BC786" s="92"/>
      <c r="BD786" s="92"/>
      <c r="BE786" s="92"/>
      <c r="BF786" s="92"/>
      <c r="BG786" s="94"/>
      <c r="BH786" s="94"/>
      <c r="BI786" s="94"/>
    </row>
    <row r="787">
      <c r="G787" s="95"/>
      <c r="H787" s="96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2"/>
      <c r="AJ787" s="92"/>
      <c r="AK787" s="92"/>
      <c r="AL787" s="92"/>
      <c r="AM787" s="92"/>
      <c r="AN787" s="92"/>
      <c r="AO787" s="92"/>
      <c r="AP787" s="93"/>
      <c r="AQ787" s="93"/>
      <c r="AR787" s="91"/>
      <c r="AS787" s="91"/>
      <c r="AT787" s="91"/>
      <c r="AU787" s="91"/>
      <c r="AV787" s="91"/>
      <c r="AW787" s="90"/>
      <c r="AX787" s="90"/>
      <c r="AY787" s="93"/>
      <c r="AZ787" s="93"/>
      <c r="BA787" s="92"/>
      <c r="BB787" s="92"/>
      <c r="BC787" s="92"/>
      <c r="BD787" s="92"/>
      <c r="BE787" s="92"/>
      <c r="BF787" s="92"/>
      <c r="BG787" s="94"/>
      <c r="BH787" s="94"/>
      <c r="BI787" s="94"/>
    </row>
    <row r="788">
      <c r="G788" s="95"/>
      <c r="H788" s="96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2"/>
      <c r="AJ788" s="92"/>
      <c r="AK788" s="92"/>
      <c r="AL788" s="92"/>
      <c r="AM788" s="92"/>
      <c r="AN788" s="92"/>
      <c r="AO788" s="92"/>
      <c r="AP788" s="93"/>
      <c r="AQ788" s="93"/>
      <c r="AR788" s="91"/>
      <c r="AS788" s="91"/>
      <c r="AT788" s="91"/>
      <c r="AU788" s="91"/>
      <c r="AV788" s="91"/>
      <c r="AW788" s="90"/>
      <c r="AX788" s="90"/>
      <c r="AY788" s="93"/>
      <c r="AZ788" s="93"/>
      <c r="BA788" s="92"/>
      <c r="BB788" s="92"/>
      <c r="BC788" s="92"/>
      <c r="BD788" s="92"/>
      <c r="BE788" s="92"/>
      <c r="BF788" s="92"/>
      <c r="BG788" s="94"/>
      <c r="BH788" s="94"/>
      <c r="BI788" s="94"/>
    </row>
    <row r="789">
      <c r="G789" s="95"/>
      <c r="H789" s="96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2"/>
      <c r="AJ789" s="92"/>
      <c r="AK789" s="92"/>
      <c r="AL789" s="92"/>
      <c r="AM789" s="92"/>
      <c r="AN789" s="92"/>
      <c r="AO789" s="92"/>
      <c r="AP789" s="93"/>
      <c r="AQ789" s="93"/>
      <c r="AR789" s="91"/>
      <c r="AS789" s="91"/>
      <c r="AT789" s="91"/>
      <c r="AU789" s="91"/>
      <c r="AV789" s="91"/>
      <c r="AW789" s="90"/>
      <c r="AX789" s="90"/>
      <c r="AY789" s="93"/>
      <c r="AZ789" s="93"/>
      <c r="BA789" s="92"/>
      <c r="BB789" s="92"/>
      <c r="BC789" s="92"/>
      <c r="BD789" s="92"/>
      <c r="BE789" s="92"/>
      <c r="BF789" s="92"/>
      <c r="BG789" s="94"/>
      <c r="BH789" s="94"/>
      <c r="BI789" s="94"/>
    </row>
    <row r="790">
      <c r="G790" s="95"/>
      <c r="H790" s="96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2"/>
      <c r="AJ790" s="92"/>
      <c r="AK790" s="92"/>
      <c r="AL790" s="92"/>
      <c r="AM790" s="92"/>
      <c r="AN790" s="92"/>
      <c r="AO790" s="92"/>
      <c r="AP790" s="93"/>
      <c r="AQ790" s="93"/>
      <c r="AR790" s="91"/>
      <c r="AS790" s="91"/>
      <c r="AT790" s="91"/>
      <c r="AU790" s="91"/>
      <c r="AV790" s="91"/>
      <c r="AW790" s="90"/>
      <c r="AX790" s="90"/>
      <c r="AY790" s="93"/>
      <c r="AZ790" s="93"/>
      <c r="BA790" s="92"/>
      <c r="BB790" s="92"/>
      <c r="BC790" s="92"/>
      <c r="BD790" s="92"/>
      <c r="BE790" s="92"/>
      <c r="BF790" s="92"/>
      <c r="BG790" s="94"/>
      <c r="BH790" s="94"/>
      <c r="BI790" s="94"/>
    </row>
    <row r="791">
      <c r="G791" s="95"/>
      <c r="H791" s="96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2"/>
      <c r="AJ791" s="92"/>
      <c r="AK791" s="92"/>
      <c r="AL791" s="92"/>
      <c r="AM791" s="92"/>
      <c r="AN791" s="92"/>
      <c r="AO791" s="92"/>
      <c r="AP791" s="93"/>
      <c r="AQ791" s="93"/>
      <c r="AR791" s="91"/>
      <c r="AS791" s="91"/>
      <c r="AT791" s="91"/>
      <c r="AU791" s="91"/>
      <c r="AV791" s="91"/>
      <c r="AW791" s="90"/>
      <c r="AX791" s="90"/>
      <c r="AY791" s="93"/>
      <c r="AZ791" s="93"/>
      <c r="BA791" s="92"/>
      <c r="BB791" s="92"/>
      <c r="BC791" s="92"/>
      <c r="BD791" s="92"/>
      <c r="BE791" s="92"/>
      <c r="BF791" s="92"/>
      <c r="BG791" s="94"/>
      <c r="BH791" s="94"/>
      <c r="BI791" s="94"/>
    </row>
    <row r="792">
      <c r="G792" s="95"/>
      <c r="H792" s="96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2"/>
      <c r="AJ792" s="92"/>
      <c r="AK792" s="92"/>
      <c r="AL792" s="92"/>
      <c r="AM792" s="92"/>
      <c r="AN792" s="92"/>
      <c r="AO792" s="92"/>
      <c r="AP792" s="93"/>
      <c r="AQ792" s="93"/>
      <c r="AR792" s="91"/>
      <c r="AS792" s="91"/>
      <c r="AT792" s="91"/>
      <c r="AU792" s="91"/>
      <c r="AV792" s="91"/>
      <c r="AW792" s="90"/>
      <c r="AX792" s="90"/>
      <c r="AY792" s="93"/>
      <c r="AZ792" s="93"/>
      <c r="BA792" s="92"/>
      <c r="BB792" s="92"/>
      <c r="BC792" s="92"/>
      <c r="BD792" s="92"/>
      <c r="BE792" s="92"/>
      <c r="BF792" s="92"/>
      <c r="BG792" s="94"/>
      <c r="BH792" s="94"/>
      <c r="BI792" s="94"/>
    </row>
    <row r="793">
      <c r="G793" s="95"/>
      <c r="H793" s="96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2"/>
      <c r="AJ793" s="92"/>
      <c r="AK793" s="92"/>
      <c r="AL793" s="92"/>
      <c r="AM793" s="92"/>
      <c r="AN793" s="92"/>
      <c r="AO793" s="92"/>
      <c r="AP793" s="93"/>
      <c r="AQ793" s="93"/>
      <c r="AR793" s="91"/>
      <c r="AS793" s="91"/>
      <c r="AT793" s="91"/>
      <c r="AU793" s="91"/>
      <c r="AV793" s="91"/>
      <c r="AW793" s="90"/>
      <c r="AX793" s="90"/>
      <c r="AY793" s="93"/>
      <c r="AZ793" s="93"/>
      <c r="BA793" s="92"/>
      <c r="BB793" s="92"/>
      <c r="BC793" s="92"/>
      <c r="BD793" s="92"/>
      <c r="BE793" s="92"/>
      <c r="BF793" s="92"/>
      <c r="BG793" s="94"/>
      <c r="BH793" s="94"/>
      <c r="BI793" s="94"/>
    </row>
    <row r="794">
      <c r="G794" s="95"/>
      <c r="H794" s="96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2"/>
      <c r="AJ794" s="92"/>
      <c r="AK794" s="92"/>
      <c r="AL794" s="92"/>
      <c r="AM794" s="92"/>
      <c r="AN794" s="92"/>
      <c r="AO794" s="92"/>
      <c r="AP794" s="93"/>
      <c r="AQ794" s="93"/>
      <c r="AR794" s="91"/>
      <c r="AS794" s="91"/>
      <c r="AT794" s="91"/>
      <c r="AU794" s="91"/>
      <c r="AV794" s="91"/>
      <c r="AW794" s="90"/>
      <c r="AX794" s="90"/>
      <c r="AY794" s="93"/>
      <c r="AZ794" s="93"/>
      <c r="BA794" s="92"/>
      <c r="BB794" s="92"/>
      <c r="BC794" s="92"/>
      <c r="BD794" s="92"/>
      <c r="BE794" s="92"/>
      <c r="BF794" s="92"/>
      <c r="BG794" s="94"/>
      <c r="BH794" s="94"/>
      <c r="BI794" s="94"/>
    </row>
    <row r="795">
      <c r="G795" s="95"/>
      <c r="H795" s="96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2"/>
      <c r="AJ795" s="92"/>
      <c r="AK795" s="92"/>
      <c r="AL795" s="92"/>
      <c r="AM795" s="92"/>
      <c r="AN795" s="92"/>
      <c r="AO795" s="92"/>
      <c r="AP795" s="93"/>
      <c r="AQ795" s="93"/>
      <c r="AR795" s="91"/>
      <c r="AS795" s="91"/>
      <c r="AT795" s="91"/>
      <c r="AU795" s="91"/>
      <c r="AV795" s="91"/>
      <c r="AW795" s="90"/>
      <c r="AX795" s="90"/>
      <c r="AY795" s="93"/>
      <c r="AZ795" s="93"/>
      <c r="BA795" s="92"/>
      <c r="BB795" s="92"/>
      <c r="BC795" s="92"/>
      <c r="BD795" s="92"/>
      <c r="BE795" s="92"/>
      <c r="BF795" s="92"/>
      <c r="BG795" s="94"/>
      <c r="BH795" s="94"/>
      <c r="BI795" s="94"/>
    </row>
    <row r="796">
      <c r="G796" s="95"/>
      <c r="H796" s="96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2"/>
      <c r="AJ796" s="92"/>
      <c r="AK796" s="92"/>
      <c r="AL796" s="92"/>
      <c r="AM796" s="92"/>
      <c r="AN796" s="92"/>
      <c r="AO796" s="92"/>
      <c r="AP796" s="93"/>
      <c r="AQ796" s="93"/>
      <c r="AR796" s="91"/>
      <c r="AS796" s="91"/>
      <c r="AT796" s="91"/>
      <c r="AU796" s="91"/>
      <c r="AV796" s="91"/>
      <c r="AW796" s="90"/>
      <c r="AX796" s="90"/>
      <c r="AY796" s="93"/>
      <c r="AZ796" s="93"/>
      <c r="BA796" s="92"/>
      <c r="BB796" s="92"/>
      <c r="BC796" s="92"/>
      <c r="BD796" s="92"/>
      <c r="BE796" s="92"/>
      <c r="BF796" s="92"/>
      <c r="BG796" s="94"/>
      <c r="BH796" s="94"/>
      <c r="BI796" s="94"/>
    </row>
    <row r="797">
      <c r="G797" s="95"/>
      <c r="H797" s="96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2"/>
      <c r="AJ797" s="92"/>
      <c r="AK797" s="92"/>
      <c r="AL797" s="92"/>
      <c r="AM797" s="92"/>
      <c r="AN797" s="92"/>
      <c r="AO797" s="92"/>
      <c r="AP797" s="93"/>
      <c r="AQ797" s="93"/>
      <c r="AR797" s="91"/>
      <c r="AS797" s="91"/>
      <c r="AT797" s="91"/>
      <c r="AU797" s="91"/>
      <c r="AV797" s="91"/>
      <c r="AW797" s="90"/>
      <c r="AX797" s="90"/>
      <c r="AY797" s="93"/>
      <c r="AZ797" s="93"/>
      <c r="BA797" s="92"/>
      <c r="BB797" s="92"/>
      <c r="BC797" s="92"/>
      <c r="BD797" s="92"/>
      <c r="BE797" s="92"/>
      <c r="BF797" s="92"/>
      <c r="BG797" s="94"/>
      <c r="BH797" s="94"/>
      <c r="BI797" s="94"/>
    </row>
    <row r="798">
      <c r="G798" s="95"/>
      <c r="H798" s="96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2"/>
      <c r="AJ798" s="92"/>
      <c r="AK798" s="92"/>
      <c r="AL798" s="92"/>
      <c r="AM798" s="92"/>
      <c r="AN798" s="92"/>
      <c r="AO798" s="92"/>
      <c r="AP798" s="93"/>
      <c r="AQ798" s="93"/>
      <c r="AR798" s="91"/>
      <c r="AS798" s="91"/>
      <c r="AT798" s="91"/>
      <c r="AU798" s="91"/>
      <c r="AV798" s="91"/>
      <c r="AW798" s="90"/>
      <c r="AX798" s="90"/>
      <c r="AY798" s="93"/>
      <c r="AZ798" s="93"/>
      <c r="BA798" s="92"/>
      <c r="BB798" s="92"/>
      <c r="BC798" s="92"/>
      <c r="BD798" s="92"/>
      <c r="BE798" s="92"/>
      <c r="BF798" s="92"/>
      <c r="BG798" s="94"/>
      <c r="BH798" s="94"/>
      <c r="BI798" s="94"/>
    </row>
    <row r="799">
      <c r="G799" s="95"/>
      <c r="H799" s="96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2"/>
      <c r="AJ799" s="92"/>
      <c r="AK799" s="92"/>
      <c r="AL799" s="92"/>
      <c r="AM799" s="92"/>
      <c r="AN799" s="92"/>
      <c r="AO799" s="92"/>
      <c r="AP799" s="93"/>
      <c r="AQ799" s="93"/>
      <c r="AR799" s="91"/>
      <c r="AS799" s="91"/>
      <c r="AT799" s="91"/>
      <c r="AU799" s="91"/>
      <c r="AV799" s="91"/>
      <c r="AW799" s="90"/>
      <c r="AX799" s="90"/>
      <c r="AY799" s="93"/>
      <c r="AZ799" s="93"/>
      <c r="BA799" s="92"/>
      <c r="BB799" s="92"/>
      <c r="BC799" s="92"/>
      <c r="BD799" s="92"/>
      <c r="BE799" s="92"/>
      <c r="BF799" s="92"/>
      <c r="BG799" s="94"/>
      <c r="BH799" s="94"/>
      <c r="BI799" s="94"/>
    </row>
    <row r="800">
      <c r="G800" s="95"/>
      <c r="H800" s="96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2"/>
      <c r="AJ800" s="92"/>
      <c r="AK800" s="92"/>
      <c r="AL800" s="92"/>
      <c r="AM800" s="92"/>
      <c r="AN800" s="92"/>
      <c r="AO800" s="92"/>
      <c r="AP800" s="93"/>
      <c r="AQ800" s="93"/>
      <c r="AR800" s="91"/>
      <c r="AS800" s="91"/>
      <c r="AT800" s="91"/>
      <c r="AU800" s="91"/>
      <c r="AV800" s="91"/>
      <c r="AW800" s="90"/>
      <c r="AX800" s="90"/>
      <c r="AY800" s="93"/>
      <c r="AZ800" s="93"/>
      <c r="BA800" s="92"/>
      <c r="BB800" s="92"/>
      <c r="BC800" s="92"/>
      <c r="BD800" s="92"/>
      <c r="BE800" s="92"/>
      <c r="BF800" s="92"/>
      <c r="BG800" s="94"/>
      <c r="BH800" s="94"/>
      <c r="BI800" s="94"/>
    </row>
    <row r="801">
      <c r="G801" s="95"/>
      <c r="H801" s="96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2"/>
      <c r="AJ801" s="92"/>
      <c r="AK801" s="92"/>
      <c r="AL801" s="92"/>
      <c r="AM801" s="92"/>
      <c r="AN801" s="92"/>
      <c r="AO801" s="92"/>
      <c r="AP801" s="93"/>
      <c r="AQ801" s="93"/>
      <c r="AR801" s="91"/>
      <c r="AS801" s="91"/>
      <c r="AT801" s="91"/>
      <c r="AU801" s="91"/>
      <c r="AV801" s="91"/>
      <c r="AW801" s="90"/>
      <c r="AX801" s="90"/>
      <c r="AY801" s="93"/>
      <c r="AZ801" s="93"/>
      <c r="BA801" s="92"/>
      <c r="BB801" s="92"/>
      <c r="BC801" s="92"/>
      <c r="BD801" s="92"/>
      <c r="BE801" s="92"/>
      <c r="BF801" s="92"/>
      <c r="BG801" s="94"/>
      <c r="BH801" s="94"/>
      <c r="BI801" s="94"/>
    </row>
    <row r="802">
      <c r="G802" s="95"/>
      <c r="H802" s="96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2"/>
      <c r="AJ802" s="92"/>
      <c r="AK802" s="92"/>
      <c r="AL802" s="92"/>
      <c r="AM802" s="92"/>
      <c r="AN802" s="92"/>
      <c r="AO802" s="92"/>
      <c r="AP802" s="93"/>
      <c r="AQ802" s="93"/>
      <c r="AR802" s="91"/>
      <c r="AS802" s="91"/>
      <c r="AT802" s="91"/>
      <c r="AU802" s="91"/>
      <c r="AV802" s="91"/>
      <c r="AW802" s="90"/>
      <c r="AX802" s="90"/>
      <c r="AY802" s="93"/>
      <c r="AZ802" s="93"/>
      <c r="BA802" s="92"/>
      <c r="BB802" s="92"/>
      <c r="BC802" s="92"/>
      <c r="BD802" s="92"/>
      <c r="BE802" s="92"/>
      <c r="BF802" s="92"/>
      <c r="BG802" s="94"/>
      <c r="BH802" s="94"/>
      <c r="BI802" s="94"/>
    </row>
    <row r="803">
      <c r="G803" s="95"/>
      <c r="H803" s="96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2"/>
      <c r="AJ803" s="92"/>
      <c r="AK803" s="92"/>
      <c r="AL803" s="92"/>
      <c r="AM803" s="92"/>
      <c r="AN803" s="92"/>
      <c r="AO803" s="92"/>
      <c r="AP803" s="93"/>
      <c r="AQ803" s="93"/>
      <c r="AR803" s="91"/>
      <c r="AS803" s="91"/>
      <c r="AT803" s="91"/>
      <c r="AU803" s="91"/>
      <c r="AV803" s="91"/>
      <c r="AW803" s="90"/>
      <c r="AX803" s="90"/>
      <c r="AY803" s="93"/>
      <c r="AZ803" s="93"/>
      <c r="BA803" s="92"/>
      <c r="BB803" s="92"/>
      <c r="BC803" s="92"/>
      <c r="BD803" s="92"/>
      <c r="BE803" s="92"/>
      <c r="BF803" s="92"/>
      <c r="BG803" s="94"/>
      <c r="BH803" s="94"/>
      <c r="BI803" s="94"/>
    </row>
    <row r="804">
      <c r="G804" s="95"/>
      <c r="H804" s="96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2"/>
      <c r="AJ804" s="92"/>
      <c r="AK804" s="92"/>
      <c r="AL804" s="92"/>
      <c r="AM804" s="92"/>
      <c r="AN804" s="92"/>
      <c r="AO804" s="92"/>
      <c r="AP804" s="93"/>
      <c r="AQ804" s="93"/>
      <c r="AR804" s="91"/>
      <c r="AS804" s="91"/>
      <c r="AT804" s="91"/>
      <c r="AU804" s="91"/>
      <c r="AV804" s="91"/>
      <c r="AW804" s="90"/>
      <c r="AX804" s="90"/>
      <c r="AY804" s="93"/>
      <c r="AZ804" s="93"/>
      <c r="BA804" s="92"/>
      <c r="BB804" s="92"/>
      <c r="BC804" s="92"/>
      <c r="BD804" s="92"/>
      <c r="BE804" s="92"/>
      <c r="BF804" s="92"/>
      <c r="BG804" s="94"/>
      <c r="BH804" s="94"/>
      <c r="BI804" s="94"/>
    </row>
    <row r="805">
      <c r="G805" s="95"/>
      <c r="H805" s="96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2"/>
      <c r="AJ805" s="92"/>
      <c r="AK805" s="92"/>
      <c r="AL805" s="92"/>
      <c r="AM805" s="92"/>
      <c r="AN805" s="92"/>
      <c r="AO805" s="92"/>
      <c r="AP805" s="93"/>
      <c r="AQ805" s="93"/>
      <c r="AR805" s="91"/>
      <c r="AS805" s="91"/>
      <c r="AT805" s="91"/>
      <c r="AU805" s="91"/>
      <c r="AV805" s="91"/>
      <c r="AW805" s="90"/>
      <c r="AX805" s="90"/>
      <c r="AY805" s="93"/>
      <c r="AZ805" s="93"/>
      <c r="BA805" s="92"/>
      <c r="BB805" s="92"/>
      <c r="BC805" s="92"/>
      <c r="BD805" s="92"/>
      <c r="BE805" s="92"/>
      <c r="BF805" s="92"/>
      <c r="BG805" s="94"/>
      <c r="BH805" s="94"/>
      <c r="BI805" s="94"/>
    </row>
    <row r="806">
      <c r="G806" s="95"/>
      <c r="H806" s="96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2"/>
      <c r="AJ806" s="92"/>
      <c r="AK806" s="92"/>
      <c r="AL806" s="92"/>
      <c r="AM806" s="92"/>
      <c r="AN806" s="92"/>
      <c r="AO806" s="92"/>
      <c r="AP806" s="93"/>
      <c r="AQ806" s="93"/>
      <c r="AR806" s="91"/>
      <c r="AS806" s="91"/>
      <c r="AT806" s="91"/>
      <c r="AU806" s="91"/>
      <c r="AV806" s="91"/>
      <c r="AW806" s="90"/>
      <c r="AX806" s="90"/>
      <c r="AY806" s="93"/>
      <c r="AZ806" s="93"/>
      <c r="BA806" s="92"/>
      <c r="BB806" s="92"/>
      <c r="BC806" s="92"/>
      <c r="BD806" s="92"/>
      <c r="BE806" s="92"/>
      <c r="BF806" s="92"/>
      <c r="BG806" s="94"/>
      <c r="BH806" s="94"/>
      <c r="BI806" s="94"/>
    </row>
    <row r="807">
      <c r="G807" s="95"/>
      <c r="H807" s="96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2"/>
      <c r="AJ807" s="92"/>
      <c r="AK807" s="92"/>
      <c r="AL807" s="92"/>
      <c r="AM807" s="92"/>
      <c r="AN807" s="92"/>
      <c r="AO807" s="92"/>
      <c r="AP807" s="93"/>
      <c r="AQ807" s="93"/>
      <c r="AR807" s="91"/>
      <c r="AS807" s="91"/>
      <c r="AT807" s="91"/>
      <c r="AU807" s="91"/>
      <c r="AV807" s="91"/>
      <c r="AW807" s="90"/>
      <c r="AX807" s="90"/>
      <c r="AY807" s="93"/>
      <c r="AZ807" s="93"/>
      <c r="BA807" s="92"/>
      <c r="BB807" s="92"/>
      <c r="BC807" s="92"/>
      <c r="BD807" s="92"/>
      <c r="BE807" s="92"/>
      <c r="BF807" s="92"/>
      <c r="BG807" s="94"/>
      <c r="BH807" s="94"/>
      <c r="BI807" s="94"/>
    </row>
    <row r="808">
      <c r="G808" s="95"/>
      <c r="H808" s="96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2"/>
      <c r="AJ808" s="92"/>
      <c r="AK808" s="92"/>
      <c r="AL808" s="92"/>
      <c r="AM808" s="92"/>
      <c r="AN808" s="92"/>
      <c r="AO808" s="92"/>
      <c r="AP808" s="93"/>
      <c r="AQ808" s="93"/>
      <c r="AR808" s="91"/>
      <c r="AS808" s="91"/>
      <c r="AT808" s="91"/>
      <c r="AU808" s="91"/>
      <c r="AV808" s="91"/>
      <c r="AW808" s="90"/>
      <c r="AX808" s="90"/>
      <c r="AY808" s="93"/>
      <c r="AZ808" s="93"/>
      <c r="BA808" s="92"/>
      <c r="BB808" s="92"/>
      <c r="BC808" s="92"/>
      <c r="BD808" s="92"/>
      <c r="BE808" s="92"/>
      <c r="BF808" s="92"/>
      <c r="BG808" s="94"/>
      <c r="BH808" s="94"/>
      <c r="BI808" s="94"/>
    </row>
    <row r="809">
      <c r="G809" s="95"/>
      <c r="H809" s="96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2"/>
      <c r="AJ809" s="92"/>
      <c r="AK809" s="92"/>
      <c r="AL809" s="92"/>
      <c r="AM809" s="92"/>
      <c r="AN809" s="92"/>
      <c r="AO809" s="92"/>
      <c r="AP809" s="93"/>
      <c r="AQ809" s="93"/>
      <c r="AR809" s="91"/>
      <c r="AS809" s="91"/>
      <c r="AT809" s="91"/>
      <c r="AU809" s="91"/>
      <c r="AV809" s="91"/>
      <c r="AW809" s="90"/>
      <c r="AX809" s="90"/>
      <c r="AY809" s="93"/>
      <c r="AZ809" s="93"/>
      <c r="BA809" s="92"/>
      <c r="BB809" s="92"/>
      <c r="BC809" s="92"/>
      <c r="BD809" s="92"/>
      <c r="BE809" s="92"/>
      <c r="BF809" s="92"/>
      <c r="BG809" s="94"/>
      <c r="BH809" s="94"/>
      <c r="BI809" s="94"/>
    </row>
    <row r="810">
      <c r="G810" s="95"/>
      <c r="H810" s="96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2"/>
      <c r="AJ810" s="92"/>
      <c r="AK810" s="92"/>
      <c r="AL810" s="92"/>
      <c r="AM810" s="92"/>
      <c r="AN810" s="92"/>
      <c r="AO810" s="92"/>
      <c r="AP810" s="93"/>
      <c r="AQ810" s="93"/>
      <c r="AR810" s="91"/>
      <c r="AS810" s="91"/>
      <c r="AT810" s="91"/>
      <c r="AU810" s="91"/>
      <c r="AV810" s="91"/>
      <c r="AW810" s="90"/>
      <c r="AX810" s="90"/>
      <c r="AY810" s="93"/>
      <c r="AZ810" s="93"/>
      <c r="BA810" s="92"/>
      <c r="BB810" s="92"/>
      <c r="BC810" s="92"/>
      <c r="BD810" s="92"/>
      <c r="BE810" s="92"/>
      <c r="BF810" s="92"/>
      <c r="BG810" s="94"/>
      <c r="BH810" s="94"/>
      <c r="BI810" s="94"/>
    </row>
    <row r="811">
      <c r="G811" s="95"/>
      <c r="H811" s="96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2"/>
      <c r="AJ811" s="92"/>
      <c r="AK811" s="92"/>
      <c r="AL811" s="92"/>
      <c r="AM811" s="92"/>
      <c r="AN811" s="92"/>
      <c r="AO811" s="92"/>
      <c r="AP811" s="93"/>
      <c r="AQ811" s="93"/>
      <c r="AR811" s="91"/>
      <c r="AS811" s="91"/>
      <c r="AT811" s="91"/>
      <c r="AU811" s="91"/>
      <c r="AV811" s="91"/>
      <c r="AW811" s="90"/>
      <c r="AX811" s="90"/>
      <c r="AY811" s="93"/>
      <c r="AZ811" s="93"/>
      <c r="BA811" s="92"/>
      <c r="BB811" s="92"/>
      <c r="BC811" s="92"/>
      <c r="BD811" s="92"/>
      <c r="BE811" s="92"/>
      <c r="BF811" s="92"/>
      <c r="BG811" s="94"/>
      <c r="BH811" s="94"/>
      <c r="BI811" s="94"/>
    </row>
    <row r="812">
      <c r="G812" s="95"/>
      <c r="H812" s="96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2"/>
      <c r="AJ812" s="92"/>
      <c r="AK812" s="92"/>
      <c r="AL812" s="92"/>
      <c r="AM812" s="92"/>
      <c r="AN812" s="92"/>
      <c r="AO812" s="92"/>
      <c r="AP812" s="93"/>
      <c r="AQ812" s="93"/>
      <c r="AR812" s="91"/>
      <c r="AS812" s="91"/>
      <c r="AT812" s="91"/>
      <c r="AU812" s="91"/>
      <c r="AV812" s="91"/>
      <c r="AW812" s="90"/>
      <c r="AX812" s="90"/>
      <c r="AY812" s="93"/>
      <c r="AZ812" s="93"/>
      <c r="BA812" s="92"/>
      <c r="BB812" s="92"/>
      <c r="BC812" s="92"/>
      <c r="BD812" s="92"/>
      <c r="BE812" s="92"/>
      <c r="BF812" s="92"/>
      <c r="BG812" s="94"/>
      <c r="BH812" s="94"/>
      <c r="BI812" s="94"/>
    </row>
    <row r="813">
      <c r="G813" s="95"/>
      <c r="H813" s="96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2"/>
      <c r="AJ813" s="92"/>
      <c r="AK813" s="92"/>
      <c r="AL813" s="92"/>
      <c r="AM813" s="92"/>
      <c r="AN813" s="92"/>
      <c r="AO813" s="92"/>
      <c r="AP813" s="93"/>
      <c r="AQ813" s="93"/>
      <c r="AR813" s="91"/>
      <c r="AS813" s="91"/>
      <c r="AT813" s="91"/>
      <c r="AU813" s="91"/>
      <c r="AV813" s="91"/>
      <c r="AW813" s="90"/>
      <c r="AX813" s="90"/>
      <c r="AY813" s="93"/>
      <c r="AZ813" s="93"/>
      <c r="BA813" s="92"/>
      <c r="BB813" s="92"/>
      <c r="BC813" s="92"/>
      <c r="BD813" s="92"/>
      <c r="BE813" s="92"/>
      <c r="BF813" s="92"/>
      <c r="BG813" s="94"/>
      <c r="BH813" s="94"/>
      <c r="BI813" s="94"/>
    </row>
    <row r="814">
      <c r="G814" s="95"/>
      <c r="H814" s="96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2"/>
      <c r="AJ814" s="92"/>
      <c r="AK814" s="92"/>
      <c r="AL814" s="92"/>
      <c r="AM814" s="92"/>
      <c r="AN814" s="92"/>
      <c r="AO814" s="92"/>
      <c r="AP814" s="93"/>
      <c r="AQ814" s="93"/>
      <c r="AR814" s="91"/>
      <c r="AS814" s="91"/>
      <c r="AT814" s="91"/>
      <c r="AU814" s="91"/>
      <c r="AV814" s="91"/>
      <c r="AW814" s="90"/>
      <c r="AX814" s="90"/>
      <c r="AY814" s="93"/>
      <c r="AZ814" s="93"/>
      <c r="BA814" s="92"/>
      <c r="BB814" s="92"/>
      <c r="BC814" s="92"/>
      <c r="BD814" s="92"/>
      <c r="BE814" s="92"/>
      <c r="BF814" s="92"/>
      <c r="BG814" s="94"/>
      <c r="BH814" s="94"/>
      <c r="BI814" s="94"/>
    </row>
    <row r="815">
      <c r="G815" s="95"/>
      <c r="H815" s="96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2"/>
      <c r="AJ815" s="92"/>
      <c r="AK815" s="92"/>
      <c r="AL815" s="92"/>
      <c r="AM815" s="92"/>
      <c r="AN815" s="92"/>
      <c r="AO815" s="92"/>
      <c r="AP815" s="93"/>
      <c r="AQ815" s="93"/>
      <c r="AR815" s="91"/>
      <c r="AS815" s="91"/>
      <c r="AT815" s="91"/>
      <c r="AU815" s="91"/>
      <c r="AV815" s="91"/>
      <c r="AW815" s="90"/>
      <c r="AX815" s="90"/>
      <c r="AY815" s="93"/>
      <c r="AZ815" s="93"/>
      <c r="BA815" s="92"/>
      <c r="BB815" s="92"/>
      <c r="BC815" s="92"/>
      <c r="BD815" s="92"/>
      <c r="BE815" s="92"/>
      <c r="BF815" s="92"/>
      <c r="BG815" s="94"/>
      <c r="BH815" s="94"/>
      <c r="BI815" s="94"/>
    </row>
    <row r="816">
      <c r="G816" s="95"/>
      <c r="H816" s="96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2"/>
      <c r="AJ816" s="92"/>
      <c r="AK816" s="92"/>
      <c r="AL816" s="92"/>
      <c r="AM816" s="92"/>
      <c r="AN816" s="92"/>
      <c r="AO816" s="92"/>
      <c r="AP816" s="93"/>
      <c r="AQ816" s="93"/>
      <c r="AR816" s="91"/>
      <c r="AS816" s="91"/>
      <c r="AT816" s="91"/>
      <c r="AU816" s="91"/>
      <c r="AV816" s="91"/>
      <c r="AW816" s="90"/>
      <c r="AX816" s="90"/>
      <c r="AY816" s="93"/>
      <c r="AZ816" s="93"/>
      <c r="BA816" s="92"/>
      <c r="BB816" s="92"/>
      <c r="BC816" s="92"/>
      <c r="BD816" s="92"/>
      <c r="BE816" s="92"/>
      <c r="BF816" s="92"/>
      <c r="BG816" s="94"/>
      <c r="BH816" s="94"/>
      <c r="BI816" s="94"/>
    </row>
    <row r="817">
      <c r="G817" s="95"/>
      <c r="H817" s="96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2"/>
      <c r="AJ817" s="92"/>
      <c r="AK817" s="92"/>
      <c r="AL817" s="92"/>
      <c r="AM817" s="92"/>
      <c r="AN817" s="92"/>
      <c r="AO817" s="92"/>
      <c r="AP817" s="93"/>
      <c r="AQ817" s="93"/>
      <c r="AR817" s="91"/>
      <c r="AS817" s="91"/>
      <c r="AT817" s="91"/>
      <c r="AU817" s="91"/>
      <c r="AV817" s="91"/>
      <c r="AW817" s="90"/>
      <c r="AX817" s="90"/>
      <c r="AY817" s="93"/>
      <c r="AZ817" s="93"/>
      <c r="BA817" s="92"/>
      <c r="BB817" s="92"/>
      <c r="BC817" s="92"/>
      <c r="BD817" s="92"/>
      <c r="BE817" s="92"/>
      <c r="BF817" s="92"/>
      <c r="BG817" s="94"/>
      <c r="BH817" s="94"/>
      <c r="BI817" s="94"/>
    </row>
    <row r="818">
      <c r="G818" s="95"/>
      <c r="H818" s="96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2"/>
      <c r="AJ818" s="92"/>
      <c r="AK818" s="92"/>
      <c r="AL818" s="92"/>
      <c r="AM818" s="92"/>
      <c r="AN818" s="92"/>
      <c r="AO818" s="92"/>
      <c r="AP818" s="93"/>
      <c r="AQ818" s="93"/>
      <c r="AR818" s="91"/>
      <c r="AS818" s="91"/>
      <c r="AT818" s="91"/>
      <c r="AU818" s="91"/>
      <c r="AV818" s="91"/>
      <c r="AW818" s="90"/>
      <c r="AX818" s="90"/>
      <c r="AY818" s="93"/>
      <c r="AZ818" s="93"/>
      <c r="BA818" s="92"/>
      <c r="BB818" s="92"/>
      <c r="BC818" s="92"/>
      <c r="BD818" s="92"/>
      <c r="BE818" s="92"/>
      <c r="BF818" s="92"/>
      <c r="BG818" s="94"/>
      <c r="BH818" s="94"/>
      <c r="BI818" s="94"/>
    </row>
    <row r="819">
      <c r="G819" s="95"/>
      <c r="H819" s="96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2"/>
      <c r="AJ819" s="92"/>
      <c r="AK819" s="92"/>
      <c r="AL819" s="92"/>
      <c r="AM819" s="92"/>
      <c r="AN819" s="92"/>
      <c r="AO819" s="92"/>
      <c r="AP819" s="93"/>
      <c r="AQ819" s="93"/>
      <c r="AR819" s="91"/>
      <c r="AS819" s="91"/>
      <c r="AT819" s="91"/>
      <c r="AU819" s="91"/>
      <c r="AV819" s="91"/>
      <c r="AW819" s="90"/>
      <c r="AX819" s="90"/>
      <c r="AY819" s="93"/>
      <c r="AZ819" s="93"/>
      <c r="BA819" s="92"/>
      <c r="BB819" s="92"/>
      <c r="BC819" s="92"/>
      <c r="BD819" s="92"/>
      <c r="BE819" s="92"/>
      <c r="BF819" s="92"/>
      <c r="BG819" s="94"/>
      <c r="BH819" s="94"/>
      <c r="BI819" s="94"/>
    </row>
    <row r="820">
      <c r="G820" s="95"/>
      <c r="H820" s="96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2"/>
      <c r="AJ820" s="92"/>
      <c r="AK820" s="92"/>
      <c r="AL820" s="92"/>
      <c r="AM820" s="92"/>
      <c r="AN820" s="92"/>
      <c r="AO820" s="92"/>
      <c r="AP820" s="93"/>
      <c r="AQ820" s="93"/>
      <c r="AR820" s="91"/>
      <c r="AS820" s="91"/>
      <c r="AT820" s="91"/>
      <c r="AU820" s="91"/>
      <c r="AV820" s="91"/>
      <c r="AW820" s="90"/>
      <c r="AX820" s="90"/>
      <c r="AY820" s="93"/>
      <c r="AZ820" s="93"/>
      <c r="BA820" s="92"/>
      <c r="BB820" s="92"/>
      <c r="BC820" s="92"/>
      <c r="BD820" s="92"/>
      <c r="BE820" s="92"/>
      <c r="BF820" s="92"/>
      <c r="BG820" s="94"/>
      <c r="BH820" s="94"/>
      <c r="BI820" s="94"/>
    </row>
    <row r="821">
      <c r="G821" s="95"/>
      <c r="H821" s="96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2"/>
      <c r="AJ821" s="92"/>
      <c r="AK821" s="92"/>
      <c r="AL821" s="92"/>
      <c r="AM821" s="92"/>
      <c r="AN821" s="92"/>
      <c r="AO821" s="92"/>
      <c r="AP821" s="93"/>
      <c r="AQ821" s="93"/>
      <c r="AR821" s="91"/>
      <c r="AS821" s="91"/>
      <c r="AT821" s="91"/>
      <c r="AU821" s="91"/>
      <c r="AV821" s="91"/>
      <c r="AW821" s="90"/>
      <c r="AX821" s="90"/>
      <c r="AY821" s="93"/>
      <c r="AZ821" s="93"/>
      <c r="BA821" s="92"/>
      <c r="BB821" s="92"/>
      <c r="BC821" s="92"/>
      <c r="BD821" s="92"/>
      <c r="BE821" s="92"/>
      <c r="BF821" s="92"/>
      <c r="BG821" s="94"/>
      <c r="BH821" s="94"/>
      <c r="BI821" s="94"/>
    </row>
    <row r="822">
      <c r="G822" s="95"/>
      <c r="H822" s="96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2"/>
      <c r="AJ822" s="92"/>
      <c r="AK822" s="92"/>
      <c r="AL822" s="92"/>
      <c r="AM822" s="92"/>
      <c r="AN822" s="92"/>
      <c r="AO822" s="92"/>
      <c r="AP822" s="93"/>
      <c r="AQ822" s="93"/>
      <c r="AR822" s="91"/>
      <c r="AS822" s="91"/>
      <c r="AT822" s="91"/>
      <c r="AU822" s="91"/>
      <c r="AV822" s="91"/>
      <c r="AW822" s="90"/>
      <c r="AX822" s="90"/>
      <c r="AY822" s="93"/>
      <c r="AZ822" s="93"/>
      <c r="BA822" s="92"/>
      <c r="BB822" s="92"/>
      <c r="BC822" s="92"/>
      <c r="BD822" s="92"/>
      <c r="BE822" s="92"/>
      <c r="BF822" s="92"/>
      <c r="BG822" s="94"/>
      <c r="BH822" s="94"/>
      <c r="BI822" s="94"/>
    </row>
    <row r="823">
      <c r="G823" s="95"/>
      <c r="H823" s="96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2"/>
      <c r="AJ823" s="92"/>
      <c r="AK823" s="92"/>
      <c r="AL823" s="92"/>
      <c r="AM823" s="92"/>
      <c r="AN823" s="92"/>
      <c r="AO823" s="92"/>
      <c r="AP823" s="93"/>
      <c r="AQ823" s="93"/>
      <c r="AR823" s="91"/>
      <c r="AS823" s="91"/>
      <c r="AT823" s="91"/>
      <c r="AU823" s="91"/>
      <c r="AV823" s="91"/>
      <c r="AW823" s="90"/>
      <c r="AX823" s="90"/>
      <c r="AY823" s="93"/>
      <c r="AZ823" s="93"/>
      <c r="BA823" s="92"/>
      <c r="BB823" s="92"/>
      <c r="BC823" s="92"/>
      <c r="BD823" s="92"/>
      <c r="BE823" s="92"/>
      <c r="BF823" s="92"/>
      <c r="BG823" s="94"/>
      <c r="BH823" s="94"/>
      <c r="BI823" s="94"/>
    </row>
    <row r="824">
      <c r="G824" s="95"/>
      <c r="H824" s="96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2"/>
      <c r="AJ824" s="92"/>
      <c r="AK824" s="92"/>
      <c r="AL824" s="92"/>
      <c r="AM824" s="92"/>
      <c r="AN824" s="92"/>
      <c r="AO824" s="92"/>
      <c r="AP824" s="93"/>
      <c r="AQ824" s="93"/>
      <c r="AR824" s="91"/>
      <c r="AS824" s="91"/>
      <c r="AT824" s="91"/>
      <c r="AU824" s="91"/>
      <c r="AV824" s="91"/>
      <c r="AW824" s="90"/>
      <c r="AX824" s="90"/>
      <c r="AY824" s="93"/>
      <c r="AZ824" s="93"/>
      <c r="BA824" s="92"/>
      <c r="BB824" s="92"/>
      <c r="BC824" s="92"/>
      <c r="BD824" s="92"/>
      <c r="BE824" s="92"/>
      <c r="BF824" s="92"/>
      <c r="BG824" s="94"/>
      <c r="BH824" s="94"/>
      <c r="BI824" s="94"/>
    </row>
    <row r="825">
      <c r="G825" s="95"/>
      <c r="H825" s="96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2"/>
      <c r="AJ825" s="92"/>
      <c r="AK825" s="92"/>
      <c r="AL825" s="92"/>
      <c r="AM825" s="92"/>
      <c r="AN825" s="92"/>
      <c r="AO825" s="92"/>
      <c r="AP825" s="93"/>
      <c r="AQ825" s="93"/>
      <c r="AR825" s="91"/>
      <c r="AS825" s="91"/>
      <c r="AT825" s="91"/>
      <c r="AU825" s="91"/>
      <c r="AV825" s="91"/>
      <c r="AW825" s="90"/>
      <c r="AX825" s="90"/>
      <c r="AY825" s="93"/>
      <c r="AZ825" s="93"/>
      <c r="BA825" s="92"/>
      <c r="BB825" s="92"/>
      <c r="BC825" s="92"/>
      <c r="BD825" s="92"/>
      <c r="BE825" s="92"/>
      <c r="BF825" s="92"/>
      <c r="BG825" s="94"/>
      <c r="BH825" s="94"/>
      <c r="BI825" s="94"/>
    </row>
    <row r="826">
      <c r="G826" s="95"/>
      <c r="H826" s="96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2"/>
      <c r="AJ826" s="92"/>
      <c r="AK826" s="92"/>
      <c r="AL826" s="92"/>
      <c r="AM826" s="92"/>
      <c r="AN826" s="92"/>
      <c r="AO826" s="92"/>
      <c r="AP826" s="93"/>
      <c r="AQ826" s="93"/>
      <c r="AR826" s="91"/>
      <c r="AS826" s="91"/>
      <c r="AT826" s="91"/>
      <c r="AU826" s="91"/>
      <c r="AV826" s="91"/>
      <c r="AW826" s="90"/>
      <c r="AX826" s="90"/>
      <c r="AY826" s="93"/>
      <c r="AZ826" s="93"/>
      <c r="BA826" s="92"/>
      <c r="BB826" s="92"/>
      <c r="BC826" s="92"/>
      <c r="BD826" s="92"/>
      <c r="BE826" s="92"/>
      <c r="BF826" s="92"/>
      <c r="BG826" s="94"/>
      <c r="BH826" s="94"/>
      <c r="BI826" s="94"/>
    </row>
    <row r="827">
      <c r="G827" s="95"/>
      <c r="H827" s="96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2"/>
      <c r="AJ827" s="92"/>
      <c r="AK827" s="92"/>
      <c r="AL827" s="92"/>
      <c r="AM827" s="92"/>
      <c r="AN827" s="92"/>
      <c r="AO827" s="92"/>
      <c r="AP827" s="93"/>
      <c r="AQ827" s="93"/>
      <c r="AR827" s="91"/>
      <c r="AS827" s="91"/>
      <c r="AT827" s="91"/>
      <c r="AU827" s="91"/>
      <c r="AV827" s="91"/>
      <c r="AW827" s="90"/>
      <c r="AX827" s="90"/>
      <c r="AY827" s="93"/>
      <c r="AZ827" s="93"/>
      <c r="BA827" s="92"/>
      <c r="BB827" s="92"/>
      <c r="BC827" s="92"/>
      <c r="BD827" s="92"/>
      <c r="BE827" s="92"/>
      <c r="BF827" s="92"/>
      <c r="BG827" s="94"/>
      <c r="BH827" s="94"/>
      <c r="BI827" s="94"/>
    </row>
    <row r="828">
      <c r="G828" s="95"/>
      <c r="H828" s="96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2"/>
      <c r="AJ828" s="92"/>
      <c r="AK828" s="92"/>
      <c r="AL828" s="92"/>
      <c r="AM828" s="92"/>
      <c r="AN828" s="92"/>
      <c r="AO828" s="92"/>
      <c r="AP828" s="93"/>
      <c r="AQ828" s="93"/>
      <c r="AR828" s="91"/>
      <c r="AS828" s="91"/>
      <c r="AT828" s="91"/>
      <c r="AU828" s="91"/>
      <c r="AV828" s="91"/>
      <c r="AW828" s="90"/>
      <c r="AX828" s="90"/>
      <c r="AY828" s="93"/>
      <c r="AZ828" s="93"/>
      <c r="BA828" s="92"/>
      <c r="BB828" s="92"/>
      <c r="BC828" s="92"/>
      <c r="BD828" s="92"/>
      <c r="BE828" s="92"/>
      <c r="BF828" s="92"/>
      <c r="BG828" s="94"/>
      <c r="BH828" s="94"/>
      <c r="BI828" s="94"/>
    </row>
    <row r="829">
      <c r="G829" s="95"/>
      <c r="H829" s="96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2"/>
      <c r="AJ829" s="92"/>
      <c r="AK829" s="92"/>
      <c r="AL829" s="92"/>
      <c r="AM829" s="92"/>
      <c r="AN829" s="92"/>
      <c r="AO829" s="92"/>
      <c r="AP829" s="93"/>
      <c r="AQ829" s="93"/>
      <c r="AR829" s="91"/>
      <c r="AS829" s="91"/>
      <c r="AT829" s="91"/>
      <c r="AU829" s="91"/>
      <c r="AV829" s="91"/>
      <c r="AW829" s="90"/>
      <c r="AX829" s="90"/>
      <c r="AY829" s="93"/>
      <c r="AZ829" s="93"/>
      <c r="BA829" s="92"/>
      <c r="BB829" s="92"/>
      <c r="BC829" s="92"/>
      <c r="BD829" s="92"/>
      <c r="BE829" s="92"/>
      <c r="BF829" s="92"/>
      <c r="BG829" s="94"/>
      <c r="BH829" s="94"/>
      <c r="BI829" s="94"/>
    </row>
    <row r="830">
      <c r="G830" s="95"/>
      <c r="H830" s="96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2"/>
      <c r="AJ830" s="92"/>
      <c r="AK830" s="92"/>
      <c r="AL830" s="92"/>
      <c r="AM830" s="92"/>
      <c r="AN830" s="92"/>
      <c r="AO830" s="92"/>
      <c r="AP830" s="93"/>
      <c r="AQ830" s="93"/>
      <c r="AR830" s="91"/>
      <c r="AS830" s="91"/>
      <c r="AT830" s="91"/>
      <c r="AU830" s="91"/>
      <c r="AV830" s="91"/>
      <c r="AW830" s="90"/>
      <c r="AX830" s="90"/>
      <c r="AY830" s="93"/>
      <c r="AZ830" s="93"/>
      <c r="BA830" s="92"/>
      <c r="BB830" s="92"/>
      <c r="BC830" s="92"/>
      <c r="BD830" s="92"/>
      <c r="BE830" s="92"/>
      <c r="BF830" s="92"/>
      <c r="BG830" s="94"/>
      <c r="BH830" s="94"/>
      <c r="BI830" s="94"/>
    </row>
    <row r="831">
      <c r="G831" s="95"/>
      <c r="H831" s="96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2"/>
      <c r="AJ831" s="92"/>
      <c r="AK831" s="92"/>
      <c r="AL831" s="92"/>
      <c r="AM831" s="92"/>
      <c r="AN831" s="92"/>
      <c r="AO831" s="92"/>
      <c r="AP831" s="93"/>
      <c r="AQ831" s="93"/>
      <c r="AR831" s="91"/>
      <c r="AS831" s="91"/>
      <c r="AT831" s="91"/>
      <c r="AU831" s="91"/>
      <c r="AV831" s="91"/>
      <c r="AW831" s="90"/>
      <c r="AX831" s="90"/>
      <c r="AY831" s="93"/>
      <c r="AZ831" s="93"/>
      <c r="BA831" s="92"/>
      <c r="BB831" s="92"/>
      <c r="BC831" s="92"/>
      <c r="BD831" s="92"/>
      <c r="BE831" s="92"/>
      <c r="BF831" s="92"/>
      <c r="BG831" s="94"/>
      <c r="BH831" s="94"/>
      <c r="BI831" s="94"/>
    </row>
    <row r="832">
      <c r="G832" s="95"/>
      <c r="H832" s="96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2"/>
      <c r="AJ832" s="92"/>
      <c r="AK832" s="92"/>
      <c r="AL832" s="92"/>
      <c r="AM832" s="92"/>
      <c r="AN832" s="92"/>
      <c r="AO832" s="92"/>
      <c r="AP832" s="93"/>
      <c r="AQ832" s="93"/>
      <c r="AR832" s="91"/>
      <c r="AS832" s="91"/>
      <c r="AT832" s="91"/>
      <c r="AU832" s="91"/>
      <c r="AV832" s="91"/>
      <c r="AW832" s="90"/>
      <c r="AX832" s="90"/>
      <c r="AY832" s="93"/>
      <c r="AZ832" s="93"/>
      <c r="BA832" s="92"/>
      <c r="BB832" s="92"/>
      <c r="BC832" s="92"/>
      <c r="BD832" s="92"/>
      <c r="BE832" s="92"/>
      <c r="BF832" s="92"/>
      <c r="BG832" s="94"/>
      <c r="BH832" s="94"/>
      <c r="BI832" s="94"/>
    </row>
    <row r="833">
      <c r="G833" s="95"/>
      <c r="H833" s="96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2"/>
      <c r="AJ833" s="92"/>
      <c r="AK833" s="92"/>
      <c r="AL833" s="92"/>
      <c r="AM833" s="92"/>
      <c r="AN833" s="92"/>
      <c r="AO833" s="92"/>
      <c r="AP833" s="93"/>
      <c r="AQ833" s="93"/>
      <c r="AR833" s="91"/>
      <c r="AS833" s="91"/>
      <c r="AT833" s="91"/>
      <c r="AU833" s="91"/>
      <c r="AV833" s="91"/>
      <c r="AW833" s="90"/>
      <c r="AX833" s="90"/>
      <c r="AY833" s="93"/>
      <c r="AZ833" s="93"/>
      <c r="BA833" s="92"/>
      <c r="BB833" s="92"/>
      <c r="BC833" s="92"/>
      <c r="BD833" s="92"/>
      <c r="BE833" s="92"/>
      <c r="BF833" s="92"/>
      <c r="BG833" s="94"/>
      <c r="BH833" s="94"/>
      <c r="BI833" s="94"/>
    </row>
    <row r="834">
      <c r="G834" s="95"/>
      <c r="H834" s="96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2"/>
      <c r="AJ834" s="92"/>
      <c r="AK834" s="92"/>
      <c r="AL834" s="92"/>
      <c r="AM834" s="92"/>
      <c r="AN834" s="92"/>
      <c r="AO834" s="92"/>
      <c r="AP834" s="93"/>
      <c r="AQ834" s="93"/>
      <c r="AR834" s="91"/>
      <c r="AS834" s="91"/>
      <c r="AT834" s="91"/>
      <c r="AU834" s="91"/>
      <c r="AV834" s="91"/>
      <c r="AW834" s="90"/>
      <c r="AX834" s="90"/>
      <c r="AY834" s="93"/>
      <c r="AZ834" s="93"/>
      <c r="BA834" s="92"/>
      <c r="BB834" s="92"/>
      <c r="BC834" s="92"/>
      <c r="BD834" s="92"/>
      <c r="BE834" s="92"/>
      <c r="BF834" s="92"/>
      <c r="BG834" s="94"/>
      <c r="BH834" s="94"/>
      <c r="BI834" s="94"/>
    </row>
    <row r="835">
      <c r="G835" s="95"/>
      <c r="H835" s="96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2"/>
      <c r="AJ835" s="92"/>
      <c r="AK835" s="92"/>
      <c r="AL835" s="92"/>
      <c r="AM835" s="92"/>
      <c r="AN835" s="92"/>
      <c r="AO835" s="92"/>
      <c r="AP835" s="93"/>
      <c r="AQ835" s="93"/>
      <c r="AR835" s="91"/>
      <c r="AS835" s="91"/>
      <c r="AT835" s="91"/>
      <c r="AU835" s="91"/>
      <c r="AV835" s="91"/>
      <c r="AW835" s="90"/>
      <c r="AX835" s="90"/>
      <c r="AY835" s="93"/>
      <c r="AZ835" s="93"/>
      <c r="BA835" s="92"/>
      <c r="BB835" s="92"/>
      <c r="BC835" s="92"/>
      <c r="BD835" s="92"/>
      <c r="BE835" s="92"/>
      <c r="BF835" s="92"/>
      <c r="BG835" s="94"/>
      <c r="BH835" s="94"/>
      <c r="BI835" s="94"/>
    </row>
    <row r="836">
      <c r="G836" s="95"/>
      <c r="H836" s="96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2"/>
      <c r="AJ836" s="92"/>
      <c r="AK836" s="92"/>
      <c r="AL836" s="92"/>
      <c r="AM836" s="92"/>
      <c r="AN836" s="92"/>
      <c r="AO836" s="92"/>
      <c r="AP836" s="93"/>
      <c r="AQ836" s="93"/>
      <c r="AR836" s="91"/>
      <c r="AS836" s="91"/>
      <c r="AT836" s="91"/>
      <c r="AU836" s="91"/>
      <c r="AV836" s="91"/>
      <c r="AW836" s="90"/>
      <c r="AX836" s="90"/>
      <c r="AY836" s="93"/>
      <c r="AZ836" s="93"/>
      <c r="BA836" s="92"/>
      <c r="BB836" s="92"/>
      <c r="BC836" s="92"/>
      <c r="BD836" s="92"/>
      <c r="BE836" s="92"/>
      <c r="BF836" s="92"/>
      <c r="BG836" s="94"/>
      <c r="BH836" s="94"/>
      <c r="BI836" s="94"/>
    </row>
    <row r="837">
      <c r="G837" s="95"/>
      <c r="H837" s="96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2"/>
      <c r="AJ837" s="92"/>
      <c r="AK837" s="92"/>
      <c r="AL837" s="92"/>
      <c r="AM837" s="92"/>
      <c r="AN837" s="92"/>
      <c r="AO837" s="92"/>
      <c r="AP837" s="93"/>
      <c r="AQ837" s="93"/>
      <c r="AR837" s="91"/>
      <c r="AS837" s="91"/>
      <c r="AT837" s="91"/>
      <c r="AU837" s="91"/>
      <c r="AV837" s="91"/>
      <c r="AW837" s="90"/>
      <c r="AX837" s="90"/>
      <c r="AY837" s="93"/>
      <c r="AZ837" s="93"/>
      <c r="BA837" s="92"/>
      <c r="BB837" s="92"/>
      <c r="BC837" s="92"/>
      <c r="BD837" s="92"/>
      <c r="BE837" s="92"/>
      <c r="BF837" s="92"/>
      <c r="BG837" s="94"/>
      <c r="BH837" s="94"/>
      <c r="BI837" s="94"/>
    </row>
    <row r="838">
      <c r="G838" s="95"/>
      <c r="H838" s="96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2"/>
      <c r="AJ838" s="92"/>
      <c r="AK838" s="92"/>
      <c r="AL838" s="92"/>
      <c r="AM838" s="92"/>
      <c r="AN838" s="92"/>
      <c r="AO838" s="92"/>
      <c r="AP838" s="93"/>
      <c r="AQ838" s="93"/>
      <c r="AR838" s="91"/>
      <c r="AS838" s="91"/>
      <c r="AT838" s="91"/>
      <c r="AU838" s="91"/>
      <c r="AV838" s="91"/>
      <c r="AW838" s="90"/>
      <c r="AX838" s="90"/>
      <c r="AY838" s="93"/>
      <c r="AZ838" s="93"/>
      <c r="BA838" s="92"/>
      <c r="BB838" s="92"/>
      <c r="BC838" s="92"/>
      <c r="BD838" s="92"/>
      <c r="BE838" s="92"/>
      <c r="BF838" s="92"/>
      <c r="BG838" s="94"/>
      <c r="BH838" s="94"/>
      <c r="BI838" s="94"/>
    </row>
    <row r="839">
      <c r="G839" s="95"/>
      <c r="H839" s="96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2"/>
      <c r="AJ839" s="92"/>
      <c r="AK839" s="92"/>
      <c r="AL839" s="92"/>
      <c r="AM839" s="92"/>
      <c r="AN839" s="92"/>
      <c r="AO839" s="92"/>
      <c r="AP839" s="93"/>
      <c r="AQ839" s="93"/>
      <c r="AR839" s="91"/>
      <c r="AS839" s="91"/>
      <c r="AT839" s="91"/>
      <c r="AU839" s="91"/>
      <c r="AV839" s="91"/>
      <c r="AW839" s="90"/>
      <c r="AX839" s="90"/>
      <c r="AY839" s="93"/>
      <c r="AZ839" s="93"/>
      <c r="BA839" s="92"/>
      <c r="BB839" s="92"/>
      <c r="BC839" s="92"/>
      <c r="BD839" s="92"/>
      <c r="BE839" s="92"/>
      <c r="BF839" s="92"/>
      <c r="BG839" s="94"/>
      <c r="BH839" s="94"/>
      <c r="BI839" s="94"/>
    </row>
    <row r="840">
      <c r="G840" s="95"/>
      <c r="H840" s="96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2"/>
      <c r="AJ840" s="92"/>
      <c r="AK840" s="92"/>
      <c r="AL840" s="92"/>
      <c r="AM840" s="92"/>
      <c r="AN840" s="92"/>
      <c r="AO840" s="92"/>
      <c r="AP840" s="93"/>
      <c r="AQ840" s="93"/>
      <c r="AR840" s="91"/>
      <c r="AS840" s="91"/>
      <c r="AT840" s="91"/>
      <c r="AU840" s="91"/>
      <c r="AV840" s="91"/>
      <c r="AW840" s="90"/>
      <c r="AX840" s="90"/>
      <c r="AY840" s="93"/>
      <c r="AZ840" s="93"/>
      <c r="BA840" s="92"/>
      <c r="BB840" s="92"/>
      <c r="BC840" s="92"/>
      <c r="BD840" s="92"/>
      <c r="BE840" s="92"/>
      <c r="BF840" s="92"/>
      <c r="BG840" s="94"/>
      <c r="BH840" s="94"/>
      <c r="BI840" s="94"/>
    </row>
    <row r="841">
      <c r="G841" s="95"/>
      <c r="H841" s="96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2"/>
      <c r="AJ841" s="92"/>
      <c r="AK841" s="92"/>
      <c r="AL841" s="92"/>
      <c r="AM841" s="92"/>
      <c r="AN841" s="92"/>
      <c r="AO841" s="92"/>
      <c r="AP841" s="93"/>
      <c r="AQ841" s="93"/>
      <c r="AR841" s="91"/>
      <c r="AS841" s="91"/>
      <c r="AT841" s="91"/>
      <c r="AU841" s="91"/>
      <c r="AV841" s="91"/>
      <c r="AW841" s="90"/>
      <c r="AX841" s="90"/>
      <c r="AY841" s="93"/>
      <c r="AZ841" s="93"/>
      <c r="BA841" s="92"/>
      <c r="BB841" s="92"/>
      <c r="BC841" s="92"/>
      <c r="BD841" s="92"/>
      <c r="BE841" s="92"/>
      <c r="BF841" s="92"/>
      <c r="BG841" s="94"/>
      <c r="BH841" s="94"/>
      <c r="BI841" s="94"/>
    </row>
    <row r="842">
      <c r="G842" s="95"/>
      <c r="H842" s="96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2"/>
      <c r="AJ842" s="92"/>
      <c r="AK842" s="92"/>
      <c r="AL842" s="92"/>
      <c r="AM842" s="92"/>
      <c r="AN842" s="92"/>
      <c r="AO842" s="92"/>
      <c r="AP842" s="93"/>
      <c r="AQ842" s="93"/>
      <c r="AR842" s="91"/>
      <c r="AS842" s="91"/>
      <c r="AT842" s="91"/>
      <c r="AU842" s="91"/>
      <c r="AV842" s="91"/>
      <c r="AW842" s="90"/>
      <c r="AX842" s="90"/>
      <c r="AY842" s="93"/>
      <c r="AZ842" s="93"/>
      <c r="BA842" s="92"/>
      <c r="BB842" s="92"/>
      <c r="BC842" s="92"/>
      <c r="BD842" s="92"/>
      <c r="BE842" s="92"/>
      <c r="BF842" s="92"/>
      <c r="BG842" s="94"/>
      <c r="BH842" s="94"/>
      <c r="BI842" s="94"/>
    </row>
    <row r="843">
      <c r="G843" s="95"/>
      <c r="H843" s="96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2"/>
      <c r="AJ843" s="92"/>
      <c r="AK843" s="92"/>
      <c r="AL843" s="92"/>
      <c r="AM843" s="92"/>
      <c r="AN843" s="92"/>
      <c r="AO843" s="92"/>
      <c r="AP843" s="93"/>
      <c r="AQ843" s="93"/>
      <c r="AR843" s="91"/>
      <c r="AS843" s="91"/>
      <c r="AT843" s="91"/>
      <c r="AU843" s="91"/>
      <c r="AV843" s="91"/>
      <c r="AW843" s="90"/>
      <c r="AX843" s="90"/>
      <c r="AY843" s="93"/>
      <c r="AZ843" s="93"/>
      <c r="BA843" s="92"/>
      <c r="BB843" s="92"/>
      <c r="BC843" s="92"/>
      <c r="BD843" s="92"/>
      <c r="BE843" s="92"/>
      <c r="BF843" s="92"/>
      <c r="BG843" s="94"/>
      <c r="BH843" s="94"/>
      <c r="BI843" s="94"/>
    </row>
    <row r="844">
      <c r="G844" s="95"/>
      <c r="H844" s="96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2"/>
      <c r="AJ844" s="92"/>
      <c r="AK844" s="92"/>
      <c r="AL844" s="92"/>
      <c r="AM844" s="92"/>
      <c r="AN844" s="92"/>
      <c r="AO844" s="92"/>
      <c r="AP844" s="93"/>
      <c r="AQ844" s="93"/>
      <c r="AR844" s="91"/>
      <c r="AS844" s="91"/>
      <c r="AT844" s="91"/>
      <c r="AU844" s="91"/>
      <c r="AV844" s="91"/>
      <c r="AW844" s="90"/>
      <c r="AX844" s="90"/>
      <c r="AY844" s="93"/>
      <c r="AZ844" s="93"/>
      <c r="BA844" s="92"/>
      <c r="BB844" s="92"/>
      <c r="BC844" s="92"/>
      <c r="BD844" s="92"/>
      <c r="BE844" s="92"/>
      <c r="BF844" s="92"/>
      <c r="BG844" s="94"/>
      <c r="BH844" s="94"/>
      <c r="BI844" s="94"/>
    </row>
    <row r="845">
      <c r="G845" s="95"/>
      <c r="H845" s="96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2"/>
      <c r="AJ845" s="92"/>
      <c r="AK845" s="92"/>
      <c r="AL845" s="92"/>
      <c r="AM845" s="92"/>
      <c r="AN845" s="92"/>
      <c r="AO845" s="92"/>
      <c r="AP845" s="93"/>
      <c r="AQ845" s="93"/>
      <c r="AR845" s="91"/>
      <c r="AS845" s="91"/>
      <c r="AT845" s="91"/>
      <c r="AU845" s="91"/>
      <c r="AV845" s="91"/>
      <c r="AW845" s="90"/>
      <c r="AX845" s="90"/>
      <c r="AY845" s="93"/>
      <c r="AZ845" s="93"/>
      <c r="BA845" s="92"/>
      <c r="BB845" s="92"/>
      <c r="BC845" s="92"/>
      <c r="BD845" s="92"/>
      <c r="BE845" s="92"/>
      <c r="BF845" s="92"/>
      <c r="BG845" s="94"/>
      <c r="BH845" s="94"/>
      <c r="BI845" s="94"/>
    </row>
    <row r="846">
      <c r="G846" s="95"/>
      <c r="H846" s="96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2"/>
      <c r="AJ846" s="92"/>
      <c r="AK846" s="92"/>
      <c r="AL846" s="92"/>
      <c r="AM846" s="92"/>
      <c r="AN846" s="92"/>
      <c r="AO846" s="92"/>
      <c r="AP846" s="93"/>
      <c r="AQ846" s="93"/>
      <c r="AR846" s="91"/>
      <c r="AS846" s="91"/>
      <c r="AT846" s="91"/>
      <c r="AU846" s="91"/>
      <c r="AV846" s="91"/>
      <c r="AW846" s="90"/>
      <c r="AX846" s="90"/>
      <c r="AY846" s="93"/>
      <c r="AZ846" s="93"/>
      <c r="BA846" s="92"/>
      <c r="BB846" s="92"/>
      <c r="BC846" s="92"/>
      <c r="BD846" s="92"/>
      <c r="BE846" s="92"/>
      <c r="BF846" s="92"/>
      <c r="BG846" s="94"/>
      <c r="BH846" s="94"/>
      <c r="BI846" s="94"/>
    </row>
    <row r="847">
      <c r="G847" s="95"/>
      <c r="H847" s="96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2"/>
      <c r="AJ847" s="92"/>
      <c r="AK847" s="92"/>
      <c r="AL847" s="92"/>
      <c r="AM847" s="92"/>
      <c r="AN847" s="92"/>
      <c r="AO847" s="92"/>
      <c r="AP847" s="93"/>
      <c r="AQ847" s="93"/>
      <c r="AR847" s="91"/>
      <c r="AS847" s="91"/>
      <c r="AT847" s="91"/>
      <c r="AU847" s="91"/>
      <c r="AV847" s="91"/>
      <c r="AW847" s="90"/>
      <c r="AX847" s="90"/>
      <c r="AY847" s="93"/>
      <c r="AZ847" s="93"/>
      <c r="BA847" s="92"/>
      <c r="BB847" s="92"/>
      <c r="BC847" s="92"/>
      <c r="BD847" s="92"/>
      <c r="BE847" s="92"/>
      <c r="BF847" s="92"/>
      <c r="BG847" s="94"/>
      <c r="BH847" s="94"/>
      <c r="BI847" s="94"/>
    </row>
    <row r="848">
      <c r="G848" s="95"/>
      <c r="H848" s="96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2"/>
      <c r="AJ848" s="92"/>
      <c r="AK848" s="92"/>
      <c r="AL848" s="92"/>
      <c r="AM848" s="92"/>
      <c r="AN848" s="92"/>
      <c r="AO848" s="92"/>
      <c r="AP848" s="93"/>
      <c r="AQ848" s="93"/>
      <c r="AR848" s="91"/>
      <c r="AS848" s="91"/>
      <c r="AT848" s="91"/>
      <c r="AU848" s="91"/>
      <c r="AV848" s="91"/>
      <c r="AW848" s="90"/>
      <c r="AX848" s="90"/>
      <c r="AY848" s="93"/>
      <c r="AZ848" s="93"/>
      <c r="BA848" s="92"/>
      <c r="BB848" s="92"/>
      <c r="BC848" s="92"/>
      <c r="BD848" s="92"/>
      <c r="BE848" s="92"/>
      <c r="BF848" s="92"/>
      <c r="BG848" s="94"/>
      <c r="BH848" s="94"/>
      <c r="BI848" s="94"/>
    </row>
    <row r="849">
      <c r="G849" s="95"/>
      <c r="H849" s="96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2"/>
      <c r="AJ849" s="92"/>
      <c r="AK849" s="92"/>
      <c r="AL849" s="92"/>
      <c r="AM849" s="92"/>
      <c r="AN849" s="92"/>
      <c r="AO849" s="92"/>
      <c r="AP849" s="93"/>
      <c r="AQ849" s="93"/>
      <c r="AR849" s="91"/>
      <c r="AS849" s="91"/>
      <c r="AT849" s="91"/>
      <c r="AU849" s="91"/>
      <c r="AV849" s="91"/>
      <c r="AW849" s="90"/>
      <c r="AX849" s="90"/>
      <c r="AY849" s="93"/>
      <c r="AZ849" s="93"/>
      <c r="BA849" s="92"/>
      <c r="BB849" s="92"/>
      <c r="BC849" s="92"/>
      <c r="BD849" s="92"/>
      <c r="BE849" s="92"/>
      <c r="BF849" s="92"/>
      <c r="BG849" s="94"/>
      <c r="BH849" s="94"/>
      <c r="BI849" s="94"/>
    </row>
    <row r="850">
      <c r="G850" s="95"/>
      <c r="H850" s="96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2"/>
      <c r="AJ850" s="92"/>
      <c r="AK850" s="92"/>
      <c r="AL850" s="92"/>
      <c r="AM850" s="92"/>
      <c r="AN850" s="92"/>
      <c r="AO850" s="92"/>
      <c r="AP850" s="93"/>
      <c r="AQ850" s="93"/>
      <c r="AR850" s="91"/>
      <c r="AS850" s="91"/>
      <c r="AT850" s="91"/>
      <c r="AU850" s="91"/>
      <c r="AV850" s="91"/>
      <c r="AW850" s="90"/>
      <c r="AX850" s="90"/>
      <c r="AY850" s="93"/>
      <c r="AZ850" s="93"/>
      <c r="BA850" s="92"/>
      <c r="BB850" s="92"/>
      <c r="BC850" s="92"/>
      <c r="BD850" s="92"/>
      <c r="BE850" s="92"/>
      <c r="BF850" s="92"/>
      <c r="BG850" s="94"/>
      <c r="BH850" s="94"/>
      <c r="BI850" s="94"/>
    </row>
    <row r="851">
      <c r="G851" s="95"/>
      <c r="H851" s="96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2"/>
      <c r="AJ851" s="92"/>
      <c r="AK851" s="92"/>
      <c r="AL851" s="92"/>
      <c r="AM851" s="92"/>
      <c r="AN851" s="92"/>
      <c r="AO851" s="92"/>
      <c r="AP851" s="93"/>
      <c r="AQ851" s="93"/>
      <c r="AR851" s="91"/>
      <c r="AS851" s="91"/>
      <c r="AT851" s="91"/>
      <c r="AU851" s="91"/>
      <c r="AV851" s="91"/>
      <c r="AW851" s="90"/>
      <c r="AX851" s="90"/>
      <c r="AY851" s="93"/>
      <c r="AZ851" s="93"/>
      <c r="BA851" s="92"/>
      <c r="BB851" s="92"/>
      <c r="BC851" s="92"/>
      <c r="BD851" s="92"/>
      <c r="BE851" s="92"/>
      <c r="BF851" s="92"/>
      <c r="BG851" s="94"/>
      <c r="BH851" s="94"/>
      <c r="BI851" s="94"/>
    </row>
    <row r="852">
      <c r="G852" s="95"/>
      <c r="H852" s="96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2"/>
      <c r="AJ852" s="92"/>
      <c r="AK852" s="92"/>
      <c r="AL852" s="92"/>
      <c r="AM852" s="92"/>
      <c r="AN852" s="92"/>
      <c r="AO852" s="92"/>
      <c r="AP852" s="93"/>
      <c r="AQ852" s="93"/>
      <c r="AR852" s="91"/>
      <c r="AS852" s="91"/>
      <c r="AT852" s="91"/>
      <c r="AU852" s="91"/>
      <c r="AV852" s="91"/>
      <c r="AW852" s="90"/>
      <c r="AX852" s="90"/>
      <c r="AY852" s="93"/>
      <c r="AZ852" s="93"/>
      <c r="BA852" s="92"/>
      <c r="BB852" s="92"/>
      <c r="BC852" s="92"/>
      <c r="BD852" s="92"/>
      <c r="BE852" s="92"/>
      <c r="BF852" s="92"/>
      <c r="BG852" s="94"/>
      <c r="BH852" s="94"/>
      <c r="BI852" s="94"/>
    </row>
    <row r="853">
      <c r="G853" s="95"/>
      <c r="H853" s="96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2"/>
      <c r="AJ853" s="92"/>
      <c r="AK853" s="92"/>
      <c r="AL853" s="92"/>
      <c r="AM853" s="92"/>
      <c r="AN853" s="92"/>
      <c r="AO853" s="92"/>
      <c r="AP853" s="93"/>
      <c r="AQ853" s="93"/>
      <c r="AR853" s="91"/>
      <c r="AS853" s="91"/>
      <c r="AT853" s="91"/>
      <c r="AU853" s="91"/>
      <c r="AV853" s="91"/>
      <c r="AW853" s="90"/>
      <c r="AX853" s="90"/>
      <c r="AY853" s="93"/>
      <c r="AZ853" s="93"/>
      <c r="BA853" s="92"/>
      <c r="BB853" s="92"/>
      <c r="BC853" s="92"/>
      <c r="BD853" s="92"/>
      <c r="BE853" s="92"/>
      <c r="BF853" s="92"/>
      <c r="BG853" s="94"/>
      <c r="BH853" s="94"/>
      <c r="BI853" s="94"/>
    </row>
    <row r="854">
      <c r="G854" s="95"/>
      <c r="H854" s="96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2"/>
      <c r="AJ854" s="92"/>
      <c r="AK854" s="92"/>
      <c r="AL854" s="92"/>
      <c r="AM854" s="92"/>
      <c r="AN854" s="92"/>
      <c r="AO854" s="92"/>
      <c r="AP854" s="93"/>
      <c r="AQ854" s="93"/>
      <c r="AR854" s="91"/>
      <c r="AS854" s="91"/>
      <c r="AT854" s="91"/>
      <c r="AU854" s="91"/>
      <c r="AV854" s="91"/>
      <c r="AW854" s="90"/>
      <c r="AX854" s="90"/>
      <c r="AY854" s="93"/>
      <c r="AZ854" s="93"/>
      <c r="BA854" s="92"/>
      <c r="BB854" s="92"/>
      <c r="BC854" s="92"/>
      <c r="BD854" s="92"/>
      <c r="BE854" s="92"/>
      <c r="BF854" s="92"/>
      <c r="BG854" s="94"/>
      <c r="BH854" s="94"/>
      <c r="BI854" s="94"/>
    </row>
    <row r="855">
      <c r="G855" s="95"/>
      <c r="H855" s="96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2"/>
      <c r="AJ855" s="92"/>
      <c r="AK855" s="92"/>
      <c r="AL855" s="92"/>
      <c r="AM855" s="92"/>
      <c r="AN855" s="92"/>
      <c r="AO855" s="92"/>
      <c r="AP855" s="93"/>
      <c r="AQ855" s="93"/>
      <c r="AR855" s="91"/>
      <c r="AS855" s="91"/>
      <c r="AT855" s="91"/>
      <c r="AU855" s="91"/>
      <c r="AV855" s="91"/>
      <c r="AW855" s="90"/>
      <c r="AX855" s="90"/>
      <c r="AY855" s="93"/>
      <c r="AZ855" s="93"/>
      <c r="BA855" s="92"/>
      <c r="BB855" s="92"/>
      <c r="BC855" s="92"/>
      <c r="BD855" s="92"/>
      <c r="BE855" s="92"/>
      <c r="BF855" s="92"/>
      <c r="BG855" s="94"/>
      <c r="BH855" s="94"/>
      <c r="BI855" s="94"/>
    </row>
    <row r="856">
      <c r="G856" s="95"/>
      <c r="H856" s="96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2"/>
      <c r="AJ856" s="92"/>
      <c r="AK856" s="92"/>
      <c r="AL856" s="92"/>
      <c r="AM856" s="92"/>
      <c r="AN856" s="92"/>
      <c r="AO856" s="92"/>
      <c r="AP856" s="93"/>
      <c r="AQ856" s="93"/>
      <c r="AR856" s="91"/>
      <c r="AS856" s="91"/>
      <c r="AT856" s="91"/>
      <c r="AU856" s="91"/>
      <c r="AV856" s="91"/>
      <c r="AW856" s="90"/>
      <c r="AX856" s="90"/>
      <c r="AY856" s="93"/>
      <c r="AZ856" s="93"/>
      <c r="BA856" s="92"/>
      <c r="BB856" s="92"/>
      <c r="BC856" s="92"/>
      <c r="BD856" s="92"/>
      <c r="BE856" s="92"/>
      <c r="BF856" s="92"/>
      <c r="BG856" s="94"/>
      <c r="BH856" s="94"/>
      <c r="BI856" s="94"/>
    </row>
    <row r="857">
      <c r="G857" s="95"/>
      <c r="H857" s="96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2"/>
      <c r="AJ857" s="92"/>
      <c r="AK857" s="92"/>
      <c r="AL857" s="92"/>
      <c r="AM857" s="92"/>
      <c r="AN857" s="92"/>
      <c r="AO857" s="92"/>
      <c r="AP857" s="93"/>
      <c r="AQ857" s="93"/>
      <c r="AR857" s="91"/>
      <c r="AS857" s="91"/>
      <c r="AT857" s="91"/>
      <c r="AU857" s="91"/>
      <c r="AV857" s="91"/>
      <c r="AW857" s="90"/>
      <c r="AX857" s="90"/>
      <c r="AY857" s="93"/>
      <c r="AZ857" s="93"/>
      <c r="BA857" s="92"/>
      <c r="BB857" s="92"/>
      <c r="BC857" s="92"/>
      <c r="BD857" s="92"/>
      <c r="BE857" s="92"/>
      <c r="BF857" s="92"/>
      <c r="BG857" s="94"/>
      <c r="BH857" s="94"/>
      <c r="BI857" s="94"/>
    </row>
    <row r="858">
      <c r="G858" s="95"/>
      <c r="H858" s="96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2"/>
      <c r="AJ858" s="92"/>
      <c r="AK858" s="92"/>
      <c r="AL858" s="92"/>
      <c r="AM858" s="92"/>
      <c r="AN858" s="92"/>
      <c r="AO858" s="92"/>
      <c r="AP858" s="93"/>
      <c r="AQ858" s="93"/>
      <c r="AR858" s="91"/>
      <c r="AS858" s="91"/>
      <c r="AT858" s="91"/>
      <c r="AU858" s="91"/>
      <c r="AV858" s="91"/>
      <c r="AW858" s="90"/>
      <c r="AX858" s="90"/>
      <c r="AY858" s="93"/>
      <c r="AZ858" s="93"/>
      <c r="BA858" s="92"/>
      <c r="BB858" s="92"/>
      <c r="BC858" s="92"/>
      <c r="BD858" s="92"/>
      <c r="BE858" s="92"/>
      <c r="BF858" s="92"/>
      <c r="BG858" s="94"/>
      <c r="BH858" s="94"/>
      <c r="BI858" s="94"/>
    </row>
    <row r="859">
      <c r="G859" s="95"/>
      <c r="H859" s="96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2"/>
      <c r="AJ859" s="92"/>
      <c r="AK859" s="92"/>
      <c r="AL859" s="92"/>
      <c r="AM859" s="92"/>
      <c r="AN859" s="92"/>
      <c r="AO859" s="92"/>
      <c r="AP859" s="93"/>
      <c r="AQ859" s="93"/>
      <c r="AR859" s="91"/>
      <c r="AS859" s="91"/>
      <c r="AT859" s="91"/>
      <c r="AU859" s="91"/>
      <c r="AV859" s="91"/>
      <c r="AW859" s="90"/>
      <c r="AX859" s="90"/>
      <c r="AY859" s="93"/>
      <c r="AZ859" s="93"/>
      <c r="BA859" s="92"/>
      <c r="BB859" s="92"/>
      <c r="BC859" s="92"/>
      <c r="BD859" s="92"/>
      <c r="BE859" s="92"/>
      <c r="BF859" s="92"/>
      <c r="BG859" s="94"/>
      <c r="BH859" s="94"/>
      <c r="BI859" s="94"/>
    </row>
    <row r="860">
      <c r="G860" s="95"/>
      <c r="H860" s="96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2"/>
      <c r="AJ860" s="92"/>
      <c r="AK860" s="92"/>
      <c r="AL860" s="92"/>
      <c r="AM860" s="92"/>
      <c r="AN860" s="92"/>
      <c r="AO860" s="92"/>
      <c r="AP860" s="93"/>
      <c r="AQ860" s="93"/>
      <c r="AR860" s="91"/>
      <c r="AS860" s="91"/>
      <c r="AT860" s="91"/>
      <c r="AU860" s="91"/>
      <c r="AV860" s="91"/>
      <c r="AW860" s="90"/>
      <c r="AX860" s="90"/>
      <c r="AY860" s="93"/>
      <c r="AZ860" s="93"/>
      <c r="BA860" s="92"/>
      <c r="BB860" s="92"/>
      <c r="BC860" s="92"/>
      <c r="BD860" s="92"/>
      <c r="BE860" s="92"/>
      <c r="BF860" s="92"/>
      <c r="BG860" s="94"/>
      <c r="BH860" s="94"/>
      <c r="BI860" s="94"/>
    </row>
    <row r="861">
      <c r="G861" s="95"/>
      <c r="H861" s="96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2"/>
      <c r="AJ861" s="92"/>
      <c r="AK861" s="92"/>
      <c r="AL861" s="92"/>
      <c r="AM861" s="92"/>
      <c r="AN861" s="92"/>
      <c r="AO861" s="92"/>
      <c r="AP861" s="93"/>
      <c r="AQ861" s="93"/>
      <c r="AR861" s="91"/>
      <c r="AS861" s="91"/>
      <c r="AT861" s="91"/>
      <c r="AU861" s="91"/>
      <c r="AV861" s="91"/>
      <c r="AW861" s="90"/>
      <c r="AX861" s="90"/>
      <c r="AY861" s="93"/>
      <c r="AZ861" s="93"/>
      <c r="BA861" s="92"/>
      <c r="BB861" s="92"/>
      <c r="BC861" s="92"/>
      <c r="BD861" s="92"/>
      <c r="BE861" s="92"/>
      <c r="BF861" s="92"/>
      <c r="BG861" s="94"/>
      <c r="BH861" s="94"/>
      <c r="BI861" s="94"/>
    </row>
    <row r="862">
      <c r="G862" s="95"/>
      <c r="H862" s="96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2"/>
      <c r="AJ862" s="92"/>
      <c r="AK862" s="92"/>
      <c r="AL862" s="92"/>
      <c r="AM862" s="92"/>
      <c r="AN862" s="92"/>
      <c r="AO862" s="92"/>
      <c r="AP862" s="93"/>
      <c r="AQ862" s="93"/>
      <c r="AR862" s="91"/>
      <c r="AS862" s="91"/>
      <c r="AT862" s="91"/>
      <c r="AU862" s="91"/>
      <c r="AV862" s="91"/>
      <c r="AW862" s="90"/>
      <c r="AX862" s="90"/>
      <c r="AY862" s="93"/>
      <c r="AZ862" s="93"/>
      <c r="BA862" s="92"/>
      <c r="BB862" s="92"/>
      <c r="BC862" s="92"/>
      <c r="BD862" s="92"/>
      <c r="BE862" s="92"/>
      <c r="BF862" s="92"/>
      <c r="BG862" s="94"/>
      <c r="BH862" s="94"/>
      <c r="BI862" s="94"/>
    </row>
    <row r="863">
      <c r="G863" s="95"/>
      <c r="H863" s="96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2"/>
      <c r="AJ863" s="92"/>
      <c r="AK863" s="92"/>
      <c r="AL863" s="92"/>
      <c r="AM863" s="92"/>
      <c r="AN863" s="92"/>
      <c r="AO863" s="92"/>
      <c r="AP863" s="93"/>
      <c r="AQ863" s="93"/>
      <c r="AR863" s="91"/>
      <c r="AS863" s="91"/>
      <c r="AT863" s="91"/>
      <c r="AU863" s="91"/>
      <c r="AV863" s="91"/>
      <c r="AW863" s="90"/>
      <c r="AX863" s="90"/>
      <c r="AY863" s="93"/>
      <c r="AZ863" s="93"/>
      <c r="BA863" s="92"/>
      <c r="BB863" s="92"/>
      <c r="BC863" s="92"/>
      <c r="BD863" s="92"/>
      <c r="BE863" s="92"/>
      <c r="BF863" s="92"/>
      <c r="BG863" s="94"/>
      <c r="BH863" s="94"/>
      <c r="BI863" s="94"/>
    </row>
    <row r="864">
      <c r="G864" s="95"/>
      <c r="H864" s="96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2"/>
      <c r="AJ864" s="92"/>
      <c r="AK864" s="92"/>
      <c r="AL864" s="92"/>
      <c r="AM864" s="92"/>
      <c r="AN864" s="92"/>
      <c r="AO864" s="92"/>
      <c r="AP864" s="93"/>
      <c r="AQ864" s="93"/>
      <c r="AR864" s="91"/>
      <c r="AS864" s="91"/>
      <c r="AT864" s="91"/>
      <c r="AU864" s="91"/>
      <c r="AV864" s="91"/>
      <c r="AW864" s="90"/>
      <c r="AX864" s="90"/>
      <c r="AY864" s="93"/>
      <c r="AZ864" s="93"/>
      <c r="BA864" s="92"/>
      <c r="BB864" s="92"/>
      <c r="BC864" s="92"/>
      <c r="BD864" s="92"/>
      <c r="BE864" s="92"/>
      <c r="BF864" s="92"/>
      <c r="BG864" s="94"/>
      <c r="BH864" s="94"/>
      <c r="BI864" s="94"/>
    </row>
    <row r="865">
      <c r="G865" s="95"/>
      <c r="H865" s="96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2"/>
      <c r="AJ865" s="92"/>
      <c r="AK865" s="92"/>
      <c r="AL865" s="92"/>
      <c r="AM865" s="92"/>
      <c r="AN865" s="92"/>
      <c r="AO865" s="92"/>
      <c r="AP865" s="93"/>
      <c r="AQ865" s="93"/>
      <c r="AR865" s="91"/>
      <c r="AS865" s="91"/>
      <c r="AT865" s="91"/>
      <c r="AU865" s="91"/>
      <c r="AV865" s="91"/>
      <c r="AW865" s="90"/>
      <c r="AX865" s="90"/>
      <c r="AY865" s="93"/>
      <c r="AZ865" s="93"/>
      <c r="BA865" s="92"/>
      <c r="BB865" s="92"/>
      <c r="BC865" s="92"/>
      <c r="BD865" s="92"/>
      <c r="BE865" s="92"/>
      <c r="BF865" s="92"/>
      <c r="BG865" s="94"/>
      <c r="BH865" s="94"/>
      <c r="BI865" s="94"/>
    </row>
    <row r="866">
      <c r="G866" s="95"/>
      <c r="H866" s="96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2"/>
      <c r="AJ866" s="92"/>
      <c r="AK866" s="92"/>
      <c r="AL866" s="92"/>
      <c r="AM866" s="92"/>
      <c r="AN866" s="92"/>
      <c r="AO866" s="92"/>
      <c r="AP866" s="93"/>
      <c r="AQ866" s="93"/>
      <c r="AR866" s="91"/>
      <c r="AS866" s="91"/>
      <c r="AT866" s="91"/>
      <c r="AU866" s="91"/>
      <c r="AV866" s="91"/>
      <c r="AW866" s="90"/>
      <c r="AX866" s="90"/>
      <c r="AY866" s="93"/>
      <c r="AZ866" s="93"/>
      <c r="BA866" s="92"/>
      <c r="BB866" s="92"/>
      <c r="BC866" s="92"/>
      <c r="BD866" s="92"/>
      <c r="BE866" s="92"/>
      <c r="BF866" s="92"/>
      <c r="BG866" s="94"/>
      <c r="BH866" s="94"/>
      <c r="BI866" s="94"/>
    </row>
    <row r="867">
      <c r="G867" s="95"/>
      <c r="H867" s="96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2"/>
      <c r="AJ867" s="92"/>
      <c r="AK867" s="92"/>
      <c r="AL867" s="92"/>
      <c r="AM867" s="92"/>
      <c r="AN867" s="92"/>
      <c r="AO867" s="92"/>
      <c r="AP867" s="93"/>
      <c r="AQ867" s="93"/>
      <c r="AR867" s="91"/>
      <c r="AS867" s="91"/>
      <c r="AT867" s="91"/>
      <c r="AU867" s="91"/>
      <c r="AV867" s="91"/>
      <c r="AW867" s="90"/>
      <c r="AX867" s="90"/>
      <c r="AY867" s="93"/>
      <c r="AZ867" s="93"/>
      <c r="BA867" s="92"/>
      <c r="BB867" s="92"/>
      <c r="BC867" s="92"/>
      <c r="BD867" s="92"/>
      <c r="BE867" s="92"/>
      <c r="BF867" s="92"/>
      <c r="BG867" s="94"/>
      <c r="BH867" s="94"/>
      <c r="BI867" s="94"/>
    </row>
    <row r="868">
      <c r="G868" s="95"/>
      <c r="H868" s="96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2"/>
      <c r="AJ868" s="92"/>
      <c r="AK868" s="92"/>
      <c r="AL868" s="92"/>
      <c r="AM868" s="92"/>
      <c r="AN868" s="92"/>
      <c r="AO868" s="92"/>
      <c r="AP868" s="93"/>
      <c r="AQ868" s="93"/>
      <c r="AR868" s="91"/>
      <c r="AS868" s="91"/>
      <c r="AT868" s="91"/>
      <c r="AU868" s="91"/>
      <c r="AV868" s="91"/>
      <c r="AW868" s="90"/>
      <c r="AX868" s="90"/>
      <c r="AY868" s="93"/>
      <c r="AZ868" s="93"/>
      <c r="BA868" s="92"/>
      <c r="BB868" s="92"/>
      <c r="BC868" s="92"/>
      <c r="BD868" s="92"/>
      <c r="BE868" s="92"/>
      <c r="BF868" s="92"/>
      <c r="BG868" s="94"/>
      <c r="BH868" s="94"/>
      <c r="BI868" s="94"/>
    </row>
    <row r="869">
      <c r="G869" s="95"/>
      <c r="H869" s="96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2"/>
      <c r="AJ869" s="92"/>
      <c r="AK869" s="92"/>
      <c r="AL869" s="92"/>
      <c r="AM869" s="92"/>
      <c r="AN869" s="92"/>
      <c r="AO869" s="92"/>
      <c r="AP869" s="93"/>
      <c r="AQ869" s="93"/>
      <c r="AR869" s="91"/>
      <c r="AS869" s="91"/>
      <c r="AT869" s="91"/>
      <c r="AU869" s="91"/>
      <c r="AV869" s="91"/>
      <c r="AW869" s="90"/>
      <c r="AX869" s="90"/>
      <c r="AY869" s="93"/>
      <c r="AZ869" s="93"/>
      <c r="BA869" s="92"/>
      <c r="BB869" s="92"/>
      <c r="BC869" s="92"/>
      <c r="BD869" s="92"/>
      <c r="BE869" s="92"/>
      <c r="BF869" s="92"/>
      <c r="BG869" s="94"/>
      <c r="BH869" s="94"/>
      <c r="BI869" s="94"/>
    </row>
    <row r="870">
      <c r="G870" s="95"/>
      <c r="H870" s="96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2"/>
      <c r="AJ870" s="92"/>
      <c r="AK870" s="92"/>
      <c r="AL870" s="92"/>
      <c r="AM870" s="92"/>
      <c r="AN870" s="92"/>
      <c r="AO870" s="92"/>
      <c r="AP870" s="93"/>
      <c r="AQ870" s="93"/>
      <c r="AR870" s="91"/>
      <c r="AS870" s="91"/>
      <c r="AT870" s="91"/>
      <c r="AU870" s="91"/>
      <c r="AV870" s="91"/>
      <c r="AW870" s="90"/>
      <c r="AX870" s="90"/>
      <c r="AY870" s="93"/>
      <c r="AZ870" s="93"/>
      <c r="BA870" s="92"/>
      <c r="BB870" s="92"/>
      <c r="BC870" s="92"/>
      <c r="BD870" s="92"/>
      <c r="BE870" s="92"/>
      <c r="BF870" s="92"/>
      <c r="BG870" s="94"/>
      <c r="BH870" s="94"/>
      <c r="BI870" s="94"/>
    </row>
    <row r="871">
      <c r="G871" s="95"/>
      <c r="H871" s="96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2"/>
      <c r="AJ871" s="92"/>
      <c r="AK871" s="92"/>
      <c r="AL871" s="92"/>
      <c r="AM871" s="92"/>
      <c r="AN871" s="92"/>
      <c r="AO871" s="92"/>
      <c r="AP871" s="93"/>
      <c r="AQ871" s="93"/>
      <c r="AR871" s="91"/>
      <c r="AS871" s="91"/>
      <c r="AT871" s="91"/>
      <c r="AU871" s="91"/>
      <c r="AV871" s="91"/>
      <c r="AW871" s="90"/>
      <c r="AX871" s="90"/>
      <c r="AY871" s="93"/>
      <c r="AZ871" s="93"/>
      <c r="BA871" s="92"/>
      <c r="BB871" s="92"/>
      <c r="BC871" s="92"/>
      <c r="BD871" s="92"/>
      <c r="BE871" s="92"/>
      <c r="BF871" s="92"/>
      <c r="BG871" s="94"/>
      <c r="BH871" s="94"/>
      <c r="BI871" s="94"/>
    </row>
    <row r="872">
      <c r="G872" s="95"/>
      <c r="H872" s="96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2"/>
      <c r="AJ872" s="92"/>
      <c r="AK872" s="92"/>
      <c r="AL872" s="92"/>
      <c r="AM872" s="92"/>
      <c r="AN872" s="92"/>
      <c r="AO872" s="92"/>
      <c r="AP872" s="93"/>
      <c r="AQ872" s="93"/>
      <c r="AR872" s="91"/>
      <c r="AS872" s="91"/>
      <c r="AT872" s="91"/>
      <c r="AU872" s="91"/>
      <c r="AV872" s="91"/>
      <c r="AW872" s="90"/>
      <c r="AX872" s="90"/>
      <c r="AY872" s="93"/>
      <c r="AZ872" s="93"/>
      <c r="BA872" s="92"/>
      <c r="BB872" s="92"/>
      <c r="BC872" s="92"/>
      <c r="BD872" s="92"/>
      <c r="BE872" s="92"/>
      <c r="BF872" s="92"/>
      <c r="BG872" s="94"/>
      <c r="BH872" s="94"/>
      <c r="BI872" s="94"/>
    </row>
    <row r="873">
      <c r="G873" s="95"/>
      <c r="H873" s="96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2"/>
      <c r="AJ873" s="92"/>
      <c r="AK873" s="92"/>
      <c r="AL873" s="92"/>
      <c r="AM873" s="92"/>
      <c r="AN873" s="92"/>
      <c r="AO873" s="92"/>
      <c r="AP873" s="93"/>
      <c r="AQ873" s="93"/>
      <c r="AR873" s="91"/>
      <c r="AS873" s="91"/>
      <c r="AT873" s="91"/>
      <c r="AU873" s="91"/>
      <c r="AV873" s="91"/>
      <c r="AW873" s="90"/>
      <c r="AX873" s="90"/>
      <c r="AY873" s="93"/>
      <c r="AZ873" s="93"/>
      <c r="BA873" s="92"/>
      <c r="BB873" s="92"/>
      <c r="BC873" s="92"/>
      <c r="BD873" s="92"/>
      <c r="BE873" s="92"/>
      <c r="BF873" s="92"/>
      <c r="BG873" s="94"/>
      <c r="BH873" s="94"/>
      <c r="BI873" s="94"/>
    </row>
    <row r="874">
      <c r="G874" s="95"/>
      <c r="H874" s="96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2"/>
      <c r="AJ874" s="92"/>
      <c r="AK874" s="92"/>
      <c r="AL874" s="92"/>
      <c r="AM874" s="92"/>
      <c r="AN874" s="92"/>
      <c r="AO874" s="92"/>
      <c r="AP874" s="93"/>
      <c r="AQ874" s="93"/>
      <c r="AR874" s="91"/>
      <c r="AS874" s="91"/>
      <c r="AT874" s="91"/>
      <c r="AU874" s="91"/>
      <c r="AV874" s="91"/>
      <c r="AW874" s="90"/>
      <c r="AX874" s="90"/>
      <c r="AY874" s="93"/>
      <c r="AZ874" s="93"/>
      <c r="BA874" s="92"/>
      <c r="BB874" s="92"/>
      <c r="BC874" s="92"/>
      <c r="BD874" s="92"/>
      <c r="BE874" s="92"/>
      <c r="BF874" s="92"/>
      <c r="BG874" s="94"/>
      <c r="BH874" s="94"/>
      <c r="BI874" s="94"/>
    </row>
    <row r="875">
      <c r="G875" s="95"/>
      <c r="H875" s="96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2"/>
      <c r="AJ875" s="92"/>
      <c r="AK875" s="92"/>
      <c r="AL875" s="92"/>
      <c r="AM875" s="92"/>
      <c r="AN875" s="92"/>
      <c r="AO875" s="92"/>
      <c r="AP875" s="93"/>
      <c r="AQ875" s="93"/>
      <c r="AR875" s="91"/>
      <c r="AS875" s="91"/>
      <c r="AT875" s="91"/>
      <c r="AU875" s="91"/>
      <c r="AV875" s="91"/>
      <c r="AW875" s="90"/>
      <c r="AX875" s="90"/>
      <c r="AY875" s="93"/>
      <c r="AZ875" s="93"/>
      <c r="BA875" s="92"/>
      <c r="BB875" s="92"/>
      <c r="BC875" s="92"/>
      <c r="BD875" s="92"/>
      <c r="BE875" s="92"/>
      <c r="BF875" s="92"/>
      <c r="BG875" s="94"/>
      <c r="BH875" s="94"/>
      <c r="BI875" s="94"/>
    </row>
    <row r="876">
      <c r="G876" s="95"/>
      <c r="H876" s="96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2"/>
      <c r="AJ876" s="92"/>
      <c r="AK876" s="92"/>
      <c r="AL876" s="92"/>
      <c r="AM876" s="92"/>
      <c r="AN876" s="92"/>
      <c r="AO876" s="92"/>
      <c r="AP876" s="93"/>
      <c r="AQ876" s="93"/>
      <c r="AR876" s="91"/>
      <c r="AS876" s="91"/>
      <c r="AT876" s="91"/>
      <c r="AU876" s="91"/>
      <c r="AV876" s="91"/>
      <c r="AW876" s="90"/>
      <c r="AX876" s="90"/>
      <c r="AY876" s="93"/>
      <c r="AZ876" s="93"/>
      <c r="BA876" s="92"/>
      <c r="BB876" s="92"/>
      <c r="BC876" s="92"/>
      <c r="BD876" s="92"/>
      <c r="BE876" s="92"/>
      <c r="BF876" s="92"/>
      <c r="BG876" s="94"/>
      <c r="BH876" s="94"/>
      <c r="BI876" s="94"/>
    </row>
    <row r="877">
      <c r="G877" s="95"/>
      <c r="H877" s="96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2"/>
      <c r="AJ877" s="92"/>
      <c r="AK877" s="92"/>
      <c r="AL877" s="92"/>
      <c r="AM877" s="92"/>
      <c r="AN877" s="92"/>
      <c r="AO877" s="92"/>
      <c r="AP877" s="93"/>
      <c r="AQ877" s="93"/>
      <c r="AR877" s="91"/>
      <c r="AS877" s="91"/>
      <c r="AT877" s="91"/>
      <c r="AU877" s="91"/>
      <c r="AV877" s="91"/>
      <c r="AW877" s="90"/>
      <c r="AX877" s="90"/>
      <c r="AY877" s="93"/>
      <c r="AZ877" s="93"/>
      <c r="BA877" s="92"/>
      <c r="BB877" s="92"/>
      <c r="BC877" s="92"/>
      <c r="BD877" s="92"/>
      <c r="BE877" s="92"/>
      <c r="BF877" s="92"/>
      <c r="BG877" s="94"/>
      <c r="BH877" s="94"/>
      <c r="BI877" s="94"/>
    </row>
    <row r="878">
      <c r="G878" s="95"/>
      <c r="H878" s="96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2"/>
      <c r="AJ878" s="92"/>
      <c r="AK878" s="92"/>
      <c r="AL878" s="92"/>
      <c r="AM878" s="92"/>
      <c r="AN878" s="92"/>
      <c r="AO878" s="92"/>
      <c r="AP878" s="93"/>
      <c r="AQ878" s="93"/>
      <c r="AR878" s="91"/>
      <c r="AS878" s="91"/>
      <c r="AT878" s="91"/>
      <c r="AU878" s="91"/>
      <c r="AV878" s="91"/>
      <c r="AW878" s="90"/>
      <c r="AX878" s="90"/>
      <c r="AY878" s="93"/>
      <c r="AZ878" s="93"/>
      <c r="BA878" s="92"/>
      <c r="BB878" s="92"/>
      <c r="BC878" s="92"/>
      <c r="BD878" s="92"/>
      <c r="BE878" s="92"/>
      <c r="BF878" s="92"/>
      <c r="BG878" s="94"/>
      <c r="BH878" s="94"/>
      <c r="BI878" s="94"/>
    </row>
    <row r="879">
      <c r="G879" s="95"/>
      <c r="H879" s="96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2"/>
      <c r="AJ879" s="92"/>
      <c r="AK879" s="92"/>
      <c r="AL879" s="92"/>
      <c r="AM879" s="92"/>
      <c r="AN879" s="92"/>
      <c r="AO879" s="92"/>
      <c r="AP879" s="93"/>
      <c r="AQ879" s="93"/>
      <c r="AR879" s="91"/>
      <c r="AS879" s="91"/>
      <c r="AT879" s="91"/>
      <c r="AU879" s="91"/>
      <c r="AV879" s="91"/>
      <c r="AW879" s="90"/>
      <c r="AX879" s="90"/>
      <c r="AY879" s="93"/>
      <c r="AZ879" s="93"/>
      <c r="BA879" s="92"/>
      <c r="BB879" s="92"/>
      <c r="BC879" s="92"/>
      <c r="BD879" s="92"/>
      <c r="BE879" s="92"/>
      <c r="BF879" s="92"/>
      <c r="BG879" s="94"/>
      <c r="BH879" s="94"/>
      <c r="BI879" s="94"/>
    </row>
    <row r="880">
      <c r="G880" s="95"/>
      <c r="H880" s="96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2"/>
      <c r="AJ880" s="92"/>
      <c r="AK880" s="92"/>
      <c r="AL880" s="92"/>
      <c r="AM880" s="92"/>
      <c r="AN880" s="92"/>
      <c r="AO880" s="92"/>
      <c r="AP880" s="93"/>
      <c r="AQ880" s="93"/>
      <c r="AR880" s="91"/>
      <c r="AS880" s="91"/>
      <c r="AT880" s="91"/>
      <c r="AU880" s="91"/>
      <c r="AV880" s="91"/>
      <c r="AW880" s="90"/>
      <c r="AX880" s="90"/>
      <c r="AY880" s="93"/>
      <c r="AZ880" s="93"/>
      <c r="BA880" s="92"/>
      <c r="BB880" s="92"/>
      <c r="BC880" s="92"/>
      <c r="BD880" s="92"/>
      <c r="BE880" s="92"/>
      <c r="BF880" s="92"/>
      <c r="BG880" s="94"/>
      <c r="BH880" s="94"/>
      <c r="BI880" s="94"/>
    </row>
    <row r="881">
      <c r="G881" s="95"/>
      <c r="H881" s="96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2"/>
      <c r="AJ881" s="92"/>
      <c r="AK881" s="92"/>
      <c r="AL881" s="92"/>
      <c r="AM881" s="92"/>
      <c r="AN881" s="92"/>
      <c r="AO881" s="92"/>
      <c r="AP881" s="93"/>
      <c r="AQ881" s="93"/>
      <c r="AR881" s="91"/>
      <c r="AS881" s="91"/>
      <c r="AT881" s="91"/>
      <c r="AU881" s="91"/>
      <c r="AV881" s="91"/>
      <c r="AW881" s="90"/>
      <c r="AX881" s="90"/>
      <c r="AY881" s="93"/>
      <c r="AZ881" s="93"/>
      <c r="BA881" s="92"/>
      <c r="BB881" s="92"/>
      <c r="BC881" s="92"/>
      <c r="BD881" s="92"/>
      <c r="BE881" s="92"/>
      <c r="BF881" s="92"/>
      <c r="BG881" s="94"/>
      <c r="BH881" s="94"/>
      <c r="BI881" s="94"/>
    </row>
    <row r="882">
      <c r="G882" s="95"/>
      <c r="H882" s="96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2"/>
      <c r="AJ882" s="92"/>
      <c r="AK882" s="92"/>
      <c r="AL882" s="92"/>
      <c r="AM882" s="92"/>
      <c r="AN882" s="92"/>
      <c r="AO882" s="92"/>
      <c r="AP882" s="93"/>
      <c r="AQ882" s="93"/>
      <c r="AR882" s="91"/>
      <c r="AS882" s="91"/>
      <c r="AT882" s="91"/>
      <c r="AU882" s="91"/>
      <c r="AV882" s="91"/>
      <c r="AW882" s="90"/>
      <c r="AX882" s="90"/>
      <c r="AY882" s="93"/>
      <c r="AZ882" s="93"/>
      <c r="BA882" s="92"/>
      <c r="BB882" s="92"/>
      <c r="BC882" s="92"/>
      <c r="BD882" s="92"/>
      <c r="BE882" s="92"/>
      <c r="BF882" s="92"/>
      <c r="BG882" s="94"/>
      <c r="BH882" s="94"/>
      <c r="BI882" s="94"/>
    </row>
    <row r="883">
      <c r="G883" s="95"/>
      <c r="H883" s="96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2"/>
      <c r="AJ883" s="92"/>
      <c r="AK883" s="92"/>
      <c r="AL883" s="92"/>
      <c r="AM883" s="92"/>
      <c r="AN883" s="92"/>
      <c r="AO883" s="92"/>
      <c r="AP883" s="93"/>
      <c r="AQ883" s="93"/>
      <c r="AR883" s="91"/>
      <c r="AS883" s="91"/>
      <c r="AT883" s="91"/>
      <c r="AU883" s="91"/>
      <c r="AV883" s="91"/>
      <c r="AW883" s="90"/>
      <c r="AX883" s="90"/>
      <c r="AY883" s="93"/>
      <c r="AZ883" s="93"/>
      <c r="BA883" s="92"/>
      <c r="BB883" s="92"/>
      <c r="BC883" s="92"/>
      <c r="BD883" s="92"/>
      <c r="BE883" s="92"/>
      <c r="BF883" s="92"/>
      <c r="BG883" s="94"/>
      <c r="BH883" s="94"/>
      <c r="BI883" s="94"/>
    </row>
    <row r="884">
      <c r="G884" s="95"/>
      <c r="H884" s="96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2"/>
      <c r="AJ884" s="92"/>
      <c r="AK884" s="92"/>
      <c r="AL884" s="92"/>
      <c r="AM884" s="92"/>
      <c r="AN884" s="92"/>
      <c r="AO884" s="92"/>
      <c r="AP884" s="93"/>
      <c r="AQ884" s="93"/>
      <c r="AR884" s="91"/>
      <c r="AS884" s="91"/>
      <c r="AT884" s="91"/>
      <c r="AU884" s="91"/>
      <c r="AV884" s="91"/>
      <c r="AW884" s="90"/>
      <c r="AX884" s="90"/>
      <c r="AY884" s="93"/>
      <c r="AZ884" s="93"/>
      <c r="BA884" s="92"/>
      <c r="BB884" s="92"/>
      <c r="BC884" s="92"/>
      <c r="BD884" s="92"/>
      <c r="BE884" s="92"/>
      <c r="BF884" s="92"/>
      <c r="BG884" s="94"/>
      <c r="BH884" s="94"/>
      <c r="BI884" s="94"/>
    </row>
    <row r="885">
      <c r="G885" s="95"/>
      <c r="H885" s="96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2"/>
      <c r="AJ885" s="92"/>
      <c r="AK885" s="92"/>
      <c r="AL885" s="92"/>
      <c r="AM885" s="92"/>
      <c r="AN885" s="92"/>
      <c r="AO885" s="92"/>
      <c r="AP885" s="93"/>
      <c r="AQ885" s="93"/>
      <c r="AR885" s="91"/>
      <c r="AS885" s="91"/>
      <c r="AT885" s="91"/>
      <c r="AU885" s="91"/>
      <c r="AV885" s="91"/>
      <c r="AW885" s="90"/>
      <c r="AX885" s="90"/>
      <c r="AY885" s="93"/>
      <c r="AZ885" s="93"/>
      <c r="BA885" s="92"/>
      <c r="BB885" s="92"/>
      <c r="BC885" s="92"/>
      <c r="BD885" s="92"/>
      <c r="BE885" s="92"/>
      <c r="BF885" s="92"/>
      <c r="BG885" s="94"/>
      <c r="BH885" s="94"/>
      <c r="BI885" s="94"/>
    </row>
    <row r="886">
      <c r="G886" s="95"/>
      <c r="H886" s="96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2"/>
      <c r="AJ886" s="92"/>
      <c r="AK886" s="92"/>
      <c r="AL886" s="92"/>
      <c r="AM886" s="92"/>
      <c r="AN886" s="92"/>
      <c r="AO886" s="92"/>
      <c r="AP886" s="93"/>
      <c r="AQ886" s="93"/>
      <c r="AR886" s="91"/>
      <c r="AS886" s="91"/>
      <c r="AT886" s="91"/>
      <c r="AU886" s="91"/>
      <c r="AV886" s="91"/>
      <c r="AW886" s="90"/>
      <c r="AX886" s="90"/>
      <c r="AY886" s="93"/>
      <c r="AZ886" s="93"/>
      <c r="BA886" s="92"/>
      <c r="BB886" s="92"/>
      <c r="BC886" s="92"/>
      <c r="BD886" s="92"/>
      <c r="BE886" s="92"/>
      <c r="BF886" s="92"/>
      <c r="BG886" s="94"/>
      <c r="BH886" s="94"/>
      <c r="BI886" s="94"/>
    </row>
    <row r="887">
      <c r="G887" s="95"/>
      <c r="H887" s="96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2"/>
      <c r="AJ887" s="92"/>
      <c r="AK887" s="92"/>
      <c r="AL887" s="92"/>
      <c r="AM887" s="92"/>
      <c r="AN887" s="92"/>
      <c r="AO887" s="92"/>
      <c r="AP887" s="93"/>
      <c r="AQ887" s="93"/>
      <c r="AR887" s="91"/>
      <c r="AS887" s="91"/>
      <c r="AT887" s="91"/>
      <c r="AU887" s="91"/>
      <c r="AV887" s="91"/>
      <c r="AW887" s="90"/>
      <c r="AX887" s="90"/>
      <c r="AY887" s="93"/>
      <c r="AZ887" s="93"/>
      <c r="BA887" s="92"/>
      <c r="BB887" s="92"/>
      <c r="BC887" s="92"/>
      <c r="BD887" s="92"/>
      <c r="BE887" s="92"/>
      <c r="BF887" s="92"/>
      <c r="BG887" s="94"/>
      <c r="BH887" s="94"/>
      <c r="BI887" s="94"/>
    </row>
    <row r="888">
      <c r="G888" s="95"/>
      <c r="H888" s="96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2"/>
      <c r="AJ888" s="92"/>
      <c r="AK888" s="92"/>
      <c r="AL888" s="92"/>
      <c r="AM888" s="92"/>
      <c r="AN888" s="92"/>
      <c r="AO888" s="92"/>
      <c r="AP888" s="93"/>
      <c r="AQ888" s="93"/>
      <c r="AR888" s="91"/>
      <c r="AS888" s="91"/>
      <c r="AT888" s="91"/>
      <c r="AU888" s="91"/>
      <c r="AV888" s="91"/>
      <c r="AW888" s="90"/>
      <c r="AX888" s="90"/>
      <c r="AY888" s="93"/>
      <c r="AZ888" s="93"/>
      <c r="BA888" s="92"/>
      <c r="BB888" s="92"/>
      <c r="BC888" s="92"/>
      <c r="BD888" s="92"/>
      <c r="BE888" s="92"/>
      <c r="BF888" s="92"/>
      <c r="BG888" s="94"/>
      <c r="BH888" s="94"/>
      <c r="BI888" s="94"/>
    </row>
    <row r="889">
      <c r="G889" s="95"/>
      <c r="H889" s="96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2"/>
      <c r="AJ889" s="92"/>
      <c r="AK889" s="92"/>
      <c r="AL889" s="92"/>
      <c r="AM889" s="92"/>
      <c r="AN889" s="92"/>
      <c r="AO889" s="92"/>
      <c r="AP889" s="93"/>
      <c r="AQ889" s="93"/>
      <c r="AR889" s="91"/>
      <c r="AS889" s="91"/>
      <c r="AT889" s="91"/>
      <c r="AU889" s="91"/>
      <c r="AV889" s="91"/>
      <c r="AW889" s="90"/>
      <c r="AX889" s="90"/>
      <c r="AY889" s="93"/>
      <c r="AZ889" s="93"/>
      <c r="BA889" s="92"/>
      <c r="BB889" s="92"/>
      <c r="BC889" s="92"/>
      <c r="BD889" s="92"/>
      <c r="BE889" s="92"/>
      <c r="BF889" s="92"/>
      <c r="BG889" s="94"/>
      <c r="BH889" s="94"/>
      <c r="BI889" s="94"/>
    </row>
    <row r="890">
      <c r="G890" s="95"/>
      <c r="H890" s="96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2"/>
      <c r="AJ890" s="92"/>
      <c r="AK890" s="92"/>
      <c r="AL890" s="92"/>
      <c r="AM890" s="92"/>
      <c r="AN890" s="92"/>
      <c r="AO890" s="92"/>
      <c r="AP890" s="93"/>
      <c r="AQ890" s="93"/>
      <c r="AR890" s="91"/>
      <c r="AS890" s="91"/>
      <c r="AT890" s="91"/>
      <c r="AU890" s="91"/>
      <c r="AV890" s="91"/>
      <c r="AW890" s="90"/>
      <c r="AX890" s="90"/>
      <c r="AY890" s="93"/>
      <c r="AZ890" s="93"/>
      <c r="BA890" s="92"/>
      <c r="BB890" s="92"/>
      <c r="BC890" s="92"/>
      <c r="BD890" s="92"/>
      <c r="BE890" s="92"/>
      <c r="BF890" s="92"/>
      <c r="BG890" s="94"/>
      <c r="BH890" s="94"/>
      <c r="BI890" s="94"/>
    </row>
    <row r="891">
      <c r="G891" s="95"/>
      <c r="H891" s="96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2"/>
      <c r="AJ891" s="92"/>
      <c r="AK891" s="92"/>
      <c r="AL891" s="92"/>
      <c r="AM891" s="92"/>
      <c r="AN891" s="92"/>
      <c r="AO891" s="92"/>
      <c r="AP891" s="93"/>
      <c r="AQ891" s="93"/>
      <c r="AR891" s="91"/>
      <c r="AS891" s="91"/>
      <c r="AT891" s="91"/>
      <c r="AU891" s="91"/>
      <c r="AV891" s="91"/>
      <c r="AW891" s="90"/>
      <c r="AX891" s="90"/>
      <c r="AY891" s="93"/>
      <c r="AZ891" s="93"/>
      <c r="BA891" s="92"/>
      <c r="BB891" s="92"/>
      <c r="BC891" s="92"/>
      <c r="BD891" s="92"/>
      <c r="BE891" s="92"/>
      <c r="BF891" s="92"/>
      <c r="BG891" s="94"/>
      <c r="BH891" s="94"/>
      <c r="BI891" s="94"/>
    </row>
    <row r="892">
      <c r="G892" s="95"/>
      <c r="H892" s="96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2"/>
      <c r="AJ892" s="92"/>
      <c r="AK892" s="92"/>
      <c r="AL892" s="92"/>
      <c r="AM892" s="92"/>
      <c r="AN892" s="92"/>
      <c r="AO892" s="92"/>
      <c r="AP892" s="93"/>
      <c r="AQ892" s="93"/>
      <c r="AR892" s="91"/>
      <c r="AS892" s="91"/>
      <c r="AT892" s="91"/>
      <c r="AU892" s="91"/>
      <c r="AV892" s="91"/>
      <c r="AW892" s="90"/>
      <c r="AX892" s="90"/>
      <c r="AY892" s="93"/>
      <c r="AZ892" s="93"/>
      <c r="BA892" s="92"/>
      <c r="BB892" s="92"/>
      <c r="BC892" s="92"/>
      <c r="BD892" s="92"/>
      <c r="BE892" s="92"/>
      <c r="BF892" s="92"/>
      <c r="BG892" s="94"/>
      <c r="BH892" s="94"/>
      <c r="BI892" s="94"/>
    </row>
    <row r="893">
      <c r="G893" s="95"/>
      <c r="H893" s="96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2"/>
      <c r="AJ893" s="92"/>
      <c r="AK893" s="92"/>
      <c r="AL893" s="92"/>
      <c r="AM893" s="92"/>
      <c r="AN893" s="92"/>
      <c r="AO893" s="92"/>
      <c r="AP893" s="93"/>
      <c r="AQ893" s="93"/>
      <c r="AR893" s="91"/>
      <c r="AS893" s="91"/>
      <c r="AT893" s="91"/>
      <c r="AU893" s="91"/>
      <c r="AV893" s="91"/>
      <c r="AW893" s="90"/>
      <c r="AX893" s="90"/>
      <c r="AY893" s="93"/>
      <c r="AZ893" s="93"/>
      <c r="BA893" s="92"/>
      <c r="BB893" s="92"/>
      <c r="BC893" s="92"/>
      <c r="BD893" s="92"/>
      <c r="BE893" s="92"/>
      <c r="BF893" s="92"/>
      <c r="BG893" s="94"/>
      <c r="BH893" s="94"/>
      <c r="BI893" s="94"/>
    </row>
    <row r="894">
      <c r="G894" s="95"/>
      <c r="H894" s="96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2"/>
      <c r="AJ894" s="92"/>
      <c r="AK894" s="92"/>
      <c r="AL894" s="92"/>
      <c r="AM894" s="92"/>
      <c r="AN894" s="92"/>
      <c r="AO894" s="92"/>
      <c r="AP894" s="93"/>
      <c r="AQ894" s="93"/>
      <c r="AR894" s="91"/>
      <c r="AS894" s="91"/>
      <c r="AT894" s="91"/>
      <c r="AU894" s="91"/>
      <c r="AV894" s="91"/>
      <c r="AW894" s="90"/>
      <c r="AX894" s="90"/>
      <c r="AY894" s="93"/>
      <c r="AZ894" s="93"/>
      <c r="BA894" s="92"/>
      <c r="BB894" s="92"/>
      <c r="BC894" s="92"/>
      <c r="BD894" s="92"/>
      <c r="BE894" s="92"/>
      <c r="BF894" s="92"/>
      <c r="BG894" s="94"/>
      <c r="BH894" s="94"/>
      <c r="BI894" s="94"/>
    </row>
    <row r="895">
      <c r="G895" s="95"/>
      <c r="H895" s="96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2"/>
      <c r="AJ895" s="92"/>
      <c r="AK895" s="92"/>
      <c r="AL895" s="92"/>
      <c r="AM895" s="92"/>
      <c r="AN895" s="92"/>
      <c r="AO895" s="92"/>
      <c r="AP895" s="93"/>
      <c r="AQ895" s="93"/>
      <c r="AR895" s="91"/>
      <c r="AS895" s="91"/>
      <c r="AT895" s="91"/>
      <c r="AU895" s="91"/>
      <c r="AV895" s="91"/>
      <c r="AW895" s="90"/>
      <c r="AX895" s="90"/>
      <c r="AY895" s="93"/>
      <c r="AZ895" s="93"/>
      <c r="BA895" s="92"/>
      <c r="BB895" s="92"/>
      <c r="BC895" s="92"/>
      <c r="BD895" s="92"/>
      <c r="BE895" s="92"/>
      <c r="BF895" s="92"/>
      <c r="BG895" s="94"/>
      <c r="BH895" s="94"/>
      <c r="BI895" s="94"/>
    </row>
    <row r="896">
      <c r="G896" s="95"/>
      <c r="H896" s="96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2"/>
      <c r="AJ896" s="92"/>
      <c r="AK896" s="92"/>
      <c r="AL896" s="92"/>
      <c r="AM896" s="92"/>
      <c r="AN896" s="92"/>
      <c r="AO896" s="92"/>
      <c r="AP896" s="93"/>
      <c r="AQ896" s="93"/>
      <c r="AR896" s="91"/>
      <c r="AS896" s="91"/>
      <c r="AT896" s="91"/>
      <c r="AU896" s="91"/>
      <c r="AV896" s="91"/>
      <c r="AW896" s="90"/>
      <c r="AX896" s="90"/>
      <c r="AY896" s="93"/>
      <c r="AZ896" s="93"/>
      <c r="BA896" s="92"/>
      <c r="BB896" s="92"/>
      <c r="BC896" s="92"/>
      <c r="BD896" s="92"/>
      <c r="BE896" s="92"/>
      <c r="BF896" s="92"/>
      <c r="BG896" s="94"/>
      <c r="BH896" s="94"/>
      <c r="BI896" s="94"/>
    </row>
    <row r="897">
      <c r="G897" s="95"/>
      <c r="H897" s="96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2"/>
      <c r="AJ897" s="92"/>
      <c r="AK897" s="92"/>
      <c r="AL897" s="92"/>
      <c r="AM897" s="92"/>
      <c r="AN897" s="92"/>
      <c r="AO897" s="92"/>
      <c r="AP897" s="93"/>
      <c r="AQ897" s="93"/>
      <c r="AR897" s="91"/>
      <c r="AS897" s="91"/>
      <c r="AT897" s="91"/>
      <c r="AU897" s="91"/>
      <c r="AV897" s="91"/>
      <c r="AW897" s="90"/>
      <c r="AX897" s="90"/>
      <c r="AY897" s="93"/>
      <c r="AZ897" s="93"/>
      <c r="BA897" s="92"/>
      <c r="BB897" s="92"/>
      <c r="BC897" s="92"/>
      <c r="BD897" s="92"/>
      <c r="BE897" s="92"/>
      <c r="BF897" s="92"/>
      <c r="BG897" s="94"/>
      <c r="BH897" s="94"/>
      <c r="BI897" s="94"/>
    </row>
    <row r="898">
      <c r="G898" s="95"/>
      <c r="H898" s="96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2"/>
      <c r="AJ898" s="92"/>
      <c r="AK898" s="92"/>
      <c r="AL898" s="92"/>
      <c r="AM898" s="92"/>
      <c r="AN898" s="92"/>
      <c r="AO898" s="92"/>
      <c r="AP898" s="93"/>
      <c r="AQ898" s="93"/>
      <c r="AR898" s="91"/>
      <c r="AS898" s="91"/>
      <c r="AT898" s="91"/>
      <c r="AU898" s="91"/>
      <c r="AV898" s="91"/>
      <c r="AW898" s="90"/>
      <c r="AX898" s="90"/>
      <c r="AY898" s="93"/>
      <c r="AZ898" s="93"/>
      <c r="BA898" s="92"/>
      <c r="BB898" s="92"/>
      <c r="BC898" s="92"/>
      <c r="BD898" s="92"/>
      <c r="BE898" s="92"/>
      <c r="BF898" s="92"/>
      <c r="BG898" s="94"/>
      <c r="BH898" s="94"/>
      <c r="BI898" s="94"/>
    </row>
    <row r="899">
      <c r="G899" s="95"/>
      <c r="H899" s="96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2"/>
      <c r="AJ899" s="92"/>
      <c r="AK899" s="92"/>
      <c r="AL899" s="92"/>
      <c r="AM899" s="92"/>
      <c r="AN899" s="92"/>
      <c r="AO899" s="92"/>
      <c r="AP899" s="93"/>
      <c r="AQ899" s="93"/>
      <c r="AR899" s="91"/>
      <c r="AS899" s="91"/>
      <c r="AT899" s="91"/>
      <c r="AU899" s="91"/>
      <c r="AV899" s="91"/>
      <c r="AW899" s="90"/>
      <c r="AX899" s="90"/>
      <c r="AY899" s="93"/>
      <c r="AZ899" s="93"/>
      <c r="BA899" s="92"/>
      <c r="BB899" s="92"/>
      <c r="BC899" s="92"/>
      <c r="BD899" s="92"/>
      <c r="BE899" s="92"/>
      <c r="BF899" s="92"/>
      <c r="BG899" s="94"/>
      <c r="BH899" s="94"/>
      <c r="BI899" s="94"/>
    </row>
    <row r="900">
      <c r="G900" s="95"/>
      <c r="H900" s="96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2"/>
      <c r="AJ900" s="92"/>
      <c r="AK900" s="92"/>
      <c r="AL900" s="92"/>
      <c r="AM900" s="92"/>
      <c r="AN900" s="92"/>
      <c r="AO900" s="92"/>
      <c r="AP900" s="93"/>
      <c r="AQ900" s="93"/>
      <c r="AR900" s="91"/>
      <c r="AS900" s="91"/>
      <c r="AT900" s="91"/>
      <c r="AU900" s="91"/>
      <c r="AV900" s="91"/>
      <c r="AW900" s="90"/>
      <c r="AX900" s="90"/>
      <c r="AY900" s="93"/>
      <c r="AZ900" s="93"/>
      <c r="BA900" s="92"/>
      <c r="BB900" s="92"/>
      <c r="BC900" s="92"/>
      <c r="BD900" s="92"/>
      <c r="BE900" s="92"/>
      <c r="BF900" s="92"/>
      <c r="BG900" s="94"/>
      <c r="BH900" s="94"/>
      <c r="BI900" s="94"/>
    </row>
    <row r="901">
      <c r="G901" s="95"/>
      <c r="H901" s="96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2"/>
      <c r="AJ901" s="92"/>
      <c r="AK901" s="92"/>
      <c r="AL901" s="92"/>
      <c r="AM901" s="92"/>
      <c r="AN901" s="92"/>
      <c r="AO901" s="92"/>
      <c r="AP901" s="93"/>
      <c r="AQ901" s="93"/>
      <c r="AR901" s="91"/>
      <c r="AS901" s="91"/>
      <c r="AT901" s="91"/>
      <c r="AU901" s="91"/>
      <c r="AV901" s="91"/>
      <c r="AW901" s="90"/>
      <c r="AX901" s="90"/>
      <c r="AY901" s="93"/>
      <c r="AZ901" s="93"/>
      <c r="BA901" s="92"/>
      <c r="BB901" s="92"/>
      <c r="BC901" s="92"/>
      <c r="BD901" s="92"/>
      <c r="BE901" s="92"/>
      <c r="BF901" s="92"/>
      <c r="BG901" s="94"/>
      <c r="BH901" s="94"/>
      <c r="BI901" s="94"/>
    </row>
    <row r="902">
      <c r="G902" s="95"/>
      <c r="H902" s="96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2"/>
      <c r="AJ902" s="92"/>
      <c r="AK902" s="92"/>
      <c r="AL902" s="92"/>
      <c r="AM902" s="92"/>
      <c r="AN902" s="92"/>
      <c r="AO902" s="92"/>
      <c r="AP902" s="93"/>
      <c r="AQ902" s="93"/>
      <c r="AR902" s="91"/>
      <c r="AS902" s="91"/>
      <c r="AT902" s="91"/>
      <c r="AU902" s="91"/>
      <c r="AV902" s="91"/>
      <c r="AW902" s="90"/>
      <c r="AX902" s="90"/>
      <c r="AY902" s="93"/>
      <c r="AZ902" s="93"/>
      <c r="BA902" s="92"/>
      <c r="BB902" s="92"/>
      <c r="BC902" s="92"/>
      <c r="BD902" s="92"/>
      <c r="BE902" s="92"/>
      <c r="BF902" s="92"/>
      <c r="BG902" s="94"/>
      <c r="BH902" s="94"/>
      <c r="BI902" s="94"/>
    </row>
    <row r="903">
      <c r="G903" s="95"/>
      <c r="H903" s="96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2"/>
      <c r="AJ903" s="92"/>
      <c r="AK903" s="92"/>
      <c r="AL903" s="92"/>
      <c r="AM903" s="92"/>
      <c r="AN903" s="92"/>
      <c r="AO903" s="92"/>
      <c r="AP903" s="93"/>
      <c r="AQ903" s="93"/>
      <c r="AR903" s="91"/>
      <c r="AS903" s="91"/>
      <c r="AT903" s="91"/>
      <c r="AU903" s="91"/>
      <c r="AV903" s="91"/>
      <c r="AW903" s="90"/>
      <c r="AX903" s="90"/>
      <c r="AY903" s="93"/>
      <c r="AZ903" s="93"/>
      <c r="BA903" s="92"/>
      <c r="BB903" s="92"/>
      <c r="BC903" s="92"/>
      <c r="BD903" s="92"/>
      <c r="BE903" s="92"/>
      <c r="BF903" s="92"/>
      <c r="BG903" s="94"/>
      <c r="BH903" s="94"/>
      <c r="BI903" s="94"/>
    </row>
    <row r="904">
      <c r="G904" s="95"/>
      <c r="H904" s="96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2"/>
      <c r="AJ904" s="92"/>
      <c r="AK904" s="92"/>
      <c r="AL904" s="92"/>
      <c r="AM904" s="92"/>
      <c r="AN904" s="92"/>
      <c r="AO904" s="92"/>
      <c r="AP904" s="93"/>
      <c r="AQ904" s="93"/>
      <c r="AR904" s="91"/>
      <c r="AS904" s="91"/>
      <c r="AT904" s="91"/>
      <c r="AU904" s="91"/>
      <c r="AV904" s="91"/>
      <c r="AW904" s="90"/>
      <c r="AX904" s="90"/>
      <c r="AY904" s="93"/>
      <c r="AZ904" s="93"/>
      <c r="BA904" s="92"/>
      <c r="BB904" s="92"/>
      <c r="BC904" s="92"/>
      <c r="BD904" s="92"/>
      <c r="BE904" s="92"/>
      <c r="BF904" s="92"/>
      <c r="BG904" s="94"/>
      <c r="BH904" s="94"/>
      <c r="BI904" s="94"/>
    </row>
    <row r="905">
      <c r="G905" s="95"/>
      <c r="H905" s="96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2"/>
      <c r="AJ905" s="92"/>
      <c r="AK905" s="92"/>
      <c r="AL905" s="92"/>
      <c r="AM905" s="92"/>
      <c r="AN905" s="92"/>
      <c r="AO905" s="92"/>
      <c r="AP905" s="93"/>
      <c r="AQ905" s="93"/>
      <c r="AR905" s="91"/>
      <c r="AS905" s="91"/>
      <c r="AT905" s="91"/>
      <c r="AU905" s="91"/>
      <c r="AV905" s="91"/>
      <c r="AW905" s="90"/>
      <c r="AX905" s="90"/>
      <c r="AY905" s="93"/>
      <c r="AZ905" s="93"/>
      <c r="BA905" s="92"/>
      <c r="BB905" s="92"/>
      <c r="BC905" s="92"/>
      <c r="BD905" s="92"/>
      <c r="BE905" s="92"/>
      <c r="BF905" s="92"/>
      <c r="BG905" s="94"/>
      <c r="BH905" s="94"/>
      <c r="BI905" s="94"/>
    </row>
    <row r="906">
      <c r="G906" s="95"/>
      <c r="H906" s="96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2"/>
      <c r="AJ906" s="92"/>
      <c r="AK906" s="92"/>
      <c r="AL906" s="92"/>
      <c r="AM906" s="92"/>
      <c r="AN906" s="92"/>
      <c r="AO906" s="92"/>
      <c r="AP906" s="93"/>
      <c r="AQ906" s="93"/>
      <c r="AR906" s="91"/>
      <c r="AS906" s="91"/>
      <c r="AT906" s="91"/>
      <c r="AU906" s="91"/>
      <c r="AV906" s="91"/>
      <c r="AW906" s="90"/>
      <c r="AX906" s="90"/>
      <c r="AY906" s="93"/>
      <c r="AZ906" s="93"/>
      <c r="BA906" s="92"/>
      <c r="BB906" s="92"/>
      <c r="BC906" s="92"/>
      <c r="BD906" s="92"/>
      <c r="BE906" s="92"/>
      <c r="BF906" s="92"/>
      <c r="BG906" s="94"/>
      <c r="BH906" s="94"/>
      <c r="BI906" s="94"/>
    </row>
    <row r="907">
      <c r="G907" s="95"/>
      <c r="H907" s="96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2"/>
      <c r="AJ907" s="92"/>
      <c r="AK907" s="92"/>
      <c r="AL907" s="92"/>
      <c r="AM907" s="92"/>
      <c r="AN907" s="92"/>
      <c r="AO907" s="92"/>
      <c r="AP907" s="93"/>
      <c r="AQ907" s="93"/>
      <c r="AR907" s="91"/>
      <c r="AS907" s="91"/>
      <c r="AT907" s="91"/>
      <c r="AU907" s="91"/>
      <c r="AV907" s="91"/>
      <c r="AW907" s="90"/>
      <c r="AX907" s="90"/>
      <c r="AY907" s="93"/>
      <c r="AZ907" s="93"/>
      <c r="BA907" s="92"/>
      <c r="BB907" s="92"/>
      <c r="BC907" s="92"/>
      <c r="BD907" s="92"/>
      <c r="BE907" s="92"/>
      <c r="BF907" s="92"/>
      <c r="BG907" s="94"/>
      <c r="BH907" s="94"/>
      <c r="BI907" s="94"/>
    </row>
    <row r="908">
      <c r="G908" s="95"/>
      <c r="H908" s="96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2"/>
      <c r="AJ908" s="92"/>
      <c r="AK908" s="92"/>
      <c r="AL908" s="92"/>
      <c r="AM908" s="92"/>
      <c r="AN908" s="92"/>
      <c r="AO908" s="92"/>
      <c r="AP908" s="93"/>
      <c r="AQ908" s="93"/>
      <c r="AR908" s="91"/>
      <c r="AS908" s="91"/>
      <c r="AT908" s="91"/>
      <c r="AU908" s="91"/>
      <c r="AV908" s="91"/>
      <c r="AW908" s="90"/>
      <c r="AX908" s="90"/>
      <c r="AY908" s="93"/>
      <c r="AZ908" s="93"/>
      <c r="BA908" s="92"/>
      <c r="BB908" s="92"/>
      <c r="BC908" s="92"/>
      <c r="BD908" s="92"/>
      <c r="BE908" s="92"/>
      <c r="BF908" s="92"/>
      <c r="BG908" s="94"/>
      <c r="BH908" s="94"/>
      <c r="BI908" s="94"/>
    </row>
    <row r="909">
      <c r="G909" s="95"/>
      <c r="H909" s="96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2"/>
      <c r="AJ909" s="92"/>
      <c r="AK909" s="92"/>
      <c r="AL909" s="92"/>
      <c r="AM909" s="92"/>
      <c r="AN909" s="92"/>
      <c r="AO909" s="92"/>
      <c r="AP909" s="93"/>
      <c r="AQ909" s="93"/>
      <c r="AR909" s="91"/>
      <c r="AS909" s="91"/>
      <c r="AT909" s="91"/>
      <c r="AU909" s="91"/>
      <c r="AV909" s="91"/>
      <c r="AW909" s="90"/>
      <c r="AX909" s="90"/>
      <c r="AY909" s="93"/>
      <c r="AZ909" s="93"/>
      <c r="BA909" s="92"/>
      <c r="BB909" s="92"/>
      <c r="BC909" s="92"/>
      <c r="BD909" s="92"/>
      <c r="BE909" s="92"/>
      <c r="BF909" s="92"/>
      <c r="BG909" s="94"/>
      <c r="BH909" s="94"/>
      <c r="BI909" s="94"/>
    </row>
    <row r="910">
      <c r="G910" s="95"/>
      <c r="H910" s="96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2"/>
      <c r="AJ910" s="92"/>
      <c r="AK910" s="92"/>
      <c r="AL910" s="92"/>
      <c r="AM910" s="92"/>
      <c r="AN910" s="92"/>
      <c r="AO910" s="92"/>
      <c r="AP910" s="93"/>
      <c r="AQ910" s="93"/>
      <c r="AR910" s="91"/>
      <c r="AS910" s="91"/>
      <c r="AT910" s="91"/>
      <c r="AU910" s="91"/>
      <c r="AV910" s="91"/>
      <c r="AW910" s="90"/>
      <c r="AX910" s="90"/>
      <c r="AY910" s="93"/>
      <c r="AZ910" s="93"/>
      <c r="BA910" s="92"/>
      <c r="BB910" s="92"/>
      <c r="BC910" s="92"/>
      <c r="BD910" s="92"/>
      <c r="BE910" s="92"/>
      <c r="BF910" s="92"/>
      <c r="BG910" s="94"/>
      <c r="BH910" s="94"/>
      <c r="BI910" s="94"/>
    </row>
    <row r="911">
      <c r="G911" s="95"/>
      <c r="H911" s="96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2"/>
      <c r="AJ911" s="92"/>
      <c r="AK911" s="92"/>
      <c r="AL911" s="92"/>
      <c r="AM911" s="92"/>
      <c r="AN911" s="92"/>
      <c r="AO911" s="92"/>
      <c r="AP911" s="93"/>
      <c r="AQ911" s="93"/>
      <c r="AR911" s="91"/>
      <c r="AS911" s="91"/>
      <c r="AT911" s="91"/>
      <c r="AU911" s="91"/>
      <c r="AV911" s="91"/>
      <c r="AW911" s="90"/>
      <c r="AX911" s="90"/>
      <c r="AY911" s="93"/>
      <c r="AZ911" s="93"/>
      <c r="BA911" s="92"/>
      <c r="BB911" s="92"/>
      <c r="BC911" s="92"/>
      <c r="BD911" s="92"/>
      <c r="BE911" s="92"/>
      <c r="BF911" s="92"/>
      <c r="BG911" s="94"/>
      <c r="BH911" s="94"/>
      <c r="BI911" s="94"/>
    </row>
    <row r="912">
      <c r="G912" s="95"/>
      <c r="H912" s="96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2"/>
      <c r="AJ912" s="92"/>
      <c r="AK912" s="92"/>
      <c r="AL912" s="92"/>
      <c r="AM912" s="92"/>
      <c r="AN912" s="92"/>
      <c r="AO912" s="92"/>
      <c r="AP912" s="93"/>
      <c r="AQ912" s="93"/>
      <c r="AR912" s="91"/>
      <c r="AS912" s="91"/>
      <c r="AT912" s="91"/>
      <c r="AU912" s="91"/>
      <c r="AV912" s="91"/>
      <c r="AW912" s="90"/>
      <c r="AX912" s="90"/>
      <c r="AY912" s="93"/>
      <c r="AZ912" s="93"/>
      <c r="BA912" s="92"/>
      <c r="BB912" s="92"/>
      <c r="BC912" s="92"/>
      <c r="BD912" s="92"/>
      <c r="BE912" s="92"/>
      <c r="BF912" s="92"/>
      <c r="BG912" s="94"/>
      <c r="BH912" s="94"/>
      <c r="BI912" s="94"/>
    </row>
    <row r="913">
      <c r="G913" s="95"/>
      <c r="H913" s="96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2"/>
      <c r="AJ913" s="92"/>
      <c r="AK913" s="92"/>
      <c r="AL913" s="92"/>
      <c r="AM913" s="92"/>
      <c r="AN913" s="92"/>
      <c r="AO913" s="92"/>
      <c r="AP913" s="93"/>
      <c r="AQ913" s="93"/>
      <c r="AR913" s="91"/>
      <c r="AS913" s="91"/>
      <c r="AT913" s="91"/>
      <c r="AU913" s="91"/>
      <c r="AV913" s="91"/>
      <c r="AW913" s="90"/>
      <c r="AX913" s="90"/>
      <c r="AY913" s="93"/>
      <c r="AZ913" s="93"/>
      <c r="BA913" s="92"/>
      <c r="BB913" s="92"/>
      <c r="BC913" s="92"/>
      <c r="BD913" s="92"/>
      <c r="BE913" s="92"/>
      <c r="BF913" s="92"/>
      <c r="BG913" s="94"/>
      <c r="BH913" s="94"/>
      <c r="BI913" s="94"/>
    </row>
    <row r="914">
      <c r="G914" s="95"/>
      <c r="H914" s="96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2"/>
      <c r="AJ914" s="92"/>
      <c r="AK914" s="92"/>
      <c r="AL914" s="92"/>
      <c r="AM914" s="92"/>
      <c r="AN914" s="92"/>
      <c r="AO914" s="92"/>
      <c r="AP914" s="93"/>
      <c r="AQ914" s="93"/>
      <c r="AR914" s="91"/>
      <c r="AS914" s="91"/>
      <c r="AT914" s="91"/>
      <c r="AU914" s="91"/>
      <c r="AV914" s="91"/>
      <c r="AW914" s="90"/>
      <c r="AX914" s="90"/>
      <c r="AY914" s="93"/>
      <c r="AZ914" s="93"/>
      <c r="BA914" s="92"/>
      <c r="BB914" s="92"/>
      <c r="BC914" s="92"/>
      <c r="BD914" s="92"/>
      <c r="BE914" s="92"/>
      <c r="BF914" s="92"/>
      <c r="BG914" s="94"/>
      <c r="BH914" s="94"/>
      <c r="BI914" s="94"/>
    </row>
    <row r="915">
      <c r="G915" s="95"/>
      <c r="H915" s="96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2"/>
      <c r="AJ915" s="92"/>
      <c r="AK915" s="92"/>
      <c r="AL915" s="92"/>
      <c r="AM915" s="92"/>
      <c r="AN915" s="92"/>
      <c r="AO915" s="92"/>
      <c r="AP915" s="93"/>
      <c r="AQ915" s="93"/>
      <c r="AR915" s="91"/>
      <c r="AS915" s="91"/>
      <c r="AT915" s="91"/>
      <c r="AU915" s="91"/>
      <c r="AV915" s="91"/>
      <c r="AW915" s="90"/>
      <c r="AX915" s="90"/>
      <c r="AY915" s="93"/>
      <c r="AZ915" s="93"/>
      <c r="BA915" s="92"/>
      <c r="BB915" s="92"/>
      <c r="BC915" s="92"/>
      <c r="BD915" s="92"/>
      <c r="BE915" s="92"/>
      <c r="BF915" s="92"/>
      <c r="BG915" s="94"/>
      <c r="BH915" s="94"/>
      <c r="BI915" s="94"/>
    </row>
    <row r="916">
      <c r="G916" s="95"/>
      <c r="H916" s="96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2"/>
      <c r="AJ916" s="92"/>
      <c r="AK916" s="92"/>
      <c r="AL916" s="92"/>
      <c r="AM916" s="92"/>
      <c r="AN916" s="92"/>
      <c r="AO916" s="92"/>
      <c r="AP916" s="93"/>
      <c r="AQ916" s="93"/>
      <c r="AR916" s="91"/>
      <c r="AS916" s="91"/>
      <c r="AT916" s="91"/>
      <c r="AU916" s="91"/>
      <c r="AV916" s="91"/>
      <c r="AW916" s="90"/>
      <c r="AX916" s="90"/>
      <c r="AY916" s="93"/>
      <c r="AZ916" s="93"/>
      <c r="BA916" s="92"/>
      <c r="BB916" s="92"/>
      <c r="BC916" s="92"/>
      <c r="BD916" s="92"/>
      <c r="BE916" s="92"/>
      <c r="BF916" s="92"/>
      <c r="BG916" s="94"/>
      <c r="BH916" s="94"/>
      <c r="BI916" s="94"/>
    </row>
    <row r="917">
      <c r="G917" s="95"/>
      <c r="H917" s="96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2"/>
      <c r="AJ917" s="92"/>
      <c r="AK917" s="92"/>
      <c r="AL917" s="92"/>
      <c r="AM917" s="92"/>
      <c r="AN917" s="92"/>
      <c r="AO917" s="92"/>
      <c r="AP917" s="93"/>
      <c r="AQ917" s="93"/>
      <c r="AR917" s="91"/>
      <c r="AS917" s="91"/>
      <c r="AT917" s="91"/>
      <c r="AU917" s="91"/>
      <c r="AV917" s="91"/>
      <c r="AW917" s="90"/>
      <c r="AX917" s="90"/>
      <c r="AY917" s="93"/>
      <c r="AZ917" s="93"/>
      <c r="BA917" s="92"/>
      <c r="BB917" s="92"/>
      <c r="BC917" s="92"/>
      <c r="BD917" s="92"/>
      <c r="BE917" s="92"/>
      <c r="BF917" s="92"/>
      <c r="BG917" s="94"/>
      <c r="BH917" s="94"/>
      <c r="BI917" s="94"/>
    </row>
    <row r="918">
      <c r="G918" s="95"/>
      <c r="H918" s="96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2"/>
      <c r="AJ918" s="92"/>
      <c r="AK918" s="92"/>
      <c r="AL918" s="92"/>
      <c r="AM918" s="92"/>
      <c r="AN918" s="92"/>
      <c r="AO918" s="92"/>
      <c r="AP918" s="93"/>
      <c r="AQ918" s="93"/>
      <c r="AR918" s="91"/>
      <c r="AS918" s="91"/>
      <c r="AT918" s="91"/>
      <c r="AU918" s="91"/>
      <c r="AV918" s="91"/>
      <c r="AW918" s="90"/>
      <c r="AX918" s="90"/>
      <c r="AY918" s="93"/>
      <c r="AZ918" s="93"/>
      <c r="BA918" s="92"/>
      <c r="BB918" s="92"/>
      <c r="BC918" s="92"/>
      <c r="BD918" s="92"/>
      <c r="BE918" s="92"/>
      <c r="BF918" s="92"/>
      <c r="BG918" s="94"/>
      <c r="BH918" s="94"/>
      <c r="BI918" s="94"/>
    </row>
    <row r="919">
      <c r="G919" s="95"/>
      <c r="H919" s="96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2"/>
      <c r="AJ919" s="92"/>
      <c r="AK919" s="92"/>
      <c r="AL919" s="92"/>
      <c r="AM919" s="92"/>
      <c r="AN919" s="92"/>
      <c r="AO919" s="92"/>
      <c r="AP919" s="93"/>
      <c r="AQ919" s="93"/>
      <c r="AR919" s="91"/>
      <c r="AS919" s="91"/>
      <c r="AT919" s="91"/>
      <c r="AU919" s="91"/>
      <c r="AV919" s="91"/>
      <c r="AW919" s="90"/>
      <c r="AX919" s="90"/>
      <c r="AY919" s="93"/>
      <c r="AZ919" s="93"/>
      <c r="BA919" s="92"/>
      <c r="BB919" s="92"/>
      <c r="BC919" s="92"/>
      <c r="BD919" s="92"/>
      <c r="BE919" s="92"/>
      <c r="BF919" s="92"/>
      <c r="BG919" s="94"/>
      <c r="BH919" s="94"/>
      <c r="BI919" s="94"/>
    </row>
    <row r="920">
      <c r="G920" s="95"/>
      <c r="H920" s="96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2"/>
      <c r="AJ920" s="92"/>
      <c r="AK920" s="92"/>
      <c r="AL920" s="92"/>
      <c r="AM920" s="92"/>
      <c r="AN920" s="92"/>
      <c r="AO920" s="92"/>
      <c r="AP920" s="93"/>
      <c r="AQ920" s="93"/>
      <c r="AR920" s="91"/>
      <c r="AS920" s="91"/>
      <c r="AT920" s="91"/>
      <c r="AU920" s="91"/>
      <c r="AV920" s="91"/>
      <c r="AW920" s="90"/>
      <c r="AX920" s="90"/>
      <c r="AY920" s="93"/>
      <c r="AZ920" s="93"/>
      <c r="BA920" s="92"/>
      <c r="BB920" s="92"/>
      <c r="BC920" s="92"/>
      <c r="BD920" s="92"/>
      <c r="BE920" s="92"/>
      <c r="BF920" s="92"/>
      <c r="BG920" s="94"/>
      <c r="BH920" s="94"/>
      <c r="BI920" s="94"/>
    </row>
    <row r="921">
      <c r="G921" s="95"/>
      <c r="H921" s="96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2"/>
      <c r="AJ921" s="92"/>
      <c r="AK921" s="92"/>
      <c r="AL921" s="92"/>
      <c r="AM921" s="92"/>
      <c r="AN921" s="92"/>
      <c r="AO921" s="92"/>
      <c r="AP921" s="93"/>
      <c r="AQ921" s="93"/>
      <c r="AR921" s="91"/>
      <c r="AS921" s="91"/>
      <c r="AT921" s="91"/>
      <c r="AU921" s="91"/>
      <c r="AV921" s="91"/>
      <c r="AW921" s="90"/>
      <c r="AX921" s="90"/>
      <c r="AY921" s="93"/>
      <c r="AZ921" s="93"/>
      <c r="BA921" s="92"/>
      <c r="BB921" s="92"/>
      <c r="BC921" s="92"/>
      <c r="BD921" s="92"/>
      <c r="BE921" s="92"/>
      <c r="BF921" s="92"/>
      <c r="BG921" s="94"/>
      <c r="BH921" s="94"/>
      <c r="BI921" s="94"/>
    </row>
    <row r="922">
      <c r="G922" s="95"/>
      <c r="H922" s="96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2"/>
      <c r="AJ922" s="92"/>
      <c r="AK922" s="92"/>
      <c r="AL922" s="92"/>
      <c r="AM922" s="92"/>
      <c r="AN922" s="92"/>
      <c r="AO922" s="92"/>
      <c r="AP922" s="93"/>
      <c r="AQ922" s="93"/>
      <c r="AR922" s="91"/>
      <c r="AS922" s="91"/>
      <c r="AT922" s="91"/>
      <c r="AU922" s="91"/>
      <c r="AV922" s="91"/>
      <c r="AW922" s="90"/>
      <c r="AX922" s="90"/>
      <c r="AY922" s="93"/>
      <c r="AZ922" s="93"/>
      <c r="BA922" s="92"/>
      <c r="BB922" s="92"/>
      <c r="BC922" s="92"/>
      <c r="BD922" s="92"/>
      <c r="BE922" s="92"/>
      <c r="BF922" s="92"/>
      <c r="BG922" s="94"/>
      <c r="BH922" s="94"/>
      <c r="BI922" s="94"/>
    </row>
    <row r="923">
      <c r="G923" s="95"/>
      <c r="H923" s="96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2"/>
      <c r="AJ923" s="92"/>
      <c r="AK923" s="92"/>
      <c r="AL923" s="92"/>
      <c r="AM923" s="92"/>
      <c r="AN923" s="92"/>
      <c r="AO923" s="92"/>
      <c r="AP923" s="93"/>
      <c r="AQ923" s="93"/>
      <c r="AR923" s="91"/>
      <c r="AS923" s="91"/>
      <c r="AT923" s="91"/>
      <c r="AU923" s="91"/>
      <c r="AV923" s="91"/>
      <c r="AW923" s="90"/>
      <c r="AX923" s="90"/>
      <c r="AY923" s="93"/>
      <c r="AZ923" s="93"/>
      <c r="BA923" s="92"/>
      <c r="BB923" s="92"/>
      <c r="BC923" s="92"/>
      <c r="BD923" s="92"/>
      <c r="BE923" s="92"/>
      <c r="BF923" s="92"/>
      <c r="BG923" s="94"/>
      <c r="BH923" s="94"/>
      <c r="BI923" s="94"/>
    </row>
    <row r="924">
      <c r="G924" s="95"/>
      <c r="H924" s="96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2"/>
      <c r="AJ924" s="92"/>
      <c r="AK924" s="92"/>
      <c r="AL924" s="92"/>
      <c r="AM924" s="92"/>
      <c r="AN924" s="92"/>
      <c r="AO924" s="92"/>
      <c r="AP924" s="93"/>
      <c r="AQ924" s="93"/>
      <c r="AR924" s="91"/>
      <c r="AS924" s="91"/>
      <c r="AT924" s="91"/>
      <c r="AU924" s="91"/>
      <c r="AV924" s="91"/>
      <c r="AW924" s="90"/>
      <c r="AX924" s="90"/>
      <c r="AY924" s="93"/>
      <c r="AZ924" s="93"/>
      <c r="BA924" s="92"/>
      <c r="BB924" s="92"/>
      <c r="BC924" s="92"/>
      <c r="BD924" s="92"/>
      <c r="BE924" s="92"/>
      <c r="BF924" s="92"/>
      <c r="BG924" s="94"/>
      <c r="BH924" s="94"/>
      <c r="BI924" s="94"/>
    </row>
    <row r="925">
      <c r="G925" s="95"/>
      <c r="H925" s="96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2"/>
      <c r="AJ925" s="92"/>
      <c r="AK925" s="92"/>
      <c r="AL925" s="92"/>
      <c r="AM925" s="92"/>
      <c r="AN925" s="92"/>
      <c r="AO925" s="92"/>
      <c r="AP925" s="93"/>
      <c r="AQ925" s="93"/>
      <c r="AR925" s="91"/>
      <c r="AS925" s="91"/>
      <c r="AT925" s="91"/>
      <c r="AU925" s="91"/>
      <c r="AV925" s="91"/>
      <c r="AW925" s="90"/>
      <c r="AX925" s="90"/>
      <c r="AY925" s="93"/>
      <c r="AZ925" s="93"/>
      <c r="BA925" s="92"/>
      <c r="BB925" s="92"/>
      <c r="BC925" s="92"/>
      <c r="BD925" s="92"/>
      <c r="BE925" s="92"/>
      <c r="BF925" s="92"/>
      <c r="BG925" s="94"/>
      <c r="BH925" s="94"/>
      <c r="BI925" s="94"/>
    </row>
    <row r="926">
      <c r="G926" s="95"/>
      <c r="H926" s="96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2"/>
      <c r="AJ926" s="92"/>
      <c r="AK926" s="92"/>
      <c r="AL926" s="92"/>
      <c r="AM926" s="92"/>
      <c r="AN926" s="92"/>
      <c r="AO926" s="92"/>
      <c r="AP926" s="93"/>
      <c r="AQ926" s="93"/>
      <c r="AR926" s="91"/>
      <c r="AS926" s="91"/>
      <c r="AT926" s="91"/>
      <c r="AU926" s="91"/>
      <c r="AV926" s="91"/>
      <c r="AW926" s="90"/>
      <c r="AX926" s="90"/>
      <c r="AY926" s="93"/>
      <c r="AZ926" s="93"/>
      <c r="BA926" s="92"/>
      <c r="BB926" s="92"/>
      <c r="BC926" s="92"/>
      <c r="BD926" s="92"/>
      <c r="BE926" s="92"/>
      <c r="BF926" s="92"/>
      <c r="BG926" s="94"/>
      <c r="BH926" s="94"/>
      <c r="BI926" s="94"/>
    </row>
    <row r="927">
      <c r="G927" s="95"/>
      <c r="H927" s="96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2"/>
      <c r="AJ927" s="92"/>
      <c r="AK927" s="92"/>
      <c r="AL927" s="92"/>
      <c r="AM927" s="92"/>
      <c r="AN927" s="92"/>
      <c r="AO927" s="92"/>
      <c r="AP927" s="93"/>
      <c r="AQ927" s="93"/>
      <c r="AR927" s="91"/>
      <c r="AS927" s="91"/>
      <c r="AT927" s="91"/>
      <c r="AU927" s="91"/>
      <c r="AV927" s="91"/>
      <c r="AW927" s="90"/>
      <c r="AX927" s="90"/>
      <c r="AY927" s="93"/>
      <c r="AZ927" s="93"/>
      <c r="BA927" s="92"/>
      <c r="BB927" s="92"/>
      <c r="BC927" s="92"/>
      <c r="BD927" s="92"/>
      <c r="BE927" s="92"/>
      <c r="BF927" s="92"/>
      <c r="BG927" s="94"/>
      <c r="BH927" s="94"/>
      <c r="BI927" s="94"/>
    </row>
    <row r="928">
      <c r="G928" s="95"/>
      <c r="H928" s="96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2"/>
      <c r="AJ928" s="92"/>
      <c r="AK928" s="92"/>
      <c r="AL928" s="92"/>
      <c r="AM928" s="92"/>
      <c r="AN928" s="92"/>
      <c r="AO928" s="92"/>
      <c r="AP928" s="93"/>
      <c r="AQ928" s="93"/>
      <c r="AR928" s="91"/>
      <c r="AS928" s="91"/>
      <c r="AT928" s="91"/>
      <c r="AU928" s="91"/>
      <c r="AV928" s="91"/>
      <c r="AW928" s="90"/>
      <c r="AX928" s="90"/>
      <c r="AY928" s="93"/>
      <c r="AZ928" s="93"/>
      <c r="BA928" s="92"/>
      <c r="BB928" s="92"/>
      <c r="BC928" s="92"/>
      <c r="BD928" s="92"/>
      <c r="BE928" s="92"/>
      <c r="BF928" s="92"/>
      <c r="BG928" s="94"/>
      <c r="BH928" s="94"/>
      <c r="BI928" s="94"/>
    </row>
    <row r="929">
      <c r="G929" s="95"/>
      <c r="H929" s="96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2"/>
      <c r="AJ929" s="92"/>
      <c r="AK929" s="92"/>
      <c r="AL929" s="92"/>
      <c r="AM929" s="92"/>
      <c r="AN929" s="92"/>
      <c r="AO929" s="92"/>
      <c r="AP929" s="93"/>
      <c r="AQ929" s="93"/>
      <c r="AR929" s="91"/>
      <c r="AS929" s="91"/>
      <c r="AT929" s="91"/>
      <c r="AU929" s="91"/>
      <c r="AV929" s="91"/>
      <c r="AW929" s="90"/>
      <c r="AX929" s="90"/>
      <c r="AY929" s="93"/>
      <c r="AZ929" s="93"/>
      <c r="BA929" s="92"/>
      <c r="BB929" s="92"/>
      <c r="BC929" s="92"/>
      <c r="BD929" s="92"/>
      <c r="BE929" s="92"/>
      <c r="BF929" s="92"/>
      <c r="BG929" s="94"/>
      <c r="BH929" s="94"/>
      <c r="BI929" s="94"/>
    </row>
    <row r="930">
      <c r="G930" s="95"/>
      <c r="H930" s="96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2"/>
      <c r="AJ930" s="92"/>
      <c r="AK930" s="92"/>
      <c r="AL930" s="92"/>
      <c r="AM930" s="92"/>
      <c r="AN930" s="92"/>
      <c r="AO930" s="92"/>
      <c r="AP930" s="93"/>
      <c r="AQ930" s="93"/>
      <c r="AR930" s="91"/>
      <c r="AS930" s="91"/>
      <c r="AT930" s="91"/>
      <c r="AU930" s="91"/>
      <c r="AV930" s="91"/>
      <c r="AW930" s="90"/>
      <c r="AX930" s="90"/>
      <c r="AY930" s="93"/>
      <c r="AZ930" s="93"/>
      <c r="BA930" s="92"/>
      <c r="BB930" s="92"/>
      <c r="BC930" s="92"/>
      <c r="BD930" s="92"/>
      <c r="BE930" s="92"/>
      <c r="BF930" s="92"/>
      <c r="BG930" s="94"/>
      <c r="BH930" s="94"/>
      <c r="BI930" s="94"/>
    </row>
    <row r="931">
      <c r="G931" s="95"/>
      <c r="H931" s="96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2"/>
      <c r="AJ931" s="92"/>
      <c r="AK931" s="92"/>
      <c r="AL931" s="92"/>
      <c r="AM931" s="92"/>
      <c r="AN931" s="92"/>
      <c r="AO931" s="92"/>
      <c r="AP931" s="93"/>
      <c r="AQ931" s="93"/>
      <c r="AR931" s="91"/>
      <c r="AS931" s="91"/>
      <c r="AT931" s="91"/>
      <c r="AU931" s="91"/>
      <c r="AV931" s="91"/>
      <c r="AW931" s="90"/>
      <c r="AX931" s="90"/>
      <c r="AY931" s="93"/>
      <c r="AZ931" s="93"/>
      <c r="BA931" s="92"/>
      <c r="BB931" s="92"/>
      <c r="BC931" s="92"/>
      <c r="BD931" s="92"/>
      <c r="BE931" s="92"/>
      <c r="BF931" s="92"/>
      <c r="BG931" s="94"/>
      <c r="BH931" s="94"/>
      <c r="BI931" s="94"/>
    </row>
    <row r="932">
      <c r="G932" s="95"/>
      <c r="H932" s="96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2"/>
      <c r="AJ932" s="92"/>
      <c r="AK932" s="92"/>
      <c r="AL932" s="92"/>
      <c r="AM932" s="92"/>
      <c r="AN932" s="92"/>
      <c r="AO932" s="92"/>
      <c r="AP932" s="93"/>
      <c r="AQ932" s="93"/>
      <c r="AR932" s="91"/>
      <c r="AS932" s="91"/>
      <c r="AT932" s="91"/>
      <c r="AU932" s="91"/>
      <c r="AV932" s="91"/>
      <c r="AW932" s="90"/>
      <c r="AX932" s="90"/>
      <c r="AY932" s="93"/>
      <c r="AZ932" s="93"/>
      <c r="BA932" s="92"/>
      <c r="BB932" s="92"/>
      <c r="BC932" s="92"/>
      <c r="BD932" s="92"/>
      <c r="BE932" s="92"/>
      <c r="BF932" s="92"/>
      <c r="BG932" s="94"/>
      <c r="BH932" s="94"/>
      <c r="BI932" s="94"/>
    </row>
    <row r="933">
      <c r="G933" s="95"/>
      <c r="H933" s="96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2"/>
      <c r="AJ933" s="92"/>
      <c r="AK933" s="92"/>
      <c r="AL933" s="92"/>
      <c r="AM933" s="92"/>
      <c r="AN933" s="92"/>
      <c r="AO933" s="92"/>
      <c r="AP933" s="93"/>
      <c r="AQ933" s="93"/>
      <c r="AR933" s="91"/>
      <c r="AS933" s="91"/>
      <c r="AT933" s="91"/>
      <c r="AU933" s="91"/>
      <c r="AV933" s="91"/>
      <c r="AW933" s="90"/>
      <c r="AX933" s="90"/>
      <c r="AY933" s="93"/>
      <c r="AZ933" s="93"/>
      <c r="BA933" s="92"/>
      <c r="BB933" s="92"/>
      <c r="BC933" s="92"/>
      <c r="BD933" s="92"/>
      <c r="BE933" s="92"/>
      <c r="BF933" s="92"/>
      <c r="BG933" s="94"/>
      <c r="BH933" s="94"/>
      <c r="BI933" s="94"/>
    </row>
    <row r="934">
      <c r="G934" s="95"/>
      <c r="H934" s="96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2"/>
      <c r="AJ934" s="92"/>
      <c r="AK934" s="92"/>
      <c r="AL934" s="92"/>
      <c r="AM934" s="92"/>
      <c r="AN934" s="92"/>
      <c r="AO934" s="92"/>
      <c r="AP934" s="93"/>
      <c r="AQ934" s="93"/>
      <c r="AR934" s="91"/>
      <c r="AS934" s="91"/>
      <c r="AT934" s="91"/>
      <c r="AU934" s="91"/>
      <c r="AV934" s="91"/>
      <c r="AW934" s="90"/>
      <c r="AX934" s="90"/>
      <c r="AY934" s="93"/>
      <c r="AZ934" s="93"/>
      <c r="BA934" s="92"/>
      <c r="BB934" s="92"/>
      <c r="BC934" s="92"/>
      <c r="BD934" s="92"/>
      <c r="BE934" s="92"/>
      <c r="BF934" s="92"/>
      <c r="BG934" s="94"/>
      <c r="BH934" s="94"/>
      <c r="BI934" s="94"/>
    </row>
    <row r="935">
      <c r="G935" s="95"/>
      <c r="H935" s="96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2"/>
      <c r="AJ935" s="92"/>
      <c r="AK935" s="92"/>
      <c r="AL935" s="92"/>
      <c r="AM935" s="92"/>
      <c r="AN935" s="92"/>
      <c r="AO935" s="92"/>
      <c r="AP935" s="93"/>
      <c r="AQ935" s="93"/>
      <c r="AR935" s="91"/>
      <c r="AS935" s="91"/>
      <c r="AT935" s="91"/>
      <c r="AU935" s="91"/>
      <c r="AV935" s="91"/>
      <c r="AW935" s="90"/>
      <c r="AX935" s="90"/>
      <c r="AY935" s="93"/>
      <c r="AZ935" s="93"/>
      <c r="BA935" s="92"/>
      <c r="BB935" s="92"/>
      <c r="BC935" s="92"/>
      <c r="BD935" s="92"/>
      <c r="BE935" s="92"/>
      <c r="BF935" s="92"/>
      <c r="BG935" s="94"/>
      <c r="BH935" s="94"/>
      <c r="BI935" s="94"/>
    </row>
    <row r="936">
      <c r="G936" s="95"/>
      <c r="H936" s="96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2"/>
      <c r="AJ936" s="92"/>
      <c r="AK936" s="92"/>
      <c r="AL936" s="92"/>
      <c r="AM936" s="92"/>
      <c r="AN936" s="92"/>
      <c r="AO936" s="92"/>
      <c r="AP936" s="93"/>
      <c r="AQ936" s="93"/>
      <c r="AR936" s="91"/>
      <c r="AS936" s="91"/>
      <c r="AT936" s="91"/>
      <c r="AU936" s="91"/>
      <c r="AV936" s="91"/>
      <c r="AW936" s="90"/>
      <c r="AX936" s="90"/>
      <c r="AY936" s="93"/>
      <c r="AZ936" s="93"/>
      <c r="BA936" s="92"/>
      <c r="BB936" s="92"/>
      <c r="BC936" s="92"/>
      <c r="BD936" s="92"/>
      <c r="BE936" s="92"/>
      <c r="BF936" s="92"/>
      <c r="BG936" s="94"/>
      <c r="BH936" s="94"/>
      <c r="BI936" s="94"/>
    </row>
    <row r="937">
      <c r="G937" s="95"/>
      <c r="H937" s="96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2"/>
      <c r="AJ937" s="92"/>
      <c r="AK937" s="92"/>
      <c r="AL937" s="92"/>
      <c r="AM937" s="92"/>
      <c r="AN937" s="92"/>
      <c r="AO937" s="92"/>
      <c r="AP937" s="93"/>
      <c r="AQ937" s="93"/>
      <c r="AR937" s="91"/>
      <c r="AS937" s="91"/>
      <c r="AT937" s="91"/>
      <c r="AU937" s="91"/>
      <c r="AV937" s="91"/>
      <c r="AW937" s="90"/>
      <c r="AX937" s="90"/>
      <c r="AY937" s="93"/>
      <c r="AZ937" s="93"/>
      <c r="BA937" s="92"/>
      <c r="BB937" s="92"/>
      <c r="BC937" s="92"/>
      <c r="BD937" s="92"/>
      <c r="BE937" s="92"/>
      <c r="BF937" s="92"/>
      <c r="BG937" s="94"/>
      <c r="BH937" s="94"/>
      <c r="BI937" s="94"/>
    </row>
    <row r="938">
      <c r="G938" s="95"/>
      <c r="H938" s="96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2"/>
      <c r="AJ938" s="92"/>
      <c r="AK938" s="92"/>
      <c r="AL938" s="92"/>
      <c r="AM938" s="92"/>
      <c r="AN938" s="92"/>
      <c r="AO938" s="92"/>
      <c r="AP938" s="93"/>
      <c r="AQ938" s="93"/>
      <c r="AR938" s="91"/>
      <c r="AS938" s="91"/>
      <c r="AT938" s="91"/>
      <c r="AU938" s="91"/>
      <c r="AV938" s="91"/>
      <c r="AW938" s="90"/>
      <c r="AX938" s="90"/>
      <c r="AY938" s="93"/>
      <c r="AZ938" s="93"/>
      <c r="BA938" s="92"/>
      <c r="BB938" s="92"/>
      <c r="BC938" s="92"/>
      <c r="BD938" s="92"/>
      <c r="BE938" s="92"/>
      <c r="BF938" s="92"/>
      <c r="BG938" s="94"/>
      <c r="BH938" s="94"/>
      <c r="BI938" s="94"/>
    </row>
    <row r="939">
      <c r="G939" s="95"/>
      <c r="H939" s="96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2"/>
      <c r="AJ939" s="92"/>
      <c r="AK939" s="92"/>
      <c r="AL939" s="92"/>
      <c r="AM939" s="92"/>
      <c r="AN939" s="92"/>
      <c r="AO939" s="92"/>
      <c r="AP939" s="93"/>
      <c r="AQ939" s="93"/>
      <c r="AR939" s="91"/>
      <c r="AS939" s="91"/>
      <c r="AT939" s="91"/>
      <c r="AU939" s="91"/>
      <c r="AV939" s="91"/>
      <c r="AW939" s="90"/>
      <c r="AX939" s="90"/>
      <c r="AY939" s="93"/>
      <c r="AZ939" s="93"/>
      <c r="BA939" s="92"/>
      <c r="BB939" s="92"/>
      <c r="BC939" s="92"/>
      <c r="BD939" s="92"/>
      <c r="BE939" s="92"/>
      <c r="BF939" s="92"/>
      <c r="BG939" s="94"/>
      <c r="BH939" s="94"/>
      <c r="BI939" s="94"/>
    </row>
    <row r="940">
      <c r="G940" s="95"/>
      <c r="H940" s="96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2"/>
      <c r="AJ940" s="92"/>
      <c r="AK940" s="92"/>
      <c r="AL940" s="92"/>
      <c r="AM940" s="92"/>
      <c r="AN940" s="92"/>
      <c r="AO940" s="92"/>
      <c r="AP940" s="93"/>
      <c r="AQ940" s="93"/>
      <c r="AR940" s="91"/>
      <c r="AS940" s="91"/>
      <c r="AT940" s="91"/>
      <c r="AU940" s="91"/>
      <c r="AV940" s="91"/>
      <c r="AW940" s="90"/>
      <c r="AX940" s="90"/>
      <c r="AY940" s="93"/>
      <c r="AZ940" s="93"/>
      <c r="BA940" s="92"/>
      <c r="BB940" s="92"/>
      <c r="BC940" s="92"/>
      <c r="BD940" s="92"/>
      <c r="BE940" s="92"/>
      <c r="BF940" s="92"/>
      <c r="BG940" s="94"/>
      <c r="BH940" s="94"/>
      <c r="BI940" s="94"/>
    </row>
    <row r="941">
      <c r="G941" s="95"/>
      <c r="H941" s="96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2"/>
      <c r="AJ941" s="92"/>
      <c r="AK941" s="92"/>
      <c r="AL941" s="92"/>
      <c r="AM941" s="92"/>
      <c r="AN941" s="92"/>
      <c r="AO941" s="92"/>
      <c r="AP941" s="93"/>
      <c r="AQ941" s="93"/>
      <c r="AR941" s="91"/>
      <c r="AS941" s="91"/>
      <c r="AT941" s="91"/>
      <c r="AU941" s="91"/>
      <c r="AV941" s="91"/>
      <c r="AW941" s="90"/>
      <c r="AX941" s="90"/>
      <c r="AY941" s="93"/>
      <c r="AZ941" s="93"/>
      <c r="BA941" s="92"/>
      <c r="BB941" s="92"/>
      <c r="BC941" s="92"/>
      <c r="BD941" s="92"/>
      <c r="BE941" s="92"/>
      <c r="BF941" s="92"/>
      <c r="BG941" s="94"/>
      <c r="BH941" s="94"/>
      <c r="BI941" s="94"/>
    </row>
    <row r="942">
      <c r="G942" s="95"/>
      <c r="H942" s="96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2"/>
      <c r="AJ942" s="92"/>
      <c r="AK942" s="92"/>
      <c r="AL942" s="92"/>
      <c r="AM942" s="92"/>
      <c r="AN942" s="92"/>
      <c r="AO942" s="92"/>
      <c r="AP942" s="93"/>
      <c r="AQ942" s="93"/>
      <c r="AR942" s="91"/>
      <c r="AS942" s="91"/>
      <c r="AT942" s="91"/>
      <c r="AU942" s="91"/>
      <c r="AV942" s="91"/>
      <c r="AW942" s="90"/>
      <c r="AX942" s="90"/>
      <c r="AY942" s="93"/>
      <c r="AZ942" s="93"/>
      <c r="BA942" s="92"/>
      <c r="BB942" s="92"/>
      <c r="BC942" s="92"/>
      <c r="BD942" s="92"/>
      <c r="BE942" s="92"/>
      <c r="BF942" s="92"/>
      <c r="BG942" s="94"/>
      <c r="BH942" s="94"/>
      <c r="BI942" s="94"/>
    </row>
    <row r="943">
      <c r="G943" s="95"/>
      <c r="H943" s="96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2"/>
      <c r="AJ943" s="92"/>
      <c r="AK943" s="92"/>
      <c r="AL943" s="92"/>
      <c r="AM943" s="92"/>
      <c r="AN943" s="92"/>
      <c r="AO943" s="92"/>
      <c r="AP943" s="93"/>
      <c r="AQ943" s="93"/>
      <c r="AR943" s="91"/>
      <c r="AS943" s="91"/>
      <c r="AT943" s="91"/>
      <c r="AU943" s="91"/>
      <c r="AV943" s="91"/>
      <c r="AW943" s="90"/>
      <c r="AX943" s="90"/>
      <c r="AY943" s="93"/>
      <c r="AZ943" s="93"/>
      <c r="BA943" s="92"/>
      <c r="BB943" s="92"/>
      <c r="BC943" s="92"/>
      <c r="BD943" s="92"/>
      <c r="BE943" s="92"/>
      <c r="BF943" s="92"/>
      <c r="BG943" s="94"/>
      <c r="BH943" s="94"/>
      <c r="BI943" s="94"/>
    </row>
    <row r="944">
      <c r="G944" s="95"/>
      <c r="H944" s="96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2"/>
      <c r="AJ944" s="92"/>
      <c r="AK944" s="92"/>
      <c r="AL944" s="92"/>
      <c r="AM944" s="92"/>
      <c r="AN944" s="92"/>
      <c r="AO944" s="92"/>
      <c r="AP944" s="93"/>
      <c r="AQ944" s="93"/>
      <c r="AR944" s="91"/>
      <c r="AS944" s="91"/>
      <c r="AT944" s="91"/>
      <c r="AU944" s="91"/>
      <c r="AV944" s="91"/>
      <c r="AW944" s="90"/>
      <c r="AX944" s="90"/>
      <c r="AY944" s="93"/>
      <c r="AZ944" s="93"/>
      <c r="BA944" s="92"/>
      <c r="BB944" s="92"/>
      <c r="BC944" s="92"/>
      <c r="BD944" s="92"/>
      <c r="BE944" s="92"/>
      <c r="BF944" s="92"/>
      <c r="BG944" s="94"/>
      <c r="BH944" s="94"/>
      <c r="BI944" s="94"/>
    </row>
    <row r="945">
      <c r="G945" s="95"/>
      <c r="H945" s="96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2"/>
      <c r="AJ945" s="92"/>
      <c r="AK945" s="92"/>
      <c r="AL945" s="92"/>
      <c r="AM945" s="92"/>
      <c r="AN945" s="92"/>
      <c r="AO945" s="92"/>
      <c r="AP945" s="93"/>
      <c r="AQ945" s="93"/>
      <c r="AR945" s="91"/>
      <c r="AS945" s="91"/>
      <c r="AT945" s="91"/>
      <c r="AU945" s="91"/>
      <c r="AV945" s="91"/>
      <c r="AW945" s="90"/>
      <c r="AX945" s="90"/>
      <c r="AY945" s="93"/>
      <c r="AZ945" s="93"/>
      <c r="BA945" s="92"/>
      <c r="BB945" s="92"/>
      <c r="BC945" s="92"/>
      <c r="BD945" s="92"/>
      <c r="BE945" s="92"/>
      <c r="BF945" s="92"/>
      <c r="BG945" s="94"/>
      <c r="BH945" s="94"/>
      <c r="BI945" s="94"/>
    </row>
    <row r="946">
      <c r="G946" s="95"/>
      <c r="H946" s="96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2"/>
      <c r="AJ946" s="92"/>
      <c r="AK946" s="92"/>
      <c r="AL946" s="92"/>
      <c r="AM946" s="92"/>
      <c r="AN946" s="92"/>
      <c r="AO946" s="92"/>
      <c r="AP946" s="93"/>
      <c r="AQ946" s="93"/>
      <c r="AR946" s="91"/>
      <c r="AS946" s="91"/>
      <c r="AT946" s="91"/>
      <c r="AU946" s="91"/>
      <c r="AV946" s="91"/>
      <c r="AW946" s="90"/>
      <c r="AX946" s="90"/>
      <c r="AY946" s="93"/>
      <c r="AZ946" s="93"/>
      <c r="BA946" s="92"/>
      <c r="BB946" s="92"/>
      <c r="BC946" s="92"/>
      <c r="BD946" s="92"/>
      <c r="BE946" s="92"/>
      <c r="BF946" s="92"/>
      <c r="BG946" s="94"/>
      <c r="BH946" s="94"/>
      <c r="BI946" s="94"/>
    </row>
    <row r="947">
      <c r="G947" s="95"/>
      <c r="H947" s="96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2"/>
      <c r="AJ947" s="92"/>
      <c r="AK947" s="92"/>
      <c r="AL947" s="92"/>
      <c r="AM947" s="92"/>
      <c r="AN947" s="92"/>
      <c r="AO947" s="92"/>
      <c r="AP947" s="93"/>
      <c r="AQ947" s="93"/>
      <c r="AR947" s="91"/>
      <c r="AS947" s="91"/>
      <c r="AT947" s="91"/>
      <c r="AU947" s="91"/>
      <c r="AV947" s="91"/>
      <c r="AW947" s="90"/>
      <c r="AX947" s="90"/>
      <c r="AY947" s="93"/>
      <c r="AZ947" s="93"/>
      <c r="BA947" s="92"/>
      <c r="BB947" s="92"/>
      <c r="BC947" s="92"/>
      <c r="BD947" s="92"/>
      <c r="BE947" s="92"/>
      <c r="BF947" s="92"/>
      <c r="BG947" s="94"/>
      <c r="BH947" s="94"/>
      <c r="BI947" s="94"/>
    </row>
    <row r="948">
      <c r="G948" s="95"/>
      <c r="H948" s="96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2"/>
      <c r="AJ948" s="92"/>
      <c r="AK948" s="92"/>
      <c r="AL948" s="92"/>
      <c r="AM948" s="92"/>
      <c r="AN948" s="92"/>
      <c r="AO948" s="92"/>
      <c r="AP948" s="93"/>
      <c r="AQ948" s="93"/>
      <c r="AR948" s="91"/>
      <c r="AS948" s="91"/>
      <c r="AT948" s="91"/>
      <c r="AU948" s="91"/>
      <c r="AV948" s="91"/>
      <c r="AW948" s="90"/>
      <c r="AX948" s="90"/>
      <c r="AY948" s="93"/>
      <c r="AZ948" s="93"/>
      <c r="BA948" s="92"/>
      <c r="BB948" s="92"/>
      <c r="BC948" s="92"/>
      <c r="BD948" s="92"/>
      <c r="BE948" s="92"/>
      <c r="BF948" s="92"/>
      <c r="BG948" s="94"/>
      <c r="BH948" s="94"/>
      <c r="BI948" s="94"/>
    </row>
    <row r="949">
      <c r="G949" s="95"/>
      <c r="H949" s="96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2"/>
      <c r="AJ949" s="92"/>
      <c r="AK949" s="92"/>
      <c r="AL949" s="92"/>
      <c r="AM949" s="92"/>
      <c r="AN949" s="92"/>
      <c r="AO949" s="92"/>
      <c r="AP949" s="93"/>
      <c r="AQ949" s="93"/>
      <c r="AR949" s="91"/>
      <c r="AS949" s="91"/>
      <c r="AT949" s="91"/>
      <c r="AU949" s="91"/>
      <c r="AV949" s="91"/>
      <c r="AW949" s="90"/>
      <c r="AX949" s="90"/>
      <c r="AY949" s="93"/>
      <c r="AZ949" s="93"/>
      <c r="BA949" s="92"/>
      <c r="BB949" s="92"/>
      <c r="BC949" s="92"/>
      <c r="BD949" s="92"/>
      <c r="BE949" s="92"/>
      <c r="BF949" s="92"/>
      <c r="BG949" s="94"/>
      <c r="BH949" s="94"/>
      <c r="BI949" s="94"/>
    </row>
    <row r="950">
      <c r="G950" s="95"/>
      <c r="H950" s="96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2"/>
      <c r="AJ950" s="92"/>
      <c r="AK950" s="92"/>
      <c r="AL950" s="92"/>
      <c r="AM950" s="92"/>
      <c r="AN950" s="92"/>
      <c r="AO950" s="92"/>
      <c r="AP950" s="93"/>
      <c r="AQ950" s="93"/>
      <c r="AR950" s="91"/>
      <c r="AS950" s="91"/>
      <c r="AT950" s="91"/>
      <c r="AU950" s="91"/>
      <c r="AV950" s="91"/>
      <c r="AW950" s="90"/>
      <c r="AX950" s="90"/>
      <c r="AY950" s="93"/>
      <c r="AZ950" s="93"/>
      <c r="BA950" s="92"/>
      <c r="BB950" s="92"/>
      <c r="BC950" s="92"/>
      <c r="BD950" s="92"/>
      <c r="BE950" s="92"/>
      <c r="BF950" s="92"/>
      <c r="BG950" s="94"/>
      <c r="BH950" s="94"/>
      <c r="BI950" s="94"/>
    </row>
    <row r="951">
      <c r="G951" s="95"/>
      <c r="H951" s="96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2"/>
      <c r="AJ951" s="92"/>
      <c r="AK951" s="92"/>
      <c r="AL951" s="92"/>
      <c r="AM951" s="92"/>
      <c r="AN951" s="92"/>
      <c r="AO951" s="92"/>
      <c r="AP951" s="93"/>
      <c r="AQ951" s="93"/>
      <c r="AR951" s="91"/>
      <c r="AS951" s="91"/>
      <c r="AT951" s="91"/>
      <c r="AU951" s="91"/>
      <c r="AV951" s="91"/>
      <c r="AW951" s="90"/>
      <c r="AX951" s="90"/>
      <c r="AY951" s="93"/>
      <c r="AZ951" s="93"/>
      <c r="BA951" s="92"/>
      <c r="BB951" s="92"/>
      <c r="BC951" s="92"/>
      <c r="BD951" s="92"/>
      <c r="BE951" s="92"/>
      <c r="BF951" s="92"/>
      <c r="BG951" s="94"/>
      <c r="BH951" s="94"/>
      <c r="BI951" s="94"/>
    </row>
    <row r="952">
      <c r="G952" s="95"/>
      <c r="H952" s="96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2"/>
      <c r="AJ952" s="92"/>
      <c r="AK952" s="92"/>
      <c r="AL952" s="92"/>
      <c r="AM952" s="92"/>
      <c r="AN952" s="92"/>
      <c r="AO952" s="92"/>
      <c r="AP952" s="93"/>
      <c r="AQ952" s="93"/>
      <c r="AR952" s="91"/>
      <c r="AS952" s="91"/>
      <c r="AT952" s="91"/>
      <c r="AU952" s="91"/>
      <c r="AV952" s="91"/>
      <c r="AW952" s="90"/>
      <c r="AX952" s="90"/>
      <c r="AY952" s="93"/>
      <c r="AZ952" s="93"/>
      <c r="BA952" s="92"/>
      <c r="BB952" s="92"/>
      <c r="BC952" s="92"/>
      <c r="BD952" s="92"/>
      <c r="BE952" s="92"/>
      <c r="BF952" s="92"/>
      <c r="BG952" s="94"/>
      <c r="BH952" s="94"/>
      <c r="BI952" s="94"/>
    </row>
    <row r="953">
      <c r="G953" s="95"/>
      <c r="H953" s="96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2"/>
      <c r="AJ953" s="92"/>
      <c r="AK953" s="92"/>
      <c r="AL953" s="92"/>
      <c r="AM953" s="92"/>
      <c r="AN953" s="92"/>
      <c r="AO953" s="92"/>
      <c r="AP953" s="93"/>
      <c r="AQ953" s="93"/>
      <c r="AR953" s="91"/>
      <c r="AS953" s="91"/>
      <c r="AT953" s="91"/>
      <c r="AU953" s="91"/>
      <c r="AV953" s="91"/>
      <c r="AW953" s="90"/>
      <c r="AX953" s="90"/>
      <c r="AY953" s="93"/>
      <c r="AZ953" s="93"/>
      <c r="BA953" s="92"/>
      <c r="BB953" s="92"/>
      <c r="BC953" s="92"/>
      <c r="BD953" s="92"/>
      <c r="BE953" s="92"/>
      <c r="BF953" s="92"/>
      <c r="BG953" s="94"/>
      <c r="BH953" s="94"/>
      <c r="BI953" s="94"/>
    </row>
    <row r="954">
      <c r="G954" s="95"/>
      <c r="H954" s="96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2"/>
      <c r="AJ954" s="92"/>
      <c r="AK954" s="92"/>
      <c r="AL954" s="92"/>
      <c r="AM954" s="92"/>
      <c r="AN954" s="92"/>
      <c r="AO954" s="92"/>
      <c r="AP954" s="93"/>
      <c r="AQ954" s="93"/>
      <c r="AR954" s="91"/>
      <c r="AS954" s="91"/>
      <c r="AT954" s="91"/>
      <c r="AU954" s="91"/>
      <c r="AV954" s="91"/>
      <c r="AW954" s="90"/>
      <c r="AX954" s="90"/>
      <c r="AY954" s="93"/>
      <c r="AZ954" s="93"/>
      <c r="BA954" s="92"/>
      <c r="BB954" s="92"/>
      <c r="BC954" s="92"/>
      <c r="BD954" s="92"/>
      <c r="BE954" s="92"/>
      <c r="BF954" s="92"/>
      <c r="BG954" s="94"/>
      <c r="BH954" s="94"/>
      <c r="BI954" s="94"/>
    </row>
    <row r="955">
      <c r="G955" s="95"/>
      <c r="H955" s="96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2"/>
      <c r="AJ955" s="92"/>
      <c r="AK955" s="92"/>
      <c r="AL955" s="92"/>
      <c r="AM955" s="92"/>
      <c r="AN955" s="92"/>
      <c r="AO955" s="92"/>
      <c r="AP955" s="93"/>
      <c r="AQ955" s="93"/>
      <c r="AR955" s="91"/>
      <c r="AS955" s="91"/>
      <c r="AT955" s="91"/>
      <c r="AU955" s="91"/>
      <c r="AV955" s="91"/>
      <c r="AW955" s="90"/>
      <c r="AX955" s="90"/>
      <c r="AY955" s="93"/>
      <c r="AZ955" s="93"/>
      <c r="BA955" s="92"/>
      <c r="BB955" s="92"/>
      <c r="BC955" s="92"/>
      <c r="BD955" s="92"/>
      <c r="BE955" s="92"/>
      <c r="BF955" s="92"/>
      <c r="BG955" s="94"/>
      <c r="BH955" s="94"/>
      <c r="BI955" s="94"/>
    </row>
    <row r="956">
      <c r="G956" s="95"/>
      <c r="H956" s="96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2"/>
      <c r="AJ956" s="92"/>
      <c r="AK956" s="92"/>
      <c r="AL956" s="92"/>
      <c r="AM956" s="92"/>
      <c r="AN956" s="92"/>
      <c r="AO956" s="92"/>
      <c r="AP956" s="93"/>
      <c r="AQ956" s="93"/>
      <c r="AR956" s="91"/>
      <c r="AS956" s="91"/>
      <c r="AT956" s="91"/>
      <c r="AU956" s="91"/>
      <c r="AV956" s="91"/>
      <c r="AW956" s="90"/>
      <c r="AX956" s="90"/>
      <c r="AY956" s="93"/>
      <c r="AZ956" s="93"/>
      <c r="BA956" s="92"/>
      <c r="BB956" s="92"/>
      <c r="BC956" s="92"/>
      <c r="BD956" s="92"/>
      <c r="BE956" s="92"/>
      <c r="BF956" s="92"/>
      <c r="BG956" s="94"/>
      <c r="BH956" s="94"/>
      <c r="BI956" s="94"/>
    </row>
    <row r="957">
      <c r="G957" s="95"/>
      <c r="H957" s="96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2"/>
      <c r="AJ957" s="92"/>
      <c r="AK957" s="92"/>
      <c r="AL957" s="92"/>
      <c r="AM957" s="92"/>
      <c r="AN957" s="92"/>
      <c r="AO957" s="92"/>
      <c r="AP957" s="93"/>
      <c r="AQ957" s="93"/>
      <c r="AR957" s="91"/>
      <c r="AS957" s="91"/>
      <c r="AT957" s="91"/>
      <c r="AU957" s="91"/>
      <c r="AV957" s="91"/>
      <c r="AW957" s="90"/>
      <c r="AX957" s="90"/>
      <c r="AY957" s="93"/>
      <c r="AZ957" s="93"/>
      <c r="BA957" s="92"/>
      <c r="BB957" s="92"/>
      <c r="BC957" s="92"/>
      <c r="BD957" s="92"/>
      <c r="BE957" s="92"/>
      <c r="BF957" s="92"/>
      <c r="BG957" s="94"/>
      <c r="BH957" s="94"/>
      <c r="BI957" s="94"/>
    </row>
    <row r="958">
      <c r="G958" s="95"/>
      <c r="H958" s="96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2"/>
      <c r="AJ958" s="92"/>
      <c r="AK958" s="92"/>
      <c r="AL958" s="92"/>
      <c r="AM958" s="92"/>
      <c r="AN958" s="92"/>
      <c r="AO958" s="92"/>
      <c r="AP958" s="93"/>
      <c r="AQ958" s="93"/>
      <c r="AR958" s="91"/>
      <c r="AS958" s="91"/>
      <c r="AT958" s="91"/>
      <c r="AU958" s="91"/>
      <c r="AV958" s="91"/>
      <c r="AW958" s="90"/>
      <c r="AX958" s="90"/>
      <c r="AY958" s="93"/>
      <c r="AZ958" s="93"/>
      <c r="BA958" s="92"/>
      <c r="BB958" s="92"/>
      <c r="BC958" s="92"/>
      <c r="BD958" s="92"/>
      <c r="BE958" s="92"/>
      <c r="BF958" s="92"/>
      <c r="BG958" s="94"/>
      <c r="BH958" s="94"/>
      <c r="BI958" s="94"/>
    </row>
    <row r="959">
      <c r="G959" s="95"/>
      <c r="H959" s="96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2"/>
      <c r="AJ959" s="92"/>
      <c r="AK959" s="92"/>
      <c r="AL959" s="92"/>
      <c r="AM959" s="92"/>
      <c r="AN959" s="92"/>
      <c r="AO959" s="92"/>
      <c r="AP959" s="93"/>
      <c r="AQ959" s="93"/>
      <c r="AR959" s="91"/>
      <c r="AS959" s="91"/>
      <c r="AT959" s="91"/>
      <c r="AU959" s="91"/>
      <c r="AV959" s="91"/>
      <c r="AW959" s="90"/>
      <c r="AX959" s="90"/>
      <c r="AY959" s="93"/>
      <c r="AZ959" s="93"/>
      <c r="BA959" s="92"/>
      <c r="BB959" s="92"/>
      <c r="BC959" s="92"/>
      <c r="BD959" s="92"/>
      <c r="BE959" s="92"/>
      <c r="BF959" s="92"/>
      <c r="BG959" s="94"/>
      <c r="BH959" s="94"/>
      <c r="BI959" s="94"/>
    </row>
    <row r="960">
      <c r="G960" s="95"/>
      <c r="H960" s="96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2"/>
      <c r="AJ960" s="92"/>
      <c r="AK960" s="92"/>
      <c r="AL960" s="92"/>
      <c r="AM960" s="92"/>
      <c r="AN960" s="92"/>
      <c r="AO960" s="92"/>
      <c r="AP960" s="93"/>
      <c r="AQ960" s="93"/>
      <c r="AR960" s="91"/>
      <c r="AS960" s="91"/>
      <c r="AT960" s="91"/>
      <c r="AU960" s="91"/>
      <c r="AV960" s="91"/>
      <c r="AW960" s="90"/>
      <c r="AX960" s="90"/>
      <c r="AY960" s="93"/>
      <c r="AZ960" s="93"/>
      <c r="BA960" s="92"/>
      <c r="BB960" s="92"/>
      <c r="BC960" s="92"/>
      <c r="BD960" s="92"/>
      <c r="BE960" s="92"/>
      <c r="BF960" s="92"/>
      <c r="BG960" s="94"/>
      <c r="BH960" s="94"/>
      <c r="BI960" s="94"/>
    </row>
    <row r="961">
      <c r="G961" s="95"/>
      <c r="H961" s="96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2"/>
      <c r="AJ961" s="92"/>
      <c r="AK961" s="92"/>
      <c r="AL961" s="92"/>
      <c r="AM961" s="92"/>
      <c r="AN961" s="92"/>
      <c r="AO961" s="92"/>
      <c r="AP961" s="93"/>
      <c r="AQ961" s="93"/>
      <c r="AR961" s="91"/>
      <c r="AS961" s="91"/>
      <c r="AT961" s="91"/>
      <c r="AU961" s="91"/>
      <c r="AV961" s="91"/>
      <c r="AW961" s="90"/>
      <c r="AX961" s="90"/>
      <c r="AY961" s="93"/>
      <c r="AZ961" s="93"/>
      <c r="BA961" s="92"/>
      <c r="BB961" s="92"/>
      <c r="BC961" s="92"/>
      <c r="BD961" s="92"/>
      <c r="BE961" s="92"/>
      <c r="BF961" s="92"/>
      <c r="BG961" s="94"/>
      <c r="BH961" s="94"/>
      <c r="BI961" s="94"/>
    </row>
    <row r="962">
      <c r="G962" s="95"/>
      <c r="H962" s="96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2"/>
      <c r="AJ962" s="92"/>
      <c r="AK962" s="92"/>
      <c r="AL962" s="92"/>
      <c r="AM962" s="92"/>
      <c r="AN962" s="92"/>
      <c r="AO962" s="92"/>
      <c r="AP962" s="93"/>
      <c r="AQ962" s="93"/>
      <c r="AR962" s="91"/>
      <c r="AS962" s="91"/>
      <c r="AT962" s="91"/>
      <c r="AU962" s="91"/>
      <c r="AV962" s="91"/>
      <c r="AW962" s="90"/>
      <c r="AX962" s="90"/>
      <c r="AY962" s="93"/>
      <c r="AZ962" s="93"/>
      <c r="BA962" s="92"/>
      <c r="BB962" s="92"/>
      <c r="BC962" s="92"/>
      <c r="BD962" s="92"/>
      <c r="BE962" s="92"/>
      <c r="BF962" s="92"/>
      <c r="BG962" s="94"/>
      <c r="BH962" s="94"/>
      <c r="BI962" s="94"/>
    </row>
    <row r="963">
      <c r="G963" s="95"/>
      <c r="H963" s="96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2"/>
      <c r="AJ963" s="92"/>
      <c r="AK963" s="92"/>
      <c r="AL963" s="92"/>
      <c r="AM963" s="92"/>
      <c r="AN963" s="92"/>
      <c r="AO963" s="92"/>
      <c r="AP963" s="93"/>
      <c r="AQ963" s="93"/>
      <c r="AR963" s="91"/>
      <c r="AS963" s="91"/>
      <c r="AT963" s="91"/>
      <c r="AU963" s="91"/>
      <c r="AV963" s="91"/>
      <c r="AW963" s="90"/>
      <c r="AX963" s="90"/>
      <c r="AY963" s="93"/>
      <c r="AZ963" s="93"/>
      <c r="BA963" s="92"/>
      <c r="BB963" s="92"/>
      <c r="BC963" s="92"/>
      <c r="BD963" s="92"/>
      <c r="BE963" s="92"/>
      <c r="BF963" s="92"/>
      <c r="BG963" s="94"/>
      <c r="BH963" s="94"/>
      <c r="BI963" s="94"/>
    </row>
    <row r="964">
      <c r="G964" s="95"/>
      <c r="H964" s="96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2"/>
      <c r="AJ964" s="92"/>
      <c r="AK964" s="92"/>
      <c r="AL964" s="92"/>
      <c r="AM964" s="92"/>
      <c r="AN964" s="92"/>
      <c r="AO964" s="92"/>
      <c r="AP964" s="93"/>
      <c r="AQ964" s="93"/>
      <c r="AR964" s="91"/>
      <c r="AS964" s="91"/>
      <c r="AT964" s="91"/>
      <c r="AU964" s="91"/>
      <c r="AV964" s="91"/>
      <c r="AW964" s="90"/>
      <c r="AX964" s="90"/>
      <c r="AY964" s="93"/>
      <c r="AZ964" s="93"/>
      <c r="BA964" s="92"/>
      <c r="BB964" s="92"/>
      <c r="BC964" s="92"/>
      <c r="BD964" s="92"/>
      <c r="BE964" s="92"/>
      <c r="BF964" s="92"/>
      <c r="BG964" s="94"/>
      <c r="BH964" s="94"/>
      <c r="BI964" s="94"/>
    </row>
    <row r="965">
      <c r="G965" s="95"/>
      <c r="H965" s="96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2"/>
      <c r="AJ965" s="92"/>
      <c r="AK965" s="92"/>
      <c r="AL965" s="92"/>
      <c r="AM965" s="92"/>
      <c r="AN965" s="92"/>
      <c r="AO965" s="92"/>
      <c r="AP965" s="93"/>
      <c r="AQ965" s="93"/>
      <c r="AR965" s="91"/>
      <c r="AS965" s="91"/>
      <c r="AT965" s="91"/>
      <c r="AU965" s="91"/>
      <c r="AV965" s="91"/>
      <c r="AW965" s="90"/>
      <c r="AX965" s="90"/>
      <c r="AY965" s="93"/>
      <c r="AZ965" s="93"/>
      <c r="BA965" s="92"/>
      <c r="BB965" s="92"/>
      <c r="BC965" s="92"/>
      <c r="BD965" s="92"/>
      <c r="BE965" s="92"/>
      <c r="BF965" s="92"/>
      <c r="BG965" s="94"/>
      <c r="BH965" s="94"/>
      <c r="BI965" s="94"/>
    </row>
    <row r="966">
      <c r="G966" s="95"/>
      <c r="H966" s="96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2"/>
      <c r="AJ966" s="92"/>
      <c r="AK966" s="92"/>
      <c r="AL966" s="92"/>
      <c r="AM966" s="92"/>
      <c r="AN966" s="92"/>
      <c r="AO966" s="92"/>
      <c r="AP966" s="93"/>
      <c r="AQ966" s="93"/>
      <c r="AR966" s="91"/>
      <c r="AS966" s="91"/>
      <c r="AT966" s="91"/>
      <c r="AU966" s="91"/>
      <c r="AV966" s="91"/>
      <c r="AW966" s="90"/>
      <c r="AX966" s="90"/>
      <c r="AY966" s="93"/>
      <c r="AZ966" s="93"/>
      <c r="BA966" s="92"/>
      <c r="BB966" s="92"/>
      <c r="BC966" s="92"/>
      <c r="BD966" s="92"/>
      <c r="BE966" s="92"/>
      <c r="BF966" s="92"/>
      <c r="BG966" s="94"/>
      <c r="BH966" s="94"/>
      <c r="BI966" s="94"/>
    </row>
    <row r="967">
      <c r="G967" s="95"/>
      <c r="H967" s="96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2"/>
      <c r="AJ967" s="92"/>
      <c r="AK967" s="92"/>
      <c r="AL967" s="92"/>
      <c r="AM967" s="92"/>
      <c r="AN967" s="92"/>
      <c r="AO967" s="92"/>
      <c r="AP967" s="93"/>
      <c r="AQ967" s="93"/>
      <c r="AR967" s="91"/>
      <c r="AS967" s="91"/>
      <c r="AT967" s="91"/>
      <c r="AU967" s="91"/>
      <c r="AV967" s="91"/>
      <c r="AW967" s="90"/>
      <c r="AX967" s="90"/>
      <c r="AY967" s="93"/>
      <c r="AZ967" s="93"/>
      <c r="BA967" s="92"/>
      <c r="BB967" s="92"/>
      <c r="BC967" s="92"/>
      <c r="BD967" s="92"/>
      <c r="BE967" s="92"/>
      <c r="BF967" s="92"/>
      <c r="BG967" s="94"/>
      <c r="BH967" s="94"/>
      <c r="BI967" s="94"/>
    </row>
    <row r="968">
      <c r="G968" s="95"/>
      <c r="H968" s="96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2"/>
      <c r="AJ968" s="92"/>
      <c r="AK968" s="92"/>
      <c r="AL968" s="92"/>
      <c r="AM968" s="92"/>
      <c r="AN968" s="92"/>
      <c r="AO968" s="92"/>
      <c r="AP968" s="93"/>
      <c r="AQ968" s="93"/>
      <c r="AR968" s="91"/>
      <c r="AS968" s="91"/>
      <c r="AT968" s="91"/>
      <c r="AU968" s="91"/>
      <c r="AV968" s="91"/>
      <c r="AW968" s="90"/>
      <c r="AX968" s="90"/>
      <c r="AY968" s="93"/>
      <c r="AZ968" s="93"/>
      <c r="BA968" s="92"/>
      <c r="BB968" s="92"/>
      <c r="BC968" s="92"/>
      <c r="BD968" s="92"/>
      <c r="BE968" s="92"/>
      <c r="BF968" s="92"/>
      <c r="BG968" s="94"/>
      <c r="BH968" s="94"/>
      <c r="BI968" s="94"/>
    </row>
    <row r="969">
      <c r="G969" s="95"/>
      <c r="H969" s="96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2"/>
      <c r="AJ969" s="92"/>
      <c r="AK969" s="92"/>
      <c r="AL969" s="92"/>
      <c r="AM969" s="92"/>
      <c r="AN969" s="92"/>
      <c r="AO969" s="92"/>
      <c r="AP969" s="93"/>
      <c r="AQ969" s="93"/>
      <c r="AR969" s="91"/>
      <c r="AS969" s="91"/>
      <c r="AT969" s="91"/>
      <c r="AU969" s="91"/>
      <c r="AV969" s="91"/>
      <c r="AW969" s="90"/>
      <c r="AX969" s="90"/>
      <c r="AY969" s="93"/>
      <c r="AZ969" s="93"/>
      <c r="BA969" s="92"/>
      <c r="BB969" s="92"/>
      <c r="BC969" s="92"/>
      <c r="BD969" s="92"/>
      <c r="BE969" s="92"/>
      <c r="BF969" s="92"/>
      <c r="BG969" s="94"/>
      <c r="BH969" s="94"/>
      <c r="BI969" s="94"/>
    </row>
    <row r="970">
      <c r="G970" s="95"/>
      <c r="H970" s="96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2"/>
      <c r="AJ970" s="92"/>
      <c r="AK970" s="92"/>
      <c r="AL970" s="92"/>
      <c r="AM970" s="92"/>
      <c r="AN970" s="92"/>
      <c r="AO970" s="92"/>
      <c r="AP970" s="93"/>
      <c r="AQ970" s="93"/>
      <c r="AR970" s="91"/>
      <c r="AS970" s="91"/>
      <c r="AT970" s="91"/>
      <c r="AU970" s="91"/>
      <c r="AV970" s="91"/>
      <c r="AW970" s="90"/>
      <c r="AX970" s="90"/>
      <c r="AY970" s="93"/>
      <c r="AZ970" s="93"/>
      <c r="BA970" s="92"/>
      <c r="BB970" s="92"/>
      <c r="BC970" s="92"/>
      <c r="BD970" s="92"/>
      <c r="BE970" s="92"/>
      <c r="BF970" s="92"/>
      <c r="BG970" s="94"/>
      <c r="BH970" s="94"/>
      <c r="BI970" s="94"/>
    </row>
    <row r="971">
      <c r="G971" s="95"/>
      <c r="H971" s="96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2"/>
      <c r="AJ971" s="92"/>
      <c r="AK971" s="92"/>
      <c r="AL971" s="92"/>
      <c r="AM971" s="92"/>
      <c r="AN971" s="92"/>
      <c r="AO971" s="92"/>
      <c r="AP971" s="93"/>
      <c r="AQ971" s="93"/>
      <c r="AR971" s="91"/>
      <c r="AS971" s="91"/>
      <c r="AT971" s="91"/>
      <c r="AU971" s="91"/>
      <c r="AV971" s="91"/>
      <c r="AW971" s="90"/>
      <c r="AX971" s="90"/>
      <c r="AY971" s="93"/>
      <c r="AZ971" s="93"/>
      <c r="BA971" s="92"/>
      <c r="BB971" s="92"/>
      <c r="BC971" s="92"/>
      <c r="BD971" s="92"/>
      <c r="BE971" s="92"/>
      <c r="BF971" s="92"/>
      <c r="BG971" s="94"/>
      <c r="BH971" s="94"/>
      <c r="BI971" s="94"/>
    </row>
    <row r="972">
      <c r="G972" s="95"/>
      <c r="H972" s="96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2"/>
      <c r="AJ972" s="92"/>
      <c r="AK972" s="92"/>
      <c r="AL972" s="92"/>
      <c r="AM972" s="92"/>
      <c r="AN972" s="92"/>
      <c r="AO972" s="92"/>
      <c r="AP972" s="93"/>
      <c r="AQ972" s="93"/>
      <c r="AR972" s="91"/>
      <c r="AS972" s="91"/>
      <c r="AT972" s="91"/>
      <c r="AU972" s="91"/>
      <c r="AV972" s="91"/>
      <c r="AW972" s="90"/>
      <c r="AX972" s="90"/>
      <c r="AY972" s="93"/>
      <c r="AZ972" s="93"/>
      <c r="BA972" s="92"/>
      <c r="BB972" s="92"/>
      <c r="BC972" s="92"/>
      <c r="BD972" s="92"/>
      <c r="BE972" s="92"/>
      <c r="BF972" s="92"/>
      <c r="BG972" s="94"/>
      <c r="BH972" s="94"/>
      <c r="BI972" s="94"/>
    </row>
    <row r="973">
      <c r="G973" s="95"/>
      <c r="H973" s="96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2"/>
      <c r="AJ973" s="92"/>
      <c r="AK973" s="92"/>
      <c r="AL973" s="92"/>
      <c r="AM973" s="92"/>
      <c r="AN973" s="92"/>
      <c r="AO973" s="92"/>
      <c r="AP973" s="93"/>
      <c r="AQ973" s="93"/>
      <c r="AR973" s="91"/>
      <c r="AS973" s="91"/>
      <c r="AT973" s="91"/>
      <c r="AU973" s="91"/>
      <c r="AV973" s="91"/>
      <c r="AW973" s="90"/>
      <c r="AX973" s="90"/>
      <c r="AY973" s="93"/>
      <c r="AZ973" s="93"/>
      <c r="BA973" s="92"/>
      <c r="BB973" s="92"/>
      <c r="BC973" s="92"/>
      <c r="BD973" s="92"/>
      <c r="BE973" s="92"/>
      <c r="BF973" s="92"/>
      <c r="BG973" s="94"/>
      <c r="BH973" s="94"/>
      <c r="BI973" s="94"/>
    </row>
    <row r="974">
      <c r="G974" s="95"/>
      <c r="H974" s="96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2"/>
      <c r="AJ974" s="92"/>
      <c r="AK974" s="92"/>
      <c r="AL974" s="92"/>
      <c r="AM974" s="92"/>
      <c r="AN974" s="92"/>
      <c r="AO974" s="92"/>
      <c r="AP974" s="93"/>
      <c r="AQ974" s="93"/>
      <c r="AR974" s="91"/>
      <c r="AS974" s="91"/>
      <c r="AT974" s="91"/>
      <c r="AU974" s="91"/>
      <c r="AV974" s="91"/>
      <c r="AW974" s="90"/>
      <c r="AX974" s="90"/>
      <c r="AY974" s="93"/>
      <c r="AZ974" s="93"/>
      <c r="BA974" s="92"/>
      <c r="BB974" s="92"/>
      <c r="BC974" s="92"/>
      <c r="BD974" s="92"/>
      <c r="BE974" s="92"/>
      <c r="BF974" s="92"/>
      <c r="BG974" s="94"/>
      <c r="BH974" s="94"/>
      <c r="BI974" s="94"/>
    </row>
    <row r="975">
      <c r="G975" s="95"/>
      <c r="H975" s="96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2"/>
      <c r="AJ975" s="92"/>
      <c r="AK975" s="92"/>
      <c r="AL975" s="92"/>
      <c r="AM975" s="92"/>
      <c r="AN975" s="92"/>
      <c r="AO975" s="92"/>
      <c r="AP975" s="93"/>
      <c r="AQ975" s="93"/>
      <c r="AR975" s="91"/>
      <c r="AS975" s="91"/>
      <c r="AT975" s="91"/>
      <c r="AU975" s="91"/>
      <c r="AV975" s="91"/>
      <c r="AW975" s="90"/>
      <c r="AX975" s="90"/>
      <c r="AY975" s="93"/>
      <c r="AZ975" s="93"/>
      <c r="BA975" s="92"/>
      <c r="BB975" s="92"/>
      <c r="BC975" s="92"/>
      <c r="BD975" s="92"/>
      <c r="BE975" s="92"/>
      <c r="BF975" s="92"/>
      <c r="BG975" s="94"/>
      <c r="BH975" s="94"/>
      <c r="BI975" s="94"/>
    </row>
    <row r="976">
      <c r="G976" s="95"/>
      <c r="H976" s="96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2"/>
      <c r="AJ976" s="92"/>
      <c r="AK976" s="92"/>
      <c r="AL976" s="92"/>
      <c r="AM976" s="92"/>
      <c r="AN976" s="92"/>
      <c r="AO976" s="92"/>
      <c r="AP976" s="93"/>
      <c r="AQ976" s="93"/>
      <c r="AR976" s="91"/>
      <c r="AS976" s="91"/>
      <c r="AT976" s="91"/>
      <c r="AU976" s="91"/>
      <c r="AV976" s="91"/>
      <c r="AW976" s="90"/>
      <c r="AX976" s="90"/>
      <c r="AY976" s="93"/>
      <c r="AZ976" s="93"/>
      <c r="BA976" s="92"/>
      <c r="BB976" s="92"/>
      <c r="BC976" s="92"/>
      <c r="BD976" s="92"/>
      <c r="BE976" s="92"/>
      <c r="BF976" s="92"/>
      <c r="BG976" s="94"/>
      <c r="BH976" s="94"/>
      <c r="BI976" s="94"/>
    </row>
    <row r="977">
      <c r="G977" s="95"/>
      <c r="H977" s="96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2"/>
      <c r="AJ977" s="92"/>
      <c r="AK977" s="92"/>
      <c r="AL977" s="92"/>
      <c r="AM977" s="92"/>
      <c r="AN977" s="92"/>
      <c r="AO977" s="92"/>
      <c r="AP977" s="93"/>
      <c r="AQ977" s="93"/>
      <c r="AR977" s="91"/>
      <c r="AS977" s="91"/>
      <c r="AT977" s="91"/>
      <c r="AU977" s="91"/>
      <c r="AV977" s="91"/>
      <c r="AW977" s="90"/>
      <c r="AX977" s="90"/>
      <c r="AY977" s="93"/>
      <c r="AZ977" s="93"/>
      <c r="BA977" s="92"/>
      <c r="BB977" s="92"/>
      <c r="BC977" s="92"/>
      <c r="BD977" s="92"/>
      <c r="BE977" s="92"/>
      <c r="BF977" s="92"/>
      <c r="BG977" s="94"/>
      <c r="BH977" s="94"/>
      <c r="BI977" s="94"/>
    </row>
    <row r="978">
      <c r="G978" s="95"/>
      <c r="H978" s="96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2"/>
      <c r="AJ978" s="92"/>
      <c r="AK978" s="92"/>
      <c r="AL978" s="92"/>
      <c r="AM978" s="92"/>
      <c r="AN978" s="92"/>
      <c r="AO978" s="92"/>
      <c r="AP978" s="93"/>
      <c r="AQ978" s="93"/>
      <c r="AR978" s="91"/>
      <c r="AS978" s="91"/>
      <c r="AT978" s="91"/>
      <c r="AU978" s="91"/>
      <c r="AV978" s="91"/>
      <c r="AW978" s="90"/>
      <c r="AX978" s="90"/>
      <c r="AY978" s="93"/>
      <c r="AZ978" s="93"/>
      <c r="BA978" s="92"/>
      <c r="BB978" s="92"/>
      <c r="BC978" s="92"/>
      <c r="BD978" s="92"/>
      <c r="BE978" s="92"/>
      <c r="BF978" s="92"/>
      <c r="BG978" s="94"/>
      <c r="BH978" s="94"/>
      <c r="BI978" s="94"/>
    </row>
    <row r="979">
      <c r="G979" s="95"/>
      <c r="H979" s="96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2"/>
      <c r="AJ979" s="92"/>
      <c r="AK979" s="92"/>
      <c r="AL979" s="92"/>
      <c r="AM979" s="92"/>
      <c r="AN979" s="92"/>
      <c r="AO979" s="92"/>
      <c r="AP979" s="93"/>
      <c r="AQ979" s="93"/>
      <c r="AR979" s="91"/>
      <c r="AS979" s="91"/>
      <c r="AT979" s="91"/>
      <c r="AU979" s="91"/>
      <c r="AV979" s="91"/>
      <c r="AW979" s="90"/>
      <c r="AX979" s="90"/>
      <c r="AY979" s="93"/>
      <c r="AZ979" s="93"/>
      <c r="BA979" s="92"/>
      <c r="BB979" s="92"/>
      <c r="BC979" s="92"/>
      <c r="BD979" s="92"/>
      <c r="BE979" s="92"/>
      <c r="BF979" s="92"/>
      <c r="BG979" s="94"/>
      <c r="BH979" s="94"/>
      <c r="BI979" s="94"/>
    </row>
    <row r="980">
      <c r="G980" s="95"/>
      <c r="H980" s="96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2"/>
      <c r="AJ980" s="92"/>
      <c r="AK980" s="92"/>
      <c r="AL980" s="92"/>
      <c r="AM980" s="92"/>
      <c r="AN980" s="92"/>
      <c r="AO980" s="92"/>
      <c r="AP980" s="93"/>
      <c r="AQ980" s="93"/>
      <c r="AR980" s="91"/>
      <c r="AS980" s="91"/>
      <c r="AT980" s="91"/>
      <c r="AU980" s="91"/>
      <c r="AV980" s="91"/>
      <c r="AW980" s="90"/>
      <c r="AX980" s="90"/>
      <c r="AY980" s="93"/>
      <c r="AZ980" s="93"/>
      <c r="BA980" s="92"/>
      <c r="BB980" s="92"/>
      <c r="BC980" s="92"/>
      <c r="BD980" s="92"/>
      <c r="BE980" s="92"/>
      <c r="BF980" s="92"/>
      <c r="BG980" s="94"/>
      <c r="BH980" s="94"/>
      <c r="BI980" s="94"/>
    </row>
    <row r="981">
      <c r="G981" s="95"/>
      <c r="H981" s="96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2"/>
      <c r="AJ981" s="92"/>
      <c r="AK981" s="92"/>
      <c r="AL981" s="92"/>
      <c r="AM981" s="92"/>
      <c r="AN981" s="92"/>
      <c r="AO981" s="92"/>
      <c r="AP981" s="93"/>
      <c r="AQ981" s="93"/>
      <c r="AR981" s="91"/>
      <c r="AS981" s="91"/>
      <c r="AT981" s="91"/>
      <c r="AU981" s="91"/>
      <c r="AV981" s="91"/>
      <c r="AW981" s="90"/>
      <c r="AX981" s="90"/>
      <c r="AY981" s="93"/>
      <c r="AZ981" s="93"/>
      <c r="BA981" s="92"/>
      <c r="BB981" s="92"/>
      <c r="BC981" s="92"/>
      <c r="BD981" s="92"/>
      <c r="BE981" s="92"/>
      <c r="BF981" s="92"/>
      <c r="BG981" s="94"/>
      <c r="BH981" s="94"/>
      <c r="BI981" s="94"/>
    </row>
    <row r="982">
      <c r="G982" s="95"/>
      <c r="H982" s="96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2"/>
      <c r="AJ982" s="92"/>
      <c r="AK982" s="92"/>
      <c r="AL982" s="92"/>
      <c r="AM982" s="92"/>
      <c r="AN982" s="92"/>
      <c r="AO982" s="92"/>
      <c r="AP982" s="93"/>
      <c r="AQ982" s="93"/>
      <c r="AR982" s="91"/>
      <c r="AS982" s="91"/>
      <c r="AT982" s="91"/>
      <c r="AU982" s="91"/>
      <c r="AV982" s="91"/>
      <c r="AW982" s="90"/>
      <c r="AX982" s="90"/>
      <c r="AY982" s="93"/>
      <c r="AZ982" s="93"/>
      <c r="BA982" s="92"/>
      <c r="BB982" s="92"/>
      <c r="BC982" s="92"/>
      <c r="BD982" s="92"/>
      <c r="BE982" s="92"/>
      <c r="BF982" s="92"/>
      <c r="BG982" s="94"/>
      <c r="BH982" s="94"/>
      <c r="BI982" s="94"/>
    </row>
    <row r="983">
      <c r="G983" s="95"/>
      <c r="H983" s="96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2"/>
      <c r="AJ983" s="92"/>
      <c r="AK983" s="92"/>
      <c r="AL983" s="92"/>
      <c r="AM983" s="92"/>
      <c r="AN983" s="92"/>
      <c r="AO983" s="92"/>
      <c r="AP983" s="93"/>
      <c r="AQ983" s="93"/>
      <c r="AR983" s="91"/>
      <c r="AS983" s="91"/>
      <c r="AT983" s="91"/>
      <c r="AU983" s="91"/>
      <c r="AV983" s="91"/>
      <c r="AW983" s="90"/>
      <c r="AX983" s="90"/>
      <c r="AY983" s="93"/>
      <c r="AZ983" s="93"/>
      <c r="BA983" s="92"/>
      <c r="BB983" s="92"/>
      <c r="BC983" s="92"/>
      <c r="BD983" s="92"/>
      <c r="BE983" s="92"/>
      <c r="BF983" s="92"/>
      <c r="BG983" s="94"/>
      <c r="BH983" s="94"/>
      <c r="BI983" s="94"/>
    </row>
    <row r="984">
      <c r="G984" s="95"/>
      <c r="H984" s="96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2"/>
      <c r="AJ984" s="92"/>
      <c r="AK984" s="92"/>
      <c r="AL984" s="92"/>
      <c r="AM984" s="92"/>
      <c r="AN984" s="92"/>
      <c r="AO984" s="92"/>
      <c r="AP984" s="93"/>
      <c r="AQ984" s="93"/>
      <c r="AR984" s="91"/>
      <c r="AS984" s="91"/>
      <c r="AT984" s="91"/>
      <c r="AU984" s="91"/>
      <c r="AV984" s="91"/>
      <c r="AW984" s="90"/>
      <c r="AX984" s="90"/>
      <c r="AY984" s="93"/>
      <c r="AZ984" s="93"/>
      <c r="BA984" s="92"/>
      <c r="BB984" s="92"/>
      <c r="BC984" s="92"/>
      <c r="BD984" s="92"/>
      <c r="BE984" s="92"/>
      <c r="BF984" s="92"/>
      <c r="BG984" s="94"/>
      <c r="BH984" s="94"/>
      <c r="BI984" s="94"/>
    </row>
    <row r="985">
      <c r="G985" s="95"/>
      <c r="H985" s="96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2"/>
      <c r="AJ985" s="92"/>
      <c r="AK985" s="92"/>
      <c r="AL985" s="92"/>
      <c r="AM985" s="92"/>
      <c r="AN985" s="92"/>
      <c r="AO985" s="92"/>
      <c r="AP985" s="93"/>
      <c r="AQ985" s="93"/>
      <c r="AR985" s="91"/>
      <c r="AS985" s="91"/>
      <c r="AT985" s="91"/>
      <c r="AU985" s="91"/>
      <c r="AV985" s="91"/>
      <c r="AW985" s="90"/>
      <c r="AX985" s="90"/>
      <c r="AY985" s="93"/>
      <c r="AZ985" s="93"/>
      <c r="BA985" s="92"/>
      <c r="BB985" s="92"/>
      <c r="BC985" s="92"/>
      <c r="BD985" s="92"/>
      <c r="BE985" s="92"/>
      <c r="BF985" s="92"/>
      <c r="BG985" s="94"/>
      <c r="BH985" s="94"/>
      <c r="BI985" s="94"/>
    </row>
    <row r="986">
      <c r="G986" s="95"/>
      <c r="H986" s="96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2"/>
      <c r="AJ986" s="92"/>
      <c r="AK986" s="92"/>
      <c r="AL986" s="92"/>
      <c r="AM986" s="92"/>
      <c r="AN986" s="92"/>
      <c r="AO986" s="92"/>
      <c r="AP986" s="93"/>
      <c r="AQ986" s="93"/>
      <c r="AR986" s="91"/>
      <c r="AS986" s="91"/>
      <c r="AT986" s="91"/>
      <c r="AU986" s="91"/>
      <c r="AV986" s="91"/>
      <c r="AW986" s="90"/>
      <c r="AX986" s="90"/>
      <c r="AY986" s="93"/>
      <c r="AZ986" s="93"/>
      <c r="BA986" s="92"/>
      <c r="BB986" s="92"/>
      <c r="BC986" s="92"/>
      <c r="BD986" s="92"/>
      <c r="BE986" s="92"/>
      <c r="BF986" s="92"/>
      <c r="BG986" s="94"/>
      <c r="BH986" s="94"/>
      <c r="BI986" s="94"/>
    </row>
    <row r="987">
      <c r="G987" s="95"/>
      <c r="H987" s="96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2"/>
      <c r="AJ987" s="92"/>
      <c r="AK987" s="92"/>
      <c r="AL987" s="92"/>
      <c r="AM987" s="92"/>
      <c r="AN987" s="92"/>
      <c r="AO987" s="92"/>
      <c r="AP987" s="93"/>
      <c r="AQ987" s="93"/>
      <c r="AR987" s="91"/>
      <c r="AS987" s="91"/>
      <c r="AT987" s="91"/>
      <c r="AU987" s="91"/>
      <c r="AV987" s="91"/>
      <c r="AW987" s="90"/>
      <c r="AX987" s="90"/>
      <c r="AY987" s="93"/>
      <c r="AZ987" s="93"/>
      <c r="BA987" s="92"/>
      <c r="BB987" s="92"/>
      <c r="BC987" s="92"/>
      <c r="BD987" s="92"/>
      <c r="BE987" s="92"/>
      <c r="BF987" s="92"/>
      <c r="BG987" s="94"/>
      <c r="BH987" s="94"/>
      <c r="BI987" s="94"/>
    </row>
    <row r="988">
      <c r="G988" s="95"/>
      <c r="H988" s="96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2"/>
      <c r="AJ988" s="92"/>
      <c r="AK988" s="92"/>
      <c r="AL988" s="92"/>
      <c r="AM988" s="92"/>
      <c r="AN988" s="92"/>
      <c r="AO988" s="92"/>
      <c r="AP988" s="93"/>
      <c r="AQ988" s="93"/>
      <c r="AR988" s="91"/>
      <c r="AS988" s="91"/>
      <c r="AT988" s="91"/>
      <c r="AU988" s="91"/>
      <c r="AV988" s="91"/>
      <c r="AW988" s="90"/>
      <c r="AX988" s="90"/>
      <c r="AY988" s="93"/>
      <c r="AZ988" s="93"/>
      <c r="BA988" s="92"/>
      <c r="BB988" s="92"/>
      <c r="BC988" s="92"/>
      <c r="BD988" s="92"/>
      <c r="BE988" s="92"/>
      <c r="BF988" s="92"/>
      <c r="BG988" s="94"/>
      <c r="BH988" s="94"/>
      <c r="BI988" s="94"/>
    </row>
    <row r="989">
      <c r="G989" s="95"/>
      <c r="H989" s="96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2"/>
      <c r="AJ989" s="92"/>
      <c r="AK989" s="92"/>
      <c r="AL989" s="92"/>
      <c r="AM989" s="92"/>
      <c r="AN989" s="92"/>
      <c r="AO989" s="92"/>
      <c r="AP989" s="93"/>
      <c r="AQ989" s="93"/>
      <c r="AR989" s="91"/>
      <c r="AS989" s="91"/>
      <c r="AT989" s="91"/>
      <c r="AU989" s="91"/>
      <c r="AV989" s="91"/>
      <c r="AW989" s="90"/>
      <c r="AX989" s="90"/>
      <c r="AY989" s="93"/>
      <c r="AZ989" s="93"/>
      <c r="BA989" s="92"/>
      <c r="BB989" s="92"/>
      <c r="BC989" s="92"/>
      <c r="BD989" s="92"/>
      <c r="BE989" s="92"/>
      <c r="BF989" s="92"/>
      <c r="BG989" s="94"/>
      <c r="BH989" s="94"/>
      <c r="BI989" s="94"/>
    </row>
    <row r="990">
      <c r="G990" s="95"/>
      <c r="H990" s="96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2"/>
      <c r="AJ990" s="92"/>
      <c r="AK990" s="92"/>
      <c r="AL990" s="92"/>
      <c r="AM990" s="92"/>
      <c r="AN990" s="92"/>
      <c r="AO990" s="92"/>
      <c r="AP990" s="93"/>
      <c r="AQ990" s="93"/>
      <c r="AR990" s="91"/>
      <c r="AS990" s="91"/>
      <c r="AT990" s="91"/>
      <c r="AU990" s="91"/>
      <c r="AV990" s="91"/>
      <c r="AW990" s="90"/>
      <c r="AX990" s="90"/>
      <c r="AY990" s="93"/>
      <c r="AZ990" s="93"/>
      <c r="BA990" s="92"/>
      <c r="BB990" s="92"/>
      <c r="BC990" s="92"/>
      <c r="BD990" s="92"/>
      <c r="BE990" s="92"/>
      <c r="BF990" s="92"/>
      <c r="BG990" s="94"/>
      <c r="BH990" s="94"/>
      <c r="BI990" s="94"/>
    </row>
    <row r="991">
      <c r="G991" s="95"/>
      <c r="H991" s="96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2"/>
      <c r="AJ991" s="92"/>
      <c r="AK991" s="92"/>
      <c r="AL991" s="92"/>
      <c r="AM991" s="92"/>
      <c r="AN991" s="92"/>
      <c r="AO991" s="92"/>
      <c r="AP991" s="93"/>
      <c r="AQ991" s="93"/>
      <c r="AR991" s="91"/>
      <c r="AS991" s="91"/>
      <c r="AT991" s="91"/>
      <c r="AU991" s="91"/>
      <c r="AV991" s="91"/>
      <c r="AW991" s="90"/>
      <c r="AX991" s="90"/>
      <c r="AY991" s="93"/>
      <c r="AZ991" s="93"/>
      <c r="BA991" s="92"/>
      <c r="BB991" s="92"/>
      <c r="BC991" s="92"/>
      <c r="BD991" s="92"/>
      <c r="BE991" s="92"/>
      <c r="BF991" s="92"/>
      <c r="BG991" s="94"/>
      <c r="BH991" s="94"/>
      <c r="BI991" s="94"/>
    </row>
    <row r="992">
      <c r="G992" s="95"/>
      <c r="H992" s="96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2"/>
      <c r="AJ992" s="92"/>
      <c r="AK992" s="92"/>
      <c r="AL992" s="92"/>
      <c r="AM992" s="92"/>
      <c r="AN992" s="92"/>
      <c r="AO992" s="92"/>
      <c r="AP992" s="93"/>
      <c r="AQ992" s="93"/>
      <c r="AR992" s="91"/>
      <c r="AS992" s="91"/>
      <c r="AT992" s="91"/>
      <c r="AU992" s="91"/>
      <c r="AV992" s="91"/>
      <c r="AW992" s="90"/>
      <c r="AX992" s="90"/>
      <c r="AY992" s="93"/>
      <c r="AZ992" s="93"/>
      <c r="BA992" s="92"/>
      <c r="BB992" s="92"/>
      <c r="BC992" s="92"/>
      <c r="BD992" s="92"/>
      <c r="BE992" s="92"/>
      <c r="BF992" s="92"/>
      <c r="BG992" s="94"/>
      <c r="BH992" s="94"/>
      <c r="BI992" s="94"/>
    </row>
    <row r="993">
      <c r="G993" s="95"/>
      <c r="H993" s="96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2"/>
      <c r="AJ993" s="92"/>
      <c r="AK993" s="92"/>
      <c r="AL993" s="92"/>
      <c r="AM993" s="92"/>
      <c r="AN993" s="92"/>
      <c r="AO993" s="92"/>
      <c r="AP993" s="93"/>
      <c r="AQ993" s="93"/>
      <c r="AR993" s="91"/>
      <c r="AS993" s="91"/>
      <c r="AT993" s="91"/>
      <c r="AU993" s="91"/>
      <c r="AV993" s="91"/>
      <c r="AW993" s="90"/>
      <c r="AX993" s="90"/>
      <c r="AY993" s="93"/>
      <c r="AZ993" s="93"/>
      <c r="BA993" s="92"/>
      <c r="BB993" s="92"/>
      <c r="BC993" s="92"/>
      <c r="BD993" s="92"/>
      <c r="BE993" s="92"/>
      <c r="BF993" s="92"/>
      <c r="BG993" s="94"/>
      <c r="BH993" s="94"/>
      <c r="BI993" s="94"/>
    </row>
    <row r="994">
      <c r="G994" s="95"/>
      <c r="H994" s="96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2"/>
      <c r="AJ994" s="92"/>
      <c r="AK994" s="92"/>
      <c r="AL994" s="92"/>
      <c r="AM994" s="92"/>
      <c r="AN994" s="92"/>
      <c r="AO994" s="92"/>
      <c r="AP994" s="93"/>
      <c r="AQ994" s="93"/>
      <c r="AR994" s="91"/>
      <c r="AS994" s="91"/>
      <c r="AT994" s="91"/>
      <c r="AU994" s="91"/>
      <c r="AV994" s="91"/>
      <c r="AW994" s="90"/>
      <c r="AX994" s="90"/>
      <c r="AY994" s="93"/>
      <c r="AZ994" s="93"/>
      <c r="BA994" s="92"/>
      <c r="BB994" s="92"/>
      <c r="BC994" s="92"/>
      <c r="BD994" s="92"/>
      <c r="BE994" s="92"/>
      <c r="BF994" s="92"/>
      <c r="BG994" s="94"/>
      <c r="BH994" s="94"/>
      <c r="BI994" s="94"/>
    </row>
    <row r="995">
      <c r="G995" s="95"/>
      <c r="H995" s="96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2"/>
      <c r="AJ995" s="92"/>
      <c r="AK995" s="92"/>
      <c r="AL995" s="92"/>
      <c r="AM995" s="92"/>
      <c r="AN995" s="92"/>
      <c r="AO995" s="92"/>
      <c r="AP995" s="93"/>
      <c r="AQ995" s="93"/>
      <c r="AR995" s="91"/>
      <c r="AS995" s="91"/>
      <c r="AT995" s="91"/>
      <c r="AU995" s="91"/>
      <c r="AV995" s="91"/>
      <c r="AW995" s="90"/>
      <c r="AX995" s="90"/>
      <c r="AY995" s="93"/>
      <c r="AZ995" s="93"/>
      <c r="BA995" s="92"/>
      <c r="BB995" s="92"/>
      <c r="BC995" s="92"/>
      <c r="BD995" s="92"/>
      <c r="BE995" s="92"/>
      <c r="BF995" s="92"/>
      <c r="BG995" s="94"/>
      <c r="BH995" s="94"/>
      <c r="BI995" s="94"/>
    </row>
    <row r="996">
      <c r="G996" s="95"/>
      <c r="H996" s="96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2"/>
      <c r="AJ996" s="92"/>
      <c r="AK996" s="92"/>
      <c r="AL996" s="92"/>
      <c r="AM996" s="92"/>
      <c r="AN996" s="92"/>
      <c r="AO996" s="92"/>
      <c r="AP996" s="93"/>
      <c r="AQ996" s="93"/>
      <c r="AR996" s="91"/>
      <c r="AS996" s="91"/>
      <c r="AT996" s="91"/>
      <c r="AU996" s="91"/>
      <c r="AV996" s="91"/>
      <c r="AW996" s="90"/>
      <c r="AX996" s="90"/>
      <c r="AY996" s="93"/>
      <c r="AZ996" s="93"/>
      <c r="BA996" s="92"/>
      <c r="BB996" s="92"/>
      <c r="BC996" s="92"/>
      <c r="BD996" s="92"/>
      <c r="BE996" s="92"/>
      <c r="BF996" s="92"/>
      <c r="BG996" s="94"/>
      <c r="BH996" s="94"/>
      <c r="BI996" s="94"/>
    </row>
    <row r="997">
      <c r="G997" s="95"/>
      <c r="H997" s="96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2"/>
      <c r="AJ997" s="92"/>
      <c r="AK997" s="92"/>
      <c r="AL997" s="92"/>
      <c r="AM997" s="92"/>
      <c r="AN997" s="92"/>
      <c r="AO997" s="92"/>
      <c r="AP997" s="93"/>
      <c r="AQ997" s="93"/>
      <c r="AR997" s="91"/>
      <c r="AS997" s="91"/>
      <c r="AT997" s="91"/>
      <c r="AU997" s="91"/>
      <c r="AV997" s="91"/>
      <c r="AW997" s="90"/>
      <c r="AX997" s="90"/>
      <c r="AY997" s="93"/>
      <c r="AZ997" s="93"/>
      <c r="BA997" s="92"/>
      <c r="BB997" s="92"/>
      <c r="BC997" s="92"/>
      <c r="BD997" s="92"/>
      <c r="BE997" s="92"/>
      <c r="BF997" s="92"/>
      <c r="BG997" s="94"/>
      <c r="BH997" s="94"/>
      <c r="BI997" s="9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63"/>
    <col customWidth="1" min="7" max="7" width="22.5"/>
    <col customWidth="1" min="8" max="8" width="20.38"/>
    <col customWidth="1" min="9" max="9" width="25.25"/>
    <col customWidth="1" min="13" max="13" width="17.25"/>
    <col customWidth="1" min="14" max="14" width="30.13"/>
    <col customWidth="1" min="15" max="15" width="15.25"/>
    <col customWidth="1" min="16" max="16" width="27.13"/>
    <col customWidth="1" min="17" max="17" width="16.38"/>
    <col customWidth="1" min="18" max="18" width="28.0"/>
    <col customWidth="1" min="19" max="19" width="21.25"/>
    <col customWidth="1" min="20" max="20" width="32.75"/>
    <col customWidth="1" min="21" max="21" width="19.13"/>
    <col customWidth="1" min="22" max="22" width="29.25"/>
    <col customWidth="1" min="23" max="23" width="29.75"/>
    <col customWidth="1" min="24" max="24" width="42.75"/>
    <col customWidth="1" min="25" max="25" width="18.25"/>
    <col customWidth="1" min="26" max="26" width="27.88"/>
    <col customWidth="1" min="27" max="27" width="15.38"/>
    <col customWidth="1" min="28" max="28" width="17.38"/>
    <col customWidth="1" min="29" max="29" width="30.0"/>
    <col customWidth="1" min="30" max="30" width="18.75"/>
    <col customWidth="1" min="31" max="31" width="27.38"/>
    <col customWidth="1" min="32" max="32" width="18.63"/>
    <col customWidth="1" min="33" max="33" width="30.25"/>
    <col customWidth="1" min="34" max="34" width="28.13"/>
    <col customWidth="1" min="35" max="35" width="40.38"/>
    <col customWidth="1" min="36" max="36" width="16.75"/>
    <col customWidth="1" min="37" max="37" width="26.75"/>
    <col customWidth="1" min="38" max="38" width="18.75"/>
    <col customWidth="1" min="39" max="39" width="17.75"/>
    <col customWidth="1" min="40" max="40" width="28.63"/>
    <col customWidth="1" min="41" max="41" width="17.0"/>
    <col customWidth="1" min="42" max="42" width="28.75"/>
    <col customWidth="1" min="43" max="43" width="19.63"/>
    <col customWidth="1" min="44" max="44" width="32.38"/>
    <col customWidth="1" min="45" max="45" width="19.25"/>
    <col customWidth="1" min="46" max="46" width="18.0"/>
    <col customWidth="1" min="47" max="47" width="29.75"/>
    <col customWidth="1" min="48" max="48" width="16.25"/>
    <col customWidth="1" min="49" max="49" width="24.75"/>
    <col customWidth="1" min="50" max="50" width="17.13"/>
    <col customWidth="1" min="51" max="51" width="29.88"/>
    <col customWidth="1" min="52" max="52" width="15.25"/>
    <col customWidth="1" min="53" max="53" width="18.13"/>
    <col customWidth="1" min="54" max="54" width="28.0"/>
    <col customWidth="1" min="55" max="55" width="17.63"/>
    <col customWidth="1" min="56" max="56" width="27.13"/>
    <col customWidth="1" min="57" max="57" width="18.88"/>
    <col customWidth="1" min="58" max="58" width="27.63"/>
    <col customWidth="1" min="60" max="60" width="24.0"/>
    <col customWidth="1" min="61" max="61" width="16.88"/>
    <col customWidth="1" min="62" max="62" width="27.88"/>
    <col customWidth="1" min="63" max="63" width="17.88"/>
    <col customWidth="1" min="64" max="64" width="28.5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4" t="s">
        <v>11</v>
      </c>
      <c r="G1" s="5" t="s">
        <v>17</v>
      </c>
      <c r="H1" s="6" t="s">
        <v>22</v>
      </c>
      <c r="I1" s="9" t="s">
        <v>29</v>
      </c>
      <c r="J1" s="4" t="s">
        <v>34</v>
      </c>
      <c r="K1" s="4" t="s">
        <v>37</v>
      </c>
      <c r="L1" s="4" t="s">
        <v>41</v>
      </c>
      <c r="M1" s="8" t="s">
        <v>26</v>
      </c>
      <c r="N1" s="8" t="s">
        <v>50</v>
      </c>
      <c r="O1" s="8" t="s">
        <v>38</v>
      </c>
      <c r="P1" s="8" t="s">
        <v>43</v>
      </c>
      <c r="Q1" s="8" t="s">
        <v>46</v>
      </c>
      <c r="R1" s="8" t="s">
        <v>49</v>
      </c>
      <c r="S1" s="8" t="s">
        <v>53</v>
      </c>
      <c r="T1" s="8" t="s">
        <v>56</v>
      </c>
      <c r="U1" s="8" t="s">
        <v>59</v>
      </c>
      <c r="V1" s="8" t="s">
        <v>63</v>
      </c>
      <c r="W1" s="8" t="s">
        <v>65</v>
      </c>
      <c r="X1" s="8" t="s">
        <v>69</v>
      </c>
      <c r="Y1" s="8" t="s">
        <v>72</v>
      </c>
      <c r="Z1" s="8" t="s">
        <v>77</v>
      </c>
      <c r="AA1" s="10" t="s">
        <v>80</v>
      </c>
      <c r="AB1" s="11" t="s">
        <v>90</v>
      </c>
      <c r="AC1" s="11" t="s">
        <v>92</v>
      </c>
      <c r="AD1" s="11" t="s">
        <v>93</v>
      </c>
      <c r="AE1" s="11" t="s">
        <v>95</v>
      </c>
      <c r="AF1" s="11" t="s">
        <v>97</v>
      </c>
      <c r="AG1" s="11" t="s">
        <v>99</v>
      </c>
      <c r="AH1" s="11" t="s">
        <v>100</v>
      </c>
      <c r="AI1" s="11" t="s">
        <v>102</v>
      </c>
      <c r="AJ1" s="11" t="s">
        <v>104</v>
      </c>
      <c r="AK1" s="11" t="s">
        <v>106</v>
      </c>
      <c r="AL1" s="13" t="s">
        <v>109</v>
      </c>
      <c r="AM1" s="14" t="s">
        <v>114</v>
      </c>
      <c r="AN1" s="14" t="s">
        <v>119</v>
      </c>
      <c r="AO1" s="14" t="s">
        <v>121</v>
      </c>
      <c r="AP1" s="14" t="s">
        <v>123</v>
      </c>
      <c r="AQ1" s="14" t="s">
        <v>126</v>
      </c>
      <c r="AR1" s="14" t="s">
        <v>128</v>
      </c>
      <c r="AS1" s="13" t="s">
        <v>130</v>
      </c>
      <c r="AT1" s="15" t="s">
        <v>132</v>
      </c>
      <c r="AU1" s="15" t="s">
        <v>136</v>
      </c>
      <c r="AV1" s="11" t="s">
        <v>138</v>
      </c>
      <c r="AW1" s="11" t="s">
        <v>141</v>
      </c>
      <c r="AX1" s="11" t="s">
        <v>143</v>
      </c>
      <c r="AY1" s="11" t="s">
        <v>146</v>
      </c>
      <c r="AZ1" s="13" t="s">
        <v>149</v>
      </c>
      <c r="BA1" s="8" t="s">
        <v>151</v>
      </c>
      <c r="BB1" s="8" t="s">
        <v>155</v>
      </c>
      <c r="BC1" s="15" t="s">
        <v>158</v>
      </c>
      <c r="BD1" s="15" t="s">
        <v>161</v>
      </c>
      <c r="BE1" s="14" t="s">
        <v>163</v>
      </c>
      <c r="BF1" s="14" t="s">
        <v>166</v>
      </c>
      <c r="BG1" s="14" t="s">
        <v>168</v>
      </c>
      <c r="BH1" s="14" t="s">
        <v>170</v>
      </c>
      <c r="BI1" s="14" t="s">
        <v>171</v>
      </c>
      <c r="BJ1" s="14" t="s">
        <v>172</v>
      </c>
      <c r="BK1" s="17" t="s">
        <v>173</v>
      </c>
      <c r="BL1" s="17" t="s">
        <v>175</v>
      </c>
      <c r="BM1" s="17"/>
    </row>
    <row r="2">
      <c r="A2" s="18" t="s">
        <v>180</v>
      </c>
      <c r="B2" s="19">
        <v>1.0</v>
      </c>
      <c r="C2" s="18" t="s">
        <v>188</v>
      </c>
      <c r="D2" s="18" t="s">
        <v>190</v>
      </c>
      <c r="E2" s="18" t="s">
        <v>190</v>
      </c>
      <c r="F2" s="18" t="s">
        <v>192</v>
      </c>
      <c r="G2" s="20" t="s">
        <v>195</v>
      </c>
      <c r="H2" s="22" t="s">
        <v>198</v>
      </c>
      <c r="I2" s="24" t="s">
        <v>37</v>
      </c>
      <c r="J2" s="25" t="s">
        <v>205</v>
      </c>
      <c r="K2" s="25" t="s">
        <v>205</v>
      </c>
      <c r="L2" s="25" t="s">
        <v>208</v>
      </c>
      <c r="M2" s="26">
        <v>6.0</v>
      </c>
      <c r="N2" s="26" t="str">
        <f t="shared" ref="N2:N5" si="1">IF((M2&gt;=19),"S",IF(AND(M2&lt;19),"R", "NA"))</f>
        <v>R</v>
      </c>
      <c r="O2" s="26">
        <v>20.0</v>
      </c>
      <c r="P2" s="26" t="str">
        <f t="shared" ref="P2:P5" si="2">IF((O2&gt;=19),"S",IF(AND(O2&lt;19),"R", "NA"))</f>
        <v>S</v>
      </c>
      <c r="Q2" s="26">
        <v>6.0</v>
      </c>
      <c r="R2" s="26" t="str">
        <f t="shared" ref="R2:R5" si="3">IF((Q2&gt;=23),"S",IF(AND(Q2&lt;23),"R","NA"))</f>
        <v>R</v>
      </c>
      <c r="S2" s="26">
        <v>25.0</v>
      </c>
      <c r="T2" s="26" t="str">
        <f t="shared" ref="T2:T5" si="4">IF((S2&gt;=23),"S",IF(AND(S2&lt;23,S2&gt;=20),"I",IF(AND(S2&lt;20),"R","NA")))</f>
        <v>S</v>
      </c>
      <c r="U2" s="26">
        <v>13.0</v>
      </c>
      <c r="V2" s="26" t="str">
        <f t="shared" ref="V2:V5" si="5">IF((U2&gt;=20),"S",IF(AND(U2&lt;20),"R", "NA"))</f>
        <v>R</v>
      </c>
      <c r="W2" s="26">
        <v>23.0</v>
      </c>
      <c r="X2" s="26" t="str">
        <f t="shared" ref="X2:X5" si="6">IF((W2&gt;=20),"S",IF(AND(W2&lt;20),"R", "NA"))</f>
        <v>S</v>
      </c>
      <c r="Y2" s="26">
        <v>22.0</v>
      </c>
      <c r="Z2" s="26" t="str">
        <f t="shared" ref="Z2:Z5" si="7">IF((Y2&gt;=20),"S",IF(AND(Y2&lt;20,Y2&gt;=17),"I",IF(AND(Y2&lt;17),"R","NA")))</f>
        <v>S</v>
      </c>
      <c r="AA2" s="32" t="s">
        <v>299</v>
      </c>
      <c r="AB2" s="33">
        <v>6.0</v>
      </c>
      <c r="AC2" s="33" t="str">
        <f t="shared" ref="AC2:AC5" si="8">IF((AB2&gt;=20),"S",IF(AND(AB2&lt;20,AB2&gt;=17),"I",IF(AND(AB2&lt;17),"R","NA")))</f>
        <v>R</v>
      </c>
      <c r="AD2" s="33">
        <v>26.0</v>
      </c>
      <c r="AE2" s="33" t="str">
        <f t="shared" ref="AE2:AE5" si="9">IF((AD2&gt;=18),"S",IF(AND(AD2&lt;18),"R", "NA"))</f>
        <v>S</v>
      </c>
      <c r="AF2" s="33">
        <v>17.0</v>
      </c>
      <c r="AG2" s="33" t="str">
        <f t="shared" ref="AG2:AG5" si="10">IF((AF2&gt;=22),"S",IF(AND(AF2&lt;22,AF2&gt;=19),"I",IF(AND(AF2&lt;19),"R","NA")))</f>
        <v>R</v>
      </c>
      <c r="AH2" s="33">
        <v>27.0</v>
      </c>
      <c r="AI2" s="33" t="str">
        <f t="shared" ref="AI2:AI5" si="11">IF((AH2&gt;=13),"S",IF(AND(AH2&lt;13),"R", "NA"))</f>
        <v>S</v>
      </c>
      <c r="AJ2" s="33">
        <v>22.0</v>
      </c>
      <c r="AK2" s="33" t="str">
        <f t="shared" ref="AK2:AK5" si="12">IF((AJ2&gt;=27),"S",IF(AND(AJ2&lt;27,AJ2&gt;=24),"I",IF(AND(AJ2&lt;24),"R","NA")))</f>
        <v>R</v>
      </c>
      <c r="AL2" s="33" t="s">
        <v>299</v>
      </c>
      <c r="AM2" s="36">
        <v>23.0</v>
      </c>
      <c r="AN2" s="36" t="str">
        <f t="shared" ref="AN2:AN5" si="13">IF((AM2&gt;=25),"S",IF(AND(AM2&lt;25,AM2&gt;=22),"I",IF(AND(AM2&lt;22),"R","NA")))</f>
        <v>I</v>
      </c>
      <c r="AO2" s="36">
        <v>22.0</v>
      </c>
      <c r="AP2" s="36" t="str">
        <f t="shared" ref="AP2:AP5" si="14">IF((AO2&gt;=23),"S",IF(AND(AO2&lt;23,AO2&gt;=19),"I",IF(AND(AO2&lt;19),"R","NA")))</f>
        <v>I</v>
      </c>
      <c r="AQ2" s="36">
        <v>20.0</v>
      </c>
      <c r="AR2" s="36" t="str">
        <f t="shared" ref="AR2:AR5" si="15">IF((AQ2&gt;=14),"S",IF(AND(AQ2&lt;14),"R","NA"))</f>
        <v>S</v>
      </c>
      <c r="AS2" s="36" t="s">
        <v>300</v>
      </c>
      <c r="AT2" s="37">
        <v>29.0</v>
      </c>
      <c r="AU2" s="37" t="str">
        <f t="shared" ref="AU2:AU5" si="16">IF((AT2&gt;=14),"S",IF(AND(AT2&lt;14,AT2&gt;=11),"I",IF(AND(AT2&lt;11),"R","NA")))</f>
        <v>S</v>
      </c>
      <c r="AV2" s="33">
        <v>19.0</v>
      </c>
      <c r="AW2" s="33" t="str">
        <f t="shared" ref="AW2:AW5" si="17">IF((AV2&gt;=18),"S",IF(AND(AV2&lt;18),"R", "NA"))</f>
        <v>S</v>
      </c>
      <c r="AX2" s="33">
        <v>18.0</v>
      </c>
      <c r="AY2" s="33" t="str">
        <f t="shared" ref="AY2:AY5" si="18">IF((AX2&gt;=16),"S",IF(AND(AX2&lt;16),"R", "NA"))</f>
        <v>S</v>
      </c>
      <c r="AZ2" s="33" t="s">
        <v>300</v>
      </c>
      <c r="BA2" s="26">
        <v>18.0</v>
      </c>
      <c r="BB2" s="26" t="str">
        <f t="shared" ref="BB2:BB5" si="19">IF((BA2&gt;=20),"S",IF(AND(BA2&lt;20),"R", "NA"))</f>
        <v>R</v>
      </c>
      <c r="BC2" s="37">
        <v>18.0</v>
      </c>
      <c r="BD2" s="37" t="str">
        <f t="shared" ref="BD2:BD5" si="20">IF((BC2&gt;=26),"S",IF(AND(BC2&lt;26,BC2&gt;=21),"I",IF(AND(BC2&lt;21),"R","NA")))</f>
        <v>R</v>
      </c>
      <c r="BE2" s="36">
        <v>25.0</v>
      </c>
      <c r="BF2" s="36" t="str">
        <f t="shared" ref="BF2:BF5" si="21">IF((BE2&gt;=23),"S",IF(AND(BE2&lt;23),"R","NA"))</f>
        <v>S</v>
      </c>
      <c r="BG2" s="39" t="s">
        <v>357</v>
      </c>
      <c r="BH2" s="39" t="s">
        <v>357</v>
      </c>
      <c r="BI2" s="36">
        <v>28.0</v>
      </c>
      <c r="BJ2" s="36" t="str">
        <f t="shared" ref="BJ2:BJ5" si="22">IF((BI2&gt;=22),"S",IF(AND(BI2&lt;22,BI2&gt;=19),"I",IF(AND(BI2&lt;19),"R","NA")))</f>
        <v>S</v>
      </c>
      <c r="BK2" s="40">
        <v>18.0</v>
      </c>
      <c r="BL2" s="41" t="str">
        <f t="shared" ref="BL2:BL5" si="23">IF((BK2&gt;=17),"S",IF(AND(BK2&lt;17),"R", "NA"))</f>
        <v>S</v>
      </c>
      <c r="BM2" s="41"/>
    </row>
    <row r="3">
      <c r="A3" s="18" t="s">
        <v>180</v>
      </c>
      <c r="B3" s="18" t="s">
        <v>444</v>
      </c>
      <c r="C3" s="18" t="s">
        <v>303</v>
      </c>
      <c r="D3" s="18" t="s">
        <v>190</v>
      </c>
      <c r="E3" s="18" t="s">
        <v>190</v>
      </c>
      <c r="F3" s="18" t="s">
        <v>192</v>
      </c>
      <c r="G3" s="20" t="s">
        <v>478</v>
      </c>
      <c r="H3" s="42" t="s">
        <v>479</v>
      </c>
      <c r="I3" s="24" t="s">
        <v>481</v>
      </c>
      <c r="J3" s="25" t="s">
        <v>205</v>
      </c>
      <c r="K3" s="43" t="s">
        <v>208</v>
      </c>
      <c r="L3" s="43" t="s">
        <v>208</v>
      </c>
      <c r="M3" s="26">
        <v>6.0</v>
      </c>
      <c r="N3" s="26" t="str">
        <f t="shared" si="1"/>
        <v>R</v>
      </c>
      <c r="O3" s="26">
        <v>15.0</v>
      </c>
      <c r="P3" s="26" t="str">
        <f t="shared" si="2"/>
        <v>R</v>
      </c>
      <c r="Q3" s="26">
        <v>6.0</v>
      </c>
      <c r="R3" s="26" t="str">
        <f t="shared" si="3"/>
        <v>R</v>
      </c>
      <c r="S3" s="26">
        <v>24.0</v>
      </c>
      <c r="T3" s="26" t="str">
        <f t="shared" si="4"/>
        <v>S</v>
      </c>
      <c r="U3" s="26">
        <v>14.0</v>
      </c>
      <c r="V3" s="26" t="str">
        <f t="shared" si="5"/>
        <v>R</v>
      </c>
      <c r="W3" s="26">
        <v>23.0</v>
      </c>
      <c r="X3" s="26" t="str">
        <f t="shared" si="6"/>
        <v>S</v>
      </c>
      <c r="Y3" s="26">
        <v>27.0</v>
      </c>
      <c r="Z3" s="26" t="str">
        <f t="shared" si="7"/>
        <v>S</v>
      </c>
      <c r="AA3" s="32" t="s">
        <v>299</v>
      </c>
      <c r="AB3" s="33">
        <v>11.0</v>
      </c>
      <c r="AC3" s="33" t="str">
        <f t="shared" si="8"/>
        <v>R</v>
      </c>
      <c r="AD3" s="33">
        <v>26.0</v>
      </c>
      <c r="AE3" s="33" t="str">
        <f t="shared" si="9"/>
        <v>S</v>
      </c>
      <c r="AF3" s="33">
        <v>23.0</v>
      </c>
      <c r="AG3" s="33" t="str">
        <f t="shared" si="10"/>
        <v>S</v>
      </c>
      <c r="AH3" s="33">
        <v>28.0</v>
      </c>
      <c r="AI3" s="33" t="str">
        <f t="shared" si="11"/>
        <v>S</v>
      </c>
      <c r="AJ3" s="33">
        <v>24.0</v>
      </c>
      <c r="AK3" s="33" t="str">
        <f t="shared" si="12"/>
        <v>I</v>
      </c>
      <c r="AL3" s="33" t="s">
        <v>299</v>
      </c>
      <c r="AM3" s="36">
        <v>29.0</v>
      </c>
      <c r="AN3" s="36" t="str">
        <f t="shared" si="13"/>
        <v>S</v>
      </c>
      <c r="AO3" s="36">
        <v>25.0</v>
      </c>
      <c r="AP3" s="36" t="str">
        <f t="shared" si="14"/>
        <v>S</v>
      </c>
      <c r="AQ3" s="36">
        <v>22.0</v>
      </c>
      <c r="AR3" s="36" t="str">
        <f t="shared" si="15"/>
        <v>S</v>
      </c>
      <c r="AS3" s="36" t="s">
        <v>300</v>
      </c>
      <c r="AT3" s="37">
        <v>23.0</v>
      </c>
      <c r="AU3" s="37" t="str">
        <f t="shared" si="16"/>
        <v>S</v>
      </c>
      <c r="AV3" s="33">
        <v>19.0</v>
      </c>
      <c r="AW3" s="33" t="str">
        <f t="shared" si="17"/>
        <v>S</v>
      </c>
      <c r="AX3" s="33">
        <v>19.0</v>
      </c>
      <c r="AY3" s="33" t="str">
        <f t="shared" si="18"/>
        <v>S</v>
      </c>
      <c r="AZ3" s="33" t="s">
        <v>300</v>
      </c>
      <c r="BA3" s="26">
        <v>17.0</v>
      </c>
      <c r="BB3" s="26" t="str">
        <f t="shared" si="19"/>
        <v>R</v>
      </c>
      <c r="BC3" s="37">
        <v>24.0</v>
      </c>
      <c r="BD3" s="37" t="str">
        <f t="shared" si="20"/>
        <v>I</v>
      </c>
      <c r="BE3" s="36">
        <v>25.0</v>
      </c>
      <c r="BF3" s="36" t="str">
        <f t="shared" si="21"/>
        <v>S</v>
      </c>
      <c r="BG3" s="39" t="s">
        <v>357</v>
      </c>
      <c r="BH3" s="39" t="s">
        <v>357</v>
      </c>
      <c r="BI3" s="36">
        <v>29.0</v>
      </c>
      <c r="BJ3" s="36" t="str">
        <f t="shared" si="22"/>
        <v>S</v>
      </c>
      <c r="BK3" s="40">
        <v>19.0</v>
      </c>
      <c r="BL3" s="41" t="str">
        <f t="shared" si="23"/>
        <v>S</v>
      </c>
      <c r="BM3" s="41"/>
    </row>
    <row r="4">
      <c r="A4" s="18" t="s">
        <v>180</v>
      </c>
      <c r="B4" s="18" t="s">
        <v>444</v>
      </c>
      <c r="C4" s="18" t="s">
        <v>333</v>
      </c>
      <c r="D4" s="18" t="s">
        <v>190</v>
      </c>
      <c r="E4" s="18" t="s">
        <v>190</v>
      </c>
      <c r="F4" s="18" t="s">
        <v>192</v>
      </c>
      <c r="G4" s="20" t="s">
        <v>512</v>
      </c>
      <c r="H4" s="42" t="s">
        <v>479</v>
      </c>
      <c r="I4" s="24" t="s">
        <v>481</v>
      </c>
      <c r="J4" s="43" t="s">
        <v>205</v>
      </c>
      <c r="K4" s="43" t="s">
        <v>208</v>
      </c>
      <c r="L4" s="43" t="s">
        <v>208</v>
      </c>
      <c r="M4" s="26">
        <v>6.0</v>
      </c>
      <c r="N4" s="26" t="str">
        <f t="shared" si="1"/>
        <v>R</v>
      </c>
      <c r="O4" s="26">
        <v>20.0</v>
      </c>
      <c r="P4" s="26" t="str">
        <f t="shared" si="2"/>
        <v>S</v>
      </c>
      <c r="Q4" s="26">
        <v>10.0</v>
      </c>
      <c r="R4" s="26" t="str">
        <f t="shared" si="3"/>
        <v>R</v>
      </c>
      <c r="S4" s="26">
        <v>26.0</v>
      </c>
      <c r="T4" s="26" t="str">
        <f t="shared" si="4"/>
        <v>S</v>
      </c>
      <c r="U4" s="26">
        <v>21.0</v>
      </c>
      <c r="V4" s="26" t="str">
        <f t="shared" si="5"/>
        <v>S</v>
      </c>
      <c r="W4" s="26">
        <v>23.0</v>
      </c>
      <c r="X4" s="26" t="str">
        <f t="shared" si="6"/>
        <v>S</v>
      </c>
      <c r="Y4" s="26">
        <v>26.0</v>
      </c>
      <c r="Z4" s="26" t="str">
        <f t="shared" si="7"/>
        <v>S</v>
      </c>
      <c r="AA4" s="32" t="s">
        <v>299</v>
      </c>
      <c r="AB4" s="33">
        <v>18.0</v>
      </c>
      <c r="AC4" s="33" t="str">
        <f t="shared" si="8"/>
        <v>I</v>
      </c>
      <c r="AD4" s="33">
        <v>26.0</v>
      </c>
      <c r="AE4" s="33" t="str">
        <f t="shared" si="9"/>
        <v>S</v>
      </c>
      <c r="AF4" s="33">
        <v>27.0</v>
      </c>
      <c r="AG4" s="33" t="str">
        <f t="shared" si="10"/>
        <v>S</v>
      </c>
      <c r="AH4" s="33">
        <v>27.0</v>
      </c>
      <c r="AI4" s="33" t="str">
        <f t="shared" si="11"/>
        <v>S</v>
      </c>
      <c r="AJ4" s="33">
        <v>31.0</v>
      </c>
      <c r="AK4" s="33" t="str">
        <f t="shared" si="12"/>
        <v>S</v>
      </c>
      <c r="AL4" s="33" t="s">
        <v>300</v>
      </c>
      <c r="AM4" s="36">
        <v>19.0</v>
      </c>
      <c r="AN4" s="36" t="str">
        <f t="shared" si="13"/>
        <v>R</v>
      </c>
      <c r="AO4" s="36">
        <v>22.0</v>
      </c>
      <c r="AP4" s="36" t="str">
        <f t="shared" si="14"/>
        <v>I</v>
      </c>
      <c r="AQ4" s="36">
        <v>19.0</v>
      </c>
      <c r="AR4" s="36" t="str">
        <f t="shared" si="15"/>
        <v>S</v>
      </c>
      <c r="AS4" s="36" t="s">
        <v>299</v>
      </c>
      <c r="AT4" s="37">
        <v>6.0</v>
      </c>
      <c r="AU4" s="37" t="str">
        <f t="shared" si="16"/>
        <v>R</v>
      </c>
      <c r="AV4" s="33">
        <v>20.0</v>
      </c>
      <c r="AW4" s="33" t="str">
        <f t="shared" si="17"/>
        <v>S</v>
      </c>
      <c r="AX4" s="33">
        <v>20.0</v>
      </c>
      <c r="AY4" s="33" t="str">
        <f t="shared" si="18"/>
        <v>S</v>
      </c>
      <c r="AZ4" s="33" t="s">
        <v>300</v>
      </c>
      <c r="BA4" s="26">
        <v>13.0</v>
      </c>
      <c r="BB4" s="26" t="str">
        <f t="shared" si="19"/>
        <v>R</v>
      </c>
      <c r="BC4" s="37">
        <v>30.0</v>
      </c>
      <c r="BD4" s="37" t="str">
        <f t="shared" si="20"/>
        <v>S</v>
      </c>
      <c r="BE4" s="36">
        <v>25.0</v>
      </c>
      <c r="BF4" s="36" t="str">
        <f t="shared" si="21"/>
        <v>S</v>
      </c>
      <c r="BG4" s="39" t="s">
        <v>357</v>
      </c>
      <c r="BH4" s="39" t="s">
        <v>357</v>
      </c>
      <c r="BI4" s="36">
        <v>29.0</v>
      </c>
      <c r="BJ4" s="36" t="str">
        <f t="shared" si="22"/>
        <v>S</v>
      </c>
      <c r="BK4" s="40">
        <v>20.0</v>
      </c>
      <c r="BL4" s="41" t="str">
        <f t="shared" si="23"/>
        <v>S</v>
      </c>
      <c r="BM4" s="41"/>
    </row>
    <row r="5">
      <c r="A5" s="18" t="s">
        <v>180</v>
      </c>
      <c r="B5" s="19">
        <v>2.0</v>
      </c>
      <c r="C5" s="18" t="s">
        <v>356</v>
      </c>
      <c r="D5" s="18" t="s">
        <v>190</v>
      </c>
      <c r="E5" s="18" t="s">
        <v>190</v>
      </c>
      <c r="F5" s="18" t="s">
        <v>192</v>
      </c>
      <c r="G5" s="20" t="s">
        <v>543</v>
      </c>
      <c r="H5" s="22" t="s">
        <v>198</v>
      </c>
      <c r="I5" s="24" t="s">
        <v>37</v>
      </c>
      <c r="J5" s="25" t="s">
        <v>205</v>
      </c>
      <c r="K5" s="25" t="s">
        <v>205</v>
      </c>
      <c r="L5" s="25" t="s">
        <v>208</v>
      </c>
      <c r="M5" s="26">
        <v>6.0</v>
      </c>
      <c r="N5" s="26" t="str">
        <f t="shared" si="1"/>
        <v>R</v>
      </c>
      <c r="O5" s="26">
        <v>16.0</v>
      </c>
      <c r="P5" s="26" t="str">
        <f t="shared" si="2"/>
        <v>R</v>
      </c>
      <c r="Q5" s="26">
        <v>6.0</v>
      </c>
      <c r="R5" s="26" t="str">
        <f t="shared" si="3"/>
        <v>R</v>
      </c>
      <c r="S5" s="26">
        <v>22.0</v>
      </c>
      <c r="T5" s="26" t="str">
        <f t="shared" si="4"/>
        <v>I</v>
      </c>
      <c r="U5" s="26">
        <v>8.0</v>
      </c>
      <c r="V5" s="26" t="str">
        <f t="shared" si="5"/>
        <v>R</v>
      </c>
      <c r="W5" s="26">
        <v>23.0</v>
      </c>
      <c r="X5" s="26" t="str">
        <f t="shared" si="6"/>
        <v>S</v>
      </c>
      <c r="Y5" s="26">
        <v>21.0</v>
      </c>
      <c r="Z5" s="26" t="str">
        <f t="shared" si="7"/>
        <v>S</v>
      </c>
      <c r="AA5" s="32" t="s">
        <v>299</v>
      </c>
      <c r="AB5" s="33">
        <v>6.0</v>
      </c>
      <c r="AC5" s="33" t="str">
        <f t="shared" si="8"/>
        <v>R</v>
      </c>
      <c r="AD5" s="33">
        <v>23.0</v>
      </c>
      <c r="AE5" s="33" t="str">
        <f t="shared" si="9"/>
        <v>S</v>
      </c>
      <c r="AF5" s="33">
        <v>10.0</v>
      </c>
      <c r="AG5" s="33" t="str">
        <f t="shared" si="10"/>
        <v>R</v>
      </c>
      <c r="AH5" s="33">
        <v>25.0</v>
      </c>
      <c r="AI5" s="33" t="str">
        <f t="shared" si="11"/>
        <v>S</v>
      </c>
      <c r="AJ5" s="33">
        <v>13.0</v>
      </c>
      <c r="AK5" s="33" t="str">
        <f t="shared" si="12"/>
        <v>R</v>
      </c>
      <c r="AL5" s="33" t="s">
        <v>299</v>
      </c>
      <c r="AM5" s="36">
        <v>21.0</v>
      </c>
      <c r="AN5" s="36" t="str">
        <f t="shared" si="13"/>
        <v>R</v>
      </c>
      <c r="AO5" s="36">
        <v>26.0</v>
      </c>
      <c r="AP5" s="36" t="str">
        <f t="shared" si="14"/>
        <v>S</v>
      </c>
      <c r="AQ5" s="36">
        <v>21.0</v>
      </c>
      <c r="AR5" s="36" t="str">
        <f t="shared" si="15"/>
        <v>S</v>
      </c>
      <c r="AS5" s="36" t="s">
        <v>299</v>
      </c>
      <c r="AT5" s="37">
        <v>6.0</v>
      </c>
      <c r="AU5" s="37" t="str">
        <f t="shared" si="16"/>
        <v>R</v>
      </c>
      <c r="AV5" s="33">
        <v>20.0</v>
      </c>
      <c r="AW5" s="33" t="str">
        <f t="shared" si="17"/>
        <v>S</v>
      </c>
      <c r="AX5" s="33">
        <v>19.0</v>
      </c>
      <c r="AY5" s="33" t="str">
        <f t="shared" si="18"/>
        <v>S</v>
      </c>
      <c r="AZ5" s="33" t="s">
        <v>300</v>
      </c>
      <c r="BA5" s="26">
        <v>22.0</v>
      </c>
      <c r="BB5" s="26" t="str">
        <f t="shared" si="19"/>
        <v>S</v>
      </c>
      <c r="BC5" s="37">
        <v>9.0</v>
      </c>
      <c r="BD5" s="37" t="str">
        <f t="shared" si="20"/>
        <v>R</v>
      </c>
      <c r="BE5" s="36">
        <v>18.0</v>
      </c>
      <c r="BF5" s="36" t="str">
        <f t="shared" si="21"/>
        <v>R</v>
      </c>
      <c r="BG5" s="36">
        <v>0.064</v>
      </c>
      <c r="BH5" s="36" t="str">
        <f>IF((BG5&lt;=0.5),"S",IF(AND(BG5&gt;0.5),"R", "NA"))</f>
        <v>S</v>
      </c>
      <c r="BI5" s="36">
        <v>29.0</v>
      </c>
      <c r="BJ5" s="36" t="str">
        <f t="shared" si="22"/>
        <v>S</v>
      </c>
      <c r="BK5" s="40">
        <v>20.0</v>
      </c>
      <c r="BL5" s="41" t="str">
        <f t="shared" si="23"/>
        <v>S</v>
      </c>
      <c r="BM5" s="41"/>
    </row>
    <row r="6">
      <c r="A6" s="18" t="s">
        <v>180</v>
      </c>
      <c r="B6" s="19">
        <v>3.0</v>
      </c>
      <c r="C6" s="18" t="s">
        <v>392</v>
      </c>
      <c r="D6" s="18" t="s">
        <v>571</v>
      </c>
      <c r="E6" s="18" t="s">
        <v>572</v>
      </c>
      <c r="F6" s="18" t="s">
        <v>573</v>
      </c>
      <c r="G6" s="20" t="s">
        <v>357</v>
      </c>
      <c r="H6" s="47" t="s">
        <v>357</v>
      </c>
      <c r="I6" s="48" t="s">
        <v>357</v>
      </c>
      <c r="J6" s="43" t="s">
        <v>208</v>
      </c>
      <c r="K6" s="43" t="s">
        <v>208</v>
      </c>
      <c r="L6" s="43" t="s">
        <v>208</v>
      </c>
      <c r="M6" s="32" t="s">
        <v>357</v>
      </c>
      <c r="N6" s="32" t="s">
        <v>357</v>
      </c>
      <c r="O6" s="32" t="s">
        <v>357</v>
      </c>
      <c r="P6" s="32" t="s">
        <v>357</v>
      </c>
      <c r="Q6" s="32" t="s">
        <v>357</v>
      </c>
      <c r="R6" s="32" t="s">
        <v>357</v>
      </c>
      <c r="S6" s="32" t="s">
        <v>357</v>
      </c>
      <c r="T6" s="32" t="s">
        <v>357</v>
      </c>
      <c r="U6" s="32" t="s">
        <v>357</v>
      </c>
      <c r="V6" s="32" t="s">
        <v>357</v>
      </c>
      <c r="W6" s="32" t="s">
        <v>357</v>
      </c>
      <c r="X6" s="32" t="s">
        <v>357</v>
      </c>
      <c r="Y6" s="32" t="s">
        <v>357</v>
      </c>
      <c r="Z6" s="32" t="s">
        <v>357</v>
      </c>
      <c r="AA6" s="32" t="s">
        <v>357</v>
      </c>
      <c r="AB6" s="49" t="s">
        <v>357</v>
      </c>
      <c r="AC6" s="49" t="s">
        <v>357</v>
      </c>
      <c r="AD6" s="49" t="s">
        <v>357</v>
      </c>
      <c r="AE6" s="49" t="s">
        <v>357</v>
      </c>
      <c r="AF6" s="49" t="s">
        <v>357</v>
      </c>
      <c r="AG6" s="49" t="s">
        <v>357</v>
      </c>
      <c r="AH6" s="49" t="s">
        <v>357</v>
      </c>
      <c r="AI6" s="49" t="s">
        <v>357</v>
      </c>
      <c r="AJ6" s="49" t="s">
        <v>357</v>
      </c>
      <c r="AK6" s="49" t="s">
        <v>357</v>
      </c>
      <c r="AL6" s="49" t="s">
        <v>357</v>
      </c>
      <c r="AM6" s="39" t="s">
        <v>357</v>
      </c>
      <c r="AN6" s="39" t="s">
        <v>357</v>
      </c>
      <c r="AO6" s="39" t="s">
        <v>357</v>
      </c>
      <c r="AP6" s="39" t="s">
        <v>357</v>
      </c>
      <c r="AQ6" s="39" t="s">
        <v>357</v>
      </c>
      <c r="AR6" s="39" t="s">
        <v>357</v>
      </c>
      <c r="AS6" s="39" t="s">
        <v>357</v>
      </c>
      <c r="AT6" s="50" t="s">
        <v>357</v>
      </c>
      <c r="AU6" s="50" t="s">
        <v>357</v>
      </c>
      <c r="AV6" s="49" t="s">
        <v>357</v>
      </c>
      <c r="AW6" s="49" t="s">
        <v>357</v>
      </c>
      <c r="AX6" s="49" t="s">
        <v>357</v>
      </c>
      <c r="AY6" s="49" t="s">
        <v>357</v>
      </c>
      <c r="AZ6" s="49" t="s">
        <v>357</v>
      </c>
      <c r="BA6" s="32" t="s">
        <v>357</v>
      </c>
      <c r="BB6" s="32" t="s">
        <v>357</v>
      </c>
      <c r="BC6" s="50" t="s">
        <v>357</v>
      </c>
      <c r="BD6" s="50" t="s">
        <v>357</v>
      </c>
      <c r="BE6" s="39" t="s">
        <v>357</v>
      </c>
      <c r="BF6" s="39" t="s">
        <v>357</v>
      </c>
      <c r="BG6" s="39" t="s">
        <v>357</v>
      </c>
      <c r="BH6" s="39" t="s">
        <v>357</v>
      </c>
      <c r="BI6" s="39" t="s">
        <v>357</v>
      </c>
      <c r="BJ6" s="39" t="s">
        <v>357</v>
      </c>
      <c r="BK6" s="41" t="s">
        <v>357</v>
      </c>
      <c r="BL6" s="41" t="s">
        <v>357</v>
      </c>
      <c r="BM6" s="41"/>
    </row>
    <row r="7">
      <c r="A7" s="18" t="s">
        <v>180</v>
      </c>
      <c r="B7" s="19">
        <v>4.0</v>
      </c>
      <c r="C7" s="18" t="s">
        <v>434</v>
      </c>
      <c r="D7" s="18" t="s">
        <v>575</v>
      </c>
      <c r="E7" s="18" t="s">
        <v>103</v>
      </c>
      <c r="F7" s="18" t="s">
        <v>573</v>
      </c>
      <c r="G7" s="20" t="s">
        <v>357</v>
      </c>
      <c r="H7" s="47" t="s">
        <v>357</v>
      </c>
      <c r="I7" s="48" t="s">
        <v>357</v>
      </c>
      <c r="J7" s="43" t="s">
        <v>208</v>
      </c>
      <c r="K7" s="43" t="s">
        <v>208</v>
      </c>
      <c r="L7" s="43" t="s">
        <v>208</v>
      </c>
      <c r="M7" s="32" t="s">
        <v>357</v>
      </c>
      <c r="N7" s="32" t="s">
        <v>357</v>
      </c>
      <c r="O7" s="32" t="s">
        <v>357</v>
      </c>
      <c r="P7" s="32" t="s">
        <v>357</v>
      </c>
      <c r="Q7" s="32" t="s">
        <v>357</v>
      </c>
      <c r="R7" s="32" t="s">
        <v>357</v>
      </c>
      <c r="S7" s="32" t="s">
        <v>357</v>
      </c>
      <c r="T7" s="32" t="s">
        <v>357</v>
      </c>
      <c r="U7" s="32" t="s">
        <v>357</v>
      </c>
      <c r="V7" s="32" t="s">
        <v>357</v>
      </c>
      <c r="W7" s="32" t="s">
        <v>357</v>
      </c>
      <c r="X7" s="32" t="s">
        <v>357</v>
      </c>
      <c r="Y7" s="32" t="s">
        <v>357</v>
      </c>
      <c r="Z7" s="32" t="s">
        <v>357</v>
      </c>
      <c r="AA7" s="32" t="s">
        <v>357</v>
      </c>
      <c r="AB7" s="49" t="s">
        <v>357</v>
      </c>
      <c r="AC7" s="49" t="s">
        <v>357</v>
      </c>
      <c r="AD7" s="49" t="s">
        <v>357</v>
      </c>
      <c r="AE7" s="49" t="s">
        <v>357</v>
      </c>
      <c r="AF7" s="49" t="s">
        <v>357</v>
      </c>
      <c r="AG7" s="49" t="s">
        <v>357</v>
      </c>
      <c r="AH7" s="49" t="s">
        <v>357</v>
      </c>
      <c r="AI7" s="49" t="s">
        <v>357</v>
      </c>
      <c r="AJ7" s="49" t="s">
        <v>357</v>
      </c>
      <c r="AK7" s="49" t="s">
        <v>357</v>
      </c>
      <c r="AL7" s="49" t="s">
        <v>357</v>
      </c>
      <c r="AM7" s="39" t="s">
        <v>357</v>
      </c>
      <c r="AN7" s="39" t="s">
        <v>357</v>
      </c>
      <c r="AO7" s="39" t="s">
        <v>357</v>
      </c>
      <c r="AP7" s="39" t="s">
        <v>357</v>
      </c>
      <c r="AQ7" s="39" t="s">
        <v>357</v>
      </c>
      <c r="AR7" s="39" t="s">
        <v>357</v>
      </c>
      <c r="AS7" s="39" t="s">
        <v>357</v>
      </c>
      <c r="AT7" s="50" t="s">
        <v>357</v>
      </c>
      <c r="AU7" s="50" t="s">
        <v>357</v>
      </c>
      <c r="AV7" s="49" t="s">
        <v>357</v>
      </c>
      <c r="AW7" s="49" t="s">
        <v>357</v>
      </c>
      <c r="AX7" s="49" t="s">
        <v>357</v>
      </c>
      <c r="AY7" s="49" t="s">
        <v>357</v>
      </c>
      <c r="AZ7" s="49" t="s">
        <v>357</v>
      </c>
      <c r="BA7" s="32" t="s">
        <v>357</v>
      </c>
      <c r="BB7" s="32" t="s">
        <v>357</v>
      </c>
      <c r="BC7" s="50" t="s">
        <v>357</v>
      </c>
      <c r="BD7" s="50" t="s">
        <v>357</v>
      </c>
      <c r="BE7" s="39" t="s">
        <v>357</v>
      </c>
      <c r="BF7" s="39" t="s">
        <v>357</v>
      </c>
      <c r="BG7" s="39" t="s">
        <v>357</v>
      </c>
      <c r="BH7" s="39" t="s">
        <v>357</v>
      </c>
      <c r="BI7" s="39" t="s">
        <v>357</v>
      </c>
      <c r="BJ7" s="39" t="s">
        <v>357</v>
      </c>
      <c r="BK7" s="41" t="s">
        <v>357</v>
      </c>
      <c r="BL7" s="41" t="s">
        <v>357</v>
      </c>
      <c r="BM7" s="41"/>
    </row>
    <row r="8">
      <c r="A8" s="18" t="s">
        <v>302</v>
      </c>
      <c r="B8" s="19">
        <v>5.0</v>
      </c>
      <c r="C8" s="18" t="s">
        <v>456</v>
      </c>
      <c r="D8" s="18" t="s">
        <v>190</v>
      </c>
      <c r="E8" s="18" t="s">
        <v>190</v>
      </c>
      <c r="F8" s="18" t="s">
        <v>192</v>
      </c>
      <c r="G8" s="20" t="s">
        <v>580</v>
      </c>
      <c r="H8" s="52" t="s">
        <v>581</v>
      </c>
      <c r="I8" s="24" t="s">
        <v>481</v>
      </c>
      <c r="J8" s="25" t="s">
        <v>205</v>
      </c>
      <c r="K8" s="43" t="s">
        <v>208</v>
      </c>
      <c r="L8" s="43" t="s">
        <v>208</v>
      </c>
      <c r="M8" s="26">
        <v>6.0</v>
      </c>
      <c r="N8" s="26" t="str">
        <f t="shared" ref="N8:N12" si="24">IF((M8&gt;=19),"S",IF(AND(M8&lt;19),"R", "NA"))</f>
        <v>R</v>
      </c>
      <c r="O8" s="26">
        <v>8.0</v>
      </c>
      <c r="P8" s="26" t="str">
        <f t="shared" ref="P8:P12" si="25">IF((O8&gt;=19),"S",IF(AND(O8&lt;19),"R", "NA"))</f>
        <v>R</v>
      </c>
      <c r="Q8" s="26">
        <v>6.0</v>
      </c>
      <c r="R8" s="26" t="str">
        <f t="shared" ref="R8:R12" si="26">IF((Q8&gt;=23),"S",IF(AND(Q8&lt;23),"R","NA"))</f>
        <v>R</v>
      </c>
      <c r="S8" s="26">
        <v>6.0</v>
      </c>
      <c r="T8" s="26" t="str">
        <f t="shared" ref="T8:T12" si="27">IF((S8&gt;=23),"S",IF(AND(S8&lt;23,S8&gt;=20),"I",IF(AND(S8&lt;20),"R","NA")))</f>
        <v>R</v>
      </c>
      <c r="U8" s="26">
        <v>20.0</v>
      </c>
      <c r="V8" s="26" t="str">
        <f t="shared" ref="V8:V12" si="28">IF((U8&gt;=20),"S",IF(AND(U8&lt;20),"R", "NA"))</f>
        <v>S</v>
      </c>
      <c r="W8" s="26">
        <v>25.0</v>
      </c>
      <c r="X8" s="26" t="str">
        <f t="shared" ref="X8:X12" si="29">IF((W8&gt;=20),"S",IF(AND(W8&lt;20),"R", "NA"))</f>
        <v>S</v>
      </c>
      <c r="Y8" s="26">
        <v>25.0</v>
      </c>
      <c r="Z8" s="26" t="str">
        <f t="shared" ref="Z8:Z12" si="30">IF((Y8&gt;=20),"S",IF(AND(Y8&lt;20,Y8&gt;=17),"I",IF(AND(Y8&lt;17),"R","NA")))</f>
        <v>S</v>
      </c>
      <c r="AA8" s="32" t="s">
        <v>299</v>
      </c>
      <c r="AB8" s="33">
        <v>17.0</v>
      </c>
      <c r="AC8" s="33" t="str">
        <f t="shared" ref="AC8:AC12" si="31">IF((AB8&gt;=20),"S",IF(AND(AB8&lt;20,AB8&gt;=17),"I",IF(AND(AB8&lt;17),"R","NA")))</f>
        <v>I</v>
      </c>
      <c r="AD8" s="33">
        <v>6.0</v>
      </c>
      <c r="AE8" s="33" t="str">
        <f t="shared" ref="AE8:AE12" si="32">IF((AD8&gt;=18),"S",IF(AND(AD8&lt;18),"R", "NA"))</f>
        <v>R</v>
      </c>
      <c r="AF8" s="33">
        <v>23.0</v>
      </c>
      <c r="AG8" s="33" t="str">
        <f t="shared" ref="AG8:AG12" si="33">IF((AF8&gt;=22),"S",IF(AND(AF8&lt;22,AF8&gt;=19),"I",IF(AND(AF8&lt;19),"R","NA")))</f>
        <v>S</v>
      </c>
      <c r="AH8" s="33">
        <v>27.0</v>
      </c>
      <c r="AI8" s="33" t="str">
        <f t="shared" ref="AI8:AI12" si="34">IF((AH8&gt;=13),"S",IF(AND(AH8&lt;13),"R", "NA"))</f>
        <v>S</v>
      </c>
      <c r="AJ8" s="33">
        <v>35.0</v>
      </c>
      <c r="AK8" s="33" t="str">
        <f t="shared" ref="AK8:AK12" si="35">IF((AJ8&gt;=27),"S",IF(AND(AJ8&lt;27,AJ8&gt;=24),"I",IF(AND(AJ8&lt;24),"R","NA")))</f>
        <v>S</v>
      </c>
      <c r="AL8" s="33" t="s">
        <v>299</v>
      </c>
      <c r="AM8" s="36">
        <v>11.0</v>
      </c>
      <c r="AN8" s="36" t="str">
        <f t="shared" ref="AN8:AN12" si="36">IF((AM8&gt;=25),"S",IF(AND(AM8&lt;25,AM8&gt;=22),"I",IF(AND(AM8&lt;22),"R","NA")))</f>
        <v>R</v>
      </c>
      <c r="AO8" s="36">
        <v>9.0</v>
      </c>
      <c r="AP8" s="36" t="str">
        <f t="shared" ref="AP8:AP12" si="37">IF((AO8&gt;=23),"S",IF(AND(AO8&lt;23,AO8&gt;=19),"I",IF(AND(AO8&lt;19),"R","NA")))</f>
        <v>R</v>
      </c>
      <c r="AQ8" s="36">
        <v>6.0</v>
      </c>
      <c r="AR8" s="36" t="str">
        <f t="shared" ref="AR8:AR12" si="38">IF((AQ8&gt;=14),"S",IF(AND(AQ8&lt;14),"R","NA"))</f>
        <v>R</v>
      </c>
      <c r="AS8" s="36" t="s">
        <v>299</v>
      </c>
      <c r="AT8" s="37">
        <v>6.0</v>
      </c>
      <c r="AU8" s="37" t="str">
        <f t="shared" ref="AU8:AU12" si="39">IF((AT8&gt;=14),"S",IF(AND(AT8&lt;14,AT8&gt;=11),"I",IF(AND(AT8&lt;11),"R","NA")))</f>
        <v>R</v>
      </c>
      <c r="AV8" s="33">
        <v>26.0</v>
      </c>
      <c r="AW8" s="33" t="str">
        <f t="shared" ref="AW8:AW12" si="40">IF((AV8&gt;=18),"S",IF(AND(AV8&lt;18),"R", "NA"))</f>
        <v>S</v>
      </c>
      <c r="AX8" s="33">
        <v>21.0</v>
      </c>
      <c r="AY8" s="33" t="str">
        <f t="shared" ref="AY8:AY12" si="41">IF((AX8&gt;=16),"S",IF(AND(AX8&lt;16),"R", "NA"))</f>
        <v>S</v>
      </c>
      <c r="AZ8" s="33" t="s">
        <v>300</v>
      </c>
      <c r="BA8" s="26">
        <v>10.0</v>
      </c>
      <c r="BB8" s="26" t="str">
        <f t="shared" ref="BB8:BB12" si="42">IF((BA8&gt;=20),"S",IF(AND(BA8&lt;20),"R", "NA"))</f>
        <v>R</v>
      </c>
      <c r="BC8" s="37">
        <v>23.0</v>
      </c>
      <c r="BD8" s="37" t="str">
        <f t="shared" ref="BD8:BD12" si="43">IF((BC8&gt;=26),"S",IF(AND(BC8&lt;26,BC8&gt;=21),"I",IF(AND(BC8&lt;21),"R","NA")))</f>
        <v>I</v>
      </c>
      <c r="BE8" s="36">
        <v>28.0</v>
      </c>
      <c r="BF8" s="36" t="str">
        <f t="shared" ref="BF8:BF12" si="44">IF((BE8&gt;=23),"S",IF(AND(BE8&lt;23),"R","NA"))</f>
        <v>S</v>
      </c>
      <c r="BG8" s="39" t="s">
        <v>357</v>
      </c>
      <c r="BH8" s="39" t="s">
        <v>357</v>
      </c>
      <c r="BI8" s="36">
        <v>26.0</v>
      </c>
      <c r="BJ8" s="36" t="str">
        <f t="shared" ref="BJ8:BJ12" si="45">IF((BI8&gt;=22),"S",IF(AND(BI8&lt;22,BI8&gt;=19),"I",IF(AND(BI8&lt;19),"R","NA")))</f>
        <v>S</v>
      </c>
      <c r="BK8" s="40">
        <v>24.0</v>
      </c>
      <c r="BL8" s="41" t="str">
        <f t="shared" ref="BL8:BL12" si="46">IF((BK8&gt;=17),"S",IF(AND(BK8&lt;17),"R", "NA"))</f>
        <v>S</v>
      </c>
      <c r="BM8" s="41"/>
    </row>
    <row r="9">
      <c r="A9" s="18" t="s">
        <v>302</v>
      </c>
      <c r="B9" s="18" t="s">
        <v>444</v>
      </c>
      <c r="C9" s="18" t="s">
        <v>490</v>
      </c>
      <c r="D9" s="18" t="s">
        <v>190</v>
      </c>
      <c r="E9" s="18" t="s">
        <v>190</v>
      </c>
      <c r="F9" s="18" t="s">
        <v>192</v>
      </c>
      <c r="G9" s="20" t="s">
        <v>655</v>
      </c>
      <c r="H9" s="52" t="s">
        <v>581</v>
      </c>
      <c r="I9" s="24" t="s">
        <v>481</v>
      </c>
      <c r="J9" s="25" t="s">
        <v>205</v>
      </c>
      <c r="K9" s="43" t="s">
        <v>208</v>
      </c>
      <c r="L9" s="43" t="s">
        <v>208</v>
      </c>
      <c r="M9" s="26">
        <v>6.0</v>
      </c>
      <c r="N9" s="26" t="str">
        <f t="shared" si="24"/>
        <v>R</v>
      </c>
      <c r="O9" s="26">
        <v>6.0</v>
      </c>
      <c r="P9" s="26" t="str">
        <f t="shared" si="25"/>
        <v>R</v>
      </c>
      <c r="Q9" s="26">
        <v>6.0</v>
      </c>
      <c r="R9" s="26" t="str">
        <f t="shared" si="26"/>
        <v>R</v>
      </c>
      <c r="S9" s="26">
        <v>6.0</v>
      </c>
      <c r="T9" s="26" t="str">
        <f t="shared" si="27"/>
        <v>R</v>
      </c>
      <c r="U9" s="26">
        <v>20.0</v>
      </c>
      <c r="V9" s="26" t="str">
        <f t="shared" si="28"/>
        <v>S</v>
      </c>
      <c r="W9" s="26">
        <v>21.0</v>
      </c>
      <c r="X9" s="26" t="str">
        <f t="shared" si="29"/>
        <v>S</v>
      </c>
      <c r="Y9" s="26">
        <v>26.0</v>
      </c>
      <c r="Z9" s="26" t="str">
        <f t="shared" si="30"/>
        <v>S</v>
      </c>
      <c r="AA9" s="32" t="s">
        <v>299</v>
      </c>
      <c r="AB9" s="33">
        <v>20.0</v>
      </c>
      <c r="AC9" s="33" t="str">
        <f t="shared" si="31"/>
        <v>S</v>
      </c>
      <c r="AD9" s="33">
        <v>6.0</v>
      </c>
      <c r="AE9" s="33" t="str">
        <f t="shared" si="32"/>
        <v>R</v>
      </c>
      <c r="AF9" s="33">
        <v>20.0</v>
      </c>
      <c r="AG9" s="33" t="str">
        <f t="shared" si="33"/>
        <v>I</v>
      </c>
      <c r="AH9" s="33">
        <v>27.0</v>
      </c>
      <c r="AI9" s="33" t="str">
        <f t="shared" si="34"/>
        <v>S</v>
      </c>
      <c r="AJ9" s="33">
        <v>35.0</v>
      </c>
      <c r="AK9" s="33" t="str">
        <f t="shared" si="35"/>
        <v>S</v>
      </c>
      <c r="AL9" s="33" t="s">
        <v>299</v>
      </c>
      <c r="AM9" s="36">
        <v>13.0</v>
      </c>
      <c r="AN9" s="36" t="str">
        <f t="shared" si="36"/>
        <v>R</v>
      </c>
      <c r="AO9" s="36">
        <v>11.0</v>
      </c>
      <c r="AP9" s="36" t="str">
        <f t="shared" si="37"/>
        <v>R</v>
      </c>
      <c r="AQ9" s="36">
        <v>6.0</v>
      </c>
      <c r="AR9" s="36" t="str">
        <f t="shared" si="38"/>
        <v>R</v>
      </c>
      <c r="AS9" s="36" t="s">
        <v>299</v>
      </c>
      <c r="AT9" s="37">
        <v>6.0</v>
      </c>
      <c r="AU9" s="37" t="str">
        <f t="shared" si="39"/>
        <v>R</v>
      </c>
      <c r="AV9" s="33">
        <v>25.0</v>
      </c>
      <c r="AW9" s="33" t="str">
        <f t="shared" si="40"/>
        <v>S</v>
      </c>
      <c r="AX9" s="33">
        <v>21.0</v>
      </c>
      <c r="AY9" s="33" t="str">
        <f t="shared" si="41"/>
        <v>S</v>
      </c>
      <c r="AZ9" s="33" t="s">
        <v>300</v>
      </c>
      <c r="BA9" s="26">
        <v>10.0</v>
      </c>
      <c r="BB9" s="26" t="str">
        <f t="shared" si="42"/>
        <v>R</v>
      </c>
      <c r="BC9" s="37">
        <v>27.0</v>
      </c>
      <c r="BD9" s="37" t="str">
        <f t="shared" si="43"/>
        <v>S</v>
      </c>
      <c r="BE9" s="36">
        <v>26.0</v>
      </c>
      <c r="BF9" s="36" t="str">
        <f t="shared" si="44"/>
        <v>S</v>
      </c>
      <c r="BG9" s="39" t="s">
        <v>357</v>
      </c>
      <c r="BH9" s="39" t="s">
        <v>357</v>
      </c>
      <c r="BI9" s="36">
        <v>25.0</v>
      </c>
      <c r="BJ9" s="36" t="str">
        <f t="shared" si="45"/>
        <v>S</v>
      </c>
      <c r="BK9" s="40">
        <v>20.0</v>
      </c>
      <c r="BL9" s="41" t="str">
        <f t="shared" si="46"/>
        <v>S</v>
      </c>
      <c r="BM9" s="41"/>
    </row>
    <row r="10">
      <c r="A10" s="18" t="s">
        <v>302</v>
      </c>
      <c r="B10" s="19">
        <v>6.0</v>
      </c>
      <c r="C10" s="18" t="s">
        <v>508</v>
      </c>
      <c r="D10" s="18" t="s">
        <v>190</v>
      </c>
      <c r="E10" s="18" t="s">
        <v>190</v>
      </c>
      <c r="F10" s="18" t="s">
        <v>192</v>
      </c>
      <c r="G10" s="20" t="s">
        <v>674</v>
      </c>
      <c r="H10" s="22" t="s">
        <v>198</v>
      </c>
      <c r="I10" s="24" t="s">
        <v>37</v>
      </c>
      <c r="J10" s="25" t="s">
        <v>205</v>
      </c>
      <c r="K10" s="25" t="s">
        <v>205</v>
      </c>
      <c r="L10" s="25" t="s">
        <v>208</v>
      </c>
      <c r="M10" s="26">
        <v>6.0</v>
      </c>
      <c r="N10" s="26" t="str">
        <f t="shared" si="24"/>
        <v>R</v>
      </c>
      <c r="O10" s="26">
        <v>23.0</v>
      </c>
      <c r="P10" s="26" t="str">
        <f t="shared" si="25"/>
        <v>S</v>
      </c>
      <c r="Q10" s="26">
        <v>6.0</v>
      </c>
      <c r="R10" s="26" t="str">
        <f t="shared" si="26"/>
        <v>R</v>
      </c>
      <c r="S10" s="26">
        <v>23.0</v>
      </c>
      <c r="T10" s="26" t="str">
        <f t="shared" si="27"/>
        <v>S</v>
      </c>
      <c r="U10" s="26">
        <v>8.0</v>
      </c>
      <c r="V10" s="26" t="str">
        <f t="shared" si="28"/>
        <v>R</v>
      </c>
      <c r="W10" s="26">
        <v>23.0</v>
      </c>
      <c r="X10" s="26" t="str">
        <f t="shared" si="29"/>
        <v>S</v>
      </c>
      <c r="Y10" s="26">
        <v>20.0</v>
      </c>
      <c r="Z10" s="26" t="str">
        <f t="shared" si="30"/>
        <v>S</v>
      </c>
      <c r="AA10" s="32" t="s">
        <v>299</v>
      </c>
      <c r="AB10" s="33">
        <v>6.0</v>
      </c>
      <c r="AC10" s="33" t="str">
        <f t="shared" si="31"/>
        <v>R</v>
      </c>
      <c r="AD10" s="33">
        <v>25.0</v>
      </c>
      <c r="AE10" s="33" t="str">
        <f t="shared" si="32"/>
        <v>S</v>
      </c>
      <c r="AF10" s="33">
        <v>14.0</v>
      </c>
      <c r="AG10" s="33" t="str">
        <f t="shared" si="33"/>
        <v>R</v>
      </c>
      <c r="AH10" s="33">
        <v>27.0</v>
      </c>
      <c r="AI10" s="33" t="str">
        <f t="shared" si="34"/>
        <v>S</v>
      </c>
      <c r="AJ10" s="33">
        <v>15.0</v>
      </c>
      <c r="AK10" s="33" t="str">
        <f t="shared" si="35"/>
        <v>R</v>
      </c>
      <c r="AL10" s="33" t="s">
        <v>299</v>
      </c>
      <c r="AM10" s="36">
        <v>28.0</v>
      </c>
      <c r="AN10" s="36" t="str">
        <f t="shared" si="36"/>
        <v>S</v>
      </c>
      <c r="AO10" s="36">
        <v>25.0</v>
      </c>
      <c r="AP10" s="36" t="str">
        <f t="shared" si="37"/>
        <v>S</v>
      </c>
      <c r="AQ10" s="36">
        <v>21.0</v>
      </c>
      <c r="AR10" s="36" t="str">
        <f t="shared" si="38"/>
        <v>S</v>
      </c>
      <c r="AS10" s="36" t="s">
        <v>300</v>
      </c>
      <c r="AT10" s="37">
        <v>6.0</v>
      </c>
      <c r="AU10" s="37" t="str">
        <f t="shared" si="39"/>
        <v>R</v>
      </c>
      <c r="AV10" s="33">
        <v>24.0</v>
      </c>
      <c r="AW10" s="33" t="str">
        <f t="shared" si="40"/>
        <v>S</v>
      </c>
      <c r="AX10" s="33">
        <v>20.0</v>
      </c>
      <c r="AY10" s="33" t="str">
        <f t="shared" si="41"/>
        <v>S</v>
      </c>
      <c r="AZ10" s="33" t="s">
        <v>300</v>
      </c>
      <c r="BA10" s="26">
        <v>27.0</v>
      </c>
      <c r="BB10" s="26" t="str">
        <f t="shared" si="42"/>
        <v>S</v>
      </c>
      <c r="BC10" s="37">
        <v>10.0</v>
      </c>
      <c r="BD10" s="37" t="str">
        <f t="shared" si="43"/>
        <v>R</v>
      </c>
      <c r="BE10" s="36">
        <v>28.0</v>
      </c>
      <c r="BF10" s="36" t="str">
        <f t="shared" si="44"/>
        <v>S</v>
      </c>
      <c r="BG10" s="39" t="s">
        <v>357</v>
      </c>
      <c r="BH10" s="39" t="s">
        <v>357</v>
      </c>
      <c r="BI10" s="36">
        <v>30.0</v>
      </c>
      <c r="BJ10" s="36" t="str">
        <f t="shared" si="45"/>
        <v>S</v>
      </c>
      <c r="BK10" s="40">
        <v>20.0</v>
      </c>
      <c r="BL10" s="41" t="str">
        <f t="shared" si="46"/>
        <v>S</v>
      </c>
      <c r="BM10" s="41"/>
    </row>
    <row r="11">
      <c r="A11" s="18" t="s">
        <v>302</v>
      </c>
      <c r="B11" s="18" t="s">
        <v>444</v>
      </c>
      <c r="C11" s="18" t="s">
        <v>537</v>
      </c>
      <c r="D11" s="18" t="s">
        <v>190</v>
      </c>
      <c r="E11" s="18" t="s">
        <v>190</v>
      </c>
      <c r="F11" s="18" t="s">
        <v>192</v>
      </c>
      <c r="G11" s="20" t="s">
        <v>687</v>
      </c>
      <c r="H11" s="42" t="s">
        <v>479</v>
      </c>
      <c r="I11" s="24" t="s">
        <v>37</v>
      </c>
      <c r="J11" s="25" t="s">
        <v>205</v>
      </c>
      <c r="K11" s="25" t="s">
        <v>205</v>
      </c>
      <c r="L11" s="25" t="s">
        <v>208</v>
      </c>
      <c r="M11" s="26">
        <v>6.0</v>
      </c>
      <c r="N11" s="26" t="str">
        <f t="shared" si="24"/>
        <v>R</v>
      </c>
      <c r="O11" s="26">
        <v>23.0</v>
      </c>
      <c r="P11" s="26" t="str">
        <f t="shared" si="25"/>
        <v>S</v>
      </c>
      <c r="Q11" s="26">
        <v>6.0</v>
      </c>
      <c r="R11" s="26" t="str">
        <f t="shared" si="26"/>
        <v>R</v>
      </c>
      <c r="S11" s="26">
        <v>23.0</v>
      </c>
      <c r="T11" s="26" t="str">
        <f t="shared" si="27"/>
        <v>S</v>
      </c>
      <c r="U11" s="26">
        <v>10.0</v>
      </c>
      <c r="V11" s="26" t="str">
        <f t="shared" si="28"/>
        <v>R</v>
      </c>
      <c r="W11" s="26">
        <v>22.0</v>
      </c>
      <c r="X11" s="26" t="str">
        <f t="shared" si="29"/>
        <v>S</v>
      </c>
      <c r="Y11" s="26">
        <v>27.0</v>
      </c>
      <c r="Z11" s="26" t="str">
        <f t="shared" si="30"/>
        <v>S</v>
      </c>
      <c r="AA11" s="32" t="s">
        <v>299</v>
      </c>
      <c r="AB11" s="33">
        <v>6.0</v>
      </c>
      <c r="AC11" s="33" t="str">
        <f t="shared" si="31"/>
        <v>R</v>
      </c>
      <c r="AD11" s="33">
        <v>25.0</v>
      </c>
      <c r="AE11" s="33" t="str">
        <f t="shared" si="32"/>
        <v>S</v>
      </c>
      <c r="AF11" s="33">
        <v>28.0</v>
      </c>
      <c r="AG11" s="33" t="str">
        <f t="shared" si="33"/>
        <v>S</v>
      </c>
      <c r="AH11" s="33">
        <v>28.0</v>
      </c>
      <c r="AI11" s="33" t="str">
        <f t="shared" si="34"/>
        <v>S</v>
      </c>
      <c r="AJ11" s="33">
        <v>20.0</v>
      </c>
      <c r="AK11" s="33" t="str">
        <f t="shared" si="35"/>
        <v>R</v>
      </c>
      <c r="AL11" s="33" t="s">
        <v>299</v>
      </c>
      <c r="AM11" s="36">
        <v>23.0</v>
      </c>
      <c r="AN11" s="36" t="str">
        <f t="shared" si="36"/>
        <v>I</v>
      </c>
      <c r="AO11" s="36">
        <v>20.0</v>
      </c>
      <c r="AP11" s="36" t="str">
        <f t="shared" si="37"/>
        <v>I</v>
      </c>
      <c r="AQ11" s="36">
        <v>20.0</v>
      </c>
      <c r="AR11" s="36" t="str">
        <f t="shared" si="38"/>
        <v>S</v>
      </c>
      <c r="AS11" s="36" t="s">
        <v>300</v>
      </c>
      <c r="AT11" s="37">
        <v>26.0</v>
      </c>
      <c r="AU11" s="37" t="str">
        <f t="shared" si="39"/>
        <v>S</v>
      </c>
      <c r="AV11" s="33">
        <v>20.0</v>
      </c>
      <c r="AW11" s="33" t="str">
        <f t="shared" si="40"/>
        <v>S</v>
      </c>
      <c r="AX11" s="33">
        <v>20.0</v>
      </c>
      <c r="AY11" s="33" t="str">
        <f t="shared" si="41"/>
        <v>S</v>
      </c>
      <c r="AZ11" s="33" t="s">
        <v>300</v>
      </c>
      <c r="BA11" s="26">
        <v>18.0</v>
      </c>
      <c r="BB11" s="26" t="str">
        <f t="shared" si="42"/>
        <v>R</v>
      </c>
      <c r="BC11" s="37">
        <v>18.0</v>
      </c>
      <c r="BD11" s="37" t="str">
        <f t="shared" si="43"/>
        <v>R</v>
      </c>
      <c r="BE11" s="36">
        <v>29.0</v>
      </c>
      <c r="BF11" s="36" t="str">
        <f t="shared" si="44"/>
        <v>S</v>
      </c>
      <c r="BG11" s="39" t="s">
        <v>357</v>
      </c>
      <c r="BH11" s="39" t="s">
        <v>357</v>
      </c>
      <c r="BI11" s="36">
        <v>29.0</v>
      </c>
      <c r="BJ11" s="36" t="str">
        <f t="shared" si="45"/>
        <v>S</v>
      </c>
      <c r="BK11" s="40">
        <v>21.0</v>
      </c>
      <c r="BL11" s="41" t="str">
        <f t="shared" si="46"/>
        <v>S</v>
      </c>
      <c r="BM11" s="41"/>
    </row>
    <row r="12">
      <c r="A12" s="18" t="s">
        <v>302</v>
      </c>
      <c r="B12" s="19">
        <v>7.0</v>
      </c>
      <c r="C12" s="18" t="s">
        <v>558</v>
      </c>
      <c r="D12" s="18" t="s">
        <v>190</v>
      </c>
      <c r="E12" s="18" t="s">
        <v>190</v>
      </c>
      <c r="F12" s="18" t="s">
        <v>192</v>
      </c>
      <c r="G12" s="20" t="s">
        <v>692</v>
      </c>
      <c r="H12" s="22" t="s">
        <v>198</v>
      </c>
      <c r="I12" s="24" t="s">
        <v>481</v>
      </c>
      <c r="J12" s="25" t="s">
        <v>205</v>
      </c>
      <c r="K12" s="43" t="s">
        <v>208</v>
      </c>
      <c r="L12" s="43" t="s">
        <v>208</v>
      </c>
      <c r="M12" s="26">
        <v>6.0</v>
      </c>
      <c r="N12" s="26" t="str">
        <f t="shared" si="24"/>
        <v>R</v>
      </c>
      <c r="O12" s="26">
        <v>25.0</v>
      </c>
      <c r="P12" s="26" t="str">
        <f t="shared" si="25"/>
        <v>S</v>
      </c>
      <c r="Q12" s="26">
        <v>6.0</v>
      </c>
      <c r="R12" s="26" t="str">
        <f t="shared" si="26"/>
        <v>R</v>
      </c>
      <c r="S12" s="26">
        <v>26.0</v>
      </c>
      <c r="T12" s="26" t="str">
        <f t="shared" si="27"/>
        <v>S</v>
      </c>
      <c r="U12" s="26">
        <v>16.0</v>
      </c>
      <c r="V12" s="26" t="str">
        <f t="shared" si="28"/>
        <v>R</v>
      </c>
      <c r="W12" s="26">
        <v>25.0</v>
      </c>
      <c r="X12" s="26" t="str">
        <f t="shared" si="29"/>
        <v>S</v>
      </c>
      <c r="Y12" s="26">
        <v>25.0</v>
      </c>
      <c r="Z12" s="26" t="str">
        <f t="shared" si="30"/>
        <v>S</v>
      </c>
      <c r="AA12" s="32" t="s">
        <v>299</v>
      </c>
      <c r="AB12" s="33">
        <v>6.0</v>
      </c>
      <c r="AC12" s="33" t="str">
        <f t="shared" si="31"/>
        <v>R</v>
      </c>
      <c r="AD12" s="33">
        <v>26.0</v>
      </c>
      <c r="AE12" s="33" t="str">
        <f t="shared" si="32"/>
        <v>S</v>
      </c>
      <c r="AF12" s="33">
        <v>22.0</v>
      </c>
      <c r="AG12" s="33" t="str">
        <f t="shared" si="33"/>
        <v>S</v>
      </c>
      <c r="AH12" s="33">
        <v>29.0</v>
      </c>
      <c r="AI12" s="33" t="str">
        <f t="shared" si="34"/>
        <v>S</v>
      </c>
      <c r="AJ12" s="33">
        <v>25.0</v>
      </c>
      <c r="AK12" s="33" t="str">
        <f t="shared" si="35"/>
        <v>I</v>
      </c>
      <c r="AL12" s="33" t="s">
        <v>299</v>
      </c>
      <c r="AM12" s="36">
        <v>6.0</v>
      </c>
      <c r="AN12" s="36" t="str">
        <f t="shared" si="36"/>
        <v>R</v>
      </c>
      <c r="AO12" s="36">
        <v>9.0</v>
      </c>
      <c r="AP12" s="36" t="str">
        <f t="shared" si="37"/>
        <v>R</v>
      </c>
      <c r="AQ12" s="36">
        <v>6.0</v>
      </c>
      <c r="AR12" s="36" t="str">
        <f t="shared" si="38"/>
        <v>R</v>
      </c>
      <c r="AS12" s="36" t="s">
        <v>299</v>
      </c>
      <c r="AT12" s="37">
        <v>6.0</v>
      </c>
      <c r="AU12" s="37" t="str">
        <f t="shared" si="39"/>
        <v>R</v>
      </c>
      <c r="AV12" s="33">
        <v>20.0</v>
      </c>
      <c r="AW12" s="33" t="str">
        <f t="shared" si="40"/>
        <v>S</v>
      </c>
      <c r="AX12" s="33">
        <v>20.0</v>
      </c>
      <c r="AY12" s="33" t="str">
        <f t="shared" si="41"/>
        <v>S</v>
      </c>
      <c r="AZ12" s="33" t="s">
        <v>300</v>
      </c>
      <c r="BA12" s="26">
        <v>20.0</v>
      </c>
      <c r="BB12" s="26" t="str">
        <f t="shared" si="42"/>
        <v>S</v>
      </c>
      <c r="BC12" s="37">
        <v>21.0</v>
      </c>
      <c r="BD12" s="37" t="str">
        <f t="shared" si="43"/>
        <v>I</v>
      </c>
      <c r="BE12" s="36">
        <v>32.0</v>
      </c>
      <c r="BF12" s="36" t="str">
        <f t="shared" si="44"/>
        <v>S</v>
      </c>
      <c r="BG12" s="39" t="s">
        <v>357</v>
      </c>
      <c r="BH12" s="39" t="s">
        <v>357</v>
      </c>
      <c r="BI12" s="36">
        <v>30.0</v>
      </c>
      <c r="BJ12" s="36" t="str">
        <f t="shared" si="45"/>
        <v>S</v>
      </c>
      <c r="BK12" s="40">
        <v>20.0</v>
      </c>
      <c r="BL12" s="41" t="str">
        <f t="shared" si="46"/>
        <v>S</v>
      </c>
      <c r="BM12" s="41"/>
    </row>
    <row r="13">
      <c r="A13" s="18" t="s">
        <v>302</v>
      </c>
      <c r="B13" s="19">
        <v>8.0</v>
      </c>
      <c r="C13" s="18" t="s">
        <v>371</v>
      </c>
      <c r="D13" s="18" t="s">
        <v>571</v>
      </c>
      <c r="E13" s="18" t="s">
        <v>572</v>
      </c>
      <c r="F13" s="18" t="s">
        <v>573</v>
      </c>
      <c r="G13" s="20" t="s">
        <v>357</v>
      </c>
      <c r="H13" s="47" t="s">
        <v>357</v>
      </c>
      <c r="I13" s="48" t="s">
        <v>357</v>
      </c>
      <c r="J13" s="43" t="s">
        <v>208</v>
      </c>
      <c r="K13" s="43" t="s">
        <v>208</v>
      </c>
      <c r="L13" s="43" t="s">
        <v>208</v>
      </c>
      <c r="M13" s="32" t="s">
        <v>357</v>
      </c>
      <c r="N13" s="32" t="s">
        <v>357</v>
      </c>
      <c r="O13" s="32" t="s">
        <v>357</v>
      </c>
      <c r="P13" s="32" t="s">
        <v>357</v>
      </c>
      <c r="Q13" s="32" t="s">
        <v>357</v>
      </c>
      <c r="R13" s="32" t="s">
        <v>357</v>
      </c>
      <c r="S13" s="32" t="s">
        <v>357</v>
      </c>
      <c r="T13" s="32" t="s">
        <v>357</v>
      </c>
      <c r="U13" s="32" t="s">
        <v>357</v>
      </c>
      <c r="V13" s="32" t="s">
        <v>357</v>
      </c>
      <c r="W13" s="32" t="s">
        <v>357</v>
      </c>
      <c r="X13" s="32" t="s">
        <v>357</v>
      </c>
      <c r="Y13" s="32" t="s">
        <v>357</v>
      </c>
      <c r="Z13" s="32" t="s">
        <v>357</v>
      </c>
      <c r="AA13" s="32" t="s">
        <v>357</v>
      </c>
      <c r="AB13" s="49" t="s">
        <v>357</v>
      </c>
      <c r="AC13" s="49" t="s">
        <v>357</v>
      </c>
      <c r="AD13" s="49" t="s">
        <v>357</v>
      </c>
      <c r="AE13" s="49" t="s">
        <v>357</v>
      </c>
      <c r="AF13" s="49" t="s">
        <v>357</v>
      </c>
      <c r="AG13" s="49" t="s">
        <v>357</v>
      </c>
      <c r="AH13" s="49" t="s">
        <v>357</v>
      </c>
      <c r="AI13" s="49" t="s">
        <v>357</v>
      </c>
      <c r="AJ13" s="49" t="s">
        <v>357</v>
      </c>
      <c r="AK13" s="49" t="s">
        <v>357</v>
      </c>
      <c r="AL13" s="49" t="s">
        <v>357</v>
      </c>
      <c r="AM13" s="39" t="s">
        <v>357</v>
      </c>
      <c r="AN13" s="39" t="s">
        <v>357</v>
      </c>
      <c r="AO13" s="39" t="s">
        <v>357</v>
      </c>
      <c r="AP13" s="39" t="s">
        <v>357</v>
      </c>
      <c r="AQ13" s="39" t="s">
        <v>357</v>
      </c>
      <c r="AR13" s="39" t="s">
        <v>357</v>
      </c>
      <c r="AS13" s="39" t="s">
        <v>357</v>
      </c>
      <c r="AT13" s="50" t="s">
        <v>357</v>
      </c>
      <c r="AU13" s="50" t="s">
        <v>357</v>
      </c>
      <c r="AV13" s="49" t="s">
        <v>357</v>
      </c>
      <c r="AW13" s="49" t="s">
        <v>357</v>
      </c>
      <c r="AX13" s="49" t="s">
        <v>357</v>
      </c>
      <c r="AY13" s="49" t="s">
        <v>357</v>
      </c>
      <c r="AZ13" s="49" t="s">
        <v>357</v>
      </c>
      <c r="BA13" s="32" t="s">
        <v>357</v>
      </c>
      <c r="BB13" s="32" t="s">
        <v>357</v>
      </c>
      <c r="BC13" s="50" t="s">
        <v>357</v>
      </c>
      <c r="BD13" s="50" t="s">
        <v>357</v>
      </c>
      <c r="BE13" s="39" t="s">
        <v>357</v>
      </c>
      <c r="BF13" s="39" t="s">
        <v>357</v>
      </c>
      <c r="BG13" s="39" t="s">
        <v>357</v>
      </c>
      <c r="BH13" s="39" t="s">
        <v>357</v>
      </c>
      <c r="BI13" s="39" t="s">
        <v>357</v>
      </c>
      <c r="BJ13" s="39" t="s">
        <v>357</v>
      </c>
      <c r="BK13" s="41" t="s">
        <v>357</v>
      </c>
      <c r="BL13" s="41" t="s">
        <v>357</v>
      </c>
      <c r="BM13" s="41"/>
    </row>
    <row r="14">
      <c r="A14" s="18" t="s">
        <v>302</v>
      </c>
      <c r="B14" s="19">
        <v>9.0</v>
      </c>
      <c r="C14" s="18" t="s">
        <v>583</v>
      </c>
      <c r="D14" s="18" t="s">
        <v>705</v>
      </c>
      <c r="E14" s="18" t="s">
        <v>572</v>
      </c>
      <c r="F14" s="18" t="s">
        <v>573</v>
      </c>
      <c r="G14" s="20" t="s">
        <v>357</v>
      </c>
      <c r="H14" s="47" t="s">
        <v>357</v>
      </c>
      <c r="I14" s="48" t="s">
        <v>357</v>
      </c>
      <c r="J14" s="43" t="s">
        <v>208</v>
      </c>
      <c r="K14" s="43" t="s">
        <v>208</v>
      </c>
      <c r="L14" s="43" t="s">
        <v>208</v>
      </c>
      <c r="M14" s="32" t="s">
        <v>357</v>
      </c>
      <c r="N14" s="32" t="s">
        <v>357</v>
      </c>
      <c r="O14" s="32" t="s">
        <v>357</v>
      </c>
      <c r="P14" s="32" t="s">
        <v>357</v>
      </c>
      <c r="Q14" s="32" t="s">
        <v>357</v>
      </c>
      <c r="R14" s="32" t="s">
        <v>357</v>
      </c>
      <c r="S14" s="32" t="s">
        <v>357</v>
      </c>
      <c r="T14" s="32" t="s">
        <v>357</v>
      </c>
      <c r="U14" s="32" t="s">
        <v>357</v>
      </c>
      <c r="V14" s="32" t="s">
        <v>357</v>
      </c>
      <c r="W14" s="32" t="s">
        <v>357</v>
      </c>
      <c r="X14" s="32" t="s">
        <v>357</v>
      </c>
      <c r="Y14" s="32" t="s">
        <v>357</v>
      </c>
      <c r="Z14" s="32" t="s">
        <v>357</v>
      </c>
      <c r="AA14" s="32" t="s">
        <v>357</v>
      </c>
      <c r="AB14" s="49" t="s">
        <v>357</v>
      </c>
      <c r="AC14" s="49" t="s">
        <v>357</v>
      </c>
      <c r="AD14" s="49" t="s">
        <v>357</v>
      </c>
      <c r="AE14" s="49" t="s">
        <v>357</v>
      </c>
      <c r="AF14" s="49" t="s">
        <v>357</v>
      </c>
      <c r="AG14" s="49" t="s">
        <v>357</v>
      </c>
      <c r="AH14" s="49" t="s">
        <v>357</v>
      </c>
      <c r="AI14" s="49" t="s">
        <v>357</v>
      </c>
      <c r="AJ14" s="49" t="s">
        <v>357</v>
      </c>
      <c r="AK14" s="49" t="s">
        <v>357</v>
      </c>
      <c r="AL14" s="49" t="s">
        <v>357</v>
      </c>
      <c r="AM14" s="39" t="s">
        <v>357</v>
      </c>
      <c r="AN14" s="39" t="s">
        <v>357</v>
      </c>
      <c r="AO14" s="39" t="s">
        <v>357</v>
      </c>
      <c r="AP14" s="39" t="s">
        <v>357</v>
      </c>
      <c r="AQ14" s="39" t="s">
        <v>357</v>
      </c>
      <c r="AR14" s="39" t="s">
        <v>357</v>
      </c>
      <c r="AS14" s="39" t="s">
        <v>357</v>
      </c>
      <c r="AT14" s="50" t="s">
        <v>357</v>
      </c>
      <c r="AU14" s="50" t="s">
        <v>357</v>
      </c>
      <c r="AV14" s="49" t="s">
        <v>357</v>
      </c>
      <c r="AW14" s="49" t="s">
        <v>357</v>
      </c>
      <c r="AX14" s="49" t="s">
        <v>357</v>
      </c>
      <c r="AY14" s="49" t="s">
        <v>357</v>
      </c>
      <c r="AZ14" s="49" t="s">
        <v>357</v>
      </c>
      <c r="BA14" s="32" t="s">
        <v>357</v>
      </c>
      <c r="BB14" s="32" t="s">
        <v>357</v>
      </c>
      <c r="BC14" s="50" t="s">
        <v>357</v>
      </c>
      <c r="BD14" s="50" t="s">
        <v>357</v>
      </c>
      <c r="BE14" s="39" t="s">
        <v>357</v>
      </c>
      <c r="BF14" s="39" t="s">
        <v>357</v>
      </c>
      <c r="BG14" s="39" t="s">
        <v>357</v>
      </c>
      <c r="BH14" s="39" t="s">
        <v>357</v>
      </c>
      <c r="BI14" s="39" t="s">
        <v>357</v>
      </c>
      <c r="BJ14" s="39" t="s">
        <v>357</v>
      </c>
      <c r="BK14" s="41" t="s">
        <v>357</v>
      </c>
      <c r="BL14" s="41" t="s">
        <v>357</v>
      </c>
      <c r="BM14" s="41"/>
    </row>
    <row r="15">
      <c r="A15" s="18" t="s">
        <v>302</v>
      </c>
      <c r="B15" s="19">
        <v>10.0</v>
      </c>
      <c r="C15" s="18" t="s">
        <v>599</v>
      </c>
      <c r="D15" s="18" t="s">
        <v>708</v>
      </c>
      <c r="E15" s="18" t="s">
        <v>103</v>
      </c>
      <c r="F15" s="18" t="s">
        <v>192</v>
      </c>
      <c r="G15" s="20" t="s">
        <v>709</v>
      </c>
      <c r="H15" s="22" t="s">
        <v>198</v>
      </c>
      <c r="I15" s="24" t="s">
        <v>37</v>
      </c>
      <c r="J15" s="25" t="s">
        <v>205</v>
      </c>
      <c r="K15" s="25" t="s">
        <v>205</v>
      </c>
      <c r="L15" s="25" t="s">
        <v>208</v>
      </c>
      <c r="M15" s="26">
        <v>6.0</v>
      </c>
      <c r="N15" s="26" t="str">
        <f t="shared" ref="N15:N31" si="47">IF((M15&gt;=19),"S",IF(AND(M15&lt;19),"R", "NA"))</f>
        <v>R</v>
      </c>
      <c r="O15" s="26">
        <v>25.0</v>
      </c>
      <c r="P15" s="26" t="str">
        <f t="shared" ref="P15:P31" si="48">IF((O15&gt;=19),"S",IF(AND(O15&lt;19),"R", "NA"))</f>
        <v>S</v>
      </c>
      <c r="Q15" s="26">
        <v>6.0</v>
      </c>
      <c r="R15" s="26" t="str">
        <f t="shared" ref="R15:R31" si="49">IF((Q15&gt;=23),"S",IF(AND(Q15&lt;23),"R","NA"))</f>
        <v>R</v>
      </c>
      <c r="S15" s="26">
        <v>25.0</v>
      </c>
      <c r="T15" s="26" t="str">
        <f t="shared" ref="T15:T16" si="50">IF((S15&gt;=23),"S",IF(AND(S15&lt;23,S15&gt;=20),"I",IF(AND(S15&lt;20),"R","NA")))</f>
        <v>S</v>
      </c>
      <c r="U15" s="26">
        <v>13.0</v>
      </c>
      <c r="V15" s="26" t="str">
        <f t="shared" ref="V15:V31" si="51">IF((U15&gt;=20),"S",IF(AND(U15&lt;20),"R", "NA"))</f>
        <v>R</v>
      </c>
      <c r="W15" s="26">
        <v>25.0</v>
      </c>
      <c r="X15" s="26" t="str">
        <f t="shared" ref="X15:X31" si="52">IF((W15&gt;=20),"S",IF(AND(W15&lt;20),"R", "NA"))</f>
        <v>S</v>
      </c>
      <c r="Y15" s="26">
        <v>23.0</v>
      </c>
      <c r="Z15" s="26" t="str">
        <f t="shared" ref="Z15:Z31" si="53">IF((Y15&gt;=20),"S",IF(AND(Y15&lt;20,Y15&gt;=17),"I",IF(AND(Y15&lt;17),"R","NA")))</f>
        <v>S</v>
      </c>
      <c r="AA15" s="32" t="s">
        <v>299</v>
      </c>
      <c r="AB15" s="33">
        <v>6.0</v>
      </c>
      <c r="AC15" s="33" t="str">
        <f t="shared" ref="AC15:AC31" si="54">IF((AB15&gt;=20),"S",IF(AND(AB15&lt;20,AB15&gt;=17),"I",IF(AND(AB15&lt;17),"R","NA")))</f>
        <v>R</v>
      </c>
      <c r="AD15" s="33">
        <v>23.0</v>
      </c>
      <c r="AE15" s="33" t="str">
        <f t="shared" ref="AE15:AE31" si="55">IF((AD15&gt;=18),"S",IF(AND(AD15&lt;18),"R", "NA"))</f>
        <v>S</v>
      </c>
      <c r="AF15" s="33">
        <v>19.0</v>
      </c>
      <c r="AG15" s="33" t="str">
        <f t="shared" ref="AG15:AG31" si="56">IF((AF15&gt;=22),"S",IF(AND(AF15&lt;22,AF15&gt;=19),"I",IF(AND(AF15&lt;19),"R","NA")))</f>
        <v>I</v>
      </c>
      <c r="AH15" s="33">
        <v>27.0</v>
      </c>
      <c r="AI15" s="33" t="str">
        <f t="shared" ref="AI15:AI31" si="57">IF((AH15&gt;=13),"S",IF(AND(AH15&lt;13),"R", "NA"))</f>
        <v>S</v>
      </c>
      <c r="AJ15" s="33">
        <v>20.0</v>
      </c>
      <c r="AK15" s="33" t="str">
        <f t="shared" ref="AK15:AK31" si="58">IF((AJ15&gt;=27),"S",IF(AND(AJ15&lt;27,AJ15&gt;=24),"I",IF(AND(AJ15&lt;24),"R","NA")))</f>
        <v>R</v>
      </c>
      <c r="AL15" s="33" t="s">
        <v>299</v>
      </c>
      <c r="AM15" s="36">
        <v>25.0</v>
      </c>
      <c r="AN15" s="36" t="str">
        <f t="shared" ref="AN15:AN31" si="59">IF((AM15&gt;=25),"S",IF(AND(AM15&lt;25,AM15&gt;=22),"I",IF(AND(AM15&lt;22),"R","NA")))</f>
        <v>S</v>
      </c>
      <c r="AO15" s="36">
        <v>25.0</v>
      </c>
      <c r="AP15" s="36" t="str">
        <f t="shared" ref="AP15:AP31" si="60">IF((AO15&gt;=23),"S",IF(AND(AO15&lt;23,AO15&gt;=19),"I",IF(AND(AO15&lt;19),"R","NA")))</f>
        <v>S</v>
      </c>
      <c r="AQ15" s="36">
        <v>24.0</v>
      </c>
      <c r="AR15" s="36" t="str">
        <f t="shared" ref="AR15:AR31" si="61">IF((AQ15&gt;=14),"S",IF(AND(AQ15&lt;14),"R","NA"))</f>
        <v>S</v>
      </c>
      <c r="AS15" s="36" t="s">
        <v>300</v>
      </c>
      <c r="AT15" s="37">
        <v>6.0</v>
      </c>
      <c r="AU15" s="37" t="str">
        <f t="shared" ref="AU15:AU31" si="62">IF((AT15&gt;=14),"S",IF(AND(AT15&lt;14,AT15&gt;=11),"I",IF(AND(AT15&lt;11),"R","NA")))</f>
        <v>R</v>
      </c>
      <c r="AV15" s="33">
        <v>20.0</v>
      </c>
      <c r="AW15" s="33" t="str">
        <f t="shared" ref="AW15:AW31" si="63">IF((AV15&gt;=18),"S",IF(AND(AV15&lt;18),"R", "NA"))</f>
        <v>S</v>
      </c>
      <c r="AX15" s="33">
        <v>20.0</v>
      </c>
      <c r="AY15" s="33" t="str">
        <f t="shared" ref="AY15:AY31" si="64">IF((AX15&gt;=16),"S",IF(AND(AX15&lt;16),"R", "NA"))</f>
        <v>S</v>
      </c>
      <c r="AZ15" s="33" t="s">
        <v>300</v>
      </c>
      <c r="BA15" s="26">
        <v>24.0</v>
      </c>
      <c r="BB15" s="26" t="str">
        <f t="shared" ref="BB15:BB31" si="65">IF((BA15&gt;=20),"S",IF(AND(BA15&lt;20),"R", "NA"))</f>
        <v>S</v>
      </c>
      <c r="BC15" s="37">
        <v>16.0</v>
      </c>
      <c r="BD15" s="37" t="str">
        <f t="shared" ref="BD15:BD31" si="66">IF((BC15&gt;=26),"S",IF(AND(BC15&lt;26,BC15&gt;=21),"I",IF(AND(BC15&lt;21),"R","NA")))</f>
        <v>R</v>
      </c>
      <c r="BE15" s="36">
        <v>30.0</v>
      </c>
      <c r="BF15" s="36" t="str">
        <f t="shared" ref="BF15:BF31" si="67">IF((BE15&gt;=23),"S",IF(AND(BE15&lt;23),"R","NA"))</f>
        <v>S</v>
      </c>
      <c r="BG15" s="39" t="s">
        <v>357</v>
      </c>
      <c r="BH15" s="39" t="s">
        <v>357</v>
      </c>
      <c r="BI15" s="36">
        <v>30.0</v>
      </c>
      <c r="BJ15" s="36" t="str">
        <f t="shared" ref="BJ15:BJ31" si="68">IF((BI15&gt;=22),"S",IF(AND(BI15&lt;22,BI15&gt;=19),"I",IF(AND(BI15&lt;19),"R","NA")))</f>
        <v>S</v>
      </c>
      <c r="BK15" s="40">
        <v>20.0</v>
      </c>
      <c r="BL15" s="41" t="str">
        <f t="shared" ref="BL15:BL31" si="69">IF((BK15&gt;=17),"S",IF(AND(BK15&lt;17),"R", "NA"))</f>
        <v>S</v>
      </c>
      <c r="BM15" s="41"/>
    </row>
    <row r="16">
      <c r="A16" s="18" t="s">
        <v>302</v>
      </c>
      <c r="B16" s="18" t="s">
        <v>444</v>
      </c>
      <c r="C16" s="18" t="s">
        <v>612</v>
      </c>
      <c r="D16" s="18" t="s">
        <v>708</v>
      </c>
      <c r="E16" s="18" t="s">
        <v>103</v>
      </c>
      <c r="F16" s="18" t="s">
        <v>192</v>
      </c>
      <c r="G16" s="20" t="s">
        <v>741</v>
      </c>
      <c r="H16" s="22" t="s">
        <v>198</v>
      </c>
      <c r="I16" s="24" t="s">
        <v>481</v>
      </c>
      <c r="J16" s="43" t="s">
        <v>205</v>
      </c>
      <c r="K16" s="43" t="s">
        <v>208</v>
      </c>
      <c r="L16" s="25" t="s">
        <v>208</v>
      </c>
      <c r="M16" s="26">
        <v>6.0</v>
      </c>
      <c r="N16" s="26" t="str">
        <f t="shared" si="47"/>
        <v>R</v>
      </c>
      <c r="O16" s="26">
        <v>21.0</v>
      </c>
      <c r="P16" s="26" t="str">
        <f t="shared" si="48"/>
        <v>S</v>
      </c>
      <c r="Q16" s="26">
        <v>6.0</v>
      </c>
      <c r="R16" s="26" t="str">
        <f t="shared" si="49"/>
        <v>R</v>
      </c>
      <c r="S16" s="26">
        <v>25.0</v>
      </c>
      <c r="T16" s="26" t="str">
        <f t="shared" si="50"/>
        <v>S</v>
      </c>
      <c r="U16" s="26">
        <v>14.0</v>
      </c>
      <c r="V16" s="26" t="str">
        <f t="shared" si="51"/>
        <v>R</v>
      </c>
      <c r="W16" s="26">
        <v>23.0</v>
      </c>
      <c r="X16" s="26" t="str">
        <f t="shared" si="52"/>
        <v>S</v>
      </c>
      <c r="Y16" s="26">
        <v>23.0</v>
      </c>
      <c r="Z16" s="26" t="str">
        <f t="shared" si="53"/>
        <v>S</v>
      </c>
      <c r="AA16" s="32" t="s">
        <v>299</v>
      </c>
      <c r="AB16" s="33">
        <v>6.0</v>
      </c>
      <c r="AC16" s="33" t="str">
        <f t="shared" si="54"/>
        <v>R</v>
      </c>
      <c r="AD16" s="33">
        <v>23.0</v>
      </c>
      <c r="AE16" s="33" t="str">
        <f t="shared" si="55"/>
        <v>S</v>
      </c>
      <c r="AF16" s="33">
        <v>23.0</v>
      </c>
      <c r="AG16" s="33" t="str">
        <f t="shared" si="56"/>
        <v>S</v>
      </c>
      <c r="AH16" s="33">
        <v>27.0</v>
      </c>
      <c r="AI16" s="33" t="str">
        <f t="shared" si="57"/>
        <v>S</v>
      </c>
      <c r="AJ16" s="33">
        <v>25.0</v>
      </c>
      <c r="AK16" s="33" t="str">
        <f t="shared" si="58"/>
        <v>I</v>
      </c>
      <c r="AL16" s="33" t="s">
        <v>299</v>
      </c>
      <c r="AM16" s="36">
        <v>27.0</v>
      </c>
      <c r="AN16" s="36" t="str">
        <f t="shared" si="59"/>
        <v>S</v>
      </c>
      <c r="AO16" s="36">
        <v>24.0</v>
      </c>
      <c r="AP16" s="36" t="str">
        <f t="shared" si="60"/>
        <v>S</v>
      </c>
      <c r="AQ16" s="36">
        <v>20.0</v>
      </c>
      <c r="AR16" s="36" t="str">
        <f t="shared" si="61"/>
        <v>S</v>
      </c>
      <c r="AS16" s="36" t="s">
        <v>300</v>
      </c>
      <c r="AT16" s="37">
        <v>6.0</v>
      </c>
      <c r="AU16" s="37" t="str">
        <f t="shared" si="62"/>
        <v>R</v>
      </c>
      <c r="AV16" s="33">
        <v>20.0</v>
      </c>
      <c r="AW16" s="33" t="str">
        <f t="shared" si="63"/>
        <v>S</v>
      </c>
      <c r="AX16" s="33">
        <v>20.0</v>
      </c>
      <c r="AY16" s="33" t="str">
        <f t="shared" si="64"/>
        <v>S</v>
      </c>
      <c r="AZ16" s="33" t="s">
        <v>300</v>
      </c>
      <c r="BA16" s="26">
        <v>20.0</v>
      </c>
      <c r="BB16" s="26" t="str">
        <f t="shared" si="65"/>
        <v>S</v>
      </c>
      <c r="BC16" s="37">
        <v>21.0</v>
      </c>
      <c r="BD16" s="37" t="str">
        <f t="shared" si="66"/>
        <v>I</v>
      </c>
      <c r="BE16" s="36">
        <v>33.0</v>
      </c>
      <c r="BF16" s="36" t="str">
        <f t="shared" si="67"/>
        <v>S</v>
      </c>
      <c r="BG16" s="39" t="s">
        <v>357</v>
      </c>
      <c r="BH16" s="39" t="s">
        <v>357</v>
      </c>
      <c r="BI16" s="36">
        <v>30.0</v>
      </c>
      <c r="BJ16" s="36" t="str">
        <f t="shared" si="68"/>
        <v>S</v>
      </c>
      <c r="BK16" s="40">
        <v>20.0</v>
      </c>
      <c r="BL16" s="41" t="str">
        <f t="shared" si="69"/>
        <v>S</v>
      </c>
      <c r="BM16" s="41"/>
    </row>
    <row r="17">
      <c r="A17" s="18" t="s">
        <v>369</v>
      </c>
      <c r="B17" s="19">
        <v>32.0</v>
      </c>
      <c r="C17" s="18" t="s">
        <v>748</v>
      </c>
      <c r="D17" s="18" t="s">
        <v>190</v>
      </c>
      <c r="E17" s="18" t="s">
        <v>190</v>
      </c>
      <c r="F17" s="18" t="s">
        <v>192</v>
      </c>
      <c r="G17" s="20" t="s">
        <v>749</v>
      </c>
      <c r="H17" s="22" t="s">
        <v>198</v>
      </c>
      <c r="I17" s="24" t="s">
        <v>37</v>
      </c>
      <c r="J17" s="25" t="s">
        <v>205</v>
      </c>
      <c r="K17" s="25" t="s">
        <v>205</v>
      </c>
      <c r="L17" s="25" t="s">
        <v>208</v>
      </c>
      <c r="M17" s="26">
        <v>6.0</v>
      </c>
      <c r="N17" s="26" t="str">
        <f t="shared" si="47"/>
        <v>R</v>
      </c>
      <c r="O17" s="26">
        <v>24.0</v>
      </c>
      <c r="P17" s="26" t="str">
        <f t="shared" si="48"/>
        <v>S</v>
      </c>
      <c r="Q17" s="26">
        <v>6.0</v>
      </c>
      <c r="R17" s="26" t="str">
        <f t="shared" si="49"/>
        <v>R</v>
      </c>
      <c r="S17" s="32" t="s">
        <v>357</v>
      </c>
      <c r="T17" s="32" t="s">
        <v>357</v>
      </c>
      <c r="U17" s="26">
        <v>11.0</v>
      </c>
      <c r="V17" s="26" t="str">
        <f t="shared" si="51"/>
        <v>R</v>
      </c>
      <c r="W17" s="26">
        <v>26.0</v>
      </c>
      <c r="X17" s="26" t="str">
        <f t="shared" si="52"/>
        <v>S</v>
      </c>
      <c r="Y17" s="26">
        <v>22.0</v>
      </c>
      <c r="Z17" s="26" t="str">
        <f t="shared" si="53"/>
        <v>S</v>
      </c>
      <c r="AA17" s="32" t="s">
        <v>299</v>
      </c>
      <c r="AB17" s="33">
        <v>6.0</v>
      </c>
      <c r="AC17" s="33" t="str">
        <f t="shared" si="54"/>
        <v>R</v>
      </c>
      <c r="AD17" s="33">
        <v>24.0</v>
      </c>
      <c r="AE17" s="33" t="str">
        <f t="shared" si="55"/>
        <v>S</v>
      </c>
      <c r="AF17" s="33">
        <v>19.0</v>
      </c>
      <c r="AG17" s="33" t="str">
        <f t="shared" si="56"/>
        <v>I</v>
      </c>
      <c r="AH17" s="33">
        <v>25.0</v>
      </c>
      <c r="AI17" s="33" t="str">
        <f t="shared" si="57"/>
        <v>S</v>
      </c>
      <c r="AJ17" s="33">
        <v>22.0</v>
      </c>
      <c r="AK17" s="33" t="str">
        <f t="shared" si="58"/>
        <v>R</v>
      </c>
      <c r="AL17" s="33" t="s">
        <v>299</v>
      </c>
      <c r="AM17" s="36">
        <v>39.0</v>
      </c>
      <c r="AN17" s="36" t="str">
        <f t="shared" si="59"/>
        <v>S</v>
      </c>
      <c r="AO17" s="36">
        <v>34.0</v>
      </c>
      <c r="AP17" s="36" t="str">
        <f t="shared" si="60"/>
        <v>S</v>
      </c>
      <c r="AQ17" s="36">
        <v>22.0</v>
      </c>
      <c r="AR17" s="36" t="str">
        <f t="shared" si="61"/>
        <v>S</v>
      </c>
      <c r="AS17" s="36" t="s">
        <v>300</v>
      </c>
      <c r="AT17" s="37">
        <v>30.0</v>
      </c>
      <c r="AU17" s="37" t="str">
        <f t="shared" si="62"/>
        <v>S</v>
      </c>
      <c r="AV17" s="33">
        <v>20.0</v>
      </c>
      <c r="AW17" s="33" t="str">
        <f t="shared" si="63"/>
        <v>S</v>
      </c>
      <c r="AX17" s="33">
        <v>18.0</v>
      </c>
      <c r="AY17" s="33" t="str">
        <f t="shared" si="64"/>
        <v>S</v>
      </c>
      <c r="AZ17" s="33" t="s">
        <v>300</v>
      </c>
      <c r="BA17" s="26">
        <v>17.0</v>
      </c>
      <c r="BB17" s="26" t="str">
        <f t="shared" si="65"/>
        <v>R</v>
      </c>
      <c r="BC17" s="37">
        <v>18.0</v>
      </c>
      <c r="BD17" s="37" t="str">
        <f t="shared" si="66"/>
        <v>R</v>
      </c>
      <c r="BE17" s="36">
        <v>29.0</v>
      </c>
      <c r="BF17" s="36" t="str">
        <f t="shared" si="67"/>
        <v>S</v>
      </c>
      <c r="BG17" s="39" t="s">
        <v>357</v>
      </c>
      <c r="BH17" s="39" t="s">
        <v>357</v>
      </c>
      <c r="BI17" s="36">
        <v>29.0</v>
      </c>
      <c r="BJ17" s="36" t="str">
        <f t="shared" si="68"/>
        <v>S</v>
      </c>
      <c r="BK17" s="40">
        <v>19.0</v>
      </c>
      <c r="BL17" s="41" t="str">
        <f t="shared" si="69"/>
        <v>S</v>
      </c>
      <c r="BM17" s="41"/>
    </row>
    <row r="18">
      <c r="A18" s="18" t="s">
        <v>369</v>
      </c>
      <c r="B18" s="18" t="s">
        <v>444</v>
      </c>
      <c r="C18" s="18" t="s">
        <v>755</v>
      </c>
      <c r="D18" s="18" t="s">
        <v>190</v>
      </c>
      <c r="E18" s="18" t="s">
        <v>190</v>
      </c>
      <c r="F18" s="18" t="s">
        <v>192</v>
      </c>
      <c r="G18" s="20" t="s">
        <v>756</v>
      </c>
      <c r="H18" s="22" t="s">
        <v>198</v>
      </c>
      <c r="I18" s="24" t="s">
        <v>481</v>
      </c>
      <c r="J18" s="25" t="s">
        <v>205</v>
      </c>
      <c r="K18" s="43" t="s">
        <v>208</v>
      </c>
      <c r="L18" s="43" t="s">
        <v>208</v>
      </c>
      <c r="M18" s="26">
        <v>6.0</v>
      </c>
      <c r="N18" s="26" t="str">
        <f t="shared" si="47"/>
        <v>R</v>
      </c>
      <c r="O18" s="26">
        <v>25.0</v>
      </c>
      <c r="P18" s="26" t="str">
        <f t="shared" si="48"/>
        <v>S</v>
      </c>
      <c r="Q18" s="26">
        <v>6.0</v>
      </c>
      <c r="R18" s="26" t="str">
        <f t="shared" si="49"/>
        <v>R</v>
      </c>
      <c r="S18" s="32" t="s">
        <v>357</v>
      </c>
      <c r="T18" s="32" t="s">
        <v>357</v>
      </c>
      <c r="U18" s="26">
        <v>12.0</v>
      </c>
      <c r="V18" s="26" t="str">
        <f t="shared" si="51"/>
        <v>R</v>
      </c>
      <c r="W18" s="26">
        <v>28.0</v>
      </c>
      <c r="X18" s="26" t="str">
        <f t="shared" si="52"/>
        <v>S</v>
      </c>
      <c r="Y18" s="26">
        <v>23.0</v>
      </c>
      <c r="Z18" s="26" t="str">
        <f t="shared" si="53"/>
        <v>S</v>
      </c>
      <c r="AA18" s="32" t="s">
        <v>299</v>
      </c>
      <c r="AB18" s="33">
        <v>6.0</v>
      </c>
      <c r="AC18" s="33" t="str">
        <f t="shared" si="54"/>
        <v>R</v>
      </c>
      <c r="AD18" s="33">
        <v>25.0</v>
      </c>
      <c r="AE18" s="33" t="str">
        <f t="shared" si="55"/>
        <v>S</v>
      </c>
      <c r="AF18" s="33">
        <v>19.0</v>
      </c>
      <c r="AG18" s="33" t="str">
        <f t="shared" si="56"/>
        <v>I</v>
      </c>
      <c r="AH18" s="33">
        <v>27.0</v>
      </c>
      <c r="AI18" s="33" t="str">
        <f t="shared" si="57"/>
        <v>S</v>
      </c>
      <c r="AJ18" s="33">
        <v>24.0</v>
      </c>
      <c r="AK18" s="33" t="str">
        <f t="shared" si="58"/>
        <v>I</v>
      </c>
      <c r="AL18" s="33" t="s">
        <v>299</v>
      </c>
      <c r="AM18" s="36">
        <v>38.0</v>
      </c>
      <c r="AN18" s="36" t="str">
        <f t="shared" si="59"/>
        <v>S</v>
      </c>
      <c r="AO18" s="36">
        <v>18.0</v>
      </c>
      <c r="AP18" s="36" t="str">
        <f t="shared" si="60"/>
        <v>R</v>
      </c>
      <c r="AQ18" s="36">
        <v>6.0</v>
      </c>
      <c r="AR18" s="36" t="str">
        <f t="shared" si="61"/>
        <v>R</v>
      </c>
      <c r="AS18" s="36" t="s">
        <v>299</v>
      </c>
      <c r="AT18" s="37">
        <v>6.0</v>
      </c>
      <c r="AU18" s="37" t="str">
        <f t="shared" si="62"/>
        <v>R</v>
      </c>
      <c r="AV18" s="33">
        <v>21.0</v>
      </c>
      <c r="AW18" s="33" t="str">
        <f t="shared" si="63"/>
        <v>S</v>
      </c>
      <c r="AX18" s="33">
        <v>20.0</v>
      </c>
      <c r="AY18" s="33" t="str">
        <f t="shared" si="64"/>
        <v>S</v>
      </c>
      <c r="AZ18" s="33" t="s">
        <v>300</v>
      </c>
      <c r="BA18" s="26">
        <v>18.0</v>
      </c>
      <c r="BB18" s="26" t="str">
        <f t="shared" si="65"/>
        <v>R</v>
      </c>
      <c r="BC18" s="37">
        <v>19.0</v>
      </c>
      <c r="BD18" s="37" t="str">
        <f t="shared" si="66"/>
        <v>R</v>
      </c>
      <c r="BE18" s="36">
        <v>32.0</v>
      </c>
      <c r="BF18" s="36" t="str">
        <f t="shared" si="67"/>
        <v>S</v>
      </c>
      <c r="BG18" s="39" t="s">
        <v>357</v>
      </c>
      <c r="BH18" s="39" t="s">
        <v>357</v>
      </c>
      <c r="BI18" s="36">
        <v>32.0</v>
      </c>
      <c r="BJ18" s="36" t="str">
        <f t="shared" si="68"/>
        <v>S</v>
      </c>
      <c r="BK18" s="40">
        <v>20.0</v>
      </c>
      <c r="BL18" s="41" t="str">
        <f t="shared" si="69"/>
        <v>S</v>
      </c>
      <c r="BM18" s="41"/>
    </row>
    <row r="19">
      <c r="A19" s="18" t="s">
        <v>369</v>
      </c>
      <c r="B19" s="18" t="s">
        <v>444</v>
      </c>
      <c r="C19" s="18" t="s">
        <v>757</v>
      </c>
      <c r="D19" s="18" t="s">
        <v>190</v>
      </c>
      <c r="E19" s="18" t="s">
        <v>190</v>
      </c>
      <c r="F19" s="18" t="s">
        <v>192</v>
      </c>
      <c r="G19" s="20" t="s">
        <v>758</v>
      </c>
      <c r="H19" s="22" t="s">
        <v>198</v>
      </c>
      <c r="I19" s="24" t="s">
        <v>37</v>
      </c>
      <c r="J19" s="25" t="s">
        <v>205</v>
      </c>
      <c r="K19" s="25" t="s">
        <v>205</v>
      </c>
      <c r="L19" s="25" t="s">
        <v>208</v>
      </c>
      <c r="M19" s="26">
        <v>6.0</v>
      </c>
      <c r="N19" s="26" t="str">
        <f t="shared" si="47"/>
        <v>R</v>
      </c>
      <c r="O19" s="26">
        <v>6.0</v>
      </c>
      <c r="P19" s="26" t="str">
        <f t="shared" si="48"/>
        <v>R</v>
      </c>
      <c r="Q19" s="26">
        <v>6.0</v>
      </c>
      <c r="R19" s="26" t="str">
        <f t="shared" si="49"/>
        <v>R</v>
      </c>
      <c r="S19" s="32" t="s">
        <v>357</v>
      </c>
      <c r="T19" s="32" t="s">
        <v>357</v>
      </c>
      <c r="U19" s="26">
        <v>6.0</v>
      </c>
      <c r="V19" s="26" t="str">
        <f t="shared" si="51"/>
        <v>R</v>
      </c>
      <c r="W19" s="26">
        <v>12.0</v>
      </c>
      <c r="X19" s="26" t="str">
        <f t="shared" si="52"/>
        <v>R</v>
      </c>
      <c r="Y19" s="26">
        <v>6.0</v>
      </c>
      <c r="Z19" s="26" t="str">
        <f t="shared" si="53"/>
        <v>R</v>
      </c>
      <c r="AA19" s="32" t="s">
        <v>299</v>
      </c>
      <c r="AB19" s="33">
        <v>6.0</v>
      </c>
      <c r="AC19" s="33" t="str">
        <f t="shared" si="54"/>
        <v>R</v>
      </c>
      <c r="AD19" s="33">
        <v>18.0</v>
      </c>
      <c r="AE19" s="33" t="str">
        <f t="shared" si="55"/>
        <v>S</v>
      </c>
      <c r="AF19" s="33">
        <v>6.0</v>
      </c>
      <c r="AG19" s="33" t="str">
        <f t="shared" si="56"/>
        <v>R</v>
      </c>
      <c r="AH19" s="33">
        <v>18.0</v>
      </c>
      <c r="AI19" s="33" t="str">
        <f t="shared" si="57"/>
        <v>S</v>
      </c>
      <c r="AJ19" s="33">
        <v>6.0</v>
      </c>
      <c r="AK19" s="33" t="str">
        <f t="shared" si="58"/>
        <v>R</v>
      </c>
      <c r="AL19" s="33" t="s">
        <v>299</v>
      </c>
      <c r="AM19" s="36">
        <v>6.0</v>
      </c>
      <c r="AN19" s="36" t="str">
        <f t="shared" si="59"/>
        <v>R</v>
      </c>
      <c r="AO19" s="36">
        <v>6.0</v>
      </c>
      <c r="AP19" s="36" t="str">
        <f t="shared" si="60"/>
        <v>R</v>
      </c>
      <c r="AQ19" s="36">
        <v>6.0</v>
      </c>
      <c r="AR19" s="36" t="str">
        <f t="shared" si="61"/>
        <v>R</v>
      </c>
      <c r="AS19" s="36" t="s">
        <v>299</v>
      </c>
      <c r="AT19" s="37">
        <v>6.0</v>
      </c>
      <c r="AU19" s="37" t="str">
        <f t="shared" si="62"/>
        <v>R</v>
      </c>
      <c r="AV19" s="33">
        <v>21.0</v>
      </c>
      <c r="AW19" s="33" t="str">
        <f t="shared" si="63"/>
        <v>S</v>
      </c>
      <c r="AX19" s="33">
        <v>22.0</v>
      </c>
      <c r="AY19" s="33" t="str">
        <f t="shared" si="64"/>
        <v>S</v>
      </c>
      <c r="AZ19" s="33" t="s">
        <v>300</v>
      </c>
      <c r="BA19" s="26">
        <v>17.0</v>
      </c>
      <c r="BB19" s="26" t="str">
        <f t="shared" si="65"/>
        <v>R</v>
      </c>
      <c r="BC19" s="37">
        <v>6.0</v>
      </c>
      <c r="BD19" s="37" t="str">
        <f t="shared" si="66"/>
        <v>R</v>
      </c>
      <c r="BE19" s="36">
        <v>20.0</v>
      </c>
      <c r="BF19" s="36" t="str">
        <f t="shared" si="67"/>
        <v>R</v>
      </c>
      <c r="BG19" s="36">
        <v>0.125</v>
      </c>
      <c r="BH19" s="36" t="str">
        <f>IF((BG19&lt;=0.5),"S",IF(AND(BG19&gt;0.5),"R", "NA"))</f>
        <v>S</v>
      </c>
      <c r="BI19" s="36">
        <v>25.0</v>
      </c>
      <c r="BJ19" s="36" t="str">
        <f t="shared" si="68"/>
        <v>S</v>
      </c>
      <c r="BK19" s="40">
        <v>20.0</v>
      </c>
      <c r="BL19" s="41" t="str">
        <f t="shared" si="69"/>
        <v>S</v>
      </c>
      <c r="BM19" s="41"/>
    </row>
    <row r="20">
      <c r="A20" s="18" t="s">
        <v>369</v>
      </c>
      <c r="B20" s="19">
        <v>33.0</v>
      </c>
      <c r="C20" s="18" t="s">
        <v>759</v>
      </c>
      <c r="D20" s="18" t="s">
        <v>190</v>
      </c>
      <c r="E20" s="18" t="s">
        <v>190</v>
      </c>
      <c r="F20" s="18" t="s">
        <v>192</v>
      </c>
      <c r="G20" s="20" t="s">
        <v>760</v>
      </c>
      <c r="H20" s="22" t="s">
        <v>198</v>
      </c>
      <c r="I20" s="24" t="s">
        <v>37</v>
      </c>
      <c r="J20" s="25" t="s">
        <v>205</v>
      </c>
      <c r="K20" s="25" t="s">
        <v>205</v>
      </c>
      <c r="L20" s="25" t="s">
        <v>208</v>
      </c>
      <c r="M20" s="26">
        <v>6.0</v>
      </c>
      <c r="N20" s="26" t="str">
        <f t="shared" si="47"/>
        <v>R</v>
      </c>
      <c r="O20" s="26">
        <v>21.0</v>
      </c>
      <c r="P20" s="26" t="str">
        <f t="shared" si="48"/>
        <v>S</v>
      </c>
      <c r="Q20" s="26">
        <v>6.0</v>
      </c>
      <c r="R20" s="26" t="str">
        <f t="shared" si="49"/>
        <v>R</v>
      </c>
      <c r="S20" s="32" t="s">
        <v>357</v>
      </c>
      <c r="T20" s="32" t="s">
        <v>357</v>
      </c>
      <c r="U20" s="26">
        <v>9.0</v>
      </c>
      <c r="V20" s="26" t="str">
        <f t="shared" si="51"/>
        <v>R</v>
      </c>
      <c r="W20" s="26">
        <v>26.0</v>
      </c>
      <c r="X20" s="26" t="str">
        <f t="shared" si="52"/>
        <v>S</v>
      </c>
      <c r="Y20" s="26">
        <v>28.0</v>
      </c>
      <c r="Z20" s="26" t="str">
        <f t="shared" si="53"/>
        <v>S</v>
      </c>
      <c r="AA20" s="32" t="s">
        <v>299</v>
      </c>
      <c r="AB20" s="33">
        <v>6.0</v>
      </c>
      <c r="AC20" s="33" t="str">
        <f t="shared" si="54"/>
        <v>R</v>
      </c>
      <c r="AD20" s="33">
        <v>27.0</v>
      </c>
      <c r="AE20" s="33" t="str">
        <f t="shared" si="55"/>
        <v>S</v>
      </c>
      <c r="AF20" s="33">
        <v>20.0</v>
      </c>
      <c r="AG20" s="33" t="str">
        <f t="shared" si="56"/>
        <v>I</v>
      </c>
      <c r="AH20" s="33">
        <v>28.0</v>
      </c>
      <c r="AI20" s="33" t="str">
        <f t="shared" si="57"/>
        <v>S</v>
      </c>
      <c r="AJ20" s="33">
        <v>22.0</v>
      </c>
      <c r="AK20" s="33" t="str">
        <f t="shared" si="58"/>
        <v>R</v>
      </c>
      <c r="AL20" s="33" t="s">
        <v>299</v>
      </c>
      <c r="AM20" s="36">
        <v>22.0</v>
      </c>
      <c r="AN20" s="36" t="str">
        <f t="shared" si="59"/>
        <v>I</v>
      </c>
      <c r="AO20" s="36">
        <v>24.0</v>
      </c>
      <c r="AP20" s="36" t="str">
        <f t="shared" si="60"/>
        <v>S</v>
      </c>
      <c r="AQ20" s="36">
        <v>19.0</v>
      </c>
      <c r="AR20" s="36" t="str">
        <f t="shared" si="61"/>
        <v>S</v>
      </c>
      <c r="AS20" s="36" t="s">
        <v>300</v>
      </c>
      <c r="AT20" s="37">
        <v>6.0</v>
      </c>
      <c r="AU20" s="37" t="str">
        <f t="shared" si="62"/>
        <v>R</v>
      </c>
      <c r="AV20" s="33">
        <v>22.0</v>
      </c>
      <c r="AW20" s="33" t="str">
        <f t="shared" si="63"/>
        <v>S</v>
      </c>
      <c r="AX20" s="33">
        <v>21.0</v>
      </c>
      <c r="AY20" s="33" t="str">
        <f t="shared" si="64"/>
        <v>S</v>
      </c>
      <c r="AZ20" s="33" t="s">
        <v>300</v>
      </c>
      <c r="BA20" s="26">
        <v>20.0</v>
      </c>
      <c r="BB20" s="26" t="str">
        <f t="shared" si="65"/>
        <v>S</v>
      </c>
      <c r="BC20" s="37">
        <v>19.0</v>
      </c>
      <c r="BD20" s="37" t="str">
        <f t="shared" si="66"/>
        <v>R</v>
      </c>
      <c r="BE20" s="36">
        <v>31.0</v>
      </c>
      <c r="BF20" s="36" t="str">
        <f t="shared" si="67"/>
        <v>S</v>
      </c>
      <c r="BG20" s="39" t="s">
        <v>357</v>
      </c>
      <c r="BH20" s="39" t="s">
        <v>357</v>
      </c>
      <c r="BI20" s="36">
        <v>30.0</v>
      </c>
      <c r="BJ20" s="36" t="str">
        <f t="shared" si="68"/>
        <v>S</v>
      </c>
      <c r="BK20" s="40">
        <v>20.0</v>
      </c>
      <c r="BL20" s="41" t="str">
        <f t="shared" si="69"/>
        <v>S</v>
      </c>
      <c r="BM20" s="41"/>
    </row>
    <row r="21">
      <c r="A21" s="18" t="s">
        <v>369</v>
      </c>
      <c r="B21" s="18" t="s">
        <v>444</v>
      </c>
      <c r="C21" s="18" t="s">
        <v>763</v>
      </c>
      <c r="D21" s="18" t="s">
        <v>190</v>
      </c>
      <c r="E21" s="18" t="s">
        <v>190</v>
      </c>
      <c r="F21" s="18" t="s">
        <v>192</v>
      </c>
      <c r="G21" s="20" t="s">
        <v>764</v>
      </c>
      <c r="H21" s="57" t="s">
        <v>765</v>
      </c>
      <c r="I21" s="24" t="s">
        <v>481</v>
      </c>
      <c r="J21" s="43" t="s">
        <v>205</v>
      </c>
      <c r="K21" s="43" t="s">
        <v>208</v>
      </c>
      <c r="L21" s="25" t="s">
        <v>208</v>
      </c>
      <c r="M21" s="26">
        <v>6.0</v>
      </c>
      <c r="N21" s="26" t="str">
        <f t="shared" si="47"/>
        <v>R</v>
      </c>
      <c r="O21" s="26">
        <v>26.0</v>
      </c>
      <c r="P21" s="26" t="str">
        <f t="shared" si="48"/>
        <v>S</v>
      </c>
      <c r="Q21" s="26">
        <v>6.0</v>
      </c>
      <c r="R21" s="26" t="str">
        <f t="shared" si="49"/>
        <v>R</v>
      </c>
      <c r="S21" s="32" t="s">
        <v>357</v>
      </c>
      <c r="T21" s="32" t="s">
        <v>357</v>
      </c>
      <c r="U21" s="26">
        <v>13.0</v>
      </c>
      <c r="V21" s="26" t="str">
        <f t="shared" si="51"/>
        <v>R</v>
      </c>
      <c r="W21" s="26">
        <v>28.0</v>
      </c>
      <c r="X21" s="26" t="str">
        <f t="shared" si="52"/>
        <v>S</v>
      </c>
      <c r="Y21" s="26">
        <v>29.0</v>
      </c>
      <c r="Z21" s="26" t="str">
        <f t="shared" si="53"/>
        <v>S</v>
      </c>
      <c r="AA21" s="32" t="s">
        <v>299</v>
      </c>
      <c r="AB21" s="33">
        <v>8.0</v>
      </c>
      <c r="AC21" s="33" t="str">
        <f t="shared" si="54"/>
        <v>R</v>
      </c>
      <c r="AD21" s="33">
        <v>27.0</v>
      </c>
      <c r="AE21" s="33" t="str">
        <f t="shared" si="55"/>
        <v>S</v>
      </c>
      <c r="AF21" s="33">
        <v>24.0</v>
      </c>
      <c r="AG21" s="33" t="str">
        <f t="shared" si="56"/>
        <v>S</v>
      </c>
      <c r="AH21" s="33">
        <v>28.0</v>
      </c>
      <c r="AI21" s="33" t="str">
        <f t="shared" si="57"/>
        <v>S</v>
      </c>
      <c r="AJ21" s="33">
        <v>24.0</v>
      </c>
      <c r="AK21" s="33" t="str">
        <f t="shared" si="58"/>
        <v>I</v>
      </c>
      <c r="AL21" s="33" t="s">
        <v>299</v>
      </c>
      <c r="AM21" s="36">
        <v>26.0</v>
      </c>
      <c r="AN21" s="36" t="str">
        <f t="shared" si="59"/>
        <v>S</v>
      </c>
      <c r="AO21" s="36">
        <v>25.0</v>
      </c>
      <c r="AP21" s="36" t="str">
        <f t="shared" si="60"/>
        <v>S</v>
      </c>
      <c r="AQ21" s="36">
        <v>26.0</v>
      </c>
      <c r="AR21" s="36" t="str">
        <f t="shared" si="61"/>
        <v>S</v>
      </c>
      <c r="AS21" s="36" t="s">
        <v>300</v>
      </c>
      <c r="AT21" s="37">
        <v>6.0</v>
      </c>
      <c r="AU21" s="37" t="str">
        <f t="shared" si="62"/>
        <v>R</v>
      </c>
      <c r="AV21" s="33">
        <v>21.0</v>
      </c>
      <c r="AW21" s="33" t="str">
        <f t="shared" si="63"/>
        <v>S</v>
      </c>
      <c r="AX21" s="33">
        <v>22.0</v>
      </c>
      <c r="AY21" s="33" t="str">
        <f t="shared" si="64"/>
        <v>S</v>
      </c>
      <c r="AZ21" s="33" t="s">
        <v>300</v>
      </c>
      <c r="BA21" s="26">
        <v>20.0</v>
      </c>
      <c r="BB21" s="26" t="str">
        <f t="shared" si="65"/>
        <v>S</v>
      </c>
      <c r="BC21" s="37">
        <v>22.0</v>
      </c>
      <c r="BD21" s="37" t="str">
        <f t="shared" si="66"/>
        <v>I</v>
      </c>
      <c r="BE21" s="36">
        <v>30.0</v>
      </c>
      <c r="BF21" s="36" t="str">
        <f t="shared" si="67"/>
        <v>S</v>
      </c>
      <c r="BG21" s="39" t="s">
        <v>357</v>
      </c>
      <c r="BH21" s="39" t="s">
        <v>357</v>
      </c>
      <c r="BI21" s="36">
        <v>30.0</v>
      </c>
      <c r="BJ21" s="36" t="str">
        <f t="shared" si="68"/>
        <v>S</v>
      </c>
      <c r="BK21" s="40">
        <v>21.0</v>
      </c>
      <c r="BL21" s="41" t="str">
        <f t="shared" si="69"/>
        <v>S</v>
      </c>
      <c r="BM21" s="41"/>
    </row>
    <row r="22">
      <c r="A22" s="18" t="s">
        <v>369</v>
      </c>
      <c r="B22" s="18" t="s">
        <v>444</v>
      </c>
      <c r="C22" s="18" t="s">
        <v>766</v>
      </c>
      <c r="D22" s="18" t="s">
        <v>190</v>
      </c>
      <c r="E22" s="18" t="s">
        <v>190</v>
      </c>
      <c r="F22" s="18" t="s">
        <v>192</v>
      </c>
      <c r="G22" s="20" t="s">
        <v>767</v>
      </c>
      <c r="H22" s="58" t="s">
        <v>770</v>
      </c>
      <c r="I22" s="24" t="s">
        <v>37</v>
      </c>
      <c r="J22" s="25" t="s">
        <v>205</v>
      </c>
      <c r="K22" s="25" t="s">
        <v>205</v>
      </c>
      <c r="L22" s="25" t="s">
        <v>208</v>
      </c>
      <c r="M22" s="26">
        <v>6.0</v>
      </c>
      <c r="N22" s="26" t="str">
        <f t="shared" si="47"/>
        <v>R</v>
      </c>
      <c r="O22" s="26">
        <v>25.0</v>
      </c>
      <c r="P22" s="26" t="str">
        <f t="shared" si="48"/>
        <v>S</v>
      </c>
      <c r="Q22" s="26">
        <v>6.0</v>
      </c>
      <c r="R22" s="26" t="str">
        <f t="shared" si="49"/>
        <v>R</v>
      </c>
      <c r="S22" s="32" t="s">
        <v>357</v>
      </c>
      <c r="T22" s="32" t="s">
        <v>357</v>
      </c>
      <c r="U22" s="26">
        <v>14.0</v>
      </c>
      <c r="V22" s="26" t="str">
        <f t="shared" si="51"/>
        <v>R</v>
      </c>
      <c r="W22" s="26">
        <v>28.0</v>
      </c>
      <c r="X22" s="26" t="str">
        <f t="shared" si="52"/>
        <v>S</v>
      </c>
      <c r="Y22" s="26">
        <v>25.0</v>
      </c>
      <c r="Z22" s="26" t="str">
        <f t="shared" si="53"/>
        <v>S</v>
      </c>
      <c r="AA22" s="32" t="s">
        <v>299</v>
      </c>
      <c r="AB22" s="33">
        <v>6.0</v>
      </c>
      <c r="AC22" s="33" t="str">
        <f t="shared" si="54"/>
        <v>R</v>
      </c>
      <c r="AD22" s="33">
        <v>27.0</v>
      </c>
      <c r="AE22" s="33" t="str">
        <f t="shared" si="55"/>
        <v>S</v>
      </c>
      <c r="AF22" s="33">
        <v>21.0</v>
      </c>
      <c r="AG22" s="33" t="str">
        <f t="shared" si="56"/>
        <v>I</v>
      </c>
      <c r="AH22" s="33">
        <v>31.0</v>
      </c>
      <c r="AI22" s="33" t="str">
        <f t="shared" si="57"/>
        <v>S</v>
      </c>
      <c r="AJ22" s="33">
        <v>22.0</v>
      </c>
      <c r="AK22" s="33" t="str">
        <f t="shared" si="58"/>
        <v>R</v>
      </c>
      <c r="AL22" s="33" t="s">
        <v>299</v>
      </c>
      <c r="AM22" s="36">
        <v>29.0</v>
      </c>
      <c r="AN22" s="36" t="str">
        <f t="shared" si="59"/>
        <v>S</v>
      </c>
      <c r="AO22" s="36">
        <v>25.0</v>
      </c>
      <c r="AP22" s="36" t="str">
        <f t="shared" si="60"/>
        <v>S</v>
      </c>
      <c r="AQ22" s="36">
        <v>22.0</v>
      </c>
      <c r="AR22" s="36" t="str">
        <f t="shared" si="61"/>
        <v>S</v>
      </c>
      <c r="AS22" s="36" t="s">
        <v>300</v>
      </c>
      <c r="AT22" s="37">
        <v>30.0</v>
      </c>
      <c r="AU22" s="37" t="str">
        <f t="shared" si="62"/>
        <v>S</v>
      </c>
      <c r="AV22" s="33">
        <v>23.0</v>
      </c>
      <c r="AW22" s="33" t="str">
        <f t="shared" si="63"/>
        <v>S</v>
      </c>
      <c r="AX22" s="33">
        <v>19.0</v>
      </c>
      <c r="AY22" s="33" t="str">
        <f t="shared" si="64"/>
        <v>S</v>
      </c>
      <c r="AZ22" s="33" t="s">
        <v>300</v>
      </c>
      <c r="BA22" s="26">
        <v>15.0</v>
      </c>
      <c r="BB22" s="26" t="str">
        <f t="shared" si="65"/>
        <v>R</v>
      </c>
      <c r="BC22" s="37">
        <v>22.0</v>
      </c>
      <c r="BD22" s="37" t="str">
        <f t="shared" si="66"/>
        <v>I</v>
      </c>
      <c r="BE22" s="36">
        <v>33.0</v>
      </c>
      <c r="BF22" s="36" t="str">
        <f t="shared" si="67"/>
        <v>S</v>
      </c>
      <c r="BG22" s="39" t="s">
        <v>357</v>
      </c>
      <c r="BH22" s="39" t="s">
        <v>357</v>
      </c>
      <c r="BI22" s="36">
        <v>29.0</v>
      </c>
      <c r="BJ22" s="36" t="str">
        <f t="shared" si="68"/>
        <v>S</v>
      </c>
      <c r="BK22" s="40">
        <v>21.0</v>
      </c>
      <c r="BL22" s="41" t="str">
        <f t="shared" si="69"/>
        <v>S</v>
      </c>
      <c r="BM22" s="41"/>
    </row>
    <row r="23">
      <c r="A23" s="18" t="s">
        <v>369</v>
      </c>
      <c r="B23" s="19">
        <v>34.0</v>
      </c>
      <c r="C23" s="18" t="s">
        <v>568</v>
      </c>
      <c r="D23" s="18" t="s">
        <v>571</v>
      </c>
      <c r="E23" s="18" t="s">
        <v>572</v>
      </c>
      <c r="F23" s="18" t="s">
        <v>192</v>
      </c>
      <c r="G23" s="20" t="s">
        <v>778</v>
      </c>
      <c r="H23" s="55" t="s">
        <v>753</v>
      </c>
      <c r="I23" s="24" t="s">
        <v>481</v>
      </c>
      <c r="J23" s="25" t="s">
        <v>205</v>
      </c>
      <c r="K23" s="43" t="s">
        <v>208</v>
      </c>
      <c r="L23" s="43" t="s">
        <v>208</v>
      </c>
      <c r="M23" s="26">
        <v>6.0</v>
      </c>
      <c r="N23" s="26" t="str">
        <f t="shared" si="47"/>
        <v>R</v>
      </c>
      <c r="O23" s="26">
        <v>6.0</v>
      </c>
      <c r="P23" s="26" t="str">
        <f t="shared" si="48"/>
        <v>R</v>
      </c>
      <c r="Q23" s="26">
        <v>6.0</v>
      </c>
      <c r="R23" s="26" t="str">
        <f t="shared" si="49"/>
        <v>R</v>
      </c>
      <c r="S23" s="32" t="s">
        <v>357</v>
      </c>
      <c r="T23" s="32" t="s">
        <v>357</v>
      </c>
      <c r="U23" s="26">
        <v>17.0</v>
      </c>
      <c r="V23" s="26" t="str">
        <f t="shared" si="51"/>
        <v>R</v>
      </c>
      <c r="W23" s="26">
        <v>26.0</v>
      </c>
      <c r="X23" s="26" t="str">
        <f t="shared" si="52"/>
        <v>S</v>
      </c>
      <c r="Y23" s="26">
        <v>26.0</v>
      </c>
      <c r="Z23" s="26" t="str">
        <f t="shared" si="53"/>
        <v>S</v>
      </c>
      <c r="AA23" s="32" t="s">
        <v>299</v>
      </c>
      <c r="AB23" s="33">
        <v>11.0</v>
      </c>
      <c r="AC23" s="33" t="str">
        <f t="shared" si="54"/>
        <v>R</v>
      </c>
      <c r="AD23" s="33">
        <v>20.0</v>
      </c>
      <c r="AE23" s="33" t="str">
        <f t="shared" si="55"/>
        <v>S</v>
      </c>
      <c r="AF23" s="33">
        <v>29.0</v>
      </c>
      <c r="AG23" s="33" t="str">
        <f t="shared" si="56"/>
        <v>S</v>
      </c>
      <c r="AH23" s="33">
        <v>29.0</v>
      </c>
      <c r="AI23" s="33" t="str">
        <f t="shared" si="57"/>
        <v>S</v>
      </c>
      <c r="AJ23" s="33">
        <v>26.0</v>
      </c>
      <c r="AK23" s="33" t="str">
        <f t="shared" si="58"/>
        <v>I</v>
      </c>
      <c r="AL23" s="33" t="s">
        <v>299</v>
      </c>
      <c r="AM23" s="36">
        <v>16.0</v>
      </c>
      <c r="AN23" s="36" t="str">
        <f t="shared" si="59"/>
        <v>R</v>
      </c>
      <c r="AO23" s="36">
        <v>25.0</v>
      </c>
      <c r="AP23" s="36" t="str">
        <f t="shared" si="60"/>
        <v>S</v>
      </c>
      <c r="AQ23" s="36">
        <v>6.0</v>
      </c>
      <c r="AR23" s="36" t="str">
        <f t="shared" si="61"/>
        <v>R</v>
      </c>
      <c r="AS23" s="36" t="s">
        <v>299</v>
      </c>
      <c r="AT23" s="37">
        <v>6.0</v>
      </c>
      <c r="AU23" s="37" t="str">
        <f t="shared" si="62"/>
        <v>R</v>
      </c>
      <c r="AV23" s="33">
        <v>22.0</v>
      </c>
      <c r="AW23" s="33" t="str">
        <f t="shared" si="63"/>
        <v>S</v>
      </c>
      <c r="AX23" s="33">
        <v>18.0</v>
      </c>
      <c r="AY23" s="33" t="str">
        <f t="shared" si="64"/>
        <v>S</v>
      </c>
      <c r="AZ23" s="33" t="s">
        <v>300</v>
      </c>
      <c r="BA23" s="26">
        <v>19.0</v>
      </c>
      <c r="BB23" s="26" t="str">
        <f t="shared" si="65"/>
        <v>R</v>
      </c>
      <c r="BC23" s="37">
        <v>27.0</v>
      </c>
      <c r="BD23" s="37" t="str">
        <f t="shared" si="66"/>
        <v>S</v>
      </c>
      <c r="BE23" s="36">
        <v>31.0</v>
      </c>
      <c r="BF23" s="36" t="str">
        <f t="shared" si="67"/>
        <v>S</v>
      </c>
      <c r="BG23" s="39" t="s">
        <v>357</v>
      </c>
      <c r="BH23" s="39" t="s">
        <v>357</v>
      </c>
      <c r="BI23" s="36">
        <v>22.0</v>
      </c>
      <c r="BJ23" s="36" t="str">
        <f t="shared" si="68"/>
        <v>S</v>
      </c>
      <c r="BK23" s="40">
        <v>9.0</v>
      </c>
      <c r="BL23" s="41" t="str">
        <f t="shared" si="69"/>
        <v>R</v>
      </c>
      <c r="BM23" s="41"/>
    </row>
    <row r="24">
      <c r="A24" s="18" t="s">
        <v>369</v>
      </c>
      <c r="B24" s="19">
        <v>35.0</v>
      </c>
      <c r="C24" s="18" t="s">
        <v>783</v>
      </c>
      <c r="D24" s="18" t="s">
        <v>705</v>
      </c>
      <c r="E24" s="18" t="s">
        <v>572</v>
      </c>
      <c r="F24" s="18" t="s">
        <v>192</v>
      </c>
      <c r="G24" s="20" t="s">
        <v>784</v>
      </c>
      <c r="H24" s="59" t="s">
        <v>785</v>
      </c>
      <c r="I24" s="24" t="s">
        <v>481</v>
      </c>
      <c r="J24" s="25" t="s">
        <v>205</v>
      </c>
      <c r="K24" s="43" t="s">
        <v>208</v>
      </c>
      <c r="L24" s="25" t="s">
        <v>208</v>
      </c>
      <c r="M24" s="26">
        <v>6.0</v>
      </c>
      <c r="N24" s="26" t="str">
        <f t="shared" si="47"/>
        <v>R</v>
      </c>
      <c r="O24" s="26">
        <v>10.0</v>
      </c>
      <c r="P24" s="26" t="str">
        <f t="shared" si="48"/>
        <v>R</v>
      </c>
      <c r="Q24" s="26">
        <v>13.0</v>
      </c>
      <c r="R24" s="26" t="str">
        <f t="shared" si="49"/>
        <v>R</v>
      </c>
      <c r="S24" s="32" t="s">
        <v>357</v>
      </c>
      <c r="T24" s="32" t="s">
        <v>357</v>
      </c>
      <c r="U24" s="26">
        <v>27.0</v>
      </c>
      <c r="V24" s="26" t="str">
        <f t="shared" si="51"/>
        <v>S</v>
      </c>
      <c r="W24" s="26">
        <v>25.0</v>
      </c>
      <c r="X24" s="26" t="str">
        <f t="shared" si="52"/>
        <v>S</v>
      </c>
      <c r="Y24" s="26">
        <v>26.0</v>
      </c>
      <c r="Z24" s="26" t="str">
        <f t="shared" si="53"/>
        <v>S</v>
      </c>
      <c r="AA24" s="32" t="s">
        <v>299</v>
      </c>
      <c r="AB24" s="33">
        <v>16.0</v>
      </c>
      <c r="AC24" s="33" t="str">
        <f t="shared" si="54"/>
        <v>R</v>
      </c>
      <c r="AD24" s="33">
        <v>6.0</v>
      </c>
      <c r="AE24" s="33" t="str">
        <f t="shared" si="55"/>
        <v>R</v>
      </c>
      <c r="AF24" s="33">
        <v>23.0</v>
      </c>
      <c r="AG24" s="33" t="str">
        <f t="shared" si="56"/>
        <v>S</v>
      </c>
      <c r="AH24" s="33">
        <v>26.0</v>
      </c>
      <c r="AI24" s="33" t="str">
        <f t="shared" si="57"/>
        <v>S</v>
      </c>
      <c r="AJ24" s="33">
        <v>34.0</v>
      </c>
      <c r="AK24" s="33" t="str">
        <f t="shared" si="58"/>
        <v>S</v>
      </c>
      <c r="AL24" s="33" t="s">
        <v>299</v>
      </c>
      <c r="AM24" s="36">
        <v>32.0</v>
      </c>
      <c r="AN24" s="36" t="str">
        <f t="shared" si="59"/>
        <v>S</v>
      </c>
      <c r="AO24" s="36">
        <v>32.0</v>
      </c>
      <c r="AP24" s="36" t="str">
        <f t="shared" si="60"/>
        <v>S</v>
      </c>
      <c r="AQ24" s="36">
        <v>26.0</v>
      </c>
      <c r="AR24" s="36" t="str">
        <f t="shared" si="61"/>
        <v>S</v>
      </c>
      <c r="AS24" s="36" t="s">
        <v>300</v>
      </c>
      <c r="AT24" s="37">
        <v>28.0</v>
      </c>
      <c r="AU24" s="37" t="str">
        <f t="shared" si="62"/>
        <v>S</v>
      </c>
      <c r="AV24" s="33">
        <v>21.0</v>
      </c>
      <c r="AW24" s="33" t="str">
        <f t="shared" si="63"/>
        <v>S</v>
      </c>
      <c r="AX24" s="33">
        <v>23.0</v>
      </c>
      <c r="AY24" s="33" t="str">
        <f t="shared" si="64"/>
        <v>S</v>
      </c>
      <c r="AZ24" s="33" t="s">
        <v>300</v>
      </c>
      <c r="BA24" s="26">
        <v>16.0</v>
      </c>
      <c r="BB24" s="26" t="str">
        <f t="shared" si="65"/>
        <v>R</v>
      </c>
      <c r="BC24" s="37">
        <v>30.0</v>
      </c>
      <c r="BD24" s="37" t="str">
        <f t="shared" si="66"/>
        <v>S</v>
      </c>
      <c r="BE24" s="36">
        <v>20.0</v>
      </c>
      <c r="BF24" s="36" t="str">
        <f t="shared" si="67"/>
        <v>R</v>
      </c>
      <c r="BG24" s="36">
        <v>0.25</v>
      </c>
      <c r="BH24" s="36" t="str">
        <f t="shared" ref="BH24:BH26" si="70">IF((BG24&lt;=0.5),"S",IF(AND(BG24&gt;0.5),"R", "NA"))</f>
        <v>S</v>
      </c>
      <c r="BI24" s="36">
        <v>25.0</v>
      </c>
      <c r="BJ24" s="36" t="str">
        <f t="shared" si="68"/>
        <v>S</v>
      </c>
      <c r="BK24" s="40">
        <v>20.0</v>
      </c>
      <c r="BL24" s="41" t="str">
        <f t="shared" si="69"/>
        <v>S</v>
      </c>
      <c r="BM24" s="41"/>
    </row>
    <row r="25">
      <c r="A25" s="18" t="s">
        <v>369</v>
      </c>
      <c r="B25" s="18" t="s">
        <v>444</v>
      </c>
      <c r="C25" s="18" t="s">
        <v>789</v>
      </c>
      <c r="D25" s="18" t="s">
        <v>705</v>
      </c>
      <c r="E25" s="18" t="s">
        <v>572</v>
      </c>
      <c r="F25" s="18" t="s">
        <v>192</v>
      </c>
      <c r="G25" s="20" t="s">
        <v>790</v>
      </c>
      <c r="H25" s="59" t="s">
        <v>785</v>
      </c>
      <c r="I25" s="24" t="s">
        <v>37</v>
      </c>
      <c r="J25" s="25" t="s">
        <v>205</v>
      </c>
      <c r="K25" s="43" t="s">
        <v>205</v>
      </c>
      <c r="L25" s="25" t="s">
        <v>208</v>
      </c>
      <c r="M25" s="26">
        <v>6.0</v>
      </c>
      <c r="N25" s="26" t="str">
        <f t="shared" si="47"/>
        <v>R</v>
      </c>
      <c r="O25" s="26">
        <v>8.0</v>
      </c>
      <c r="P25" s="26" t="str">
        <f t="shared" si="48"/>
        <v>R</v>
      </c>
      <c r="Q25" s="26">
        <v>6.0</v>
      </c>
      <c r="R25" s="26" t="str">
        <f t="shared" si="49"/>
        <v>R</v>
      </c>
      <c r="S25" s="32" t="s">
        <v>357</v>
      </c>
      <c r="T25" s="32" t="s">
        <v>357</v>
      </c>
      <c r="U25" s="26">
        <v>8.0</v>
      </c>
      <c r="V25" s="26" t="str">
        <f t="shared" si="51"/>
        <v>R</v>
      </c>
      <c r="W25" s="26">
        <v>12.0</v>
      </c>
      <c r="X25" s="26" t="str">
        <f t="shared" si="52"/>
        <v>R</v>
      </c>
      <c r="Y25" s="26">
        <v>18.0</v>
      </c>
      <c r="Z25" s="26" t="str">
        <f t="shared" si="53"/>
        <v>I</v>
      </c>
      <c r="AA25" s="32" t="s">
        <v>299</v>
      </c>
      <c r="AB25" s="33">
        <v>6.0</v>
      </c>
      <c r="AC25" s="33" t="str">
        <f t="shared" si="54"/>
        <v>R</v>
      </c>
      <c r="AD25" s="33">
        <v>6.0</v>
      </c>
      <c r="AE25" s="33" t="str">
        <f t="shared" si="55"/>
        <v>R</v>
      </c>
      <c r="AF25" s="33">
        <v>6.0</v>
      </c>
      <c r="AG25" s="33" t="str">
        <f t="shared" si="56"/>
        <v>R</v>
      </c>
      <c r="AH25" s="33">
        <v>18.0</v>
      </c>
      <c r="AI25" s="33" t="str">
        <f t="shared" si="57"/>
        <v>S</v>
      </c>
      <c r="AJ25" s="33">
        <v>21.0</v>
      </c>
      <c r="AK25" s="33" t="str">
        <f t="shared" si="58"/>
        <v>R</v>
      </c>
      <c r="AL25" s="33" t="s">
        <v>299</v>
      </c>
      <c r="AM25" s="36">
        <v>32.0</v>
      </c>
      <c r="AN25" s="36" t="str">
        <f t="shared" si="59"/>
        <v>S</v>
      </c>
      <c r="AO25" s="36">
        <v>30.0</v>
      </c>
      <c r="AP25" s="36" t="str">
        <f t="shared" si="60"/>
        <v>S</v>
      </c>
      <c r="AQ25" s="36">
        <v>25.0</v>
      </c>
      <c r="AR25" s="36" t="str">
        <f t="shared" si="61"/>
        <v>S</v>
      </c>
      <c r="AS25" s="36" t="s">
        <v>300</v>
      </c>
      <c r="AT25" s="37">
        <v>26.0</v>
      </c>
      <c r="AU25" s="37" t="str">
        <f t="shared" si="62"/>
        <v>S</v>
      </c>
      <c r="AV25" s="33">
        <v>21.0</v>
      </c>
      <c r="AW25" s="33" t="str">
        <f t="shared" si="63"/>
        <v>S</v>
      </c>
      <c r="AX25" s="33">
        <v>22.0</v>
      </c>
      <c r="AY25" s="33" t="str">
        <f t="shared" si="64"/>
        <v>S</v>
      </c>
      <c r="AZ25" s="33" t="s">
        <v>300</v>
      </c>
      <c r="BA25" s="26">
        <v>16.0</v>
      </c>
      <c r="BB25" s="26" t="str">
        <f t="shared" si="65"/>
        <v>R</v>
      </c>
      <c r="BC25" s="37">
        <v>9.0</v>
      </c>
      <c r="BD25" s="37" t="str">
        <f t="shared" si="66"/>
        <v>R</v>
      </c>
      <c r="BE25" s="36">
        <v>18.0</v>
      </c>
      <c r="BF25" s="36" t="str">
        <f t="shared" si="67"/>
        <v>R</v>
      </c>
      <c r="BG25" s="36">
        <v>0.38</v>
      </c>
      <c r="BH25" s="36" t="str">
        <f t="shared" si="70"/>
        <v>S</v>
      </c>
      <c r="BI25" s="36">
        <v>28.0</v>
      </c>
      <c r="BJ25" s="36" t="str">
        <f t="shared" si="68"/>
        <v>S</v>
      </c>
      <c r="BK25" s="40">
        <v>20.0</v>
      </c>
      <c r="BL25" s="41" t="str">
        <f t="shared" si="69"/>
        <v>S</v>
      </c>
      <c r="BM25" s="41"/>
    </row>
    <row r="26">
      <c r="A26" s="18" t="s">
        <v>369</v>
      </c>
      <c r="B26" s="18" t="s">
        <v>444</v>
      </c>
      <c r="C26" s="18" t="s">
        <v>792</v>
      </c>
      <c r="D26" s="18" t="s">
        <v>705</v>
      </c>
      <c r="E26" s="18" t="s">
        <v>572</v>
      </c>
      <c r="F26" s="18" t="s">
        <v>192</v>
      </c>
      <c r="G26" s="20" t="s">
        <v>793</v>
      </c>
      <c r="H26" s="59" t="s">
        <v>785</v>
      </c>
      <c r="I26" s="24" t="s">
        <v>481</v>
      </c>
      <c r="J26" s="25" t="s">
        <v>205</v>
      </c>
      <c r="K26" s="43" t="s">
        <v>208</v>
      </c>
      <c r="L26" s="25" t="s">
        <v>208</v>
      </c>
      <c r="M26" s="26">
        <v>6.0</v>
      </c>
      <c r="N26" s="26" t="str">
        <f t="shared" si="47"/>
        <v>R</v>
      </c>
      <c r="O26" s="26">
        <v>8.0</v>
      </c>
      <c r="P26" s="26" t="str">
        <f t="shared" si="48"/>
        <v>R</v>
      </c>
      <c r="Q26" s="26">
        <v>18.0</v>
      </c>
      <c r="R26" s="26" t="str">
        <f t="shared" si="49"/>
        <v>R</v>
      </c>
      <c r="S26" s="32" t="s">
        <v>357</v>
      </c>
      <c r="T26" s="32" t="s">
        <v>357</v>
      </c>
      <c r="U26" s="26">
        <v>26.0</v>
      </c>
      <c r="V26" s="26" t="str">
        <f t="shared" si="51"/>
        <v>S</v>
      </c>
      <c r="W26" s="26">
        <v>24.0</v>
      </c>
      <c r="X26" s="26" t="str">
        <f t="shared" si="52"/>
        <v>S</v>
      </c>
      <c r="Y26" s="26">
        <v>28.0</v>
      </c>
      <c r="Z26" s="26" t="str">
        <f t="shared" si="53"/>
        <v>S</v>
      </c>
      <c r="AA26" s="32" t="s">
        <v>299</v>
      </c>
      <c r="AB26" s="33">
        <v>17.0</v>
      </c>
      <c r="AC26" s="33" t="str">
        <f t="shared" si="54"/>
        <v>I</v>
      </c>
      <c r="AD26" s="33">
        <v>6.0</v>
      </c>
      <c r="AE26" s="33" t="str">
        <f t="shared" si="55"/>
        <v>R</v>
      </c>
      <c r="AF26" s="33">
        <v>25.0</v>
      </c>
      <c r="AG26" s="33" t="str">
        <f t="shared" si="56"/>
        <v>S</v>
      </c>
      <c r="AH26" s="33">
        <v>26.0</v>
      </c>
      <c r="AI26" s="33" t="str">
        <f t="shared" si="57"/>
        <v>S</v>
      </c>
      <c r="AJ26" s="33">
        <v>36.0</v>
      </c>
      <c r="AK26" s="33" t="str">
        <f t="shared" si="58"/>
        <v>S</v>
      </c>
      <c r="AL26" s="33" t="s">
        <v>299</v>
      </c>
      <c r="AM26" s="36">
        <v>34.0</v>
      </c>
      <c r="AN26" s="36" t="str">
        <f t="shared" si="59"/>
        <v>S</v>
      </c>
      <c r="AO26" s="36">
        <v>32.0</v>
      </c>
      <c r="AP26" s="36" t="str">
        <f t="shared" si="60"/>
        <v>S</v>
      </c>
      <c r="AQ26" s="36">
        <v>26.0</v>
      </c>
      <c r="AR26" s="36" t="str">
        <f t="shared" si="61"/>
        <v>S</v>
      </c>
      <c r="AS26" s="36" t="s">
        <v>300</v>
      </c>
      <c r="AT26" s="37">
        <v>30.0</v>
      </c>
      <c r="AU26" s="37" t="str">
        <f t="shared" si="62"/>
        <v>S</v>
      </c>
      <c r="AV26" s="33">
        <v>21.0</v>
      </c>
      <c r="AW26" s="33" t="str">
        <f t="shared" si="63"/>
        <v>S</v>
      </c>
      <c r="AX26" s="33">
        <v>28.0</v>
      </c>
      <c r="AY26" s="33" t="str">
        <f t="shared" si="64"/>
        <v>S</v>
      </c>
      <c r="AZ26" s="33" t="s">
        <v>300</v>
      </c>
      <c r="BA26" s="26">
        <v>17.0</v>
      </c>
      <c r="BB26" s="26" t="str">
        <f t="shared" si="65"/>
        <v>R</v>
      </c>
      <c r="BC26" s="37">
        <v>32.0</v>
      </c>
      <c r="BD26" s="37" t="str">
        <f t="shared" si="66"/>
        <v>S</v>
      </c>
      <c r="BE26" s="36">
        <v>22.0</v>
      </c>
      <c r="BF26" s="36" t="str">
        <f t="shared" si="67"/>
        <v>R</v>
      </c>
      <c r="BG26" s="36">
        <v>0.125</v>
      </c>
      <c r="BH26" s="36" t="str">
        <f t="shared" si="70"/>
        <v>S</v>
      </c>
      <c r="BI26" s="36">
        <v>29.0</v>
      </c>
      <c r="BJ26" s="36" t="str">
        <f t="shared" si="68"/>
        <v>S</v>
      </c>
      <c r="BK26" s="40">
        <v>21.0</v>
      </c>
      <c r="BL26" s="41" t="str">
        <f t="shared" si="69"/>
        <v>S</v>
      </c>
      <c r="BM26" s="41"/>
    </row>
    <row r="27">
      <c r="A27" s="18" t="s">
        <v>369</v>
      </c>
      <c r="B27" s="19">
        <v>36.0</v>
      </c>
      <c r="C27" s="18" t="s">
        <v>803</v>
      </c>
      <c r="D27" s="18" t="s">
        <v>182</v>
      </c>
      <c r="E27" s="18" t="s">
        <v>103</v>
      </c>
      <c r="F27" s="18" t="s">
        <v>192</v>
      </c>
      <c r="G27" s="20" t="s">
        <v>804</v>
      </c>
      <c r="H27" s="22" t="s">
        <v>198</v>
      </c>
      <c r="I27" s="24" t="s">
        <v>37</v>
      </c>
      <c r="J27" s="25" t="s">
        <v>205</v>
      </c>
      <c r="K27" s="25" t="s">
        <v>205</v>
      </c>
      <c r="L27" s="25" t="s">
        <v>208</v>
      </c>
      <c r="M27" s="26">
        <v>6.0</v>
      </c>
      <c r="N27" s="26" t="str">
        <f t="shared" si="47"/>
        <v>R</v>
      </c>
      <c r="O27" s="26">
        <v>21.0</v>
      </c>
      <c r="P27" s="26" t="str">
        <f t="shared" si="48"/>
        <v>S</v>
      </c>
      <c r="Q27" s="26">
        <v>6.0</v>
      </c>
      <c r="R27" s="26" t="str">
        <f t="shared" si="49"/>
        <v>R</v>
      </c>
      <c r="S27" s="32" t="s">
        <v>357</v>
      </c>
      <c r="T27" s="32" t="s">
        <v>357</v>
      </c>
      <c r="U27" s="26">
        <v>11.0</v>
      </c>
      <c r="V27" s="26" t="str">
        <f t="shared" si="51"/>
        <v>R</v>
      </c>
      <c r="W27" s="26">
        <v>29.0</v>
      </c>
      <c r="X27" s="26" t="str">
        <f t="shared" si="52"/>
        <v>S</v>
      </c>
      <c r="Y27" s="26">
        <v>20.0</v>
      </c>
      <c r="Z27" s="26" t="str">
        <f t="shared" si="53"/>
        <v>S</v>
      </c>
      <c r="AA27" s="32" t="s">
        <v>299</v>
      </c>
      <c r="AB27" s="33">
        <v>6.0</v>
      </c>
      <c r="AC27" s="33" t="str">
        <f t="shared" si="54"/>
        <v>R</v>
      </c>
      <c r="AD27" s="33">
        <v>24.0</v>
      </c>
      <c r="AE27" s="33" t="str">
        <f t="shared" si="55"/>
        <v>S</v>
      </c>
      <c r="AF27" s="33">
        <v>18.0</v>
      </c>
      <c r="AG27" s="33" t="str">
        <f t="shared" si="56"/>
        <v>R</v>
      </c>
      <c r="AH27" s="33">
        <v>24.0</v>
      </c>
      <c r="AI27" s="33" t="str">
        <f t="shared" si="57"/>
        <v>S</v>
      </c>
      <c r="AJ27" s="33">
        <v>22.0</v>
      </c>
      <c r="AK27" s="33" t="str">
        <f t="shared" si="58"/>
        <v>R</v>
      </c>
      <c r="AL27" s="33" t="s">
        <v>299</v>
      </c>
      <c r="AM27" s="36">
        <v>20.0</v>
      </c>
      <c r="AN27" s="36" t="str">
        <f t="shared" si="59"/>
        <v>R</v>
      </c>
      <c r="AO27" s="36">
        <v>21.0</v>
      </c>
      <c r="AP27" s="36" t="str">
        <f t="shared" si="60"/>
        <v>I</v>
      </c>
      <c r="AQ27" s="36">
        <v>18.0</v>
      </c>
      <c r="AR27" s="36" t="str">
        <f t="shared" si="61"/>
        <v>S</v>
      </c>
      <c r="AS27" s="36" t="s">
        <v>299</v>
      </c>
      <c r="AT27" s="37">
        <v>6.0</v>
      </c>
      <c r="AU27" s="37" t="str">
        <f t="shared" si="62"/>
        <v>R</v>
      </c>
      <c r="AV27" s="33">
        <v>22.0</v>
      </c>
      <c r="AW27" s="33" t="str">
        <f t="shared" si="63"/>
        <v>S</v>
      </c>
      <c r="AX27" s="33">
        <v>20.0</v>
      </c>
      <c r="AY27" s="33" t="str">
        <f t="shared" si="64"/>
        <v>S</v>
      </c>
      <c r="AZ27" s="33" t="s">
        <v>300</v>
      </c>
      <c r="BA27" s="26">
        <v>16.0</v>
      </c>
      <c r="BB27" s="26" t="str">
        <f t="shared" si="65"/>
        <v>R</v>
      </c>
      <c r="BC27" s="37">
        <v>18.0</v>
      </c>
      <c r="BD27" s="37" t="str">
        <f t="shared" si="66"/>
        <v>R</v>
      </c>
      <c r="BE27" s="36">
        <v>30.0</v>
      </c>
      <c r="BF27" s="36" t="str">
        <f t="shared" si="67"/>
        <v>S</v>
      </c>
      <c r="BG27" s="39" t="s">
        <v>357</v>
      </c>
      <c r="BH27" s="39" t="s">
        <v>357</v>
      </c>
      <c r="BI27" s="36">
        <v>30.0</v>
      </c>
      <c r="BJ27" s="36" t="str">
        <f t="shared" si="68"/>
        <v>S</v>
      </c>
      <c r="BK27" s="40">
        <v>21.0</v>
      </c>
      <c r="BL27" s="41" t="str">
        <f t="shared" si="69"/>
        <v>S</v>
      </c>
      <c r="BM27" s="41"/>
    </row>
    <row r="28">
      <c r="A28" s="18" t="s">
        <v>369</v>
      </c>
      <c r="B28" s="18" t="s">
        <v>444</v>
      </c>
      <c r="C28" s="18" t="s">
        <v>807</v>
      </c>
      <c r="D28" s="18" t="s">
        <v>182</v>
      </c>
      <c r="E28" s="18" t="s">
        <v>103</v>
      </c>
      <c r="F28" s="18" t="s">
        <v>192</v>
      </c>
      <c r="G28" s="20" t="s">
        <v>808</v>
      </c>
      <c r="H28" s="22" t="s">
        <v>198</v>
      </c>
      <c r="I28" s="24" t="s">
        <v>481</v>
      </c>
      <c r="J28" s="43" t="s">
        <v>205</v>
      </c>
      <c r="K28" s="43" t="s">
        <v>208</v>
      </c>
      <c r="L28" s="25" t="s">
        <v>208</v>
      </c>
      <c r="M28" s="26">
        <v>6.0</v>
      </c>
      <c r="N28" s="26" t="str">
        <f t="shared" si="47"/>
        <v>R</v>
      </c>
      <c r="O28" s="26">
        <v>22.0</v>
      </c>
      <c r="P28" s="26" t="str">
        <f t="shared" si="48"/>
        <v>S</v>
      </c>
      <c r="Q28" s="26">
        <v>6.0</v>
      </c>
      <c r="R28" s="26" t="str">
        <f t="shared" si="49"/>
        <v>R</v>
      </c>
      <c r="S28" s="32" t="s">
        <v>357</v>
      </c>
      <c r="T28" s="32" t="s">
        <v>357</v>
      </c>
      <c r="U28" s="26">
        <v>13.0</v>
      </c>
      <c r="V28" s="26" t="str">
        <f t="shared" si="51"/>
        <v>R</v>
      </c>
      <c r="W28" s="26">
        <v>25.0</v>
      </c>
      <c r="X28" s="26" t="str">
        <f t="shared" si="52"/>
        <v>S</v>
      </c>
      <c r="Y28" s="26">
        <v>22.0</v>
      </c>
      <c r="Z28" s="26" t="str">
        <f t="shared" si="53"/>
        <v>S</v>
      </c>
      <c r="AA28" s="32" t="s">
        <v>299</v>
      </c>
      <c r="AB28" s="33">
        <v>6.0</v>
      </c>
      <c r="AC28" s="33" t="str">
        <f t="shared" si="54"/>
        <v>R</v>
      </c>
      <c r="AD28" s="33">
        <v>24.0</v>
      </c>
      <c r="AE28" s="33" t="str">
        <f t="shared" si="55"/>
        <v>S</v>
      </c>
      <c r="AF28" s="33">
        <v>20.0</v>
      </c>
      <c r="AG28" s="33" t="str">
        <f t="shared" si="56"/>
        <v>I</v>
      </c>
      <c r="AH28" s="33">
        <v>26.0</v>
      </c>
      <c r="AI28" s="33" t="str">
        <f t="shared" si="57"/>
        <v>S</v>
      </c>
      <c r="AJ28" s="33">
        <v>25.0</v>
      </c>
      <c r="AK28" s="33" t="str">
        <f t="shared" si="58"/>
        <v>I</v>
      </c>
      <c r="AL28" s="33" t="s">
        <v>299</v>
      </c>
      <c r="AM28" s="36">
        <v>23.0</v>
      </c>
      <c r="AN28" s="36" t="str">
        <f t="shared" si="59"/>
        <v>I</v>
      </c>
      <c r="AO28" s="36">
        <v>22.0</v>
      </c>
      <c r="AP28" s="36" t="str">
        <f t="shared" si="60"/>
        <v>I</v>
      </c>
      <c r="AQ28" s="36">
        <v>18.0</v>
      </c>
      <c r="AR28" s="36" t="str">
        <f t="shared" si="61"/>
        <v>S</v>
      </c>
      <c r="AS28" s="36" t="s">
        <v>300</v>
      </c>
      <c r="AT28" s="37">
        <v>6.0</v>
      </c>
      <c r="AU28" s="37" t="str">
        <f t="shared" si="62"/>
        <v>R</v>
      </c>
      <c r="AV28" s="33">
        <v>23.0</v>
      </c>
      <c r="AW28" s="33" t="str">
        <f t="shared" si="63"/>
        <v>S</v>
      </c>
      <c r="AX28" s="33">
        <v>22.0</v>
      </c>
      <c r="AY28" s="33" t="str">
        <f t="shared" si="64"/>
        <v>S</v>
      </c>
      <c r="AZ28" s="33" t="s">
        <v>300</v>
      </c>
      <c r="BA28" s="26">
        <v>17.0</v>
      </c>
      <c r="BB28" s="26" t="str">
        <f t="shared" si="65"/>
        <v>R</v>
      </c>
      <c r="BC28" s="37">
        <v>19.0</v>
      </c>
      <c r="BD28" s="37" t="str">
        <f t="shared" si="66"/>
        <v>R</v>
      </c>
      <c r="BE28" s="36">
        <v>32.0</v>
      </c>
      <c r="BF28" s="36" t="str">
        <f t="shared" si="67"/>
        <v>S</v>
      </c>
      <c r="BG28" s="39" t="s">
        <v>357</v>
      </c>
      <c r="BH28" s="39" t="s">
        <v>357</v>
      </c>
      <c r="BI28" s="36">
        <v>31.0</v>
      </c>
      <c r="BJ28" s="36" t="str">
        <f t="shared" si="68"/>
        <v>S</v>
      </c>
      <c r="BK28" s="40">
        <v>23.0</v>
      </c>
      <c r="BL28" s="41" t="str">
        <f t="shared" si="69"/>
        <v>S</v>
      </c>
      <c r="BM28" s="41"/>
    </row>
    <row r="29">
      <c r="A29" s="18" t="s">
        <v>369</v>
      </c>
      <c r="B29" s="18" t="s">
        <v>444</v>
      </c>
      <c r="C29" s="18" t="s">
        <v>814</v>
      </c>
      <c r="D29" s="18" t="s">
        <v>182</v>
      </c>
      <c r="E29" s="18" t="s">
        <v>103</v>
      </c>
      <c r="F29" s="18" t="s">
        <v>192</v>
      </c>
      <c r="G29" s="20" t="s">
        <v>815</v>
      </c>
      <c r="H29" s="22" t="s">
        <v>198</v>
      </c>
      <c r="I29" s="24" t="s">
        <v>816</v>
      </c>
      <c r="J29" s="25" t="s">
        <v>205</v>
      </c>
      <c r="K29" s="25" t="s">
        <v>205</v>
      </c>
      <c r="L29" s="25" t="s">
        <v>205</v>
      </c>
      <c r="M29" s="26">
        <v>6.0</v>
      </c>
      <c r="N29" s="26" t="str">
        <f t="shared" si="47"/>
        <v>R</v>
      </c>
      <c r="O29" s="26">
        <v>10.0</v>
      </c>
      <c r="P29" s="26" t="str">
        <f t="shared" si="48"/>
        <v>R</v>
      </c>
      <c r="Q29" s="26">
        <v>6.0</v>
      </c>
      <c r="R29" s="26" t="str">
        <f t="shared" si="49"/>
        <v>R</v>
      </c>
      <c r="S29" s="32" t="s">
        <v>357</v>
      </c>
      <c r="T29" s="32" t="s">
        <v>357</v>
      </c>
      <c r="U29" s="26">
        <v>6.0</v>
      </c>
      <c r="V29" s="26" t="str">
        <f t="shared" si="51"/>
        <v>R</v>
      </c>
      <c r="W29" s="26">
        <v>6.0</v>
      </c>
      <c r="X29" s="26" t="str">
        <f t="shared" si="52"/>
        <v>R</v>
      </c>
      <c r="Y29" s="26">
        <v>12.0</v>
      </c>
      <c r="Z29" s="26" t="str">
        <f t="shared" si="53"/>
        <v>R</v>
      </c>
      <c r="AA29" s="32" t="s">
        <v>299</v>
      </c>
      <c r="AB29" s="33">
        <v>6.0</v>
      </c>
      <c r="AC29" s="33" t="str">
        <f t="shared" si="54"/>
        <v>R</v>
      </c>
      <c r="AD29" s="33">
        <v>6.0</v>
      </c>
      <c r="AE29" s="33" t="str">
        <f t="shared" si="55"/>
        <v>R</v>
      </c>
      <c r="AF29" s="33">
        <v>6.0</v>
      </c>
      <c r="AG29" s="33" t="str">
        <f t="shared" si="56"/>
        <v>R</v>
      </c>
      <c r="AH29" s="33">
        <v>10.0</v>
      </c>
      <c r="AI29" s="33" t="str">
        <f t="shared" si="57"/>
        <v>R</v>
      </c>
      <c r="AJ29" s="33">
        <v>6.0</v>
      </c>
      <c r="AK29" s="33" t="str">
        <f t="shared" si="58"/>
        <v>R</v>
      </c>
      <c r="AL29" s="33" t="s">
        <v>299</v>
      </c>
      <c r="AM29" s="36">
        <v>6.0</v>
      </c>
      <c r="AN29" s="36" t="str">
        <f t="shared" si="59"/>
        <v>R</v>
      </c>
      <c r="AO29" s="36">
        <v>6.0</v>
      </c>
      <c r="AP29" s="36" t="str">
        <f t="shared" si="60"/>
        <v>R</v>
      </c>
      <c r="AQ29" s="36">
        <v>6.0</v>
      </c>
      <c r="AR29" s="36" t="str">
        <f t="shared" si="61"/>
        <v>R</v>
      </c>
      <c r="AS29" s="36" t="s">
        <v>299</v>
      </c>
      <c r="AT29" s="37">
        <v>6.0</v>
      </c>
      <c r="AU29" s="37" t="str">
        <f t="shared" si="62"/>
        <v>R</v>
      </c>
      <c r="AV29" s="33">
        <v>21.0</v>
      </c>
      <c r="AW29" s="33" t="str">
        <f t="shared" si="63"/>
        <v>S</v>
      </c>
      <c r="AX29" s="33">
        <v>20.0</v>
      </c>
      <c r="AY29" s="33" t="str">
        <f t="shared" si="64"/>
        <v>S</v>
      </c>
      <c r="AZ29" s="33" t="s">
        <v>300</v>
      </c>
      <c r="BA29" s="26">
        <v>18.0</v>
      </c>
      <c r="BB29" s="26" t="str">
        <f t="shared" si="65"/>
        <v>R</v>
      </c>
      <c r="BC29" s="37">
        <v>6.0</v>
      </c>
      <c r="BD29" s="37" t="str">
        <f t="shared" si="66"/>
        <v>R</v>
      </c>
      <c r="BE29" s="36">
        <v>12.0</v>
      </c>
      <c r="BF29" s="36" t="str">
        <f t="shared" si="67"/>
        <v>R</v>
      </c>
      <c r="BG29" s="36">
        <v>2.0</v>
      </c>
      <c r="BH29" s="36" t="str">
        <f>IF((BG29&lt;=0.5),"S",IF(AND(BG29&gt;0.5),"R", "NA"))</f>
        <v>R</v>
      </c>
      <c r="BI29" s="36">
        <v>19.0</v>
      </c>
      <c r="BJ29" s="36" t="str">
        <f t="shared" si="68"/>
        <v>I</v>
      </c>
      <c r="BK29" s="40">
        <v>20.0</v>
      </c>
      <c r="BL29" s="41" t="str">
        <f t="shared" si="69"/>
        <v>S</v>
      </c>
      <c r="BM29" s="41"/>
    </row>
    <row r="30">
      <c r="A30" s="18" t="s">
        <v>403</v>
      </c>
      <c r="B30" s="19">
        <v>87.0</v>
      </c>
      <c r="C30" s="18" t="s">
        <v>822</v>
      </c>
      <c r="D30" s="18" t="s">
        <v>571</v>
      </c>
      <c r="E30" s="18" t="s">
        <v>572</v>
      </c>
      <c r="F30" s="18" t="s">
        <v>192</v>
      </c>
      <c r="G30" s="20" t="s">
        <v>823</v>
      </c>
      <c r="H30" s="22" t="s">
        <v>198</v>
      </c>
      <c r="I30" s="24" t="s">
        <v>37</v>
      </c>
      <c r="J30" s="25" t="s">
        <v>205</v>
      </c>
      <c r="K30" s="25" t="s">
        <v>205</v>
      </c>
      <c r="L30" s="25" t="s">
        <v>208</v>
      </c>
      <c r="M30" s="26">
        <v>6.0</v>
      </c>
      <c r="N30" s="26" t="str">
        <f t="shared" si="47"/>
        <v>R</v>
      </c>
      <c r="O30" s="26">
        <v>16.0</v>
      </c>
      <c r="P30" s="26" t="str">
        <f t="shared" si="48"/>
        <v>R</v>
      </c>
      <c r="Q30" s="26">
        <v>6.0</v>
      </c>
      <c r="R30" s="26" t="str">
        <f t="shared" si="49"/>
        <v>R</v>
      </c>
      <c r="S30" s="32" t="s">
        <v>357</v>
      </c>
      <c r="T30" s="32" t="s">
        <v>357</v>
      </c>
      <c r="U30" s="26">
        <v>9.0</v>
      </c>
      <c r="V30" s="26" t="str">
        <f t="shared" si="51"/>
        <v>R</v>
      </c>
      <c r="W30" s="26">
        <v>22.0</v>
      </c>
      <c r="X30" s="26" t="str">
        <f t="shared" si="52"/>
        <v>S</v>
      </c>
      <c r="Y30" s="26">
        <v>28.0</v>
      </c>
      <c r="Z30" s="26" t="str">
        <f t="shared" si="53"/>
        <v>S</v>
      </c>
      <c r="AA30" s="32" t="s">
        <v>299</v>
      </c>
      <c r="AB30" s="33">
        <v>6.0</v>
      </c>
      <c r="AC30" s="33" t="str">
        <f t="shared" si="54"/>
        <v>R</v>
      </c>
      <c r="AD30" s="33">
        <v>26.0</v>
      </c>
      <c r="AE30" s="33" t="str">
        <f t="shared" si="55"/>
        <v>S</v>
      </c>
      <c r="AF30" s="33">
        <v>20.0</v>
      </c>
      <c r="AG30" s="33" t="str">
        <f t="shared" si="56"/>
        <v>I</v>
      </c>
      <c r="AH30" s="33">
        <v>6.0</v>
      </c>
      <c r="AI30" s="33" t="str">
        <f t="shared" si="57"/>
        <v>R</v>
      </c>
      <c r="AJ30" s="33">
        <v>22.0</v>
      </c>
      <c r="AK30" s="33" t="str">
        <f t="shared" si="58"/>
        <v>R</v>
      </c>
      <c r="AL30" s="33" t="s">
        <v>299</v>
      </c>
      <c r="AM30" s="36">
        <v>16.0</v>
      </c>
      <c r="AN30" s="36" t="str">
        <f t="shared" si="59"/>
        <v>R</v>
      </c>
      <c r="AO30" s="36">
        <v>22.0</v>
      </c>
      <c r="AP30" s="36" t="str">
        <f t="shared" si="60"/>
        <v>I</v>
      </c>
      <c r="AQ30" s="36">
        <v>18.0</v>
      </c>
      <c r="AR30" s="36" t="str">
        <f t="shared" si="61"/>
        <v>S</v>
      </c>
      <c r="AS30" s="36" t="s">
        <v>299</v>
      </c>
      <c r="AT30" s="37">
        <v>6.0</v>
      </c>
      <c r="AU30" s="37" t="str">
        <f t="shared" si="62"/>
        <v>R</v>
      </c>
      <c r="AV30" s="33">
        <v>17.0</v>
      </c>
      <c r="AW30" s="33" t="str">
        <f t="shared" si="63"/>
        <v>R</v>
      </c>
      <c r="AX30" s="33">
        <v>10.0</v>
      </c>
      <c r="AY30" s="33" t="str">
        <f t="shared" si="64"/>
        <v>R</v>
      </c>
      <c r="AZ30" s="33" t="s">
        <v>299</v>
      </c>
      <c r="BA30" s="26">
        <v>6.0</v>
      </c>
      <c r="BB30" s="26" t="str">
        <f t="shared" si="65"/>
        <v>R</v>
      </c>
      <c r="BC30" s="37">
        <v>17.0</v>
      </c>
      <c r="BD30" s="37" t="str">
        <f t="shared" si="66"/>
        <v>R</v>
      </c>
      <c r="BE30" s="36">
        <v>29.0</v>
      </c>
      <c r="BF30" s="36" t="str">
        <f t="shared" si="67"/>
        <v>S</v>
      </c>
      <c r="BG30" s="39" t="s">
        <v>357</v>
      </c>
      <c r="BH30" s="39" t="s">
        <v>357</v>
      </c>
      <c r="BI30" s="36">
        <v>30.0</v>
      </c>
      <c r="BJ30" s="36" t="str">
        <f t="shared" si="68"/>
        <v>S</v>
      </c>
      <c r="BK30" s="40">
        <v>6.0</v>
      </c>
      <c r="BL30" s="41" t="str">
        <f t="shared" si="69"/>
        <v>R</v>
      </c>
      <c r="BM30" s="41"/>
    </row>
    <row r="31">
      <c r="A31" s="18" t="s">
        <v>403</v>
      </c>
      <c r="B31" s="18" t="s">
        <v>444</v>
      </c>
      <c r="C31" s="18" t="s">
        <v>830</v>
      </c>
      <c r="D31" s="18" t="s">
        <v>571</v>
      </c>
      <c r="E31" s="18" t="s">
        <v>572</v>
      </c>
      <c r="F31" s="18" t="s">
        <v>192</v>
      </c>
      <c r="G31" s="20" t="s">
        <v>831</v>
      </c>
      <c r="H31" s="42" t="s">
        <v>479</v>
      </c>
      <c r="I31" s="24" t="s">
        <v>37</v>
      </c>
      <c r="J31" s="25" t="s">
        <v>205</v>
      </c>
      <c r="K31" s="25" t="s">
        <v>205</v>
      </c>
      <c r="L31" s="25" t="s">
        <v>208</v>
      </c>
      <c r="M31" s="26">
        <v>6.0</v>
      </c>
      <c r="N31" s="26" t="str">
        <f t="shared" si="47"/>
        <v>R</v>
      </c>
      <c r="O31" s="26">
        <v>18.0</v>
      </c>
      <c r="P31" s="26" t="str">
        <f t="shared" si="48"/>
        <v>R</v>
      </c>
      <c r="Q31" s="26">
        <v>6.0</v>
      </c>
      <c r="R31" s="26" t="str">
        <f t="shared" si="49"/>
        <v>R</v>
      </c>
      <c r="S31" s="32" t="s">
        <v>357</v>
      </c>
      <c r="T31" s="32" t="s">
        <v>357</v>
      </c>
      <c r="U31" s="26">
        <v>10.0</v>
      </c>
      <c r="V31" s="26" t="str">
        <f t="shared" si="51"/>
        <v>R</v>
      </c>
      <c r="W31" s="26">
        <v>23.0</v>
      </c>
      <c r="X31" s="26" t="str">
        <f t="shared" si="52"/>
        <v>S</v>
      </c>
      <c r="Y31" s="26">
        <v>27.0</v>
      </c>
      <c r="Z31" s="26" t="str">
        <f t="shared" si="53"/>
        <v>S</v>
      </c>
      <c r="AA31" s="32" t="s">
        <v>299</v>
      </c>
      <c r="AB31" s="33">
        <v>6.0</v>
      </c>
      <c r="AC31" s="33" t="str">
        <f t="shared" si="54"/>
        <v>R</v>
      </c>
      <c r="AD31" s="33">
        <v>28.0</v>
      </c>
      <c r="AE31" s="33" t="str">
        <f t="shared" si="55"/>
        <v>S</v>
      </c>
      <c r="AF31" s="33">
        <v>21.0</v>
      </c>
      <c r="AG31" s="33" t="str">
        <f t="shared" si="56"/>
        <v>I</v>
      </c>
      <c r="AH31" s="33">
        <v>29.0</v>
      </c>
      <c r="AI31" s="33" t="str">
        <f t="shared" si="57"/>
        <v>S</v>
      </c>
      <c r="AJ31" s="33">
        <v>23.0</v>
      </c>
      <c r="AK31" s="33" t="str">
        <f t="shared" si="58"/>
        <v>R</v>
      </c>
      <c r="AL31" s="33" t="s">
        <v>299</v>
      </c>
      <c r="AM31" s="36">
        <v>16.0</v>
      </c>
      <c r="AN31" s="36" t="str">
        <f t="shared" si="59"/>
        <v>R</v>
      </c>
      <c r="AO31" s="36">
        <v>21.0</v>
      </c>
      <c r="AP31" s="36" t="str">
        <f t="shared" si="60"/>
        <v>I</v>
      </c>
      <c r="AQ31" s="36">
        <v>17.0</v>
      </c>
      <c r="AR31" s="36" t="str">
        <f t="shared" si="61"/>
        <v>S</v>
      </c>
      <c r="AS31" s="36" t="s">
        <v>299</v>
      </c>
      <c r="AT31" s="37">
        <v>6.0</v>
      </c>
      <c r="AU31" s="37" t="str">
        <f t="shared" si="62"/>
        <v>R</v>
      </c>
      <c r="AV31" s="33">
        <v>17.0</v>
      </c>
      <c r="AW31" s="33" t="str">
        <f t="shared" si="63"/>
        <v>R</v>
      </c>
      <c r="AX31" s="33">
        <v>10.0</v>
      </c>
      <c r="AY31" s="33" t="str">
        <f t="shared" si="64"/>
        <v>R</v>
      </c>
      <c r="AZ31" s="33" t="s">
        <v>299</v>
      </c>
      <c r="BA31" s="26">
        <v>6.0</v>
      </c>
      <c r="BB31" s="26" t="str">
        <f t="shared" si="65"/>
        <v>R</v>
      </c>
      <c r="BC31" s="37">
        <v>18.0</v>
      </c>
      <c r="BD31" s="37" t="str">
        <f t="shared" si="66"/>
        <v>R</v>
      </c>
      <c r="BE31" s="36">
        <v>30.0</v>
      </c>
      <c r="BF31" s="36" t="str">
        <f t="shared" si="67"/>
        <v>S</v>
      </c>
      <c r="BG31" s="39" t="s">
        <v>357</v>
      </c>
      <c r="BH31" s="39" t="s">
        <v>357</v>
      </c>
      <c r="BI31" s="36">
        <v>30.0</v>
      </c>
      <c r="BJ31" s="36" t="str">
        <f t="shared" si="68"/>
        <v>S</v>
      </c>
      <c r="BK31" s="40">
        <v>6.0</v>
      </c>
      <c r="BL31" s="41" t="str">
        <f t="shared" si="69"/>
        <v>R</v>
      </c>
      <c r="BM31" s="41"/>
    </row>
    <row r="32">
      <c r="A32" s="18" t="s">
        <v>403</v>
      </c>
      <c r="B32" s="19">
        <v>88.0</v>
      </c>
      <c r="C32" s="18" t="s">
        <v>837</v>
      </c>
      <c r="D32" s="18" t="s">
        <v>705</v>
      </c>
      <c r="E32" s="18" t="s">
        <v>572</v>
      </c>
      <c r="F32" s="18" t="s">
        <v>573</v>
      </c>
      <c r="G32" s="20" t="s">
        <v>357</v>
      </c>
      <c r="H32" s="47" t="s">
        <v>357</v>
      </c>
      <c r="I32" s="48" t="s">
        <v>357</v>
      </c>
      <c r="J32" s="43" t="s">
        <v>208</v>
      </c>
      <c r="K32" s="43" t="s">
        <v>208</v>
      </c>
      <c r="L32" s="43" t="s">
        <v>208</v>
      </c>
      <c r="M32" s="32" t="s">
        <v>357</v>
      </c>
      <c r="N32" s="32" t="s">
        <v>357</v>
      </c>
      <c r="O32" s="32" t="s">
        <v>357</v>
      </c>
      <c r="P32" s="32" t="s">
        <v>357</v>
      </c>
      <c r="Q32" s="32" t="s">
        <v>357</v>
      </c>
      <c r="R32" s="32" t="s">
        <v>357</v>
      </c>
      <c r="S32" s="32" t="s">
        <v>357</v>
      </c>
      <c r="T32" s="32" t="s">
        <v>357</v>
      </c>
      <c r="U32" s="32" t="s">
        <v>357</v>
      </c>
      <c r="V32" s="32" t="s">
        <v>357</v>
      </c>
      <c r="W32" s="32" t="s">
        <v>357</v>
      </c>
      <c r="X32" s="32" t="s">
        <v>357</v>
      </c>
      <c r="Y32" s="32" t="s">
        <v>357</v>
      </c>
      <c r="Z32" s="32" t="s">
        <v>357</v>
      </c>
      <c r="AA32" s="32" t="s">
        <v>357</v>
      </c>
      <c r="AB32" s="49" t="s">
        <v>357</v>
      </c>
      <c r="AC32" s="49" t="s">
        <v>357</v>
      </c>
      <c r="AD32" s="49" t="s">
        <v>357</v>
      </c>
      <c r="AE32" s="49" t="s">
        <v>357</v>
      </c>
      <c r="AF32" s="49" t="s">
        <v>357</v>
      </c>
      <c r="AG32" s="49" t="s">
        <v>357</v>
      </c>
      <c r="AH32" s="49" t="s">
        <v>357</v>
      </c>
      <c r="AI32" s="49" t="s">
        <v>357</v>
      </c>
      <c r="AJ32" s="49" t="s">
        <v>357</v>
      </c>
      <c r="AK32" s="49" t="s">
        <v>357</v>
      </c>
      <c r="AL32" s="49" t="s">
        <v>357</v>
      </c>
      <c r="AM32" s="39" t="s">
        <v>357</v>
      </c>
      <c r="AN32" s="39" t="s">
        <v>357</v>
      </c>
      <c r="AO32" s="39" t="s">
        <v>357</v>
      </c>
      <c r="AP32" s="39" t="s">
        <v>357</v>
      </c>
      <c r="AQ32" s="39" t="s">
        <v>357</v>
      </c>
      <c r="AR32" s="39" t="s">
        <v>357</v>
      </c>
      <c r="AS32" s="39" t="s">
        <v>357</v>
      </c>
      <c r="AT32" s="50" t="s">
        <v>357</v>
      </c>
      <c r="AU32" s="50" t="s">
        <v>357</v>
      </c>
      <c r="AV32" s="49" t="s">
        <v>357</v>
      </c>
      <c r="AW32" s="49" t="s">
        <v>357</v>
      </c>
      <c r="AX32" s="49" t="s">
        <v>357</v>
      </c>
      <c r="AY32" s="49" t="s">
        <v>357</v>
      </c>
      <c r="AZ32" s="49" t="s">
        <v>357</v>
      </c>
      <c r="BA32" s="32" t="s">
        <v>357</v>
      </c>
      <c r="BB32" s="32" t="s">
        <v>357</v>
      </c>
      <c r="BC32" s="50" t="s">
        <v>357</v>
      </c>
      <c r="BD32" s="50" t="s">
        <v>357</v>
      </c>
      <c r="BE32" s="39" t="s">
        <v>357</v>
      </c>
      <c r="BF32" s="39" t="s">
        <v>357</v>
      </c>
      <c r="BG32" s="39" t="s">
        <v>357</v>
      </c>
      <c r="BH32" s="39" t="s">
        <v>357</v>
      </c>
      <c r="BI32" s="39" t="s">
        <v>357</v>
      </c>
      <c r="BJ32" s="39" t="s">
        <v>357</v>
      </c>
      <c r="BK32" s="41" t="s">
        <v>357</v>
      </c>
      <c r="BL32" s="41" t="s">
        <v>357</v>
      </c>
      <c r="BM32" s="41"/>
    </row>
    <row r="33">
      <c r="A33" s="18" t="s">
        <v>467</v>
      </c>
      <c r="B33" s="19">
        <v>89.0</v>
      </c>
      <c r="C33" s="18" t="s">
        <v>844</v>
      </c>
      <c r="D33" s="18" t="s">
        <v>190</v>
      </c>
      <c r="E33" s="18" t="s">
        <v>190</v>
      </c>
      <c r="F33" s="18" t="s">
        <v>192</v>
      </c>
      <c r="G33" s="20" t="s">
        <v>845</v>
      </c>
      <c r="H33" s="22" t="s">
        <v>198</v>
      </c>
      <c r="I33" s="24" t="s">
        <v>481</v>
      </c>
      <c r="J33" s="25" t="s">
        <v>205</v>
      </c>
      <c r="K33" s="43" t="s">
        <v>208</v>
      </c>
      <c r="L33" s="25" t="s">
        <v>208</v>
      </c>
      <c r="M33" s="26">
        <v>6.0</v>
      </c>
      <c r="N33" s="26" t="str">
        <f t="shared" ref="N33:N43" si="71">IF((M33&gt;=19),"S",IF(AND(M33&lt;19),"R", "NA"))</f>
        <v>R</v>
      </c>
      <c r="O33" s="26">
        <v>22.0</v>
      </c>
      <c r="P33" s="26" t="str">
        <f t="shared" ref="P33:P43" si="72">IF((O33&gt;=19),"S",IF(AND(O33&lt;19),"R", "NA"))</f>
        <v>S</v>
      </c>
      <c r="Q33" s="26">
        <v>6.0</v>
      </c>
      <c r="R33" s="26" t="str">
        <f t="shared" ref="R33:R43" si="73">IF((Q33&gt;=23),"S",IF(AND(Q33&lt;23),"R","NA"))</f>
        <v>R</v>
      </c>
      <c r="S33" s="32" t="s">
        <v>357</v>
      </c>
      <c r="T33" s="32" t="s">
        <v>357</v>
      </c>
      <c r="U33" s="26">
        <v>14.0</v>
      </c>
      <c r="V33" s="26" t="str">
        <f t="shared" ref="V33:V43" si="74">IF((U33&gt;=20),"S",IF(AND(U33&lt;20),"R", "NA"))</f>
        <v>R</v>
      </c>
      <c r="W33" s="26">
        <v>27.0</v>
      </c>
      <c r="X33" s="26" t="str">
        <f t="shared" ref="X33:X43" si="75">IF((W33&gt;=20),"S",IF(AND(W33&lt;20),"R", "NA"))</f>
        <v>S</v>
      </c>
      <c r="Y33" s="26">
        <v>23.0</v>
      </c>
      <c r="Z33" s="26" t="str">
        <f t="shared" ref="Z33:Z43" si="76">IF((Y33&gt;=20),"S",IF(AND(Y33&lt;20,Y33&gt;=17),"I",IF(AND(Y33&lt;17),"R","NA")))</f>
        <v>S</v>
      </c>
      <c r="AA33" s="32" t="s">
        <v>299</v>
      </c>
      <c r="AB33" s="33">
        <v>8.0</v>
      </c>
      <c r="AC33" s="33" t="str">
        <f t="shared" ref="AC33:AC43" si="77">IF((AB33&gt;=20),"S",IF(AND(AB33&lt;20,AB33&gt;=17),"I",IF(AND(AB33&lt;17),"R","NA")))</f>
        <v>R</v>
      </c>
      <c r="AD33" s="33">
        <v>26.0</v>
      </c>
      <c r="AE33" s="33" t="str">
        <f t="shared" ref="AE33:AE43" si="78">IF((AD33&gt;=18),"S",IF(AND(AD33&lt;18),"R", "NA"))</f>
        <v>S</v>
      </c>
      <c r="AF33" s="33">
        <v>19.0</v>
      </c>
      <c r="AG33" s="33" t="str">
        <f t="shared" ref="AG33:AG43" si="79">IF((AF33&gt;=22),"S",IF(AND(AF33&lt;22,AF33&gt;=19),"I",IF(AND(AF33&lt;19),"R","NA")))</f>
        <v>I</v>
      </c>
      <c r="AH33" s="33">
        <v>28.0</v>
      </c>
      <c r="AI33" s="33" t="str">
        <f t="shared" ref="AI33:AI43" si="80">IF((AH33&gt;=13),"S",IF(AND(AH33&lt;13),"R", "NA"))</f>
        <v>S</v>
      </c>
      <c r="AJ33" s="33">
        <v>24.0</v>
      </c>
      <c r="AK33" s="33" t="str">
        <f t="shared" ref="AK33:AK43" si="81">IF((AJ33&gt;=27),"S",IF(AND(AJ33&lt;27,AJ33&gt;=24),"I",IF(AND(AJ33&lt;24),"R","NA")))</f>
        <v>I</v>
      </c>
      <c r="AL33" s="33" t="s">
        <v>299</v>
      </c>
      <c r="AM33" s="36">
        <v>25.0</v>
      </c>
      <c r="AN33" s="36" t="str">
        <f t="shared" ref="AN33:AN43" si="82">IF((AM33&gt;=25),"S",IF(AND(AM33&lt;25,AM33&gt;=22),"I",IF(AND(AM33&lt;22),"R","NA")))</f>
        <v>S</v>
      </c>
      <c r="AO33" s="36">
        <v>23.0</v>
      </c>
      <c r="AP33" s="36" t="str">
        <f t="shared" ref="AP33:AP43" si="83">IF((AO33&gt;=23),"S",IF(AND(AO33&lt;23,AO33&gt;=19),"I",IF(AND(AO33&lt;19),"R","NA")))</f>
        <v>S</v>
      </c>
      <c r="AQ33" s="36">
        <v>23.0</v>
      </c>
      <c r="AR33" s="36" t="str">
        <f t="shared" ref="AR33:AR43" si="84">IF((AQ33&gt;=14),"S",IF(AND(AQ33&lt;14),"R","NA"))</f>
        <v>S</v>
      </c>
      <c r="AS33" s="36" t="s">
        <v>300</v>
      </c>
      <c r="AT33" s="37">
        <v>32.0</v>
      </c>
      <c r="AU33" s="37" t="str">
        <f t="shared" ref="AU33:AU43" si="85">IF((AT33&gt;=14),"S",IF(AND(AT33&lt;14,AT33&gt;=11),"I",IF(AND(AT33&lt;11),"R","NA")))</f>
        <v>S</v>
      </c>
      <c r="AV33" s="33">
        <v>21.0</v>
      </c>
      <c r="AW33" s="33" t="str">
        <f t="shared" ref="AW33:AW43" si="86">IF((AV33&gt;=18),"S",IF(AND(AV33&lt;18),"R", "NA"))</f>
        <v>S</v>
      </c>
      <c r="AX33" s="33">
        <v>23.0</v>
      </c>
      <c r="AY33" s="33" t="str">
        <f t="shared" ref="AY33:AY43" si="87">IF((AX33&gt;=16),"S",IF(AND(AX33&lt;16),"R", "NA"))</f>
        <v>S</v>
      </c>
      <c r="AZ33" s="33" t="s">
        <v>300</v>
      </c>
      <c r="BA33" s="26">
        <v>20.0</v>
      </c>
      <c r="BB33" s="26" t="str">
        <f t="shared" ref="BB33:BB43" si="88">IF((BA33&gt;=20),"S",IF(AND(BA33&lt;20),"R", "NA"))</f>
        <v>S</v>
      </c>
      <c r="BC33" s="37">
        <v>18.0</v>
      </c>
      <c r="BD33" s="37" t="str">
        <f t="shared" ref="BD33:BD43" si="89">IF((BC33&gt;=26),"S",IF(AND(BC33&lt;26,BC33&gt;=21),"I",IF(AND(BC33&lt;21),"R","NA")))</f>
        <v>R</v>
      </c>
      <c r="BE33" s="36">
        <v>28.0</v>
      </c>
      <c r="BF33" s="36" t="str">
        <f t="shared" ref="BF33:BF43" si="90">IF((BE33&gt;=23),"S",IF(AND(BE33&lt;23),"R","NA"))</f>
        <v>S</v>
      </c>
      <c r="BG33" s="39" t="s">
        <v>357</v>
      </c>
      <c r="BH33" s="39" t="s">
        <v>357</v>
      </c>
      <c r="BI33" s="36">
        <v>30.0</v>
      </c>
      <c r="BJ33" s="36" t="str">
        <f t="shared" ref="BJ33:BJ43" si="91">IF((BI33&gt;=22),"S",IF(AND(BI33&lt;22,BI33&gt;=19),"I",IF(AND(BI33&lt;19),"R","NA")))</f>
        <v>S</v>
      </c>
      <c r="BK33" s="40">
        <v>21.0</v>
      </c>
      <c r="BL33" s="41" t="str">
        <f t="shared" ref="BL33:BL43" si="92">IF((BK33&gt;=17),"S",IF(AND(BK33&lt;17),"R", "NA"))</f>
        <v>S</v>
      </c>
      <c r="BM33" s="41"/>
    </row>
    <row r="34">
      <c r="A34" s="18" t="s">
        <v>467</v>
      </c>
      <c r="B34" s="18" t="s">
        <v>444</v>
      </c>
      <c r="C34" s="18" t="s">
        <v>863</v>
      </c>
      <c r="D34" s="18" t="s">
        <v>190</v>
      </c>
      <c r="E34" s="18" t="s">
        <v>190</v>
      </c>
      <c r="F34" s="18" t="s">
        <v>192</v>
      </c>
      <c r="G34" s="20" t="s">
        <v>864</v>
      </c>
      <c r="H34" s="42" t="s">
        <v>479</v>
      </c>
      <c r="I34" s="24" t="s">
        <v>37</v>
      </c>
      <c r="J34" s="25" t="s">
        <v>205</v>
      </c>
      <c r="K34" s="25" t="s">
        <v>205</v>
      </c>
      <c r="L34" s="25" t="s">
        <v>208</v>
      </c>
      <c r="M34" s="26">
        <v>6.0</v>
      </c>
      <c r="N34" s="26" t="str">
        <f t="shared" si="71"/>
        <v>R</v>
      </c>
      <c r="O34" s="26">
        <v>20.0</v>
      </c>
      <c r="P34" s="26" t="str">
        <f t="shared" si="72"/>
        <v>S</v>
      </c>
      <c r="Q34" s="26">
        <v>6.0</v>
      </c>
      <c r="R34" s="26" t="str">
        <f t="shared" si="73"/>
        <v>R</v>
      </c>
      <c r="S34" s="32" t="s">
        <v>357</v>
      </c>
      <c r="T34" s="32" t="s">
        <v>357</v>
      </c>
      <c r="U34" s="26">
        <v>10.0</v>
      </c>
      <c r="V34" s="26" t="str">
        <f t="shared" si="74"/>
        <v>R</v>
      </c>
      <c r="W34" s="26">
        <v>22.0</v>
      </c>
      <c r="X34" s="26" t="str">
        <f t="shared" si="75"/>
        <v>S</v>
      </c>
      <c r="Y34" s="26">
        <v>20.0</v>
      </c>
      <c r="Z34" s="26" t="str">
        <f t="shared" si="76"/>
        <v>S</v>
      </c>
      <c r="AA34" s="32" t="s">
        <v>299</v>
      </c>
      <c r="AB34" s="33">
        <v>8.0</v>
      </c>
      <c r="AC34" s="33" t="str">
        <f t="shared" si="77"/>
        <v>R</v>
      </c>
      <c r="AD34" s="33">
        <v>22.0</v>
      </c>
      <c r="AE34" s="33" t="str">
        <f t="shared" si="78"/>
        <v>S</v>
      </c>
      <c r="AF34" s="33">
        <v>15.0</v>
      </c>
      <c r="AG34" s="33" t="str">
        <f t="shared" si="79"/>
        <v>R</v>
      </c>
      <c r="AH34" s="33">
        <v>23.0</v>
      </c>
      <c r="AI34" s="33" t="str">
        <f t="shared" si="80"/>
        <v>S</v>
      </c>
      <c r="AJ34" s="33">
        <v>23.0</v>
      </c>
      <c r="AK34" s="33" t="str">
        <f t="shared" si="81"/>
        <v>R</v>
      </c>
      <c r="AL34" s="33" t="s">
        <v>299</v>
      </c>
      <c r="AM34" s="36">
        <v>6.0</v>
      </c>
      <c r="AN34" s="36" t="str">
        <f t="shared" si="82"/>
        <v>R</v>
      </c>
      <c r="AO34" s="36">
        <v>6.0</v>
      </c>
      <c r="AP34" s="36" t="str">
        <f t="shared" si="83"/>
        <v>R</v>
      </c>
      <c r="AQ34" s="36">
        <v>6.0</v>
      </c>
      <c r="AR34" s="36" t="str">
        <f t="shared" si="84"/>
        <v>R</v>
      </c>
      <c r="AS34" s="36" t="s">
        <v>299</v>
      </c>
      <c r="AT34" s="37">
        <v>6.0</v>
      </c>
      <c r="AU34" s="37" t="str">
        <f t="shared" si="85"/>
        <v>R</v>
      </c>
      <c r="AV34" s="33">
        <v>22.0</v>
      </c>
      <c r="AW34" s="33" t="str">
        <f t="shared" si="86"/>
        <v>S</v>
      </c>
      <c r="AX34" s="33">
        <v>17.0</v>
      </c>
      <c r="AY34" s="33" t="str">
        <f t="shared" si="87"/>
        <v>S</v>
      </c>
      <c r="AZ34" s="33" t="s">
        <v>300</v>
      </c>
      <c r="BA34" s="26">
        <v>12.0</v>
      </c>
      <c r="BB34" s="26" t="str">
        <f t="shared" si="88"/>
        <v>R</v>
      </c>
      <c r="BC34" s="37">
        <v>15.0</v>
      </c>
      <c r="BD34" s="37" t="str">
        <f t="shared" si="89"/>
        <v>R</v>
      </c>
      <c r="BE34" s="36">
        <v>26.0</v>
      </c>
      <c r="BF34" s="36" t="str">
        <f t="shared" si="90"/>
        <v>S</v>
      </c>
      <c r="BG34" s="39" t="s">
        <v>357</v>
      </c>
      <c r="BH34" s="39" t="s">
        <v>357</v>
      </c>
      <c r="BI34" s="36">
        <v>30.0</v>
      </c>
      <c r="BJ34" s="36" t="str">
        <f t="shared" si="91"/>
        <v>S</v>
      </c>
      <c r="BK34" s="40">
        <v>8.0</v>
      </c>
      <c r="BL34" s="41" t="str">
        <f t="shared" si="92"/>
        <v>R</v>
      </c>
      <c r="BM34" s="41"/>
    </row>
    <row r="35">
      <c r="A35" s="18" t="s">
        <v>467</v>
      </c>
      <c r="B35" s="18" t="s">
        <v>444</v>
      </c>
      <c r="C35" s="18" t="s">
        <v>867</v>
      </c>
      <c r="D35" s="18" t="s">
        <v>190</v>
      </c>
      <c r="E35" s="18" t="s">
        <v>190</v>
      </c>
      <c r="F35" s="18" t="s">
        <v>192</v>
      </c>
      <c r="G35" s="20" t="s">
        <v>868</v>
      </c>
      <c r="H35" s="42" t="s">
        <v>479</v>
      </c>
      <c r="I35" s="24" t="s">
        <v>481</v>
      </c>
      <c r="J35" s="25" t="s">
        <v>205</v>
      </c>
      <c r="K35" s="43" t="s">
        <v>208</v>
      </c>
      <c r="L35" s="43" t="s">
        <v>208</v>
      </c>
      <c r="M35" s="26">
        <v>6.0</v>
      </c>
      <c r="N35" s="26" t="str">
        <f t="shared" si="71"/>
        <v>R</v>
      </c>
      <c r="O35" s="26">
        <v>20.0</v>
      </c>
      <c r="P35" s="26" t="str">
        <f t="shared" si="72"/>
        <v>S</v>
      </c>
      <c r="Q35" s="26">
        <v>6.0</v>
      </c>
      <c r="R35" s="26" t="str">
        <f t="shared" si="73"/>
        <v>R</v>
      </c>
      <c r="S35" s="32" t="s">
        <v>357</v>
      </c>
      <c r="T35" s="32" t="s">
        <v>357</v>
      </c>
      <c r="U35" s="26">
        <v>12.0</v>
      </c>
      <c r="V35" s="26" t="str">
        <f t="shared" si="74"/>
        <v>R</v>
      </c>
      <c r="W35" s="26">
        <v>22.0</v>
      </c>
      <c r="X35" s="26" t="str">
        <f t="shared" si="75"/>
        <v>S</v>
      </c>
      <c r="Y35" s="26">
        <v>20.0</v>
      </c>
      <c r="Z35" s="26" t="str">
        <f t="shared" si="76"/>
        <v>S</v>
      </c>
      <c r="AA35" s="32" t="s">
        <v>299</v>
      </c>
      <c r="AB35" s="33">
        <v>10.0</v>
      </c>
      <c r="AC35" s="33" t="str">
        <f t="shared" si="77"/>
        <v>R</v>
      </c>
      <c r="AD35" s="33">
        <v>24.0</v>
      </c>
      <c r="AE35" s="33" t="str">
        <f t="shared" si="78"/>
        <v>S</v>
      </c>
      <c r="AF35" s="33">
        <v>15.0</v>
      </c>
      <c r="AG35" s="33" t="str">
        <f t="shared" si="79"/>
        <v>R</v>
      </c>
      <c r="AH35" s="33">
        <v>25.0</v>
      </c>
      <c r="AI35" s="33" t="str">
        <f t="shared" si="80"/>
        <v>S</v>
      </c>
      <c r="AJ35" s="33">
        <v>24.0</v>
      </c>
      <c r="AK35" s="33" t="str">
        <f t="shared" si="81"/>
        <v>I</v>
      </c>
      <c r="AL35" s="33" t="s">
        <v>299</v>
      </c>
      <c r="AM35" s="36">
        <v>6.0</v>
      </c>
      <c r="AN35" s="36" t="str">
        <f t="shared" si="82"/>
        <v>R</v>
      </c>
      <c r="AO35" s="36">
        <v>6.0</v>
      </c>
      <c r="AP35" s="36" t="str">
        <f t="shared" si="83"/>
        <v>R</v>
      </c>
      <c r="AQ35" s="36">
        <v>6.0</v>
      </c>
      <c r="AR35" s="36" t="str">
        <f t="shared" si="84"/>
        <v>R</v>
      </c>
      <c r="AS35" s="36" t="s">
        <v>299</v>
      </c>
      <c r="AT35" s="37">
        <v>6.0</v>
      </c>
      <c r="AU35" s="37" t="str">
        <f t="shared" si="85"/>
        <v>R</v>
      </c>
      <c r="AV35" s="33">
        <v>23.0</v>
      </c>
      <c r="AW35" s="33" t="str">
        <f t="shared" si="86"/>
        <v>S</v>
      </c>
      <c r="AX35" s="33">
        <v>18.0</v>
      </c>
      <c r="AY35" s="33" t="str">
        <f t="shared" si="87"/>
        <v>S</v>
      </c>
      <c r="AZ35" s="33" t="s">
        <v>300</v>
      </c>
      <c r="BA35" s="26">
        <v>15.0</v>
      </c>
      <c r="BB35" s="26" t="str">
        <f t="shared" si="88"/>
        <v>R</v>
      </c>
      <c r="BC35" s="37">
        <v>15.0</v>
      </c>
      <c r="BD35" s="37" t="str">
        <f t="shared" si="89"/>
        <v>R</v>
      </c>
      <c r="BE35" s="36">
        <v>26.0</v>
      </c>
      <c r="BF35" s="36" t="str">
        <f t="shared" si="90"/>
        <v>S</v>
      </c>
      <c r="BG35" s="39" t="s">
        <v>357</v>
      </c>
      <c r="BH35" s="39" t="s">
        <v>357</v>
      </c>
      <c r="BI35" s="36">
        <v>32.0</v>
      </c>
      <c r="BJ35" s="36" t="str">
        <f t="shared" si="91"/>
        <v>S</v>
      </c>
      <c r="BK35" s="40">
        <v>8.0</v>
      </c>
      <c r="BL35" s="41" t="str">
        <f t="shared" si="92"/>
        <v>R</v>
      </c>
      <c r="BM35" s="41"/>
    </row>
    <row r="36">
      <c r="A36" s="18" t="s">
        <v>467</v>
      </c>
      <c r="B36" s="18" t="s">
        <v>444</v>
      </c>
      <c r="C36" s="18" t="s">
        <v>870</v>
      </c>
      <c r="D36" s="18" t="s">
        <v>190</v>
      </c>
      <c r="E36" s="18" t="s">
        <v>190</v>
      </c>
      <c r="F36" s="18" t="s">
        <v>192</v>
      </c>
      <c r="G36" s="20" t="s">
        <v>871</v>
      </c>
      <c r="H36" s="42" t="s">
        <v>479</v>
      </c>
      <c r="I36" s="24" t="s">
        <v>816</v>
      </c>
      <c r="J36" s="25" t="s">
        <v>205</v>
      </c>
      <c r="K36" s="25" t="s">
        <v>205</v>
      </c>
      <c r="L36" s="25" t="s">
        <v>205</v>
      </c>
      <c r="M36" s="26">
        <v>6.0</v>
      </c>
      <c r="N36" s="26" t="str">
        <f t="shared" si="71"/>
        <v>R</v>
      </c>
      <c r="O36" s="26">
        <v>6.0</v>
      </c>
      <c r="P36" s="26" t="str">
        <f t="shared" si="72"/>
        <v>R</v>
      </c>
      <c r="Q36" s="26">
        <v>6.0</v>
      </c>
      <c r="R36" s="26" t="str">
        <f t="shared" si="73"/>
        <v>R</v>
      </c>
      <c r="S36" s="32" t="s">
        <v>357</v>
      </c>
      <c r="T36" s="32" t="s">
        <v>357</v>
      </c>
      <c r="U36" s="26">
        <v>6.0</v>
      </c>
      <c r="V36" s="26" t="str">
        <f t="shared" si="74"/>
        <v>R</v>
      </c>
      <c r="W36" s="26">
        <v>6.0</v>
      </c>
      <c r="X36" s="26" t="str">
        <f t="shared" si="75"/>
        <v>R</v>
      </c>
      <c r="Y36" s="26">
        <v>6.0</v>
      </c>
      <c r="Z36" s="26" t="str">
        <f t="shared" si="76"/>
        <v>R</v>
      </c>
      <c r="AA36" s="32" t="s">
        <v>299</v>
      </c>
      <c r="AB36" s="33">
        <v>6.0</v>
      </c>
      <c r="AC36" s="33" t="str">
        <f t="shared" si="77"/>
        <v>R</v>
      </c>
      <c r="AD36" s="33">
        <v>6.0</v>
      </c>
      <c r="AE36" s="33" t="str">
        <f t="shared" si="78"/>
        <v>R</v>
      </c>
      <c r="AF36" s="33">
        <v>6.0</v>
      </c>
      <c r="AG36" s="33" t="str">
        <f t="shared" si="79"/>
        <v>R</v>
      </c>
      <c r="AH36" s="33">
        <v>8.0</v>
      </c>
      <c r="AI36" s="33" t="str">
        <f t="shared" si="80"/>
        <v>R</v>
      </c>
      <c r="AJ36" s="33">
        <v>6.0</v>
      </c>
      <c r="AK36" s="33" t="str">
        <f t="shared" si="81"/>
        <v>R</v>
      </c>
      <c r="AL36" s="33" t="s">
        <v>299</v>
      </c>
      <c r="AM36" s="36">
        <v>6.0</v>
      </c>
      <c r="AN36" s="36" t="str">
        <f t="shared" si="82"/>
        <v>R</v>
      </c>
      <c r="AO36" s="36">
        <v>6.0</v>
      </c>
      <c r="AP36" s="36" t="str">
        <f t="shared" si="83"/>
        <v>R</v>
      </c>
      <c r="AQ36" s="36">
        <v>6.0</v>
      </c>
      <c r="AR36" s="36" t="str">
        <f t="shared" si="84"/>
        <v>R</v>
      </c>
      <c r="AS36" s="36" t="s">
        <v>299</v>
      </c>
      <c r="AT36" s="37">
        <v>6.0</v>
      </c>
      <c r="AU36" s="37" t="str">
        <f t="shared" si="85"/>
        <v>R</v>
      </c>
      <c r="AV36" s="33">
        <v>6.0</v>
      </c>
      <c r="AW36" s="33" t="str">
        <f t="shared" si="86"/>
        <v>R</v>
      </c>
      <c r="AX36" s="33">
        <v>6.0</v>
      </c>
      <c r="AY36" s="33" t="str">
        <f t="shared" si="87"/>
        <v>R</v>
      </c>
      <c r="AZ36" s="33" t="s">
        <v>299</v>
      </c>
      <c r="BA36" s="26">
        <v>16.0</v>
      </c>
      <c r="BB36" s="26" t="str">
        <f t="shared" si="88"/>
        <v>R</v>
      </c>
      <c r="BC36" s="37">
        <v>6.0</v>
      </c>
      <c r="BD36" s="37" t="str">
        <f t="shared" si="89"/>
        <v>R</v>
      </c>
      <c r="BE36" s="36">
        <v>6.0</v>
      </c>
      <c r="BF36" s="36" t="str">
        <f t="shared" si="90"/>
        <v>R</v>
      </c>
      <c r="BG36" s="36">
        <v>32.0</v>
      </c>
      <c r="BH36" s="36" t="str">
        <f>IF((BG36&lt;=0.5),"S",IF(AND(BG36&gt;0.5),"R", "NA"))</f>
        <v>R</v>
      </c>
      <c r="BI36" s="36">
        <v>12.0</v>
      </c>
      <c r="BJ36" s="36" t="str">
        <f t="shared" si="91"/>
        <v>R</v>
      </c>
      <c r="BK36" s="40">
        <v>6.0</v>
      </c>
      <c r="BL36" s="41" t="str">
        <f t="shared" si="92"/>
        <v>R</v>
      </c>
      <c r="BM36" s="41"/>
    </row>
    <row r="37">
      <c r="A37" s="18" t="s">
        <v>467</v>
      </c>
      <c r="B37" s="19">
        <v>90.0</v>
      </c>
      <c r="C37" s="18" t="s">
        <v>874</v>
      </c>
      <c r="D37" s="18" t="s">
        <v>571</v>
      </c>
      <c r="E37" s="18" t="s">
        <v>572</v>
      </c>
      <c r="F37" s="18" t="s">
        <v>192</v>
      </c>
      <c r="G37" s="20" t="s">
        <v>875</v>
      </c>
      <c r="H37" s="22" t="s">
        <v>198</v>
      </c>
      <c r="I37" s="24" t="s">
        <v>481</v>
      </c>
      <c r="J37" s="25" t="s">
        <v>205</v>
      </c>
      <c r="K37" s="43" t="s">
        <v>208</v>
      </c>
      <c r="L37" s="25" t="s">
        <v>208</v>
      </c>
      <c r="M37" s="26">
        <v>6.0</v>
      </c>
      <c r="N37" s="26" t="str">
        <f t="shared" si="71"/>
        <v>R</v>
      </c>
      <c r="O37" s="26">
        <v>21.0</v>
      </c>
      <c r="P37" s="26" t="str">
        <f t="shared" si="72"/>
        <v>S</v>
      </c>
      <c r="Q37" s="26">
        <v>6.0</v>
      </c>
      <c r="R37" s="26" t="str">
        <f t="shared" si="73"/>
        <v>R</v>
      </c>
      <c r="S37" s="32" t="s">
        <v>357</v>
      </c>
      <c r="T37" s="32" t="s">
        <v>357</v>
      </c>
      <c r="U37" s="26">
        <v>15.0</v>
      </c>
      <c r="V37" s="26" t="str">
        <f t="shared" si="74"/>
        <v>R</v>
      </c>
      <c r="W37" s="26">
        <v>26.0</v>
      </c>
      <c r="X37" s="26" t="str">
        <f t="shared" si="75"/>
        <v>S</v>
      </c>
      <c r="Y37" s="26">
        <v>20.0</v>
      </c>
      <c r="Z37" s="26" t="str">
        <f t="shared" si="76"/>
        <v>S</v>
      </c>
      <c r="AA37" s="32" t="s">
        <v>299</v>
      </c>
      <c r="AB37" s="33">
        <v>6.0</v>
      </c>
      <c r="AC37" s="33" t="str">
        <f t="shared" si="77"/>
        <v>R</v>
      </c>
      <c r="AD37" s="33">
        <v>25.0</v>
      </c>
      <c r="AE37" s="33" t="str">
        <f t="shared" si="78"/>
        <v>S</v>
      </c>
      <c r="AF37" s="33">
        <v>17.0</v>
      </c>
      <c r="AG37" s="33" t="str">
        <f t="shared" si="79"/>
        <v>R</v>
      </c>
      <c r="AH37" s="33">
        <v>26.0</v>
      </c>
      <c r="AI37" s="33" t="str">
        <f t="shared" si="80"/>
        <v>S</v>
      </c>
      <c r="AJ37" s="33">
        <v>24.0</v>
      </c>
      <c r="AK37" s="33" t="str">
        <f t="shared" si="81"/>
        <v>I</v>
      </c>
      <c r="AL37" s="33" t="s">
        <v>299</v>
      </c>
      <c r="AM37" s="36">
        <v>26.0</v>
      </c>
      <c r="AN37" s="36" t="str">
        <f t="shared" si="82"/>
        <v>S</v>
      </c>
      <c r="AO37" s="36">
        <v>22.0</v>
      </c>
      <c r="AP37" s="36" t="str">
        <f t="shared" si="83"/>
        <v>I</v>
      </c>
      <c r="AQ37" s="36">
        <v>22.0</v>
      </c>
      <c r="AR37" s="36" t="str">
        <f t="shared" si="84"/>
        <v>S</v>
      </c>
      <c r="AS37" s="36" t="s">
        <v>300</v>
      </c>
      <c r="AT37" s="37">
        <v>31.0</v>
      </c>
      <c r="AU37" s="37" t="str">
        <f t="shared" si="85"/>
        <v>S</v>
      </c>
      <c r="AV37" s="33">
        <v>20.0</v>
      </c>
      <c r="AW37" s="33" t="str">
        <f t="shared" si="86"/>
        <v>S</v>
      </c>
      <c r="AX37" s="33">
        <v>20.0</v>
      </c>
      <c r="AY37" s="33" t="str">
        <f t="shared" si="87"/>
        <v>S</v>
      </c>
      <c r="AZ37" s="33" t="s">
        <v>300</v>
      </c>
      <c r="BA37" s="26">
        <v>20.0</v>
      </c>
      <c r="BB37" s="26" t="str">
        <f t="shared" si="88"/>
        <v>S</v>
      </c>
      <c r="BC37" s="37">
        <v>17.0</v>
      </c>
      <c r="BD37" s="37" t="str">
        <f t="shared" si="89"/>
        <v>R</v>
      </c>
      <c r="BE37" s="36">
        <v>28.0</v>
      </c>
      <c r="BF37" s="36" t="str">
        <f t="shared" si="90"/>
        <v>S</v>
      </c>
      <c r="BG37" s="39" t="s">
        <v>357</v>
      </c>
      <c r="BH37" s="39" t="s">
        <v>357</v>
      </c>
      <c r="BI37" s="36">
        <v>30.0</v>
      </c>
      <c r="BJ37" s="36" t="str">
        <f t="shared" si="91"/>
        <v>S</v>
      </c>
      <c r="BK37" s="40">
        <v>21.0</v>
      </c>
      <c r="BL37" s="41" t="str">
        <f t="shared" si="92"/>
        <v>S</v>
      </c>
      <c r="BM37" s="41"/>
    </row>
    <row r="38">
      <c r="A38" s="18" t="s">
        <v>467</v>
      </c>
      <c r="B38" s="18" t="s">
        <v>444</v>
      </c>
      <c r="C38" s="18" t="s">
        <v>877</v>
      </c>
      <c r="D38" s="18" t="s">
        <v>571</v>
      </c>
      <c r="E38" s="18" t="s">
        <v>572</v>
      </c>
      <c r="F38" s="18" t="s">
        <v>192</v>
      </c>
      <c r="G38" s="20" t="s">
        <v>878</v>
      </c>
      <c r="H38" s="59" t="s">
        <v>785</v>
      </c>
      <c r="I38" s="24" t="s">
        <v>37</v>
      </c>
      <c r="J38" s="25" t="s">
        <v>205</v>
      </c>
      <c r="K38" s="43" t="s">
        <v>205</v>
      </c>
      <c r="L38" s="25" t="s">
        <v>208</v>
      </c>
      <c r="M38" s="26">
        <v>6.0</v>
      </c>
      <c r="N38" s="26" t="str">
        <f t="shared" si="71"/>
        <v>R</v>
      </c>
      <c r="O38" s="26">
        <v>6.0</v>
      </c>
      <c r="P38" s="26" t="str">
        <f t="shared" si="72"/>
        <v>R</v>
      </c>
      <c r="Q38" s="26">
        <v>6.0</v>
      </c>
      <c r="R38" s="26" t="str">
        <f t="shared" si="73"/>
        <v>R</v>
      </c>
      <c r="S38" s="32" t="s">
        <v>357</v>
      </c>
      <c r="T38" s="32" t="s">
        <v>357</v>
      </c>
      <c r="U38" s="26">
        <v>11.0</v>
      </c>
      <c r="V38" s="26" t="str">
        <f t="shared" si="74"/>
        <v>R</v>
      </c>
      <c r="W38" s="26">
        <v>22.0</v>
      </c>
      <c r="X38" s="26" t="str">
        <f t="shared" si="75"/>
        <v>S</v>
      </c>
      <c r="Y38" s="26">
        <v>26.0</v>
      </c>
      <c r="Z38" s="26" t="str">
        <f t="shared" si="76"/>
        <v>S</v>
      </c>
      <c r="AA38" s="32" t="s">
        <v>299</v>
      </c>
      <c r="AB38" s="33">
        <v>6.0</v>
      </c>
      <c r="AC38" s="33" t="str">
        <f t="shared" si="77"/>
        <v>R</v>
      </c>
      <c r="AD38" s="33">
        <v>6.0</v>
      </c>
      <c r="AE38" s="33" t="str">
        <f t="shared" si="78"/>
        <v>R</v>
      </c>
      <c r="AF38" s="33">
        <v>11.0</v>
      </c>
      <c r="AG38" s="33" t="str">
        <f t="shared" si="79"/>
        <v>R</v>
      </c>
      <c r="AH38" s="33">
        <v>23.0</v>
      </c>
      <c r="AI38" s="33" t="str">
        <f t="shared" si="80"/>
        <v>S</v>
      </c>
      <c r="AJ38" s="33">
        <v>14.0</v>
      </c>
      <c r="AK38" s="33" t="str">
        <f t="shared" si="81"/>
        <v>R</v>
      </c>
      <c r="AL38" s="33" t="s">
        <v>299</v>
      </c>
      <c r="AM38" s="36">
        <v>6.0</v>
      </c>
      <c r="AN38" s="36" t="str">
        <f t="shared" si="82"/>
        <v>R</v>
      </c>
      <c r="AO38" s="36">
        <v>6.0</v>
      </c>
      <c r="AP38" s="36" t="str">
        <f t="shared" si="83"/>
        <v>R</v>
      </c>
      <c r="AQ38" s="36">
        <v>6.0</v>
      </c>
      <c r="AR38" s="36" t="str">
        <f t="shared" si="84"/>
        <v>R</v>
      </c>
      <c r="AS38" s="36" t="s">
        <v>299</v>
      </c>
      <c r="AT38" s="37">
        <v>6.0</v>
      </c>
      <c r="AU38" s="37" t="str">
        <f t="shared" si="85"/>
        <v>R</v>
      </c>
      <c r="AV38" s="33">
        <v>17.0</v>
      </c>
      <c r="AW38" s="33" t="str">
        <f t="shared" si="86"/>
        <v>R</v>
      </c>
      <c r="AX38" s="33">
        <v>8.0</v>
      </c>
      <c r="AY38" s="33" t="str">
        <f t="shared" si="87"/>
        <v>R</v>
      </c>
      <c r="AZ38" s="33" t="s">
        <v>299</v>
      </c>
      <c r="BA38" s="26">
        <v>11.0</v>
      </c>
      <c r="BB38" s="26" t="str">
        <f t="shared" si="88"/>
        <v>R</v>
      </c>
      <c r="BC38" s="37">
        <v>8.0</v>
      </c>
      <c r="BD38" s="37" t="str">
        <f t="shared" si="89"/>
        <v>R</v>
      </c>
      <c r="BE38" s="36">
        <v>25.0</v>
      </c>
      <c r="BF38" s="36" t="str">
        <f t="shared" si="90"/>
        <v>S</v>
      </c>
      <c r="BG38" s="39" t="s">
        <v>357</v>
      </c>
      <c r="BH38" s="39" t="s">
        <v>357</v>
      </c>
      <c r="BI38" s="36">
        <v>28.0</v>
      </c>
      <c r="BJ38" s="36" t="str">
        <f t="shared" si="91"/>
        <v>S</v>
      </c>
      <c r="BK38" s="40">
        <v>6.0</v>
      </c>
      <c r="BL38" s="41" t="str">
        <f t="shared" si="92"/>
        <v>R</v>
      </c>
      <c r="BM38" s="41"/>
    </row>
    <row r="39">
      <c r="A39" s="18" t="s">
        <v>467</v>
      </c>
      <c r="B39" s="18" t="s">
        <v>444</v>
      </c>
      <c r="C39" s="18" t="s">
        <v>881</v>
      </c>
      <c r="D39" s="18" t="s">
        <v>571</v>
      </c>
      <c r="E39" s="18" t="s">
        <v>572</v>
      </c>
      <c r="F39" s="18" t="s">
        <v>192</v>
      </c>
      <c r="G39" s="20" t="s">
        <v>882</v>
      </c>
      <c r="H39" s="42" t="s">
        <v>479</v>
      </c>
      <c r="I39" s="24" t="s">
        <v>481</v>
      </c>
      <c r="J39" s="25" t="s">
        <v>205</v>
      </c>
      <c r="K39" s="43" t="s">
        <v>208</v>
      </c>
      <c r="L39" s="43" t="s">
        <v>208</v>
      </c>
      <c r="M39" s="26">
        <v>6.0</v>
      </c>
      <c r="N39" s="26" t="str">
        <f t="shared" si="71"/>
        <v>R</v>
      </c>
      <c r="O39" s="26">
        <v>20.0</v>
      </c>
      <c r="P39" s="26" t="str">
        <f t="shared" si="72"/>
        <v>S</v>
      </c>
      <c r="Q39" s="26">
        <v>6.0</v>
      </c>
      <c r="R39" s="26" t="str">
        <f t="shared" si="73"/>
        <v>R</v>
      </c>
      <c r="S39" s="32" t="s">
        <v>357</v>
      </c>
      <c r="T39" s="32" t="s">
        <v>357</v>
      </c>
      <c r="U39" s="26">
        <v>12.0</v>
      </c>
      <c r="V39" s="26" t="str">
        <f t="shared" si="74"/>
        <v>R</v>
      </c>
      <c r="W39" s="26">
        <v>23.0</v>
      </c>
      <c r="X39" s="26" t="str">
        <f t="shared" si="75"/>
        <v>S</v>
      </c>
      <c r="Y39" s="26">
        <v>21.0</v>
      </c>
      <c r="Z39" s="26" t="str">
        <f t="shared" si="76"/>
        <v>S</v>
      </c>
      <c r="AA39" s="32" t="s">
        <v>299</v>
      </c>
      <c r="AB39" s="33">
        <v>7.0</v>
      </c>
      <c r="AC39" s="33" t="str">
        <f t="shared" si="77"/>
        <v>R</v>
      </c>
      <c r="AD39" s="33">
        <v>21.0</v>
      </c>
      <c r="AE39" s="33" t="str">
        <f t="shared" si="78"/>
        <v>S</v>
      </c>
      <c r="AF39" s="33">
        <v>16.0</v>
      </c>
      <c r="AG39" s="33" t="str">
        <f t="shared" si="79"/>
        <v>R</v>
      </c>
      <c r="AH39" s="33">
        <v>23.0</v>
      </c>
      <c r="AI39" s="33" t="str">
        <f t="shared" si="80"/>
        <v>S</v>
      </c>
      <c r="AJ39" s="33">
        <v>24.0</v>
      </c>
      <c r="AK39" s="33" t="str">
        <f t="shared" si="81"/>
        <v>I</v>
      </c>
      <c r="AL39" s="33" t="s">
        <v>299</v>
      </c>
      <c r="AM39" s="36">
        <v>6.0</v>
      </c>
      <c r="AN39" s="36" t="str">
        <f t="shared" si="82"/>
        <v>R</v>
      </c>
      <c r="AO39" s="36">
        <v>6.0</v>
      </c>
      <c r="AP39" s="36" t="str">
        <f t="shared" si="83"/>
        <v>R</v>
      </c>
      <c r="AQ39" s="36">
        <v>6.0</v>
      </c>
      <c r="AR39" s="36" t="str">
        <f t="shared" si="84"/>
        <v>R</v>
      </c>
      <c r="AS39" s="36" t="s">
        <v>299</v>
      </c>
      <c r="AT39" s="37">
        <v>6.0</v>
      </c>
      <c r="AU39" s="37" t="str">
        <f t="shared" si="85"/>
        <v>R</v>
      </c>
      <c r="AV39" s="33">
        <v>22.0</v>
      </c>
      <c r="AW39" s="33" t="str">
        <f t="shared" si="86"/>
        <v>S</v>
      </c>
      <c r="AX39" s="33">
        <v>10.0</v>
      </c>
      <c r="AY39" s="33" t="str">
        <f t="shared" si="87"/>
        <v>R</v>
      </c>
      <c r="AZ39" s="33" t="s">
        <v>299</v>
      </c>
      <c r="BA39" s="26">
        <v>12.0</v>
      </c>
      <c r="BB39" s="26" t="str">
        <f t="shared" si="88"/>
        <v>R</v>
      </c>
      <c r="BC39" s="37">
        <v>15.0</v>
      </c>
      <c r="BD39" s="37" t="str">
        <f t="shared" si="89"/>
        <v>R</v>
      </c>
      <c r="BE39" s="36">
        <v>27.0</v>
      </c>
      <c r="BF39" s="36" t="str">
        <f t="shared" si="90"/>
        <v>S</v>
      </c>
      <c r="BG39" s="39" t="s">
        <v>357</v>
      </c>
      <c r="BH39" s="39" t="s">
        <v>357</v>
      </c>
      <c r="BI39" s="36">
        <v>30.0</v>
      </c>
      <c r="BJ39" s="36" t="str">
        <f t="shared" si="91"/>
        <v>S</v>
      </c>
      <c r="BK39" s="40">
        <v>8.0</v>
      </c>
      <c r="BL39" s="41" t="str">
        <f t="shared" si="92"/>
        <v>R</v>
      </c>
      <c r="BM39" s="41"/>
    </row>
    <row r="40">
      <c r="A40" s="18" t="s">
        <v>467</v>
      </c>
      <c r="B40" s="18" t="s">
        <v>444</v>
      </c>
      <c r="C40" s="18" t="s">
        <v>885</v>
      </c>
      <c r="D40" s="18" t="s">
        <v>571</v>
      </c>
      <c r="E40" s="18" t="s">
        <v>572</v>
      </c>
      <c r="F40" s="18" t="s">
        <v>192</v>
      </c>
      <c r="G40" s="20" t="s">
        <v>886</v>
      </c>
      <c r="H40" s="42" t="s">
        <v>479</v>
      </c>
      <c r="I40" s="24" t="s">
        <v>816</v>
      </c>
      <c r="J40" s="25" t="s">
        <v>205</v>
      </c>
      <c r="K40" s="25" t="s">
        <v>205</v>
      </c>
      <c r="L40" s="25" t="s">
        <v>205</v>
      </c>
      <c r="M40" s="26">
        <v>6.0</v>
      </c>
      <c r="N40" s="26" t="str">
        <f t="shared" si="71"/>
        <v>R</v>
      </c>
      <c r="O40" s="26">
        <v>6.0</v>
      </c>
      <c r="P40" s="26" t="str">
        <f t="shared" si="72"/>
        <v>R</v>
      </c>
      <c r="Q40" s="26">
        <v>6.0</v>
      </c>
      <c r="R40" s="26" t="str">
        <f t="shared" si="73"/>
        <v>R</v>
      </c>
      <c r="S40" s="32" t="s">
        <v>357</v>
      </c>
      <c r="T40" s="32" t="s">
        <v>357</v>
      </c>
      <c r="U40" s="26">
        <v>6.0</v>
      </c>
      <c r="V40" s="26" t="str">
        <f t="shared" si="74"/>
        <v>R</v>
      </c>
      <c r="W40" s="26">
        <v>6.0</v>
      </c>
      <c r="X40" s="26" t="str">
        <f t="shared" si="75"/>
        <v>R</v>
      </c>
      <c r="Y40" s="26">
        <v>6.0</v>
      </c>
      <c r="Z40" s="26" t="str">
        <f t="shared" si="76"/>
        <v>R</v>
      </c>
      <c r="AA40" s="32" t="s">
        <v>299</v>
      </c>
      <c r="AB40" s="33">
        <v>6.0</v>
      </c>
      <c r="AC40" s="33" t="str">
        <f t="shared" si="77"/>
        <v>R</v>
      </c>
      <c r="AD40" s="33">
        <v>6.0</v>
      </c>
      <c r="AE40" s="33" t="str">
        <f t="shared" si="78"/>
        <v>R</v>
      </c>
      <c r="AF40" s="33">
        <v>6.0</v>
      </c>
      <c r="AG40" s="33" t="str">
        <f t="shared" si="79"/>
        <v>R</v>
      </c>
      <c r="AH40" s="33">
        <v>6.0</v>
      </c>
      <c r="AI40" s="33" t="str">
        <f t="shared" si="80"/>
        <v>R</v>
      </c>
      <c r="AJ40" s="33">
        <v>6.0</v>
      </c>
      <c r="AK40" s="33" t="str">
        <f t="shared" si="81"/>
        <v>R</v>
      </c>
      <c r="AL40" s="33" t="s">
        <v>299</v>
      </c>
      <c r="AM40" s="36">
        <v>6.0</v>
      </c>
      <c r="AN40" s="36" t="str">
        <f t="shared" si="82"/>
        <v>R</v>
      </c>
      <c r="AO40" s="36">
        <v>6.0</v>
      </c>
      <c r="AP40" s="36" t="str">
        <f t="shared" si="83"/>
        <v>R</v>
      </c>
      <c r="AQ40" s="36">
        <v>6.0</v>
      </c>
      <c r="AR40" s="36" t="str">
        <f t="shared" si="84"/>
        <v>R</v>
      </c>
      <c r="AS40" s="36" t="s">
        <v>299</v>
      </c>
      <c r="AT40" s="37">
        <v>6.0</v>
      </c>
      <c r="AU40" s="37" t="str">
        <f t="shared" si="85"/>
        <v>R</v>
      </c>
      <c r="AV40" s="33">
        <v>6.0</v>
      </c>
      <c r="AW40" s="33" t="str">
        <f t="shared" si="86"/>
        <v>R</v>
      </c>
      <c r="AX40" s="33">
        <v>6.0</v>
      </c>
      <c r="AY40" s="33" t="str">
        <f t="shared" si="87"/>
        <v>R</v>
      </c>
      <c r="AZ40" s="33" t="s">
        <v>299</v>
      </c>
      <c r="BA40" s="26">
        <v>13.0</v>
      </c>
      <c r="BB40" s="26" t="str">
        <f t="shared" si="88"/>
        <v>R</v>
      </c>
      <c r="BC40" s="37">
        <v>6.0</v>
      </c>
      <c r="BD40" s="37" t="str">
        <f t="shared" si="89"/>
        <v>R</v>
      </c>
      <c r="BE40" s="36">
        <v>6.0</v>
      </c>
      <c r="BF40" s="36" t="str">
        <f t="shared" si="90"/>
        <v>R</v>
      </c>
      <c r="BG40" s="36">
        <v>32.0</v>
      </c>
      <c r="BH40" s="36" t="str">
        <f>IF((BG40&lt;=0.5),"S",IF(AND(BG40&gt;0.5),"R", "NA"))</f>
        <v>R</v>
      </c>
      <c r="BI40" s="36">
        <v>13.0</v>
      </c>
      <c r="BJ40" s="36" t="str">
        <f t="shared" si="91"/>
        <v>R</v>
      </c>
      <c r="BK40" s="40">
        <v>6.0</v>
      </c>
      <c r="BL40" s="41" t="str">
        <f t="shared" si="92"/>
        <v>R</v>
      </c>
      <c r="BM40" s="41"/>
    </row>
    <row r="41">
      <c r="A41" s="18" t="s">
        <v>467</v>
      </c>
      <c r="B41" s="19">
        <v>91.0</v>
      </c>
      <c r="C41" s="18" t="s">
        <v>891</v>
      </c>
      <c r="D41" s="18" t="s">
        <v>705</v>
      </c>
      <c r="E41" s="18" t="s">
        <v>572</v>
      </c>
      <c r="F41" s="18" t="s">
        <v>192</v>
      </c>
      <c r="G41" s="20" t="s">
        <v>892</v>
      </c>
      <c r="H41" s="42" t="s">
        <v>479</v>
      </c>
      <c r="I41" s="24" t="s">
        <v>481</v>
      </c>
      <c r="J41" s="25" t="s">
        <v>205</v>
      </c>
      <c r="K41" s="43" t="s">
        <v>208</v>
      </c>
      <c r="L41" s="43" t="s">
        <v>208</v>
      </c>
      <c r="M41" s="26">
        <v>6.0</v>
      </c>
      <c r="N41" s="26" t="str">
        <f t="shared" si="71"/>
        <v>R</v>
      </c>
      <c r="O41" s="26">
        <v>20.0</v>
      </c>
      <c r="P41" s="26" t="str">
        <f t="shared" si="72"/>
        <v>S</v>
      </c>
      <c r="Q41" s="26">
        <v>6.0</v>
      </c>
      <c r="R41" s="26" t="str">
        <f t="shared" si="73"/>
        <v>R</v>
      </c>
      <c r="S41" s="32" t="s">
        <v>357</v>
      </c>
      <c r="T41" s="32" t="s">
        <v>357</v>
      </c>
      <c r="U41" s="26">
        <v>10.0</v>
      </c>
      <c r="V41" s="26" t="str">
        <f t="shared" si="74"/>
        <v>R</v>
      </c>
      <c r="W41" s="26">
        <v>21.0</v>
      </c>
      <c r="X41" s="26" t="str">
        <f t="shared" si="75"/>
        <v>S</v>
      </c>
      <c r="Y41" s="26">
        <v>28.0</v>
      </c>
      <c r="Z41" s="26" t="str">
        <f t="shared" si="76"/>
        <v>S</v>
      </c>
      <c r="AA41" s="32" t="s">
        <v>299</v>
      </c>
      <c r="AB41" s="33">
        <v>6.0</v>
      </c>
      <c r="AC41" s="33" t="str">
        <f t="shared" si="77"/>
        <v>R</v>
      </c>
      <c r="AD41" s="33">
        <v>27.0</v>
      </c>
      <c r="AE41" s="33" t="str">
        <f t="shared" si="78"/>
        <v>S</v>
      </c>
      <c r="AF41" s="33">
        <v>21.0</v>
      </c>
      <c r="AG41" s="33" t="str">
        <f t="shared" si="79"/>
        <v>I</v>
      </c>
      <c r="AH41" s="33">
        <v>27.0</v>
      </c>
      <c r="AI41" s="33" t="str">
        <f t="shared" si="80"/>
        <v>S</v>
      </c>
      <c r="AJ41" s="33">
        <v>24.0</v>
      </c>
      <c r="AK41" s="33" t="str">
        <f t="shared" si="81"/>
        <v>I</v>
      </c>
      <c r="AL41" s="33" t="s">
        <v>299</v>
      </c>
      <c r="AM41" s="36">
        <v>17.0</v>
      </c>
      <c r="AN41" s="36" t="str">
        <f t="shared" si="82"/>
        <v>R</v>
      </c>
      <c r="AO41" s="36">
        <v>21.0</v>
      </c>
      <c r="AP41" s="36" t="str">
        <f t="shared" si="83"/>
        <v>I</v>
      </c>
      <c r="AQ41" s="36">
        <v>16.0</v>
      </c>
      <c r="AR41" s="36" t="str">
        <f t="shared" si="84"/>
        <v>S</v>
      </c>
      <c r="AS41" s="36" t="s">
        <v>299</v>
      </c>
      <c r="AT41" s="37">
        <v>6.0</v>
      </c>
      <c r="AU41" s="37" t="str">
        <f t="shared" si="85"/>
        <v>R</v>
      </c>
      <c r="AV41" s="33">
        <v>19.0</v>
      </c>
      <c r="AW41" s="33" t="str">
        <f t="shared" si="86"/>
        <v>S</v>
      </c>
      <c r="AX41" s="33">
        <v>12.0</v>
      </c>
      <c r="AY41" s="33" t="str">
        <f t="shared" si="87"/>
        <v>R</v>
      </c>
      <c r="AZ41" s="33" t="s">
        <v>299</v>
      </c>
      <c r="BA41" s="26">
        <v>15.0</v>
      </c>
      <c r="BB41" s="26" t="str">
        <f t="shared" si="88"/>
        <v>R</v>
      </c>
      <c r="BC41" s="37">
        <v>21.0</v>
      </c>
      <c r="BD41" s="37" t="str">
        <f t="shared" si="89"/>
        <v>I</v>
      </c>
      <c r="BE41" s="36">
        <v>29.0</v>
      </c>
      <c r="BF41" s="36" t="str">
        <f t="shared" si="90"/>
        <v>S</v>
      </c>
      <c r="BG41" s="39" t="s">
        <v>357</v>
      </c>
      <c r="BH41" s="39" t="s">
        <v>357</v>
      </c>
      <c r="BI41" s="36">
        <v>30.0</v>
      </c>
      <c r="BJ41" s="36" t="str">
        <f t="shared" si="91"/>
        <v>S</v>
      </c>
      <c r="BK41" s="40">
        <v>6.0</v>
      </c>
      <c r="BL41" s="41" t="str">
        <f t="shared" si="92"/>
        <v>R</v>
      </c>
      <c r="BM41" s="41"/>
    </row>
    <row r="42">
      <c r="A42" s="18" t="s">
        <v>467</v>
      </c>
      <c r="B42" s="18" t="s">
        <v>444</v>
      </c>
      <c r="C42" s="18" t="s">
        <v>895</v>
      </c>
      <c r="D42" s="18" t="s">
        <v>705</v>
      </c>
      <c r="E42" s="18" t="s">
        <v>572</v>
      </c>
      <c r="F42" s="18" t="s">
        <v>192</v>
      </c>
      <c r="G42" s="20" t="s">
        <v>896</v>
      </c>
      <c r="H42" s="42" t="s">
        <v>479</v>
      </c>
      <c r="I42" s="24" t="s">
        <v>37</v>
      </c>
      <c r="J42" s="25" t="s">
        <v>205</v>
      </c>
      <c r="K42" s="25" t="s">
        <v>205</v>
      </c>
      <c r="L42" s="25" t="s">
        <v>208</v>
      </c>
      <c r="M42" s="26">
        <v>6.0</v>
      </c>
      <c r="N42" s="26" t="str">
        <f t="shared" si="71"/>
        <v>R</v>
      </c>
      <c r="O42" s="26">
        <v>17.0</v>
      </c>
      <c r="P42" s="26" t="str">
        <f t="shared" si="72"/>
        <v>R</v>
      </c>
      <c r="Q42" s="26">
        <v>6.0</v>
      </c>
      <c r="R42" s="26" t="str">
        <f t="shared" si="73"/>
        <v>R</v>
      </c>
      <c r="S42" s="32" t="s">
        <v>357</v>
      </c>
      <c r="T42" s="32" t="s">
        <v>357</v>
      </c>
      <c r="U42" s="26">
        <v>8.0</v>
      </c>
      <c r="V42" s="26" t="str">
        <f t="shared" si="74"/>
        <v>R</v>
      </c>
      <c r="W42" s="26">
        <v>20.0</v>
      </c>
      <c r="X42" s="26" t="str">
        <f t="shared" si="75"/>
        <v>S</v>
      </c>
      <c r="Y42" s="26">
        <v>21.0</v>
      </c>
      <c r="Z42" s="26" t="str">
        <f t="shared" si="76"/>
        <v>S</v>
      </c>
      <c r="AA42" s="32" t="s">
        <v>299</v>
      </c>
      <c r="AB42" s="33">
        <v>6.0</v>
      </c>
      <c r="AC42" s="33" t="str">
        <f t="shared" si="77"/>
        <v>R</v>
      </c>
      <c r="AD42" s="33">
        <v>22.0</v>
      </c>
      <c r="AE42" s="33" t="str">
        <f t="shared" si="78"/>
        <v>S</v>
      </c>
      <c r="AF42" s="33">
        <v>18.0</v>
      </c>
      <c r="AG42" s="33" t="str">
        <f t="shared" si="79"/>
        <v>R</v>
      </c>
      <c r="AH42" s="33">
        <v>26.0</v>
      </c>
      <c r="AI42" s="33" t="str">
        <f t="shared" si="80"/>
        <v>S</v>
      </c>
      <c r="AJ42" s="33">
        <v>21.0</v>
      </c>
      <c r="AK42" s="33" t="str">
        <f t="shared" si="81"/>
        <v>R</v>
      </c>
      <c r="AL42" s="33" t="s">
        <v>299</v>
      </c>
      <c r="AM42" s="36">
        <v>18.0</v>
      </c>
      <c r="AN42" s="36" t="str">
        <f t="shared" si="82"/>
        <v>R</v>
      </c>
      <c r="AO42" s="36">
        <v>22.0</v>
      </c>
      <c r="AP42" s="36" t="str">
        <f t="shared" si="83"/>
        <v>I</v>
      </c>
      <c r="AQ42" s="36">
        <v>17.0</v>
      </c>
      <c r="AR42" s="36" t="str">
        <f t="shared" si="84"/>
        <v>S</v>
      </c>
      <c r="AS42" s="36" t="s">
        <v>299</v>
      </c>
      <c r="AT42" s="37">
        <v>6.0</v>
      </c>
      <c r="AU42" s="37" t="str">
        <f t="shared" si="85"/>
        <v>R</v>
      </c>
      <c r="AV42" s="33">
        <v>18.0</v>
      </c>
      <c r="AW42" s="33" t="str">
        <f t="shared" si="86"/>
        <v>S</v>
      </c>
      <c r="AX42" s="33">
        <v>11.0</v>
      </c>
      <c r="AY42" s="33" t="str">
        <f t="shared" si="87"/>
        <v>R</v>
      </c>
      <c r="AZ42" s="33" t="s">
        <v>299</v>
      </c>
      <c r="BA42" s="26">
        <v>15.0</v>
      </c>
      <c r="BB42" s="26" t="str">
        <f t="shared" si="88"/>
        <v>R</v>
      </c>
      <c r="BC42" s="37">
        <v>18.0</v>
      </c>
      <c r="BD42" s="37" t="str">
        <f t="shared" si="89"/>
        <v>R</v>
      </c>
      <c r="BE42" s="36">
        <v>31.0</v>
      </c>
      <c r="BF42" s="36" t="str">
        <f t="shared" si="90"/>
        <v>S</v>
      </c>
      <c r="BG42" s="39" t="s">
        <v>357</v>
      </c>
      <c r="BH42" s="39" t="s">
        <v>357</v>
      </c>
      <c r="BI42" s="36">
        <v>30.0</v>
      </c>
      <c r="BJ42" s="36" t="str">
        <f t="shared" si="91"/>
        <v>S</v>
      </c>
      <c r="BK42" s="40">
        <v>8.0</v>
      </c>
      <c r="BL42" s="41" t="str">
        <f t="shared" si="92"/>
        <v>R</v>
      </c>
      <c r="BM42" s="41"/>
    </row>
    <row r="43">
      <c r="A43" s="18" t="s">
        <v>495</v>
      </c>
      <c r="B43" s="19">
        <v>103.0</v>
      </c>
      <c r="C43" s="18" t="s">
        <v>903</v>
      </c>
      <c r="D43" s="18" t="s">
        <v>190</v>
      </c>
      <c r="E43" s="18" t="s">
        <v>190</v>
      </c>
      <c r="F43" s="18" t="s">
        <v>192</v>
      </c>
      <c r="G43" s="20" t="s">
        <v>904</v>
      </c>
      <c r="H43" s="22" t="s">
        <v>198</v>
      </c>
      <c r="I43" s="24" t="s">
        <v>481</v>
      </c>
      <c r="J43" s="43" t="s">
        <v>205</v>
      </c>
      <c r="K43" s="43" t="s">
        <v>208</v>
      </c>
      <c r="L43" s="25" t="s">
        <v>208</v>
      </c>
      <c r="M43" s="26">
        <v>6.0</v>
      </c>
      <c r="N43" s="26" t="str">
        <f t="shared" si="71"/>
        <v>R</v>
      </c>
      <c r="O43" s="26">
        <v>22.0</v>
      </c>
      <c r="P43" s="26" t="str">
        <f t="shared" si="72"/>
        <v>S</v>
      </c>
      <c r="Q43" s="26">
        <v>6.0</v>
      </c>
      <c r="R43" s="26" t="str">
        <f t="shared" si="73"/>
        <v>R</v>
      </c>
      <c r="S43" s="32" t="s">
        <v>357</v>
      </c>
      <c r="T43" s="32" t="s">
        <v>357</v>
      </c>
      <c r="U43" s="26">
        <v>15.0</v>
      </c>
      <c r="V43" s="26" t="str">
        <f t="shared" si="74"/>
        <v>R</v>
      </c>
      <c r="W43" s="26">
        <v>27.0</v>
      </c>
      <c r="X43" s="26" t="str">
        <f t="shared" si="75"/>
        <v>S</v>
      </c>
      <c r="Y43" s="26">
        <v>25.0</v>
      </c>
      <c r="Z43" s="26" t="str">
        <f t="shared" si="76"/>
        <v>S</v>
      </c>
      <c r="AA43" s="32" t="s">
        <v>299</v>
      </c>
      <c r="AB43" s="33">
        <v>12.0</v>
      </c>
      <c r="AC43" s="33" t="str">
        <f t="shared" si="77"/>
        <v>R</v>
      </c>
      <c r="AD43" s="33">
        <v>27.0</v>
      </c>
      <c r="AE43" s="33" t="str">
        <f t="shared" si="78"/>
        <v>S</v>
      </c>
      <c r="AF43" s="33">
        <v>23.0</v>
      </c>
      <c r="AG43" s="33" t="str">
        <f t="shared" si="79"/>
        <v>S</v>
      </c>
      <c r="AH43" s="33">
        <v>27.0</v>
      </c>
      <c r="AI43" s="33" t="str">
        <f t="shared" si="80"/>
        <v>S</v>
      </c>
      <c r="AJ43" s="33">
        <v>28.0</v>
      </c>
      <c r="AK43" s="33" t="str">
        <f t="shared" si="81"/>
        <v>S</v>
      </c>
      <c r="AL43" s="33" t="s">
        <v>299</v>
      </c>
      <c r="AM43" s="36">
        <v>28.0</v>
      </c>
      <c r="AN43" s="36" t="str">
        <f t="shared" si="82"/>
        <v>S</v>
      </c>
      <c r="AO43" s="36">
        <v>26.0</v>
      </c>
      <c r="AP43" s="36" t="str">
        <f t="shared" si="83"/>
        <v>S</v>
      </c>
      <c r="AQ43" s="36">
        <v>18.0</v>
      </c>
      <c r="AR43" s="36" t="str">
        <f t="shared" si="84"/>
        <v>S</v>
      </c>
      <c r="AS43" s="36" t="s">
        <v>300</v>
      </c>
      <c r="AT43" s="37">
        <v>6.0</v>
      </c>
      <c r="AU43" s="37" t="str">
        <f t="shared" si="85"/>
        <v>R</v>
      </c>
      <c r="AV43" s="33">
        <v>21.0</v>
      </c>
      <c r="AW43" s="33" t="str">
        <f t="shared" si="86"/>
        <v>S</v>
      </c>
      <c r="AX43" s="33">
        <v>21.0</v>
      </c>
      <c r="AY43" s="33" t="str">
        <f t="shared" si="87"/>
        <v>S</v>
      </c>
      <c r="AZ43" s="33" t="s">
        <v>300</v>
      </c>
      <c r="BA43" s="26">
        <v>8.0</v>
      </c>
      <c r="BB43" s="26" t="str">
        <f t="shared" si="88"/>
        <v>R</v>
      </c>
      <c r="BC43" s="37">
        <v>21.0</v>
      </c>
      <c r="BD43" s="37" t="str">
        <f t="shared" si="89"/>
        <v>I</v>
      </c>
      <c r="BE43" s="36">
        <v>31.0</v>
      </c>
      <c r="BF43" s="36" t="str">
        <f t="shared" si="90"/>
        <v>S</v>
      </c>
      <c r="BG43" s="39" t="s">
        <v>357</v>
      </c>
      <c r="BH43" s="39" t="s">
        <v>357</v>
      </c>
      <c r="BI43" s="36">
        <v>31.0</v>
      </c>
      <c r="BJ43" s="36" t="str">
        <f t="shared" si="91"/>
        <v>S</v>
      </c>
      <c r="BK43" s="40">
        <v>20.0</v>
      </c>
      <c r="BL43" s="41" t="str">
        <f t="shared" si="92"/>
        <v>S</v>
      </c>
      <c r="BM43" s="41"/>
    </row>
    <row r="44">
      <c r="A44" s="18" t="s">
        <v>495</v>
      </c>
      <c r="B44" s="19">
        <v>104.0</v>
      </c>
      <c r="C44" s="18" t="s">
        <v>912</v>
      </c>
      <c r="D44" s="18" t="s">
        <v>571</v>
      </c>
      <c r="E44" s="18" t="s">
        <v>572</v>
      </c>
      <c r="F44" s="18" t="s">
        <v>573</v>
      </c>
      <c r="G44" s="20" t="s">
        <v>357</v>
      </c>
      <c r="H44" s="47" t="s">
        <v>357</v>
      </c>
      <c r="I44" s="48" t="s">
        <v>357</v>
      </c>
      <c r="J44" s="43" t="s">
        <v>208</v>
      </c>
      <c r="K44" s="43" t="s">
        <v>208</v>
      </c>
      <c r="L44" s="43" t="s">
        <v>208</v>
      </c>
      <c r="M44" s="32" t="s">
        <v>357</v>
      </c>
      <c r="N44" s="32" t="s">
        <v>357</v>
      </c>
      <c r="O44" s="32" t="s">
        <v>357</v>
      </c>
      <c r="P44" s="32" t="s">
        <v>357</v>
      </c>
      <c r="Q44" s="32" t="s">
        <v>357</v>
      </c>
      <c r="R44" s="32" t="s">
        <v>357</v>
      </c>
      <c r="S44" s="32" t="s">
        <v>357</v>
      </c>
      <c r="T44" s="32" t="s">
        <v>357</v>
      </c>
      <c r="U44" s="32" t="s">
        <v>357</v>
      </c>
      <c r="V44" s="32" t="s">
        <v>357</v>
      </c>
      <c r="W44" s="32" t="s">
        <v>357</v>
      </c>
      <c r="X44" s="32" t="s">
        <v>357</v>
      </c>
      <c r="Y44" s="32" t="s">
        <v>357</v>
      </c>
      <c r="Z44" s="32" t="s">
        <v>357</v>
      </c>
      <c r="AA44" s="32" t="s">
        <v>357</v>
      </c>
      <c r="AB44" s="49" t="s">
        <v>357</v>
      </c>
      <c r="AC44" s="49" t="s">
        <v>357</v>
      </c>
      <c r="AD44" s="49" t="s">
        <v>357</v>
      </c>
      <c r="AE44" s="49" t="s">
        <v>357</v>
      </c>
      <c r="AF44" s="49" t="s">
        <v>357</v>
      </c>
      <c r="AG44" s="49" t="s">
        <v>357</v>
      </c>
      <c r="AH44" s="49" t="s">
        <v>357</v>
      </c>
      <c r="AI44" s="49" t="s">
        <v>357</v>
      </c>
      <c r="AJ44" s="49" t="s">
        <v>357</v>
      </c>
      <c r="AK44" s="49" t="s">
        <v>357</v>
      </c>
      <c r="AL44" s="49" t="s">
        <v>357</v>
      </c>
      <c r="AM44" s="39" t="s">
        <v>357</v>
      </c>
      <c r="AN44" s="39" t="s">
        <v>357</v>
      </c>
      <c r="AO44" s="39" t="s">
        <v>357</v>
      </c>
      <c r="AP44" s="39" t="s">
        <v>357</v>
      </c>
      <c r="AQ44" s="39" t="s">
        <v>357</v>
      </c>
      <c r="AR44" s="39" t="s">
        <v>357</v>
      </c>
      <c r="AS44" s="39" t="s">
        <v>357</v>
      </c>
      <c r="AT44" s="50" t="s">
        <v>357</v>
      </c>
      <c r="AU44" s="50" t="s">
        <v>357</v>
      </c>
      <c r="AV44" s="49" t="s">
        <v>357</v>
      </c>
      <c r="AW44" s="49" t="s">
        <v>357</v>
      </c>
      <c r="AX44" s="49" t="s">
        <v>357</v>
      </c>
      <c r="AY44" s="49" t="s">
        <v>357</v>
      </c>
      <c r="AZ44" s="49" t="s">
        <v>357</v>
      </c>
      <c r="BA44" s="32" t="s">
        <v>357</v>
      </c>
      <c r="BB44" s="32" t="s">
        <v>357</v>
      </c>
      <c r="BC44" s="50" t="s">
        <v>357</v>
      </c>
      <c r="BD44" s="50" t="s">
        <v>357</v>
      </c>
      <c r="BE44" s="39" t="s">
        <v>357</v>
      </c>
      <c r="BF44" s="39" t="s">
        <v>357</v>
      </c>
      <c r="BG44" s="39" t="s">
        <v>357</v>
      </c>
      <c r="BH44" s="39" t="s">
        <v>357</v>
      </c>
      <c r="BI44" s="39" t="s">
        <v>357</v>
      </c>
      <c r="BJ44" s="39" t="s">
        <v>357</v>
      </c>
      <c r="BK44" s="41" t="s">
        <v>357</v>
      </c>
      <c r="BL44" s="41" t="s">
        <v>357</v>
      </c>
      <c r="BM44" s="41"/>
    </row>
    <row r="45">
      <c r="A45" s="18" t="s">
        <v>495</v>
      </c>
      <c r="B45" s="19">
        <v>105.0</v>
      </c>
      <c r="C45" s="18" t="s">
        <v>914</v>
      </c>
      <c r="D45" s="18" t="s">
        <v>827</v>
      </c>
      <c r="E45" s="18" t="s">
        <v>572</v>
      </c>
      <c r="F45" s="18" t="s">
        <v>573</v>
      </c>
      <c r="G45" s="20" t="s">
        <v>357</v>
      </c>
      <c r="H45" s="47" t="s">
        <v>357</v>
      </c>
      <c r="I45" s="48" t="s">
        <v>357</v>
      </c>
      <c r="J45" s="43" t="s">
        <v>208</v>
      </c>
      <c r="K45" s="43" t="s">
        <v>208</v>
      </c>
      <c r="L45" s="43" t="s">
        <v>208</v>
      </c>
      <c r="M45" s="32" t="s">
        <v>357</v>
      </c>
      <c r="N45" s="32" t="s">
        <v>357</v>
      </c>
      <c r="O45" s="32" t="s">
        <v>357</v>
      </c>
      <c r="P45" s="32" t="s">
        <v>357</v>
      </c>
      <c r="Q45" s="32" t="s">
        <v>357</v>
      </c>
      <c r="R45" s="32" t="s">
        <v>357</v>
      </c>
      <c r="S45" s="32" t="s">
        <v>357</v>
      </c>
      <c r="T45" s="32" t="s">
        <v>357</v>
      </c>
      <c r="U45" s="32" t="s">
        <v>357</v>
      </c>
      <c r="V45" s="32" t="s">
        <v>357</v>
      </c>
      <c r="W45" s="32" t="s">
        <v>357</v>
      </c>
      <c r="X45" s="32" t="s">
        <v>357</v>
      </c>
      <c r="Y45" s="32" t="s">
        <v>357</v>
      </c>
      <c r="Z45" s="32" t="s">
        <v>357</v>
      </c>
      <c r="AA45" s="32" t="s">
        <v>357</v>
      </c>
      <c r="AB45" s="49" t="s">
        <v>357</v>
      </c>
      <c r="AC45" s="49" t="s">
        <v>357</v>
      </c>
      <c r="AD45" s="49" t="s">
        <v>357</v>
      </c>
      <c r="AE45" s="49" t="s">
        <v>357</v>
      </c>
      <c r="AF45" s="49" t="s">
        <v>357</v>
      </c>
      <c r="AG45" s="49" t="s">
        <v>357</v>
      </c>
      <c r="AH45" s="49" t="s">
        <v>357</v>
      </c>
      <c r="AI45" s="49" t="s">
        <v>357</v>
      </c>
      <c r="AJ45" s="49" t="s">
        <v>357</v>
      </c>
      <c r="AK45" s="49" t="s">
        <v>357</v>
      </c>
      <c r="AL45" s="49" t="s">
        <v>357</v>
      </c>
      <c r="AM45" s="39" t="s">
        <v>357</v>
      </c>
      <c r="AN45" s="39" t="s">
        <v>357</v>
      </c>
      <c r="AO45" s="39" t="s">
        <v>357</v>
      </c>
      <c r="AP45" s="39" t="s">
        <v>357</v>
      </c>
      <c r="AQ45" s="39" t="s">
        <v>357</v>
      </c>
      <c r="AR45" s="39" t="s">
        <v>357</v>
      </c>
      <c r="AS45" s="39" t="s">
        <v>357</v>
      </c>
      <c r="AT45" s="50" t="s">
        <v>357</v>
      </c>
      <c r="AU45" s="50" t="s">
        <v>357</v>
      </c>
      <c r="AV45" s="49" t="s">
        <v>357</v>
      </c>
      <c r="AW45" s="49" t="s">
        <v>357</v>
      </c>
      <c r="AX45" s="49" t="s">
        <v>357</v>
      </c>
      <c r="AY45" s="49" t="s">
        <v>357</v>
      </c>
      <c r="AZ45" s="49" t="s">
        <v>357</v>
      </c>
      <c r="BA45" s="32" t="s">
        <v>357</v>
      </c>
      <c r="BB45" s="32" t="s">
        <v>357</v>
      </c>
      <c r="BC45" s="50" t="s">
        <v>357</v>
      </c>
      <c r="BD45" s="50" t="s">
        <v>357</v>
      </c>
      <c r="BE45" s="39" t="s">
        <v>357</v>
      </c>
      <c r="BF45" s="39" t="s">
        <v>357</v>
      </c>
      <c r="BG45" s="39" t="s">
        <v>357</v>
      </c>
      <c r="BH45" s="39" t="s">
        <v>357</v>
      </c>
      <c r="BI45" s="39" t="s">
        <v>357</v>
      </c>
      <c r="BJ45" s="39" t="s">
        <v>357</v>
      </c>
      <c r="BK45" s="41" t="s">
        <v>357</v>
      </c>
      <c r="BL45" s="41" t="s">
        <v>357</v>
      </c>
      <c r="BM45" s="41"/>
    </row>
    <row r="46">
      <c r="A46" s="18" t="s">
        <v>495</v>
      </c>
      <c r="B46" s="19">
        <v>106.0</v>
      </c>
      <c r="C46" s="18" t="s">
        <v>919</v>
      </c>
      <c r="D46" s="18" t="s">
        <v>705</v>
      </c>
      <c r="E46" s="18" t="s">
        <v>572</v>
      </c>
      <c r="F46" s="18" t="s">
        <v>573</v>
      </c>
      <c r="G46" s="20" t="s">
        <v>357</v>
      </c>
      <c r="H46" s="47" t="s">
        <v>357</v>
      </c>
      <c r="I46" s="48" t="s">
        <v>357</v>
      </c>
      <c r="J46" s="43" t="s">
        <v>208</v>
      </c>
      <c r="K46" s="43" t="s">
        <v>208</v>
      </c>
      <c r="L46" s="43" t="s">
        <v>208</v>
      </c>
      <c r="M46" s="32" t="s">
        <v>357</v>
      </c>
      <c r="N46" s="32" t="s">
        <v>357</v>
      </c>
      <c r="O46" s="32" t="s">
        <v>357</v>
      </c>
      <c r="P46" s="32" t="s">
        <v>357</v>
      </c>
      <c r="Q46" s="32" t="s">
        <v>357</v>
      </c>
      <c r="R46" s="32" t="s">
        <v>357</v>
      </c>
      <c r="S46" s="32" t="s">
        <v>357</v>
      </c>
      <c r="T46" s="32" t="s">
        <v>357</v>
      </c>
      <c r="U46" s="32" t="s">
        <v>357</v>
      </c>
      <c r="V46" s="32" t="s">
        <v>357</v>
      </c>
      <c r="W46" s="32" t="s">
        <v>357</v>
      </c>
      <c r="X46" s="32" t="s">
        <v>357</v>
      </c>
      <c r="Y46" s="32" t="s">
        <v>357</v>
      </c>
      <c r="Z46" s="32" t="s">
        <v>357</v>
      </c>
      <c r="AA46" s="32" t="s">
        <v>357</v>
      </c>
      <c r="AB46" s="49" t="s">
        <v>357</v>
      </c>
      <c r="AC46" s="49" t="s">
        <v>357</v>
      </c>
      <c r="AD46" s="49" t="s">
        <v>357</v>
      </c>
      <c r="AE46" s="49" t="s">
        <v>357</v>
      </c>
      <c r="AF46" s="49" t="s">
        <v>357</v>
      </c>
      <c r="AG46" s="49" t="s">
        <v>357</v>
      </c>
      <c r="AH46" s="49" t="s">
        <v>357</v>
      </c>
      <c r="AI46" s="49" t="s">
        <v>357</v>
      </c>
      <c r="AJ46" s="49" t="s">
        <v>357</v>
      </c>
      <c r="AK46" s="49" t="s">
        <v>357</v>
      </c>
      <c r="AL46" s="49" t="s">
        <v>357</v>
      </c>
      <c r="AM46" s="39" t="s">
        <v>357</v>
      </c>
      <c r="AN46" s="39" t="s">
        <v>357</v>
      </c>
      <c r="AO46" s="39" t="s">
        <v>357</v>
      </c>
      <c r="AP46" s="39" t="s">
        <v>357</v>
      </c>
      <c r="AQ46" s="39" t="s">
        <v>357</v>
      </c>
      <c r="AR46" s="39" t="s">
        <v>357</v>
      </c>
      <c r="AS46" s="39" t="s">
        <v>357</v>
      </c>
      <c r="AT46" s="50" t="s">
        <v>357</v>
      </c>
      <c r="AU46" s="50" t="s">
        <v>357</v>
      </c>
      <c r="AV46" s="49" t="s">
        <v>357</v>
      </c>
      <c r="AW46" s="49" t="s">
        <v>357</v>
      </c>
      <c r="AX46" s="49" t="s">
        <v>357</v>
      </c>
      <c r="AY46" s="49" t="s">
        <v>357</v>
      </c>
      <c r="AZ46" s="49" t="s">
        <v>357</v>
      </c>
      <c r="BA46" s="32" t="s">
        <v>357</v>
      </c>
      <c r="BB46" s="32" t="s">
        <v>357</v>
      </c>
      <c r="BC46" s="50" t="s">
        <v>357</v>
      </c>
      <c r="BD46" s="50" t="s">
        <v>357</v>
      </c>
      <c r="BE46" s="39" t="s">
        <v>357</v>
      </c>
      <c r="BF46" s="39" t="s">
        <v>357</v>
      </c>
      <c r="BG46" s="39" t="s">
        <v>357</v>
      </c>
      <c r="BH46" s="39" t="s">
        <v>357</v>
      </c>
      <c r="BI46" s="39" t="s">
        <v>357</v>
      </c>
      <c r="BJ46" s="39" t="s">
        <v>357</v>
      </c>
      <c r="BK46" s="41" t="s">
        <v>357</v>
      </c>
      <c r="BL46" s="41" t="s">
        <v>357</v>
      </c>
      <c r="BM46" s="41"/>
    </row>
    <row r="47">
      <c r="A47" s="18" t="s">
        <v>522</v>
      </c>
      <c r="B47" s="19">
        <v>128.0</v>
      </c>
      <c r="C47" s="18" t="s">
        <v>920</v>
      </c>
      <c r="D47" s="62" t="s">
        <v>190</v>
      </c>
      <c r="E47" s="18" t="s">
        <v>190</v>
      </c>
      <c r="F47" s="18" t="s">
        <v>192</v>
      </c>
      <c r="G47" s="63" t="s">
        <v>921</v>
      </c>
      <c r="H47" s="22" t="s">
        <v>198</v>
      </c>
      <c r="I47" s="64" t="s">
        <v>481</v>
      </c>
      <c r="J47" s="43" t="s">
        <v>205</v>
      </c>
      <c r="K47" s="43" t="s">
        <v>208</v>
      </c>
      <c r="L47" s="25" t="s">
        <v>208</v>
      </c>
      <c r="M47" s="28">
        <v>6.0</v>
      </c>
      <c r="N47" s="26" t="str">
        <f t="shared" ref="N47:N92" si="93">IF((M47&gt;=19),"S",IF(AND(M47&lt;19),"R", "NA"))</f>
        <v>R</v>
      </c>
      <c r="O47" s="28">
        <v>18.0</v>
      </c>
      <c r="P47" s="26" t="str">
        <f t="shared" ref="P47:P92" si="94">IF((O47&gt;=19),"S",IF(AND(O47&lt;19),"R", "NA"))</f>
        <v>R</v>
      </c>
      <c r="Q47" s="28">
        <v>6.0</v>
      </c>
      <c r="R47" s="26" t="str">
        <f t="shared" ref="R47:R92" si="95">IF((Q47&gt;=23),"S",IF(AND(Q47&lt;23),"R","NA"))</f>
        <v>R</v>
      </c>
      <c r="S47" s="28">
        <v>24.0</v>
      </c>
      <c r="T47" s="26" t="str">
        <f t="shared" ref="T47:T92" si="96">IF((S47&gt;=23),"S",IF(AND(S47&lt;23,S47&gt;=20),"I",IF(AND(S47&lt;20),"R","NA")))</f>
        <v>S</v>
      </c>
      <c r="U47" s="28">
        <v>6.0</v>
      </c>
      <c r="V47" s="26" t="str">
        <f t="shared" ref="V47:V92" si="97">IF((U47&gt;=20),"S",IF(AND(U47&lt;20),"R", "NA"))</f>
        <v>R</v>
      </c>
      <c r="W47" s="28">
        <v>18.0</v>
      </c>
      <c r="X47" s="26" t="str">
        <f t="shared" ref="X47:X92" si="98">IF((W47&gt;=20),"S",IF(AND(W47&lt;20),"R", "NA"))</f>
        <v>R</v>
      </c>
      <c r="Y47" s="28">
        <v>19.0</v>
      </c>
      <c r="Z47" s="26" t="str">
        <f t="shared" ref="Z47:Z92" si="99">IF((Y47&gt;=20),"S",IF(AND(Y47&lt;20,Y47&gt;=17),"I",IF(AND(Y47&lt;17),"R","NA")))</f>
        <v>I</v>
      </c>
      <c r="AA47" s="32" t="s">
        <v>299</v>
      </c>
      <c r="AB47" s="65">
        <v>25.0</v>
      </c>
      <c r="AC47" s="33" t="str">
        <f t="shared" ref="AC47:AC92" si="100">IF((AB47&gt;=20),"S",IF(AND(AB47&lt;20,AB47&gt;=17),"I",IF(AND(AB47&lt;17),"R","NA")))</f>
        <v>S</v>
      </c>
      <c r="AD47" s="65">
        <v>18.0</v>
      </c>
      <c r="AE47" s="33" t="str">
        <f t="shared" ref="AE47:AE92" si="101">IF((AD47&gt;=18),"S",IF(AND(AD47&lt;18),"R", "NA"))</f>
        <v>S</v>
      </c>
      <c r="AF47" s="65">
        <v>22.0</v>
      </c>
      <c r="AG47" s="33" t="str">
        <f t="shared" ref="AG47:AG92" si="102">IF((AF47&gt;=22),"S",IF(AND(AF47&lt;22,AF47&gt;=19),"I",IF(AND(AF47&lt;19),"R","NA")))</f>
        <v>S</v>
      </c>
      <c r="AH47" s="65">
        <v>18.0</v>
      </c>
      <c r="AI47" s="33" t="str">
        <f t="shared" ref="AI47:AI92" si="103">IF((AH47&gt;=13),"S",IF(AND(AH47&lt;13),"R", "NA"))</f>
        <v>S</v>
      </c>
      <c r="AJ47" s="65">
        <v>28.0</v>
      </c>
      <c r="AK47" s="33" t="str">
        <f t="shared" ref="AK47:AK92" si="104">IF((AJ47&gt;=27),"S",IF(AND(AJ47&lt;27,AJ47&gt;=24),"I",IF(AND(AJ47&lt;24),"R","NA")))</f>
        <v>S</v>
      </c>
      <c r="AL47" s="33" t="s">
        <v>300</v>
      </c>
      <c r="AM47" s="66">
        <v>23.0</v>
      </c>
      <c r="AN47" s="36" t="str">
        <f t="shared" ref="AN47:AN92" si="105">IF((AM47&gt;=25),"S",IF(AND(AM47&lt;25,AM47&gt;=22),"I",IF(AND(AM47&lt;22),"R","NA")))</f>
        <v>I</v>
      </c>
      <c r="AO47" s="66">
        <v>21.0</v>
      </c>
      <c r="AP47" s="36" t="str">
        <f t="shared" ref="AP47:AP92" si="106">IF((AO47&gt;=23),"S",IF(AND(AO47&lt;23,AO47&gt;=19),"I",IF(AND(AO47&lt;19),"R","NA")))</f>
        <v>I</v>
      </c>
      <c r="AQ47" s="66">
        <v>16.0</v>
      </c>
      <c r="AR47" s="36" t="str">
        <f t="shared" ref="AR47:AR92" si="107">IF((AQ47&gt;=14),"S",IF(AND(AQ47&lt;14),"R","NA"))</f>
        <v>S</v>
      </c>
      <c r="AS47" s="66" t="s">
        <v>299</v>
      </c>
      <c r="AT47" s="67">
        <v>20.0</v>
      </c>
      <c r="AU47" s="37" t="str">
        <f t="shared" ref="AU47:AU92" si="108">IF((AT47&gt;=14),"S",IF(AND(AT47&lt;14,AT47&gt;=11),"I",IF(AND(AT47&lt;11),"R","NA")))</f>
        <v>S</v>
      </c>
      <c r="AV47" s="65">
        <v>16.0</v>
      </c>
      <c r="AW47" s="33" t="str">
        <f t="shared" ref="AW47:AW92" si="109">IF((AV47&gt;=18),"S",IF(AND(AV47&lt;18),"R", "NA"))</f>
        <v>R</v>
      </c>
      <c r="AX47" s="65">
        <v>16.0</v>
      </c>
      <c r="AY47" s="33" t="str">
        <f t="shared" ref="AY47:AY92" si="110">IF((AX47&gt;=16),"S",IF(AND(AX47&lt;16),"R", "NA"))</f>
        <v>S</v>
      </c>
      <c r="AZ47" s="65" t="s">
        <v>299</v>
      </c>
      <c r="BA47" s="28">
        <v>6.0</v>
      </c>
      <c r="BB47" s="26" t="str">
        <f t="shared" ref="BB47:BB92" si="111">IF((BA47&gt;=20),"S",IF(AND(BA47&lt;20),"R", "NA"))</f>
        <v>R</v>
      </c>
      <c r="BC47" s="67">
        <v>22.0</v>
      </c>
      <c r="BD47" s="37" t="str">
        <f t="shared" ref="BD47:BD92" si="112">IF((BC47&gt;=26),"S",IF(AND(BC47&lt;26,BC47&gt;=21),"I",IF(AND(BC47&lt;21),"R","NA")))</f>
        <v>I</v>
      </c>
      <c r="BE47" s="66">
        <v>23.0</v>
      </c>
      <c r="BF47" s="36" t="str">
        <f t="shared" ref="BF47:BF92" si="113">IF((BE47&gt;=23),"S",IF(AND(BE47&lt;23),"R","NA"))</f>
        <v>S</v>
      </c>
      <c r="BG47" s="39" t="s">
        <v>357</v>
      </c>
      <c r="BH47" s="39" t="s">
        <v>357</v>
      </c>
      <c r="BI47" s="66">
        <v>23.0</v>
      </c>
      <c r="BJ47" s="36" t="str">
        <f t="shared" ref="BJ47:BJ92" si="114">IF((BI47&gt;=22),"S",IF(AND(BI47&lt;22,BI47&gt;=19),"I",IF(AND(BI47&lt;19),"R","NA")))</f>
        <v>S</v>
      </c>
      <c r="BK47" s="68">
        <v>14.0</v>
      </c>
      <c r="BL47" s="41" t="str">
        <f t="shared" ref="BL47:BL92" si="115">IF((BK47&gt;=17),"S",IF(AND(BK47&lt;17),"R", "NA"))</f>
        <v>R</v>
      </c>
      <c r="BM47" s="41"/>
    </row>
    <row r="48">
      <c r="A48" s="18" t="s">
        <v>522</v>
      </c>
      <c r="B48" s="19">
        <v>129.0</v>
      </c>
      <c r="C48" s="18" t="s">
        <v>933</v>
      </c>
      <c r="D48" s="62" t="s">
        <v>190</v>
      </c>
      <c r="E48" s="18" t="s">
        <v>190</v>
      </c>
      <c r="F48" s="18" t="s">
        <v>192</v>
      </c>
      <c r="G48" s="63" t="s">
        <v>934</v>
      </c>
      <c r="H48" s="22" t="s">
        <v>198</v>
      </c>
      <c r="I48" s="64" t="s">
        <v>481</v>
      </c>
      <c r="J48" s="43" t="s">
        <v>205</v>
      </c>
      <c r="K48" s="43" t="s">
        <v>208</v>
      </c>
      <c r="L48" s="25" t="s">
        <v>208</v>
      </c>
      <c r="M48" s="28">
        <v>28.0</v>
      </c>
      <c r="N48" s="26" t="str">
        <f t="shared" si="93"/>
        <v>S</v>
      </c>
      <c r="O48" s="28">
        <v>17.0</v>
      </c>
      <c r="P48" s="26" t="str">
        <f t="shared" si="94"/>
        <v>R</v>
      </c>
      <c r="Q48" s="28">
        <v>21.0</v>
      </c>
      <c r="R48" s="26" t="str">
        <f t="shared" si="95"/>
        <v>R</v>
      </c>
      <c r="S48" s="28">
        <v>22.0</v>
      </c>
      <c r="T48" s="26" t="str">
        <f t="shared" si="96"/>
        <v>I</v>
      </c>
      <c r="U48" s="28">
        <v>18.0</v>
      </c>
      <c r="V48" s="26" t="str">
        <f t="shared" si="97"/>
        <v>R</v>
      </c>
      <c r="W48" s="28">
        <v>15.0</v>
      </c>
      <c r="X48" s="26" t="str">
        <f t="shared" si="98"/>
        <v>R</v>
      </c>
      <c r="Y48" s="28">
        <v>19.0</v>
      </c>
      <c r="Z48" s="26" t="str">
        <f t="shared" si="99"/>
        <v>I</v>
      </c>
      <c r="AA48" s="32" t="s">
        <v>299</v>
      </c>
      <c r="AB48" s="65">
        <v>21.0</v>
      </c>
      <c r="AC48" s="33" t="str">
        <f t="shared" si="100"/>
        <v>S</v>
      </c>
      <c r="AD48" s="65">
        <v>13.0</v>
      </c>
      <c r="AE48" s="33" t="str">
        <f t="shared" si="101"/>
        <v>R</v>
      </c>
      <c r="AF48" s="65">
        <v>24.0</v>
      </c>
      <c r="AG48" s="33" t="str">
        <f t="shared" si="102"/>
        <v>S</v>
      </c>
      <c r="AH48" s="65">
        <v>18.0</v>
      </c>
      <c r="AI48" s="33" t="str">
        <f t="shared" si="103"/>
        <v>S</v>
      </c>
      <c r="AJ48" s="65">
        <v>27.0</v>
      </c>
      <c r="AK48" s="33" t="str">
        <f t="shared" si="104"/>
        <v>S</v>
      </c>
      <c r="AL48" s="65" t="s">
        <v>299</v>
      </c>
      <c r="AM48" s="66">
        <v>23.0</v>
      </c>
      <c r="AN48" s="36" t="str">
        <f t="shared" si="105"/>
        <v>I</v>
      </c>
      <c r="AO48" s="66">
        <v>20.0</v>
      </c>
      <c r="AP48" s="36" t="str">
        <f t="shared" si="106"/>
        <v>I</v>
      </c>
      <c r="AQ48" s="66">
        <v>17.0</v>
      </c>
      <c r="AR48" s="36" t="str">
        <f t="shared" si="107"/>
        <v>S</v>
      </c>
      <c r="AS48" s="66" t="s">
        <v>299</v>
      </c>
      <c r="AT48" s="67">
        <v>19.0</v>
      </c>
      <c r="AU48" s="37" t="str">
        <f t="shared" si="108"/>
        <v>S</v>
      </c>
      <c r="AV48" s="65">
        <v>14.0</v>
      </c>
      <c r="AW48" s="33" t="str">
        <f t="shared" si="109"/>
        <v>R</v>
      </c>
      <c r="AX48" s="65">
        <v>16.0</v>
      </c>
      <c r="AY48" s="33" t="str">
        <f t="shared" si="110"/>
        <v>S</v>
      </c>
      <c r="AZ48" s="65" t="s">
        <v>299</v>
      </c>
      <c r="BA48" s="28">
        <v>18.0</v>
      </c>
      <c r="BB48" s="26" t="str">
        <f t="shared" si="111"/>
        <v>R</v>
      </c>
      <c r="BC48" s="67">
        <v>18.0</v>
      </c>
      <c r="BD48" s="37" t="str">
        <f t="shared" si="112"/>
        <v>R</v>
      </c>
      <c r="BE48" s="66">
        <v>23.0</v>
      </c>
      <c r="BF48" s="36" t="str">
        <f t="shared" si="113"/>
        <v>S</v>
      </c>
      <c r="BG48" s="39" t="s">
        <v>357</v>
      </c>
      <c r="BH48" s="39" t="s">
        <v>357</v>
      </c>
      <c r="BI48" s="66">
        <v>22.0</v>
      </c>
      <c r="BJ48" s="36" t="str">
        <f t="shared" si="114"/>
        <v>S</v>
      </c>
      <c r="BK48" s="68">
        <v>14.0</v>
      </c>
      <c r="BL48" s="41" t="str">
        <f t="shared" si="115"/>
        <v>R</v>
      </c>
      <c r="BM48" s="41"/>
    </row>
    <row r="49">
      <c r="A49" s="18" t="s">
        <v>522</v>
      </c>
      <c r="B49" s="18" t="s">
        <v>444</v>
      </c>
      <c r="C49" s="18" t="s">
        <v>938</v>
      </c>
      <c r="D49" s="62" t="s">
        <v>190</v>
      </c>
      <c r="E49" s="18" t="s">
        <v>190</v>
      </c>
      <c r="F49" s="18" t="s">
        <v>192</v>
      </c>
      <c r="G49" s="63" t="s">
        <v>939</v>
      </c>
      <c r="H49" s="42" t="s">
        <v>479</v>
      </c>
      <c r="I49" s="64" t="s">
        <v>481</v>
      </c>
      <c r="J49" s="43" t="s">
        <v>205</v>
      </c>
      <c r="K49" s="43" t="s">
        <v>208</v>
      </c>
      <c r="L49" s="25" t="s">
        <v>208</v>
      </c>
      <c r="M49" s="28">
        <v>6.0</v>
      </c>
      <c r="N49" s="26" t="str">
        <f t="shared" si="93"/>
        <v>R</v>
      </c>
      <c r="O49" s="28">
        <v>18.0</v>
      </c>
      <c r="P49" s="26" t="str">
        <f t="shared" si="94"/>
        <v>R</v>
      </c>
      <c r="Q49" s="28">
        <v>15.0</v>
      </c>
      <c r="R49" s="26" t="str">
        <f t="shared" si="95"/>
        <v>R</v>
      </c>
      <c r="S49" s="28">
        <v>21.0</v>
      </c>
      <c r="T49" s="26" t="str">
        <f t="shared" si="96"/>
        <v>I</v>
      </c>
      <c r="U49" s="28">
        <v>18.0</v>
      </c>
      <c r="V49" s="26" t="str">
        <f t="shared" si="97"/>
        <v>R</v>
      </c>
      <c r="W49" s="28">
        <v>16.0</v>
      </c>
      <c r="X49" s="26" t="str">
        <f t="shared" si="98"/>
        <v>R</v>
      </c>
      <c r="Y49" s="28">
        <v>6.0</v>
      </c>
      <c r="Z49" s="26" t="str">
        <f t="shared" si="99"/>
        <v>R</v>
      </c>
      <c r="AA49" s="32" t="s">
        <v>299</v>
      </c>
      <c r="AB49" s="65">
        <v>22.0</v>
      </c>
      <c r="AC49" s="33" t="str">
        <f t="shared" si="100"/>
        <v>S</v>
      </c>
      <c r="AD49" s="65">
        <v>11.0</v>
      </c>
      <c r="AE49" s="33" t="str">
        <f t="shared" si="101"/>
        <v>R</v>
      </c>
      <c r="AF49" s="65">
        <v>26.0</v>
      </c>
      <c r="AG49" s="33" t="str">
        <f t="shared" si="102"/>
        <v>S</v>
      </c>
      <c r="AH49" s="65">
        <v>18.0</v>
      </c>
      <c r="AI49" s="33" t="str">
        <f t="shared" si="103"/>
        <v>S</v>
      </c>
      <c r="AJ49" s="65">
        <v>27.0</v>
      </c>
      <c r="AK49" s="33" t="str">
        <f t="shared" si="104"/>
        <v>S</v>
      </c>
      <c r="AL49" s="65" t="s">
        <v>299</v>
      </c>
      <c r="AM49" s="66">
        <v>24.0</v>
      </c>
      <c r="AN49" s="36" t="str">
        <f t="shared" si="105"/>
        <v>I</v>
      </c>
      <c r="AO49" s="66">
        <v>21.0</v>
      </c>
      <c r="AP49" s="36" t="str">
        <f t="shared" si="106"/>
        <v>I</v>
      </c>
      <c r="AQ49" s="66">
        <v>17.0</v>
      </c>
      <c r="AR49" s="36" t="str">
        <f t="shared" si="107"/>
        <v>S</v>
      </c>
      <c r="AS49" s="66" t="s">
        <v>299</v>
      </c>
      <c r="AT49" s="67">
        <v>20.0</v>
      </c>
      <c r="AU49" s="37" t="str">
        <f t="shared" si="108"/>
        <v>S</v>
      </c>
      <c r="AV49" s="65">
        <v>15.0</v>
      </c>
      <c r="AW49" s="33" t="str">
        <f t="shared" si="109"/>
        <v>R</v>
      </c>
      <c r="AX49" s="65">
        <v>18.0</v>
      </c>
      <c r="AY49" s="33" t="str">
        <f t="shared" si="110"/>
        <v>S</v>
      </c>
      <c r="AZ49" s="65" t="s">
        <v>299</v>
      </c>
      <c r="BA49" s="28">
        <v>20.0</v>
      </c>
      <c r="BB49" s="26" t="str">
        <f t="shared" si="111"/>
        <v>S</v>
      </c>
      <c r="BC49" s="67">
        <v>16.0</v>
      </c>
      <c r="BD49" s="37" t="str">
        <f t="shared" si="112"/>
        <v>R</v>
      </c>
      <c r="BE49" s="66">
        <v>22.0</v>
      </c>
      <c r="BF49" s="36" t="str">
        <f t="shared" si="113"/>
        <v>R</v>
      </c>
      <c r="BG49" s="39" t="s">
        <v>357</v>
      </c>
      <c r="BH49" s="39" t="s">
        <v>357</v>
      </c>
      <c r="BI49" s="66">
        <v>19.0</v>
      </c>
      <c r="BJ49" s="36" t="str">
        <f t="shared" si="114"/>
        <v>I</v>
      </c>
      <c r="BK49" s="68">
        <v>14.0</v>
      </c>
      <c r="BL49" s="41" t="str">
        <f t="shared" si="115"/>
        <v>R</v>
      </c>
      <c r="BM49" s="41"/>
    </row>
    <row r="50">
      <c r="A50" s="18" t="s">
        <v>522</v>
      </c>
      <c r="B50" s="19">
        <v>130.0</v>
      </c>
      <c r="C50" s="18" t="s">
        <v>943</v>
      </c>
      <c r="D50" s="62" t="s">
        <v>190</v>
      </c>
      <c r="E50" s="18" t="s">
        <v>190</v>
      </c>
      <c r="F50" s="18" t="s">
        <v>192</v>
      </c>
      <c r="G50" s="63" t="s">
        <v>944</v>
      </c>
      <c r="H50" s="22" t="s">
        <v>198</v>
      </c>
      <c r="I50" s="64" t="s">
        <v>481</v>
      </c>
      <c r="J50" s="43" t="s">
        <v>205</v>
      </c>
      <c r="K50" s="43" t="s">
        <v>208</v>
      </c>
      <c r="L50" s="25" t="s">
        <v>208</v>
      </c>
      <c r="M50" s="28">
        <v>24.0</v>
      </c>
      <c r="N50" s="26" t="str">
        <f t="shared" si="93"/>
        <v>S</v>
      </c>
      <c r="O50" s="28">
        <v>22.0</v>
      </c>
      <c r="P50" s="26" t="str">
        <f t="shared" si="94"/>
        <v>S</v>
      </c>
      <c r="Q50" s="28">
        <v>29.0</v>
      </c>
      <c r="R50" s="26" t="str">
        <f t="shared" si="95"/>
        <v>S</v>
      </c>
      <c r="S50" s="28">
        <v>25.0</v>
      </c>
      <c r="T50" s="26" t="str">
        <f t="shared" si="96"/>
        <v>S</v>
      </c>
      <c r="U50" s="28">
        <v>22.0</v>
      </c>
      <c r="V50" s="26" t="str">
        <f t="shared" si="97"/>
        <v>S</v>
      </c>
      <c r="W50" s="28">
        <v>15.0</v>
      </c>
      <c r="X50" s="26" t="str">
        <f t="shared" si="98"/>
        <v>R</v>
      </c>
      <c r="Y50" s="28">
        <v>12.0</v>
      </c>
      <c r="Z50" s="26" t="str">
        <f t="shared" si="99"/>
        <v>R</v>
      </c>
      <c r="AA50" s="32" t="s">
        <v>299</v>
      </c>
      <c r="AB50" s="65">
        <v>26.0</v>
      </c>
      <c r="AC50" s="33" t="str">
        <f t="shared" si="100"/>
        <v>S</v>
      </c>
      <c r="AD50" s="65">
        <v>22.0</v>
      </c>
      <c r="AE50" s="33" t="str">
        <f t="shared" si="101"/>
        <v>S</v>
      </c>
      <c r="AF50" s="65">
        <v>28.0</v>
      </c>
      <c r="AG50" s="33" t="str">
        <f t="shared" si="102"/>
        <v>S</v>
      </c>
      <c r="AH50" s="65">
        <v>18.0</v>
      </c>
      <c r="AI50" s="33" t="str">
        <f t="shared" si="103"/>
        <v>S</v>
      </c>
      <c r="AJ50" s="65">
        <v>30.0</v>
      </c>
      <c r="AK50" s="33" t="str">
        <f t="shared" si="104"/>
        <v>S</v>
      </c>
      <c r="AL50" s="33" t="s">
        <v>300</v>
      </c>
      <c r="AM50" s="66">
        <v>36.0</v>
      </c>
      <c r="AN50" s="36" t="str">
        <f t="shared" si="105"/>
        <v>S</v>
      </c>
      <c r="AO50" s="66">
        <v>27.0</v>
      </c>
      <c r="AP50" s="36" t="str">
        <f t="shared" si="106"/>
        <v>S</v>
      </c>
      <c r="AQ50" s="66">
        <v>18.0</v>
      </c>
      <c r="AR50" s="36" t="str">
        <f t="shared" si="107"/>
        <v>S</v>
      </c>
      <c r="AS50" s="36" t="s">
        <v>300</v>
      </c>
      <c r="AT50" s="67">
        <v>21.0</v>
      </c>
      <c r="AU50" s="37" t="str">
        <f t="shared" si="108"/>
        <v>S</v>
      </c>
      <c r="AV50" s="65">
        <v>16.0</v>
      </c>
      <c r="AW50" s="33" t="str">
        <f t="shared" si="109"/>
        <v>R</v>
      </c>
      <c r="AX50" s="65">
        <v>24.0</v>
      </c>
      <c r="AY50" s="33" t="str">
        <f t="shared" si="110"/>
        <v>S</v>
      </c>
      <c r="AZ50" s="65" t="s">
        <v>299</v>
      </c>
      <c r="BA50" s="28">
        <v>25.0</v>
      </c>
      <c r="BB50" s="26" t="str">
        <f t="shared" si="111"/>
        <v>S</v>
      </c>
      <c r="BC50" s="67">
        <v>22.0</v>
      </c>
      <c r="BD50" s="37" t="str">
        <f t="shared" si="112"/>
        <v>I</v>
      </c>
      <c r="BE50" s="66">
        <v>26.0</v>
      </c>
      <c r="BF50" s="36" t="str">
        <f t="shared" si="113"/>
        <v>S</v>
      </c>
      <c r="BG50" s="39" t="s">
        <v>357</v>
      </c>
      <c r="BH50" s="39" t="s">
        <v>357</v>
      </c>
      <c r="BI50" s="66">
        <v>28.0</v>
      </c>
      <c r="BJ50" s="36" t="str">
        <f t="shared" si="114"/>
        <v>S</v>
      </c>
      <c r="BK50" s="68">
        <v>18.0</v>
      </c>
      <c r="BL50" s="41" t="str">
        <f t="shared" si="115"/>
        <v>S</v>
      </c>
      <c r="BM50" s="41"/>
    </row>
    <row r="51">
      <c r="A51" s="18" t="s">
        <v>522</v>
      </c>
      <c r="B51" s="19">
        <v>131.0</v>
      </c>
      <c r="C51" s="18" t="s">
        <v>948</v>
      </c>
      <c r="D51" s="69" t="s">
        <v>571</v>
      </c>
      <c r="E51" s="18" t="s">
        <v>572</v>
      </c>
      <c r="F51" s="18" t="s">
        <v>192</v>
      </c>
      <c r="G51" s="63" t="s">
        <v>949</v>
      </c>
      <c r="H51" s="22" t="s">
        <v>198</v>
      </c>
      <c r="I51" s="64" t="s">
        <v>41</v>
      </c>
      <c r="J51" s="70" t="s">
        <v>205</v>
      </c>
      <c r="K51" s="71" t="s">
        <v>208</v>
      </c>
      <c r="L51" s="71" t="s">
        <v>205</v>
      </c>
      <c r="M51" s="28">
        <v>6.0</v>
      </c>
      <c r="N51" s="26" t="str">
        <f t="shared" si="93"/>
        <v>R</v>
      </c>
      <c r="O51" s="28">
        <v>6.0</v>
      </c>
      <c r="P51" s="26" t="str">
        <f t="shared" si="94"/>
        <v>R</v>
      </c>
      <c r="Q51" s="28">
        <v>6.0</v>
      </c>
      <c r="R51" s="26" t="str">
        <f t="shared" si="95"/>
        <v>R</v>
      </c>
      <c r="S51" s="28">
        <v>23.0</v>
      </c>
      <c r="T51" s="26" t="str">
        <f t="shared" si="96"/>
        <v>S</v>
      </c>
      <c r="U51" s="28">
        <v>6.0</v>
      </c>
      <c r="V51" s="26" t="str">
        <f t="shared" si="97"/>
        <v>R</v>
      </c>
      <c r="W51" s="28">
        <v>20.0</v>
      </c>
      <c r="X51" s="26" t="str">
        <f t="shared" si="98"/>
        <v>S</v>
      </c>
      <c r="Y51" s="28">
        <v>15.0</v>
      </c>
      <c r="Z51" s="26" t="str">
        <f t="shared" si="99"/>
        <v>R</v>
      </c>
      <c r="AA51" s="32" t="s">
        <v>299</v>
      </c>
      <c r="AB51" s="65">
        <v>15.0</v>
      </c>
      <c r="AC51" s="33" t="str">
        <f t="shared" si="100"/>
        <v>R</v>
      </c>
      <c r="AD51" s="65">
        <v>6.0</v>
      </c>
      <c r="AE51" s="33" t="str">
        <f t="shared" si="101"/>
        <v>R</v>
      </c>
      <c r="AF51" s="65">
        <v>6.0</v>
      </c>
      <c r="AG51" s="33" t="str">
        <f t="shared" si="102"/>
        <v>R</v>
      </c>
      <c r="AH51" s="65">
        <v>18.0</v>
      </c>
      <c r="AI51" s="33" t="str">
        <f t="shared" si="103"/>
        <v>S</v>
      </c>
      <c r="AJ51" s="65">
        <v>18.0</v>
      </c>
      <c r="AK51" s="33" t="str">
        <f t="shared" si="104"/>
        <v>R</v>
      </c>
      <c r="AL51" s="65" t="s">
        <v>299</v>
      </c>
      <c r="AM51" s="66">
        <v>20.0</v>
      </c>
      <c r="AN51" s="36" t="str">
        <f t="shared" si="105"/>
        <v>R</v>
      </c>
      <c r="AO51" s="66">
        <v>15.0</v>
      </c>
      <c r="AP51" s="36" t="str">
        <f t="shared" si="106"/>
        <v>R</v>
      </c>
      <c r="AQ51" s="66">
        <v>10.0</v>
      </c>
      <c r="AR51" s="36" t="str">
        <f t="shared" si="107"/>
        <v>R</v>
      </c>
      <c r="AS51" s="66" t="s">
        <v>299</v>
      </c>
      <c r="AT51" s="67">
        <v>12.0</v>
      </c>
      <c r="AU51" s="37" t="str">
        <f t="shared" si="108"/>
        <v>I</v>
      </c>
      <c r="AV51" s="65">
        <v>21.0</v>
      </c>
      <c r="AW51" s="33" t="str">
        <f t="shared" si="109"/>
        <v>S</v>
      </c>
      <c r="AX51" s="65">
        <v>18.0</v>
      </c>
      <c r="AY51" s="33" t="str">
        <f t="shared" si="110"/>
        <v>S</v>
      </c>
      <c r="AZ51" s="33" t="s">
        <v>300</v>
      </c>
      <c r="BA51" s="28">
        <v>20.0</v>
      </c>
      <c r="BB51" s="26" t="str">
        <f t="shared" si="111"/>
        <v>S</v>
      </c>
      <c r="BC51" s="67">
        <v>20.0</v>
      </c>
      <c r="BD51" s="37" t="str">
        <f t="shared" si="112"/>
        <v>R</v>
      </c>
      <c r="BE51" s="66">
        <v>18.0</v>
      </c>
      <c r="BF51" s="36" t="str">
        <f t="shared" si="113"/>
        <v>R</v>
      </c>
      <c r="BG51" s="39" t="s">
        <v>357</v>
      </c>
      <c r="BH51" s="39" t="s">
        <v>357</v>
      </c>
      <c r="BI51" s="66">
        <v>18.0</v>
      </c>
      <c r="BJ51" s="36" t="str">
        <f t="shared" si="114"/>
        <v>R</v>
      </c>
      <c r="BK51" s="68">
        <v>10.0</v>
      </c>
      <c r="BL51" s="41" t="str">
        <f t="shared" si="115"/>
        <v>R</v>
      </c>
      <c r="BM51" s="41"/>
    </row>
    <row r="52">
      <c r="A52" s="18" t="s">
        <v>522</v>
      </c>
      <c r="B52" s="19">
        <v>132.0</v>
      </c>
      <c r="C52" s="18" t="s">
        <v>950</v>
      </c>
      <c r="D52" s="69" t="s">
        <v>705</v>
      </c>
      <c r="E52" s="18" t="s">
        <v>572</v>
      </c>
      <c r="F52" s="18" t="s">
        <v>573</v>
      </c>
      <c r="G52" s="63" t="s">
        <v>951</v>
      </c>
      <c r="H52" s="72" t="s">
        <v>952</v>
      </c>
      <c r="I52" s="64" t="s">
        <v>481</v>
      </c>
      <c r="J52" s="43" t="s">
        <v>205</v>
      </c>
      <c r="K52" s="43" t="s">
        <v>208</v>
      </c>
      <c r="L52" s="25" t="s">
        <v>208</v>
      </c>
      <c r="M52" s="28">
        <v>12.0</v>
      </c>
      <c r="N52" s="26" t="str">
        <f t="shared" si="93"/>
        <v>R</v>
      </c>
      <c r="O52" s="28">
        <v>10.0</v>
      </c>
      <c r="P52" s="26" t="str">
        <f t="shared" si="94"/>
        <v>R</v>
      </c>
      <c r="Q52" s="28">
        <v>20.0</v>
      </c>
      <c r="R52" s="26" t="str">
        <f t="shared" si="95"/>
        <v>R</v>
      </c>
      <c r="S52" s="28">
        <v>32.0</v>
      </c>
      <c r="T52" s="26" t="str">
        <f t="shared" si="96"/>
        <v>S</v>
      </c>
      <c r="U52" s="28">
        <v>20.0</v>
      </c>
      <c r="V52" s="26" t="str">
        <f t="shared" si="97"/>
        <v>S</v>
      </c>
      <c r="W52" s="28">
        <v>18.0</v>
      </c>
      <c r="X52" s="26" t="str">
        <f t="shared" si="98"/>
        <v>R</v>
      </c>
      <c r="Y52" s="28">
        <v>6.0</v>
      </c>
      <c r="Z52" s="26" t="str">
        <f t="shared" si="99"/>
        <v>R</v>
      </c>
      <c r="AA52" s="32" t="s">
        <v>299</v>
      </c>
      <c r="AB52" s="65">
        <v>23.0</v>
      </c>
      <c r="AC52" s="33" t="str">
        <f t="shared" si="100"/>
        <v>S</v>
      </c>
      <c r="AD52" s="65">
        <v>6.0</v>
      </c>
      <c r="AE52" s="33" t="str">
        <f t="shared" si="101"/>
        <v>R</v>
      </c>
      <c r="AF52" s="65">
        <v>20.0</v>
      </c>
      <c r="AG52" s="33" t="str">
        <f t="shared" si="102"/>
        <v>I</v>
      </c>
      <c r="AH52" s="65">
        <v>20.0</v>
      </c>
      <c r="AI52" s="33" t="str">
        <f t="shared" si="103"/>
        <v>S</v>
      </c>
      <c r="AJ52" s="65">
        <v>25.0</v>
      </c>
      <c r="AK52" s="33" t="str">
        <f t="shared" si="104"/>
        <v>I</v>
      </c>
      <c r="AL52" s="65" t="s">
        <v>299</v>
      </c>
      <c r="AM52" s="66">
        <v>22.0</v>
      </c>
      <c r="AN52" s="36" t="str">
        <f t="shared" si="105"/>
        <v>I</v>
      </c>
      <c r="AO52" s="66">
        <v>23.0</v>
      </c>
      <c r="AP52" s="36" t="str">
        <f t="shared" si="106"/>
        <v>S</v>
      </c>
      <c r="AQ52" s="66">
        <v>18.0</v>
      </c>
      <c r="AR52" s="36" t="str">
        <f t="shared" si="107"/>
        <v>S</v>
      </c>
      <c r="AS52" s="66" t="s">
        <v>299</v>
      </c>
      <c r="AT52" s="67">
        <v>22.0</v>
      </c>
      <c r="AU52" s="37" t="str">
        <f t="shared" si="108"/>
        <v>S</v>
      </c>
      <c r="AV52" s="65">
        <v>18.0</v>
      </c>
      <c r="AW52" s="33" t="str">
        <f t="shared" si="109"/>
        <v>S</v>
      </c>
      <c r="AX52" s="65">
        <v>19.0</v>
      </c>
      <c r="AY52" s="33" t="str">
        <f t="shared" si="110"/>
        <v>S</v>
      </c>
      <c r="AZ52" s="33" t="s">
        <v>300</v>
      </c>
      <c r="BA52" s="28">
        <v>21.0</v>
      </c>
      <c r="BB52" s="26" t="str">
        <f t="shared" si="111"/>
        <v>S</v>
      </c>
      <c r="BC52" s="67">
        <v>24.0</v>
      </c>
      <c r="BD52" s="37" t="str">
        <f t="shared" si="112"/>
        <v>I</v>
      </c>
      <c r="BE52" s="66">
        <v>25.0</v>
      </c>
      <c r="BF52" s="36" t="str">
        <f t="shared" si="113"/>
        <v>S</v>
      </c>
      <c r="BG52" s="39" t="s">
        <v>357</v>
      </c>
      <c r="BH52" s="39" t="s">
        <v>357</v>
      </c>
      <c r="BI52" s="66">
        <v>23.0</v>
      </c>
      <c r="BJ52" s="36" t="str">
        <f t="shared" si="114"/>
        <v>S</v>
      </c>
      <c r="BK52" s="68">
        <v>16.0</v>
      </c>
      <c r="BL52" s="41" t="str">
        <f t="shared" si="115"/>
        <v>R</v>
      </c>
      <c r="BM52" s="41"/>
    </row>
    <row r="53">
      <c r="A53" s="18" t="s">
        <v>522</v>
      </c>
      <c r="B53" s="19">
        <v>133.0</v>
      </c>
      <c r="C53" s="18" t="s">
        <v>955</v>
      </c>
      <c r="D53" s="69" t="s">
        <v>956</v>
      </c>
      <c r="E53" s="18" t="s">
        <v>103</v>
      </c>
      <c r="F53" s="18" t="s">
        <v>573</v>
      </c>
      <c r="G53" s="63" t="s">
        <v>957</v>
      </c>
      <c r="H53" s="72" t="s">
        <v>958</v>
      </c>
      <c r="I53" s="64" t="s">
        <v>481</v>
      </c>
      <c r="J53" s="43" t="s">
        <v>205</v>
      </c>
      <c r="K53" s="43" t="s">
        <v>208</v>
      </c>
      <c r="L53" s="25" t="s">
        <v>208</v>
      </c>
      <c r="M53" s="28">
        <v>6.0</v>
      </c>
      <c r="N53" s="26" t="str">
        <f t="shared" si="93"/>
        <v>R</v>
      </c>
      <c r="O53" s="28">
        <v>12.0</v>
      </c>
      <c r="P53" s="26" t="str">
        <f t="shared" si="94"/>
        <v>R</v>
      </c>
      <c r="Q53" s="28">
        <v>9.0</v>
      </c>
      <c r="R53" s="26" t="str">
        <f t="shared" si="95"/>
        <v>R</v>
      </c>
      <c r="S53" s="28">
        <v>6.0</v>
      </c>
      <c r="T53" s="26" t="str">
        <f t="shared" si="96"/>
        <v>R</v>
      </c>
      <c r="U53" s="28">
        <v>20.0</v>
      </c>
      <c r="V53" s="26" t="str">
        <f t="shared" si="97"/>
        <v>S</v>
      </c>
      <c r="W53" s="28">
        <v>18.0</v>
      </c>
      <c r="X53" s="26" t="str">
        <f t="shared" si="98"/>
        <v>R</v>
      </c>
      <c r="Y53" s="28">
        <v>6.0</v>
      </c>
      <c r="Z53" s="26" t="str">
        <f t="shared" si="99"/>
        <v>R</v>
      </c>
      <c r="AA53" s="32" t="s">
        <v>299</v>
      </c>
      <c r="AB53" s="65">
        <v>16.0</v>
      </c>
      <c r="AC53" s="33" t="str">
        <f t="shared" si="100"/>
        <v>R</v>
      </c>
      <c r="AD53" s="65">
        <v>16.0</v>
      </c>
      <c r="AE53" s="33" t="str">
        <f t="shared" si="101"/>
        <v>R</v>
      </c>
      <c r="AF53" s="65">
        <v>12.0</v>
      </c>
      <c r="AG53" s="33" t="str">
        <f t="shared" si="102"/>
        <v>R</v>
      </c>
      <c r="AH53" s="65">
        <v>13.0</v>
      </c>
      <c r="AI53" s="33" t="str">
        <f t="shared" si="103"/>
        <v>S</v>
      </c>
      <c r="AJ53" s="65">
        <v>19.0</v>
      </c>
      <c r="AK53" s="33" t="str">
        <f t="shared" si="104"/>
        <v>R</v>
      </c>
      <c r="AL53" s="65" t="s">
        <v>299</v>
      </c>
      <c r="AM53" s="66">
        <v>14.0</v>
      </c>
      <c r="AN53" s="36" t="str">
        <f t="shared" si="105"/>
        <v>R</v>
      </c>
      <c r="AO53" s="66">
        <v>12.0</v>
      </c>
      <c r="AP53" s="36" t="str">
        <f t="shared" si="106"/>
        <v>R</v>
      </c>
      <c r="AQ53" s="66">
        <v>12.0</v>
      </c>
      <c r="AR53" s="36" t="str">
        <f t="shared" si="107"/>
        <v>R</v>
      </c>
      <c r="AS53" s="66" t="s">
        <v>299</v>
      </c>
      <c r="AT53" s="67">
        <v>10.0</v>
      </c>
      <c r="AU53" s="37" t="str">
        <f t="shared" si="108"/>
        <v>R</v>
      </c>
      <c r="AV53" s="65">
        <v>17.0</v>
      </c>
      <c r="AW53" s="33" t="str">
        <f t="shared" si="109"/>
        <v>R</v>
      </c>
      <c r="AX53" s="65">
        <v>22.0</v>
      </c>
      <c r="AY53" s="33" t="str">
        <f t="shared" si="110"/>
        <v>S</v>
      </c>
      <c r="AZ53" s="65" t="s">
        <v>299</v>
      </c>
      <c r="BA53" s="28">
        <v>6.0</v>
      </c>
      <c r="BB53" s="26" t="str">
        <f t="shared" si="111"/>
        <v>R</v>
      </c>
      <c r="BC53" s="67">
        <v>15.0</v>
      </c>
      <c r="BD53" s="37" t="str">
        <f t="shared" si="112"/>
        <v>R</v>
      </c>
      <c r="BE53" s="66">
        <v>22.0</v>
      </c>
      <c r="BF53" s="36" t="str">
        <f t="shared" si="113"/>
        <v>R</v>
      </c>
      <c r="BG53" s="39" t="s">
        <v>357</v>
      </c>
      <c r="BH53" s="39" t="s">
        <v>357</v>
      </c>
      <c r="BI53" s="66">
        <v>15.0</v>
      </c>
      <c r="BJ53" s="36" t="str">
        <f t="shared" si="114"/>
        <v>R</v>
      </c>
      <c r="BK53" s="68">
        <v>20.0</v>
      </c>
      <c r="BL53" s="41" t="str">
        <f t="shared" si="115"/>
        <v>S</v>
      </c>
      <c r="BM53" s="41"/>
    </row>
    <row r="54">
      <c r="A54" s="18" t="s">
        <v>567</v>
      </c>
      <c r="B54" s="19">
        <v>150.0</v>
      </c>
      <c r="C54" s="18" t="s">
        <v>960</v>
      </c>
      <c r="D54" s="69" t="s">
        <v>190</v>
      </c>
      <c r="E54" s="18" t="s">
        <v>190</v>
      </c>
      <c r="F54" s="18" t="s">
        <v>192</v>
      </c>
      <c r="G54" s="63" t="s">
        <v>961</v>
      </c>
      <c r="H54" s="22" t="s">
        <v>198</v>
      </c>
      <c r="I54" s="64" t="s">
        <v>481</v>
      </c>
      <c r="J54" s="43" t="s">
        <v>205</v>
      </c>
      <c r="K54" s="43" t="s">
        <v>208</v>
      </c>
      <c r="L54" s="25" t="s">
        <v>208</v>
      </c>
      <c r="M54" s="28">
        <v>6.0</v>
      </c>
      <c r="N54" s="26" t="str">
        <f t="shared" si="93"/>
        <v>R</v>
      </c>
      <c r="O54" s="28">
        <v>20.0</v>
      </c>
      <c r="P54" s="26" t="str">
        <f t="shared" si="94"/>
        <v>S</v>
      </c>
      <c r="Q54" s="28">
        <v>6.0</v>
      </c>
      <c r="R54" s="26" t="str">
        <f t="shared" si="95"/>
        <v>R</v>
      </c>
      <c r="S54" s="28">
        <v>26.0</v>
      </c>
      <c r="T54" s="26" t="str">
        <f t="shared" si="96"/>
        <v>S</v>
      </c>
      <c r="U54" s="28">
        <v>6.0</v>
      </c>
      <c r="V54" s="26" t="str">
        <f t="shared" si="97"/>
        <v>R</v>
      </c>
      <c r="W54" s="28">
        <v>20.0</v>
      </c>
      <c r="X54" s="26" t="str">
        <f t="shared" si="98"/>
        <v>S</v>
      </c>
      <c r="Y54" s="28">
        <v>25.0</v>
      </c>
      <c r="Z54" s="26" t="str">
        <f t="shared" si="99"/>
        <v>S</v>
      </c>
      <c r="AA54" s="32" t="s">
        <v>299</v>
      </c>
      <c r="AB54" s="65">
        <v>24.0</v>
      </c>
      <c r="AC54" s="33" t="str">
        <f t="shared" si="100"/>
        <v>S</v>
      </c>
      <c r="AD54" s="65">
        <v>20.0</v>
      </c>
      <c r="AE54" s="33" t="str">
        <f t="shared" si="101"/>
        <v>S</v>
      </c>
      <c r="AF54" s="65">
        <v>22.0</v>
      </c>
      <c r="AG54" s="33" t="str">
        <f t="shared" si="102"/>
        <v>S</v>
      </c>
      <c r="AH54" s="65">
        <v>13.0</v>
      </c>
      <c r="AI54" s="33" t="str">
        <f t="shared" si="103"/>
        <v>S</v>
      </c>
      <c r="AJ54" s="65">
        <v>25.0</v>
      </c>
      <c r="AK54" s="33" t="str">
        <f t="shared" si="104"/>
        <v>I</v>
      </c>
      <c r="AL54" s="65" t="s">
        <v>299</v>
      </c>
      <c r="AM54" s="66">
        <v>19.0</v>
      </c>
      <c r="AN54" s="36" t="str">
        <f t="shared" si="105"/>
        <v>R</v>
      </c>
      <c r="AO54" s="66">
        <v>19.0</v>
      </c>
      <c r="AP54" s="36" t="str">
        <f t="shared" si="106"/>
        <v>I</v>
      </c>
      <c r="AQ54" s="66">
        <v>6.0</v>
      </c>
      <c r="AR54" s="36" t="str">
        <f t="shared" si="107"/>
        <v>R</v>
      </c>
      <c r="AS54" s="66" t="s">
        <v>299</v>
      </c>
      <c r="AT54" s="67">
        <v>21.0</v>
      </c>
      <c r="AU54" s="37" t="str">
        <f t="shared" si="108"/>
        <v>S</v>
      </c>
      <c r="AV54" s="65">
        <v>16.0</v>
      </c>
      <c r="AW54" s="33" t="str">
        <f t="shared" si="109"/>
        <v>R</v>
      </c>
      <c r="AX54" s="65">
        <v>20.0</v>
      </c>
      <c r="AY54" s="33" t="str">
        <f t="shared" si="110"/>
        <v>S</v>
      </c>
      <c r="AZ54" s="65" t="s">
        <v>299</v>
      </c>
      <c r="BA54" s="28">
        <v>20.0</v>
      </c>
      <c r="BB54" s="26" t="str">
        <f t="shared" si="111"/>
        <v>S</v>
      </c>
      <c r="BC54" s="67">
        <v>20.0</v>
      </c>
      <c r="BD54" s="37" t="str">
        <f t="shared" si="112"/>
        <v>R</v>
      </c>
      <c r="BE54" s="66">
        <v>26.0</v>
      </c>
      <c r="BF54" s="36" t="str">
        <f t="shared" si="113"/>
        <v>S</v>
      </c>
      <c r="BG54" s="39" t="s">
        <v>357</v>
      </c>
      <c r="BH54" s="39" t="s">
        <v>357</v>
      </c>
      <c r="BI54" s="66">
        <v>26.0</v>
      </c>
      <c r="BJ54" s="36" t="str">
        <f t="shared" si="114"/>
        <v>S</v>
      </c>
      <c r="BK54" s="68">
        <v>14.0</v>
      </c>
      <c r="BL54" s="41" t="str">
        <f t="shared" si="115"/>
        <v>R</v>
      </c>
      <c r="BM54" s="41"/>
    </row>
    <row r="55">
      <c r="A55" s="18" t="s">
        <v>567</v>
      </c>
      <c r="B55" s="19">
        <v>151.0</v>
      </c>
      <c r="C55" s="18" t="s">
        <v>964</v>
      </c>
      <c r="D55" s="69" t="s">
        <v>190</v>
      </c>
      <c r="E55" s="18" t="s">
        <v>190</v>
      </c>
      <c r="F55" s="18" t="s">
        <v>192</v>
      </c>
      <c r="G55" s="63" t="s">
        <v>965</v>
      </c>
      <c r="H55" s="22" t="s">
        <v>198</v>
      </c>
      <c r="I55" s="64" t="s">
        <v>481</v>
      </c>
      <c r="J55" s="43" t="s">
        <v>205</v>
      </c>
      <c r="K55" s="43" t="s">
        <v>208</v>
      </c>
      <c r="L55" s="25" t="s">
        <v>208</v>
      </c>
      <c r="M55" s="28">
        <v>6.0</v>
      </c>
      <c r="N55" s="26" t="str">
        <f t="shared" si="93"/>
        <v>R</v>
      </c>
      <c r="O55" s="28">
        <v>18.0</v>
      </c>
      <c r="P55" s="26" t="str">
        <f t="shared" si="94"/>
        <v>R</v>
      </c>
      <c r="Q55" s="28">
        <v>6.0</v>
      </c>
      <c r="R55" s="26" t="str">
        <f t="shared" si="95"/>
        <v>R</v>
      </c>
      <c r="S55" s="28">
        <v>22.0</v>
      </c>
      <c r="T55" s="26" t="str">
        <f t="shared" si="96"/>
        <v>I</v>
      </c>
      <c r="U55" s="28">
        <v>6.0</v>
      </c>
      <c r="V55" s="26" t="str">
        <f t="shared" si="97"/>
        <v>R</v>
      </c>
      <c r="W55" s="28">
        <v>17.0</v>
      </c>
      <c r="X55" s="26" t="str">
        <f t="shared" si="98"/>
        <v>R</v>
      </c>
      <c r="Y55" s="28">
        <v>28.0</v>
      </c>
      <c r="Z55" s="26" t="str">
        <f t="shared" si="99"/>
        <v>S</v>
      </c>
      <c r="AA55" s="32" t="s">
        <v>299</v>
      </c>
      <c r="AB55" s="65">
        <v>23.0</v>
      </c>
      <c r="AC55" s="33" t="str">
        <f t="shared" si="100"/>
        <v>S</v>
      </c>
      <c r="AD55" s="65">
        <v>17.0</v>
      </c>
      <c r="AE55" s="33" t="str">
        <f t="shared" si="101"/>
        <v>R</v>
      </c>
      <c r="AF55" s="65">
        <v>26.0</v>
      </c>
      <c r="AG55" s="33" t="str">
        <f t="shared" si="102"/>
        <v>S</v>
      </c>
      <c r="AH55" s="65">
        <v>19.0</v>
      </c>
      <c r="AI55" s="33" t="str">
        <f t="shared" si="103"/>
        <v>S</v>
      </c>
      <c r="AJ55" s="65">
        <v>24.0</v>
      </c>
      <c r="AK55" s="33" t="str">
        <f t="shared" si="104"/>
        <v>I</v>
      </c>
      <c r="AL55" s="65" t="s">
        <v>299</v>
      </c>
      <c r="AM55" s="66">
        <v>22.0</v>
      </c>
      <c r="AN55" s="36" t="str">
        <f t="shared" si="105"/>
        <v>I</v>
      </c>
      <c r="AO55" s="66">
        <v>18.0</v>
      </c>
      <c r="AP55" s="36" t="str">
        <f t="shared" si="106"/>
        <v>R</v>
      </c>
      <c r="AQ55" s="66">
        <v>16.0</v>
      </c>
      <c r="AR55" s="36" t="str">
        <f t="shared" si="107"/>
        <v>S</v>
      </c>
      <c r="AS55" s="66" t="s">
        <v>299</v>
      </c>
      <c r="AT55" s="67">
        <v>6.0</v>
      </c>
      <c r="AU55" s="37" t="str">
        <f t="shared" si="108"/>
        <v>R</v>
      </c>
      <c r="AV55" s="65">
        <v>16.0</v>
      </c>
      <c r="AW55" s="33" t="str">
        <f t="shared" si="109"/>
        <v>R</v>
      </c>
      <c r="AX55" s="65">
        <v>21.0</v>
      </c>
      <c r="AY55" s="33" t="str">
        <f t="shared" si="110"/>
        <v>S</v>
      </c>
      <c r="AZ55" s="65" t="s">
        <v>299</v>
      </c>
      <c r="BA55" s="28">
        <v>6.0</v>
      </c>
      <c r="BB55" s="26" t="str">
        <f t="shared" si="111"/>
        <v>R</v>
      </c>
      <c r="BC55" s="67">
        <v>21.0</v>
      </c>
      <c r="BD55" s="37" t="str">
        <f t="shared" si="112"/>
        <v>I</v>
      </c>
      <c r="BE55" s="66">
        <v>22.0</v>
      </c>
      <c r="BF55" s="36" t="str">
        <f t="shared" si="113"/>
        <v>R</v>
      </c>
      <c r="BG55" s="39" t="s">
        <v>357</v>
      </c>
      <c r="BH55" s="39" t="s">
        <v>357</v>
      </c>
      <c r="BI55" s="66">
        <v>27.0</v>
      </c>
      <c r="BJ55" s="36" t="str">
        <f t="shared" si="114"/>
        <v>S</v>
      </c>
      <c r="BK55" s="68">
        <v>14.0</v>
      </c>
      <c r="BL55" s="41" t="str">
        <f t="shared" si="115"/>
        <v>R</v>
      </c>
      <c r="BM55" s="41"/>
    </row>
    <row r="56">
      <c r="A56" s="18" t="s">
        <v>567</v>
      </c>
      <c r="B56" s="18" t="s">
        <v>444</v>
      </c>
      <c r="C56" s="18" t="s">
        <v>968</v>
      </c>
      <c r="D56" s="69" t="s">
        <v>190</v>
      </c>
      <c r="E56" s="18" t="s">
        <v>190</v>
      </c>
      <c r="F56" s="18" t="s">
        <v>192</v>
      </c>
      <c r="G56" s="63" t="s">
        <v>969</v>
      </c>
      <c r="H56" s="22" t="s">
        <v>198</v>
      </c>
      <c r="I56" s="64" t="s">
        <v>41</v>
      </c>
      <c r="J56" s="70" t="s">
        <v>205</v>
      </c>
      <c r="K56" s="71" t="s">
        <v>208</v>
      </c>
      <c r="L56" s="71" t="s">
        <v>205</v>
      </c>
      <c r="M56" s="28">
        <v>6.0</v>
      </c>
      <c r="N56" s="26" t="str">
        <f t="shared" si="93"/>
        <v>R</v>
      </c>
      <c r="O56" s="28">
        <v>6.0</v>
      </c>
      <c r="P56" s="26" t="str">
        <f t="shared" si="94"/>
        <v>R</v>
      </c>
      <c r="Q56" s="28">
        <v>6.0</v>
      </c>
      <c r="R56" s="26" t="str">
        <f t="shared" si="95"/>
        <v>R</v>
      </c>
      <c r="S56" s="28">
        <v>19.0</v>
      </c>
      <c r="T56" s="26" t="str">
        <f t="shared" si="96"/>
        <v>R</v>
      </c>
      <c r="U56" s="28">
        <v>6.0</v>
      </c>
      <c r="V56" s="26" t="str">
        <f t="shared" si="97"/>
        <v>R</v>
      </c>
      <c r="W56" s="28">
        <v>6.0</v>
      </c>
      <c r="X56" s="26" t="str">
        <f t="shared" si="98"/>
        <v>R</v>
      </c>
      <c r="Y56" s="28">
        <v>11.0</v>
      </c>
      <c r="Z56" s="26" t="str">
        <f t="shared" si="99"/>
        <v>R</v>
      </c>
      <c r="AA56" s="32" t="s">
        <v>299</v>
      </c>
      <c r="AB56" s="65">
        <v>6.0</v>
      </c>
      <c r="AC56" s="33" t="str">
        <f t="shared" si="100"/>
        <v>R</v>
      </c>
      <c r="AD56" s="65">
        <v>6.0</v>
      </c>
      <c r="AE56" s="33" t="str">
        <f t="shared" si="101"/>
        <v>R</v>
      </c>
      <c r="AF56" s="65">
        <v>6.0</v>
      </c>
      <c r="AG56" s="33" t="str">
        <f t="shared" si="102"/>
        <v>R</v>
      </c>
      <c r="AH56" s="65">
        <v>18.0</v>
      </c>
      <c r="AI56" s="33" t="str">
        <f t="shared" si="103"/>
        <v>S</v>
      </c>
      <c r="AJ56" s="65">
        <v>6.0</v>
      </c>
      <c r="AK56" s="33" t="str">
        <f t="shared" si="104"/>
        <v>R</v>
      </c>
      <c r="AL56" s="65" t="s">
        <v>299</v>
      </c>
      <c r="AM56" s="66">
        <v>6.0</v>
      </c>
      <c r="AN56" s="36" t="str">
        <f t="shared" si="105"/>
        <v>R</v>
      </c>
      <c r="AO56" s="66">
        <v>8.0</v>
      </c>
      <c r="AP56" s="36" t="str">
        <f t="shared" si="106"/>
        <v>R</v>
      </c>
      <c r="AQ56" s="66">
        <v>6.0</v>
      </c>
      <c r="AR56" s="36" t="str">
        <f t="shared" si="107"/>
        <v>R</v>
      </c>
      <c r="AS56" s="66" t="s">
        <v>299</v>
      </c>
      <c r="AT56" s="67">
        <v>6.0</v>
      </c>
      <c r="AU56" s="37" t="str">
        <f t="shared" si="108"/>
        <v>R</v>
      </c>
      <c r="AV56" s="65">
        <v>11.0</v>
      </c>
      <c r="AW56" s="33" t="str">
        <f t="shared" si="109"/>
        <v>R</v>
      </c>
      <c r="AX56" s="65">
        <v>6.0</v>
      </c>
      <c r="AY56" s="33" t="str">
        <f t="shared" si="110"/>
        <v>R</v>
      </c>
      <c r="AZ56" s="65" t="s">
        <v>299</v>
      </c>
      <c r="BA56" s="28">
        <v>6.0</v>
      </c>
      <c r="BB56" s="26" t="str">
        <f t="shared" si="111"/>
        <v>R</v>
      </c>
      <c r="BC56" s="67">
        <v>6.0</v>
      </c>
      <c r="BD56" s="37" t="str">
        <f t="shared" si="112"/>
        <v>R</v>
      </c>
      <c r="BE56" s="66">
        <v>6.0</v>
      </c>
      <c r="BF56" s="36" t="str">
        <f t="shared" si="113"/>
        <v>R</v>
      </c>
      <c r="BG56" s="39" t="s">
        <v>357</v>
      </c>
      <c r="BH56" s="39" t="s">
        <v>357</v>
      </c>
      <c r="BI56" s="66">
        <v>6.0</v>
      </c>
      <c r="BJ56" s="36" t="str">
        <f t="shared" si="114"/>
        <v>R</v>
      </c>
      <c r="BK56" s="68">
        <v>16.0</v>
      </c>
      <c r="BL56" s="41" t="str">
        <f t="shared" si="115"/>
        <v>R</v>
      </c>
      <c r="BM56" s="41"/>
    </row>
    <row r="57">
      <c r="A57" s="18" t="s">
        <v>567</v>
      </c>
      <c r="B57" s="19">
        <v>152.0</v>
      </c>
      <c r="C57" s="18" t="s">
        <v>973</v>
      </c>
      <c r="D57" s="69" t="s">
        <v>571</v>
      </c>
      <c r="E57" s="18" t="s">
        <v>572</v>
      </c>
      <c r="F57" s="18" t="s">
        <v>192</v>
      </c>
      <c r="G57" s="63" t="s">
        <v>974</v>
      </c>
      <c r="H57" s="42" t="s">
        <v>479</v>
      </c>
      <c r="I57" s="64" t="s">
        <v>41</v>
      </c>
      <c r="J57" s="70" t="s">
        <v>205</v>
      </c>
      <c r="K57" s="71" t="s">
        <v>208</v>
      </c>
      <c r="L57" s="71" t="s">
        <v>205</v>
      </c>
      <c r="M57" s="28">
        <v>12.0</v>
      </c>
      <c r="N57" s="26" t="str">
        <f t="shared" si="93"/>
        <v>R</v>
      </c>
      <c r="O57" s="28">
        <v>12.0</v>
      </c>
      <c r="P57" s="26" t="str">
        <f t="shared" si="94"/>
        <v>R</v>
      </c>
      <c r="Q57" s="28">
        <v>24.0</v>
      </c>
      <c r="R57" s="26" t="str">
        <f t="shared" si="95"/>
        <v>S</v>
      </c>
      <c r="S57" s="28">
        <v>21.0</v>
      </c>
      <c r="T57" s="26" t="str">
        <f t="shared" si="96"/>
        <v>I</v>
      </c>
      <c r="U57" s="28">
        <v>22.0</v>
      </c>
      <c r="V57" s="26" t="str">
        <f t="shared" si="97"/>
        <v>S</v>
      </c>
      <c r="W57" s="28">
        <v>22.0</v>
      </c>
      <c r="X57" s="26" t="str">
        <f t="shared" si="98"/>
        <v>S</v>
      </c>
      <c r="Y57" s="28">
        <v>15.0</v>
      </c>
      <c r="Z57" s="26" t="str">
        <f t="shared" si="99"/>
        <v>R</v>
      </c>
      <c r="AA57" s="32" t="s">
        <v>299</v>
      </c>
      <c r="AB57" s="65">
        <v>26.0</v>
      </c>
      <c r="AC57" s="33" t="str">
        <f t="shared" si="100"/>
        <v>S</v>
      </c>
      <c r="AD57" s="65">
        <v>7.0</v>
      </c>
      <c r="AE57" s="33" t="str">
        <f t="shared" si="101"/>
        <v>R</v>
      </c>
      <c r="AF57" s="65">
        <v>26.0</v>
      </c>
      <c r="AG57" s="33" t="str">
        <f t="shared" si="102"/>
        <v>S</v>
      </c>
      <c r="AH57" s="65">
        <v>14.0</v>
      </c>
      <c r="AI57" s="33" t="str">
        <f t="shared" si="103"/>
        <v>S</v>
      </c>
      <c r="AJ57" s="65">
        <v>28.0</v>
      </c>
      <c r="AK57" s="33" t="str">
        <f t="shared" si="104"/>
        <v>S</v>
      </c>
      <c r="AL57" s="65" t="s">
        <v>299</v>
      </c>
      <c r="AM57" s="66">
        <v>25.0</v>
      </c>
      <c r="AN57" s="36" t="str">
        <f t="shared" si="105"/>
        <v>S</v>
      </c>
      <c r="AO57" s="66">
        <v>24.0</v>
      </c>
      <c r="AP57" s="36" t="str">
        <f t="shared" si="106"/>
        <v>S</v>
      </c>
      <c r="AQ57" s="66">
        <v>20.0</v>
      </c>
      <c r="AR57" s="36" t="str">
        <f t="shared" si="107"/>
        <v>S</v>
      </c>
      <c r="AS57" s="36" t="s">
        <v>300</v>
      </c>
      <c r="AT57" s="67">
        <v>24.0</v>
      </c>
      <c r="AU57" s="37" t="str">
        <f t="shared" si="108"/>
        <v>S</v>
      </c>
      <c r="AV57" s="65">
        <v>12.0</v>
      </c>
      <c r="AW57" s="33" t="str">
        <f t="shared" si="109"/>
        <v>R</v>
      </c>
      <c r="AX57" s="65">
        <v>25.0</v>
      </c>
      <c r="AY57" s="33" t="str">
        <f t="shared" si="110"/>
        <v>S</v>
      </c>
      <c r="AZ57" s="65" t="s">
        <v>299</v>
      </c>
      <c r="BA57" s="28">
        <v>21.0</v>
      </c>
      <c r="BB57" s="26" t="str">
        <f t="shared" si="111"/>
        <v>S</v>
      </c>
      <c r="BC57" s="67">
        <v>24.0</v>
      </c>
      <c r="BD57" s="37" t="str">
        <f t="shared" si="112"/>
        <v>I</v>
      </c>
      <c r="BE57" s="66">
        <v>22.0</v>
      </c>
      <c r="BF57" s="36" t="str">
        <f t="shared" si="113"/>
        <v>R</v>
      </c>
      <c r="BG57" s="39" t="s">
        <v>357</v>
      </c>
      <c r="BH57" s="39" t="s">
        <v>357</v>
      </c>
      <c r="BI57" s="66">
        <v>22.0</v>
      </c>
      <c r="BJ57" s="36" t="str">
        <f t="shared" si="114"/>
        <v>S</v>
      </c>
      <c r="BK57" s="68">
        <v>16.0</v>
      </c>
      <c r="BL57" s="41" t="str">
        <f t="shared" si="115"/>
        <v>R</v>
      </c>
      <c r="BM57" s="41"/>
    </row>
    <row r="58">
      <c r="A58" s="18" t="s">
        <v>567</v>
      </c>
      <c r="B58" s="19">
        <v>153.0</v>
      </c>
      <c r="C58" s="18" t="s">
        <v>975</v>
      </c>
      <c r="D58" s="69" t="s">
        <v>705</v>
      </c>
      <c r="E58" s="18" t="s">
        <v>572</v>
      </c>
      <c r="F58" s="18" t="s">
        <v>192</v>
      </c>
      <c r="G58" s="63" t="s">
        <v>976</v>
      </c>
      <c r="H58" s="42" t="s">
        <v>479</v>
      </c>
      <c r="I58" s="64" t="s">
        <v>41</v>
      </c>
      <c r="J58" s="70" t="s">
        <v>205</v>
      </c>
      <c r="K58" s="71" t="s">
        <v>208</v>
      </c>
      <c r="L58" s="71" t="s">
        <v>205</v>
      </c>
      <c r="M58" s="28">
        <v>6.0</v>
      </c>
      <c r="N58" s="26" t="str">
        <f t="shared" si="93"/>
        <v>R</v>
      </c>
      <c r="O58" s="28">
        <v>16.0</v>
      </c>
      <c r="P58" s="26" t="str">
        <f t="shared" si="94"/>
        <v>R</v>
      </c>
      <c r="Q58" s="28">
        <v>6.0</v>
      </c>
      <c r="R58" s="26" t="str">
        <f t="shared" si="95"/>
        <v>R</v>
      </c>
      <c r="S58" s="28">
        <v>20.0</v>
      </c>
      <c r="T58" s="26" t="str">
        <f t="shared" si="96"/>
        <v>I</v>
      </c>
      <c r="U58" s="28">
        <v>12.0</v>
      </c>
      <c r="V58" s="26" t="str">
        <f t="shared" si="97"/>
        <v>R</v>
      </c>
      <c r="W58" s="28">
        <v>20.0</v>
      </c>
      <c r="X58" s="26" t="str">
        <f t="shared" si="98"/>
        <v>S</v>
      </c>
      <c r="Y58" s="28">
        <v>19.0</v>
      </c>
      <c r="Z58" s="26" t="str">
        <f t="shared" si="99"/>
        <v>I</v>
      </c>
      <c r="AA58" s="32" t="s">
        <v>299</v>
      </c>
      <c r="AB58" s="65">
        <v>23.0</v>
      </c>
      <c r="AC58" s="33" t="str">
        <f t="shared" si="100"/>
        <v>S</v>
      </c>
      <c r="AD58" s="65">
        <v>20.0</v>
      </c>
      <c r="AE58" s="33" t="str">
        <f t="shared" si="101"/>
        <v>S</v>
      </c>
      <c r="AF58" s="65">
        <v>21.0</v>
      </c>
      <c r="AG58" s="33" t="str">
        <f t="shared" si="102"/>
        <v>I</v>
      </c>
      <c r="AH58" s="65">
        <v>20.0</v>
      </c>
      <c r="AI58" s="33" t="str">
        <f t="shared" si="103"/>
        <v>S</v>
      </c>
      <c r="AJ58" s="65">
        <v>16.0</v>
      </c>
      <c r="AK58" s="33" t="str">
        <f t="shared" si="104"/>
        <v>R</v>
      </c>
      <c r="AL58" s="65" t="s">
        <v>299</v>
      </c>
      <c r="AM58" s="66">
        <v>16.0</v>
      </c>
      <c r="AN58" s="36" t="str">
        <f t="shared" si="105"/>
        <v>R</v>
      </c>
      <c r="AO58" s="66">
        <v>11.0</v>
      </c>
      <c r="AP58" s="36" t="str">
        <f t="shared" si="106"/>
        <v>R</v>
      </c>
      <c r="AQ58" s="66">
        <v>13.0</v>
      </c>
      <c r="AR58" s="36" t="str">
        <f t="shared" si="107"/>
        <v>R</v>
      </c>
      <c r="AS58" s="66" t="s">
        <v>299</v>
      </c>
      <c r="AT58" s="67">
        <v>6.0</v>
      </c>
      <c r="AU58" s="37" t="str">
        <f t="shared" si="108"/>
        <v>R</v>
      </c>
      <c r="AV58" s="65">
        <v>15.0</v>
      </c>
      <c r="AW58" s="33" t="str">
        <f t="shared" si="109"/>
        <v>R</v>
      </c>
      <c r="AX58" s="65">
        <v>12.0</v>
      </c>
      <c r="AY58" s="33" t="str">
        <f t="shared" si="110"/>
        <v>R</v>
      </c>
      <c r="AZ58" s="65" t="s">
        <v>299</v>
      </c>
      <c r="BA58" s="28">
        <v>6.0</v>
      </c>
      <c r="BB58" s="26" t="str">
        <f t="shared" si="111"/>
        <v>R</v>
      </c>
      <c r="BC58" s="67">
        <v>22.0</v>
      </c>
      <c r="BD58" s="37" t="str">
        <f t="shared" si="112"/>
        <v>I</v>
      </c>
      <c r="BE58" s="66">
        <v>20.0</v>
      </c>
      <c r="BF58" s="36" t="str">
        <f t="shared" si="113"/>
        <v>R</v>
      </c>
      <c r="BG58" s="39" t="s">
        <v>357</v>
      </c>
      <c r="BH58" s="39" t="s">
        <v>357</v>
      </c>
      <c r="BI58" s="66">
        <v>15.0</v>
      </c>
      <c r="BJ58" s="36" t="str">
        <f t="shared" si="114"/>
        <v>R</v>
      </c>
      <c r="BK58" s="68">
        <v>21.0</v>
      </c>
      <c r="BL58" s="41" t="str">
        <f t="shared" si="115"/>
        <v>S</v>
      </c>
      <c r="BM58" s="41"/>
    </row>
    <row r="59">
      <c r="A59" s="18" t="s">
        <v>576</v>
      </c>
      <c r="B59" s="19">
        <v>188.0</v>
      </c>
      <c r="C59" s="18" t="s">
        <v>977</v>
      </c>
      <c r="D59" s="69" t="s">
        <v>190</v>
      </c>
      <c r="E59" s="18" t="s">
        <v>190</v>
      </c>
      <c r="F59" s="18" t="s">
        <v>192</v>
      </c>
      <c r="G59" s="63" t="s">
        <v>978</v>
      </c>
      <c r="H59" s="22" t="s">
        <v>198</v>
      </c>
      <c r="I59" s="64" t="s">
        <v>481</v>
      </c>
      <c r="J59" s="43" t="s">
        <v>205</v>
      </c>
      <c r="K59" s="43" t="s">
        <v>208</v>
      </c>
      <c r="L59" s="25" t="s">
        <v>208</v>
      </c>
      <c r="M59" s="28">
        <v>6.0</v>
      </c>
      <c r="N59" s="26" t="str">
        <f t="shared" si="93"/>
        <v>R</v>
      </c>
      <c r="O59" s="28">
        <v>6.0</v>
      </c>
      <c r="P59" s="26" t="str">
        <f t="shared" si="94"/>
        <v>R</v>
      </c>
      <c r="Q59" s="28">
        <v>6.0</v>
      </c>
      <c r="R59" s="26" t="str">
        <f t="shared" si="95"/>
        <v>R</v>
      </c>
      <c r="S59" s="28">
        <v>24.0</v>
      </c>
      <c r="T59" s="26" t="str">
        <f t="shared" si="96"/>
        <v>S</v>
      </c>
      <c r="U59" s="28">
        <v>6.0</v>
      </c>
      <c r="V59" s="26" t="str">
        <f t="shared" si="97"/>
        <v>R</v>
      </c>
      <c r="W59" s="28">
        <v>6.0</v>
      </c>
      <c r="X59" s="26" t="str">
        <f t="shared" si="98"/>
        <v>R</v>
      </c>
      <c r="Y59" s="28">
        <v>15.0</v>
      </c>
      <c r="Z59" s="26" t="str">
        <f t="shared" si="99"/>
        <v>R</v>
      </c>
      <c r="AA59" s="32" t="s">
        <v>299</v>
      </c>
      <c r="AB59" s="65">
        <v>6.0</v>
      </c>
      <c r="AC59" s="33" t="str">
        <f t="shared" si="100"/>
        <v>R</v>
      </c>
      <c r="AD59" s="65">
        <v>6.0</v>
      </c>
      <c r="AE59" s="33" t="str">
        <f t="shared" si="101"/>
        <v>R</v>
      </c>
      <c r="AF59" s="65">
        <v>6.0</v>
      </c>
      <c r="AG59" s="33" t="str">
        <f t="shared" si="102"/>
        <v>R</v>
      </c>
      <c r="AH59" s="65">
        <v>18.0</v>
      </c>
      <c r="AI59" s="33" t="str">
        <f t="shared" si="103"/>
        <v>S</v>
      </c>
      <c r="AJ59" s="65">
        <v>6.0</v>
      </c>
      <c r="AK59" s="33" t="str">
        <f t="shared" si="104"/>
        <v>R</v>
      </c>
      <c r="AL59" s="65" t="s">
        <v>299</v>
      </c>
      <c r="AM59" s="66">
        <v>6.0</v>
      </c>
      <c r="AN59" s="36" t="str">
        <f t="shared" si="105"/>
        <v>R</v>
      </c>
      <c r="AO59" s="66">
        <v>6.0</v>
      </c>
      <c r="AP59" s="36" t="str">
        <f t="shared" si="106"/>
        <v>R</v>
      </c>
      <c r="AQ59" s="66">
        <v>6.0</v>
      </c>
      <c r="AR59" s="36" t="str">
        <f t="shared" si="107"/>
        <v>R</v>
      </c>
      <c r="AS59" s="66" t="s">
        <v>299</v>
      </c>
      <c r="AT59" s="67">
        <v>6.0</v>
      </c>
      <c r="AU59" s="37" t="str">
        <f t="shared" si="108"/>
        <v>R</v>
      </c>
      <c r="AV59" s="65">
        <v>12.0</v>
      </c>
      <c r="AW59" s="33" t="str">
        <f t="shared" si="109"/>
        <v>R</v>
      </c>
      <c r="AX59" s="65">
        <v>22.0</v>
      </c>
      <c r="AY59" s="33" t="str">
        <f t="shared" si="110"/>
        <v>S</v>
      </c>
      <c r="AZ59" s="65" t="s">
        <v>299</v>
      </c>
      <c r="BA59" s="28">
        <v>6.0</v>
      </c>
      <c r="BB59" s="26" t="str">
        <f t="shared" si="111"/>
        <v>R</v>
      </c>
      <c r="BC59" s="67">
        <v>6.0</v>
      </c>
      <c r="BD59" s="37" t="str">
        <f t="shared" si="112"/>
        <v>R</v>
      </c>
      <c r="BE59" s="66">
        <v>18.0</v>
      </c>
      <c r="BF59" s="36" t="str">
        <f t="shared" si="113"/>
        <v>R</v>
      </c>
      <c r="BG59" s="39" t="s">
        <v>357</v>
      </c>
      <c r="BH59" s="39" t="s">
        <v>357</v>
      </c>
      <c r="BI59" s="66">
        <v>23.0</v>
      </c>
      <c r="BJ59" s="36" t="str">
        <f t="shared" si="114"/>
        <v>S</v>
      </c>
      <c r="BK59" s="68">
        <v>6.0</v>
      </c>
      <c r="BL59" s="41" t="str">
        <f t="shared" si="115"/>
        <v>R</v>
      </c>
      <c r="BM59" s="41"/>
    </row>
    <row r="60">
      <c r="A60" s="18" t="s">
        <v>576</v>
      </c>
      <c r="B60" s="18" t="s">
        <v>444</v>
      </c>
      <c r="C60" s="18" t="s">
        <v>979</v>
      </c>
      <c r="D60" s="69" t="s">
        <v>190</v>
      </c>
      <c r="E60" s="18" t="s">
        <v>190</v>
      </c>
      <c r="F60" s="18" t="s">
        <v>192</v>
      </c>
      <c r="G60" s="63" t="s">
        <v>980</v>
      </c>
      <c r="H60" s="22" t="s">
        <v>198</v>
      </c>
      <c r="I60" s="64" t="s">
        <v>41</v>
      </c>
      <c r="J60" s="70" t="s">
        <v>205</v>
      </c>
      <c r="K60" s="71" t="s">
        <v>208</v>
      </c>
      <c r="L60" s="71" t="s">
        <v>205</v>
      </c>
      <c r="M60" s="28">
        <v>6.0</v>
      </c>
      <c r="N60" s="26" t="str">
        <f t="shared" si="93"/>
        <v>R</v>
      </c>
      <c r="O60" s="28">
        <v>6.0</v>
      </c>
      <c r="P60" s="26" t="str">
        <f t="shared" si="94"/>
        <v>R</v>
      </c>
      <c r="Q60" s="28">
        <v>6.0</v>
      </c>
      <c r="R60" s="26" t="str">
        <f t="shared" si="95"/>
        <v>R</v>
      </c>
      <c r="S60" s="28">
        <v>25.0</v>
      </c>
      <c r="T60" s="26" t="str">
        <f t="shared" si="96"/>
        <v>S</v>
      </c>
      <c r="U60" s="28">
        <v>6.0</v>
      </c>
      <c r="V60" s="26" t="str">
        <f t="shared" si="97"/>
        <v>R</v>
      </c>
      <c r="W60" s="28">
        <v>6.0</v>
      </c>
      <c r="X60" s="26" t="str">
        <f t="shared" si="98"/>
        <v>R</v>
      </c>
      <c r="Y60" s="28">
        <v>12.0</v>
      </c>
      <c r="Z60" s="26" t="str">
        <f t="shared" si="99"/>
        <v>R</v>
      </c>
      <c r="AA60" s="32" t="s">
        <v>299</v>
      </c>
      <c r="AB60" s="65">
        <v>6.0</v>
      </c>
      <c r="AC60" s="33" t="str">
        <f t="shared" si="100"/>
        <v>R</v>
      </c>
      <c r="AD60" s="65">
        <v>6.0</v>
      </c>
      <c r="AE60" s="33" t="str">
        <f t="shared" si="101"/>
        <v>R</v>
      </c>
      <c r="AF60" s="65">
        <v>6.0</v>
      </c>
      <c r="AG60" s="33" t="str">
        <f t="shared" si="102"/>
        <v>R</v>
      </c>
      <c r="AH60" s="65">
        <v>13.0</v>
      </c>
      <c r="AI60" s="33" t="str">
        <f t="shared" si="103"/>
        <v>S</v>
      </c>
      <c r="AJ60" s="65">
        <v>6.0</v>
      </c>
      <c r="AK60" s="33" t="str">
        <f t="shared" si="104"/>
        <v>R</v>
      </c>
      <c r="AL60" s="65" t="s">
        <v>299</v>
      </c>
      <c r="AM60" s="66">
        <v>6.0</v>
      </c>
      <c r="AN60" s="36" t="str">
        <f t="shared" si="105"/>
        <v>R</v>
      </c>
      <c r="AO60" s="66">
        <v>6.0</v>
      </c>
      <c r="AP60" s="36" t="str">
        <f t="shared" si="106"/>
        <v>R</v>
      </c>
      <c r="AQ60" s="66">
        <v>6.0</v>
      </c>
      <c r="AR60" s="36" t="str">
        <f t="shared" si="107"/>
        <v>R</v>
      </c>
      <c r="AS60" s="66" t="s">
        <v>299</v>
      </c>
      <c r="AT60" s="67">
        <v>6.0</v>
      </c>
      <c r="AU60" s="37" t="str">
        <f t="shared" si="108"/>
        <v>R</v>
      </c>
      <c r="AV60" s="65">
        <v>13.0</v>
      </c>
      <c r="AW60" s="33" t="str">
        <f t="shared" si="109"/>
        <v>R</v>
      </c>
      <c r="AX60" s="65">
        <v>17.0</v>
      </c>
      <c r="AY60" s="33" t="str">
        <f t="shared" si="110"/>
        <v>S</v>
      </c>
      <c r="AZ60" s="65" t="s">
        <v>299</v>
      </c>
      <c r="BA60" s="28">
        <v>6.0</v>
      </c>
      <c r="BB60" s="26" t="str">
        <f t="shared" si="111"/>
        <v>R</v>
      </c>
      <c r="BC60" s="67">
        <v>6.0</v>
      </c>
      <c r="BD60" s="37" t="str">
        <f t="shared" si="112"/>
        <v>R</v>
      </c>
      <c r="BE60" s="66">
        <v>13.0</v>
      </c>
      <c r="BF60" s="36" t="str">
        <f t="shared" si="113"/>
        <v>R</v>
      </c>
      <c r="BG60" s="39" t="s">
        <v>357</v>
      </c>
      <c r="BH60" s="39" t="s">
        <v>357</v>
      </c>
      <c r="BI60" s="66">
        <v>21.0</v>
      </c>
      <c r="BJ60" s="36" t="str">
        <f t="shared" si="114"/>
        <v>I</v>
      </c>
      <c r="BK60" s="68">
        <v>6.0</v>
      </c>
      <c r="BL60" s="41" t="str">
        <f t="shared" si="115"/>
        <v>R</v>
      </c>
      <c r="BM60" s="41"/>
    </row>
    <row r="61">
      <c r="A61" s="18" t="s">
        <v>576</v>
      </c>
      <c r="B61" s="19">
        <v>189.0</v>
      </c>
      <c r="C61" s="18" t="s">
        <v>986</v>
      </c>
      <c r="D61" s="69" t="s">
        <v>571</v>
      </c>
      <c r="E61" s="18" t="s">
        <v>572</v>
      </c>
      <c r="F61" s="18" t="s">
        <v>192</v>
      </c>
      <c r="G61" s="63" t="s">
        <v>987</v>
      </c>
      <c r="H61" s="22" t="s">
        <v>198</v>
      </c>
      <c r="I61" s="64" t="s">
        <v>41</v>
      </c>
      <c r="J61" s="70" t="s">
        <v>205</v>
      </c>
      <c r="K61" s="71" t="s">
        <v>208</v>
      </c>
      <c r="L61" s="71" t="s">
        <v>205</v>
      </c>
      <c r="M61" s="28">
        <v>6.0</v>
      </c>
      <c r="N61" s="26" t="str">
        <f t="shared" si="93"/>
        <v>R</v>
      </c>
      <c r="O61" s="28">
        <v>6.0</v>
      </c>
      <c r="P61" s="26" t="str">
        <f t="shared" si="94"/>
        <v>R</v>
      </c>
      <c r="Q61" s="28">
        <v>6.0</v>
      </c>
      <c r="R61" s="26" t="str">
        <f t="shared" si="95"/>
        <v>R</v>
      </c>
      <c r="S61" s="28">
        <v>18.0</v>
      </c>
      <c r="T61" s="26" t="str">
        <f t="shared" si="96"/>
        <v>R</v>
      </c>
      <c r="U61" s="28">
        <v>6.0</v>
      </c>
      <c r="V61" s="26" t="str">
        <f t="shared" si="97"/>
        <v>R</v>
      </c>
      <c r="W61" s="28">
        <v>8.0</v>
      </c>
      <c r="X61" s="26" t="str">
        <f t="shared" si="98"/>
        <v>R</v>
      </c>
      <c r="Y61" s="28">
        <v>6.0</v>
      </c>
      <c r="Z61" s="26" t="str">
        <f t="shared" si="99"/>
        <v>R</v>
      </c>
      <c r="AA61" s="32" t="s">
        <v>299</v>
      </c>
      <c r="AB61" s="65">
        <v>6.0</v>
      </c>
      <c r="AC61" s="33" t="str">
        <f t="shared" si="100"/>
        <v>R</v>
      </c>
      <c r="AD61" s="65">
        <v>6.0</v>
      </c>
      <c r="AE61" s="33" t="str">
        <f t="shared" si="101"/>
        <v>R</v>
      </c>
      <c r="AF61" s="65">
        <v>6.0</v>
      </c>
      <c r="AG61" s="33" t="str">
        <f t="shared" si="102"/>
        <v>R</v>
      </c>
      <c r="AH61" s="65">
        <v>11.0</v>
      </c>
      <c r="AI61" s="33" t="str">
        <f t="shared" si="103"/>
        <v>R</v>
      </c>
      <c r="AJ61" s="65">
        <v>6.0</v>
      </c>
      <c r="AK61" s="33" t="str">
        <f t="shared" si="104"/>
        <v>R</v>
      </c>
      <c r="AL61" s="65" t="s">
        <v>299</v>
      </c>
      <c r="AM61" s="66">
        <v>6.0</v>
      </c>
      <c r="AN61" s="36" t="str">
        <f t="shared" si="105"/>
        <v>R</v>
      </c>
      <c r="AO61" s="66">
        <v>6.0</v>
      </c>
      <c r="AP61" s="36" t="str">
        <f t="shared" si="106"/>
        <v>R</v>
      </c>
      <c r="AQ61" s="66">
        <v>6.0</v>
      </c>
      <c r="AR61" s="36" t="str">
        <f t="shared" si="107"/>
        <v>R</v>
      </c>
      <c r="AS61" s="66" t="s">
        <v>299</v>
      </c>
      <c r="AT61" s="67">
        <v>6.0</v>
      </c>
      <c r="AU61" s="37" t="str">
        <f t="shared" si="108"/>
        <v>R</v>
      </c>
      <c r="AV61" s="65">
        <v>15.0</v>
      </c>
      <c r="AW61" s="33" t="str">
        <f t="shared" si="109"/>
        <v>R</v>
      </c>
      <c r="AX61" s="65">
        <v>6.0</v>
      </c>
      <c r="AY61" s="33" t="str">
        <f t="shared" si="110"/>
        <v>R</v>
      </c>
      <c r="AZ61" s="65" t="s">
        <v>299</v>
      </c>
      <c r="BA61" s="28">
        <v>6.0</v>
      </c>
      <c r="BB61" s="26" t="str">
        <f t="shared" si="111"/>
        <v>R</v>
      </c>
      <c r="BC61" s="67">
        <v>6.0</v>
      </c>
      <c r="BD61" s="37" t="str">
        <f t="shared" si="112"/>
        <v>R</v>
      </c>
      <c r="BE61" s="66">
        <v>17.0</v>
      </c>
      <c r="BF61" s="36" t="str">
        <f t="shared" si="113"/>
        <v>R</v>
      </c>
      <c r="BG61" s="39" t="s">
        <v>357</v>
      </c>
      <c r="BH61" s="39" t="s">
        <v>357</v>
      </c>
      <c r="BI61" s="66">
        <v>23.0</v>
      </c>
      <c r="BJ61" s="36" t="str">
        <f t="shared" si="114"/>
        <v>S</v>
      </c>
      <c r="BK61" s="68">
        <v>6.0</v>
      </c>
      <c r="BL61" s="41" t="str">
        <f t="shared" si="115"/>
        <v>R</v>
      </c>
      <c r="BM61" s="41"/>
    </row>
    <row r="62">
      <c r="A62" s="18" t="s">
        <v>576</v>
      </c>
      <c r="B62" s="18" t="s">
        <v>444</v>
      </c>
      <c r="C62" s="18" t="s">
        <v>991</v>
      </c>
      <c r="D62" s="69" t="s">
        <v>571</v>
      </c>
      <c r="E62" s="18" t="s">
        <v>572</v>
      </c>
      <c r="F62" s="18" t="s">
        <v>192</v>
      </c>
      <c r="G62" s="63" t="s">
        <v>992</v>
      </c>
      <c r="H62" s="42" t="s">
        <v>479</v>
      </c>
      <c r="I62" s="24" t="s">
        <v>37</v>
      </c>
      <c r="J62" s="25" t="s">
        <v>205</v>
      </c>
      <c r="K62" s="25" t="s">
        <v>205</v>
      </c>
      <c r="L62" s="25" t="s">
        <v>208</v>
      </c>
      <c r="M62" s="28">
        <v>6.0</v>
      </c>
      <c r="N62" s="26" t="str">
        <f t="shared" si="93"/>
        <v>R</v>
      </c>
      <c r="O62" s="28">
        <v>19.0</v>
      </c>
      <c r="P62" s="26" t="str">
        <f t="shared" si="94"/>
        <v>S</v>
      </c>
      <c r="Q62" s="28">
        <v>6.0</v>
      </c>
      <c r="R62" s="26" t="str">
        <f t="shared" si="95"/>
        <v>R</v>
      </c>
      <c r="S62" s="28">
        <v>28.0</v>
      </c>
      <c r="T62" s="26" t="str">
        <f t="shared" si="96"/>
        <v>S</v>
      </c>
      <c r="U62" s="28">
        <v>6.0</v>
      </c>
      <c r="V62" s="26" t="str">
        <f t="shared" si="97"/>
        <v>R</v>
      </c>
      <c r="W62" s="28">
        <v>18.0</v>
      </c>
      <c r="X62" s="26" t="str">
        <f t="shared" si="98"/>
        <v>R</v>
      </c>
      <c r="Y62" s="28">
        <v>14.0</v>
      </c>
      <c r="Z62" s="26" t="str">
        <f t="shared" si="99"/>
        <v>R</v>
      </c>
      <c r="AA62" s="32" t="s">
        <v>299</v>
      </c>
      <c r="AB62" s="65">
        <v>11.0</v>
      </c>
      <c r="AC62" s="33" t="str">
        <f t="shared" si="100"/>
        <v>R</v>
      </c>
      <c r="AD62" s="65">
        <v>19.0</v>
      </c>
      <c r="AE62" s="33" t="str">
        <f t="shared" si="101"/>
        <v>S</v>
      </c>
      <c r="AF62" s="65">
        <v>15.0</v>
      </c>
      <c r="AG62" s="33" t="str">
        <f t="shared" si="102"/>
        <v>R</v>
      </c>
      <c r="AH62" s="65">
        <v>14.0</v>
      </c>
      <c r="AI62" s="33" t="str">
        <f t="shared" si="103"/>
        <v>S</v>
      </c>
      <c r="AJ62" s="65">
        <v>14.0</v>
      </c>
      <c r="AK62" s="33" t="str">
        <f t="shared" si="104"/>
        <v>R</v>
      </c>
      <c r="AL62" s="65" t="s">
        <v>299</v>
      </c>
      <c r="AM62" s="66">
        <v>17.0</v>
      </c>
      <c r="AN62" s="36" t="str">
        <f t="shared" si="105"/>
        <v>R</v>
      </c>
      <c r="AO62" s="66">
        <v>17.0</v>
      </c>
      <c r="AP62" s="36" t="str">
        <f t="shared" si="106"/>
        <v>R</v>
      </c>
      <c r="AQ62" s="66">
        <v>15.0</v>
      </c>
      <c r="AR62" s="36" t="str">
        <f t="shared" si="107"/>
        <v>S</v>
      </c>
      <c r="AS62" s="66" t="s">
        <v>299</v>
      </c>
      <c r="AT62" s="67">
        <v>6.0</v>
      </c>
      <c r="AU62" s="37" t="str">
        <f t="shared" si="108"/>
        <v>R</v>
      </c>
      <c r="AV62" s="65">
        <v>16.0</v>
      </c>
      <c r="AW62" s="33" t="str">
        <f t="shared" si="109"/>
        <v>R</v>
      </c>
      <c r="AX62" s="65">
        <v>17.0</v>
      </c>
      <c r="AY62" s="33" t="str">
        <f t="shared" si="110"/>
        <v>S</v>
      </c>
      <c r="AZ62" s="65" t="s">
        <v>299</v>
      </c>
      <c r="BA62" s="28">
        <v>8.0</v>
      </c>
      <c r="BB62" s="26" t="str">
        <f t="shared" si="111"/>
        <v>R</v>
      </c>
      <c r="BC62" s="67">
        <v>12.0</v>
      </c>
      <c r="BD62" s="37" t="str">
        <f t="shared" si="112"/>
        <v>R</v>
      </c>
      <c r="BE62" s="66">
        <v>22.0</v>
      </c>
      <c r="BF62" s="36" t="str">
        <f t="shared" si="113"/>
        <v>R</v>
      </c>
      <c r="BG62" s="39" t="s">
        <v>357</v>
      </c>
      <c r="BH62" s="39" t="s">
        <v>357</v>
      </c>
      <c r="BI62" s="66">
        <v>24.0</v>
      </c>
      <c r="BJ62" s="36" t="str">
        <f t="shared" si="114"/>
        <v>S</v>
      </c>
      <c r="BK62" s="68">
        <v>16.0</v>
      </c>
      <c r="BL62" s="41" t="str">
        <f t="shared" si="115"/>
        <v>R</v>
      </c>
      <c r="BM62" s="41"/>
    </row>
    <row r="63">
      <c r="A63" s="18" t="s">
        <v>588</v>
      </c>
      <c r="B63" s="19">
        <v>200.0</v>
      </c>
      <c r="C63" s="18" t="s">
        <v>997</v>
      </c>
      <c r="D63" s="69" t="s">
        <v>190</v>
      </c>
      <c r="E63" s="18" t="s">
        <v>190</v>
      </c>
      <c r="F63" s="18" t="s">
        <v>192</v>
      </c>
      <c r="G63" s="63" t="s">
        <v>998</v>
      </c>
      <c r="H63" s="22" t="s">
        <v>198</v>
      </c>
      <c r="I63" s="24" t="s">
        <v>816</v>
      </c>
      <c r="J63" s="25" t="s">
        <v>205</v>
      </c>
      <c r="K63" s="25" t="s">
        <v>205</v>
      </c>
      <c r="L63" s="25" t="s">
        <v>205</v>
      </c>
      <c r="M63" s="28">
        <v>6.0</v>
      </c>
      <c r="N63" s="26" t="str">
        <f t="shared" si="93"/>
        <v>R</v>
      </c>
      <c r="O63" s="28">
        <v>19.0</v>
      </c>
      <c r="P63" s="26" t="str">
        <f t="shared" si="94"/>
        <v>S</v>
      </c>
      <c r="Q63" s="28">
        <v>6.0</v>
      </c>
      <c r="R63" s="26" t="str">
        <f t="shared" si="95"/>
        <v>R</v>
      </c>
      <c r="S63" s="28">
        <v>22.0</v>
      </c>
      <c r="T63" s="26" t="str">
        <f t="shared" si="96"/>
        <v>I</v>
      </c>
      <c r="U63" s="28">
        <v>6.0</v>
      </c>
      <c r="V63" s="26" t="str">
        <f t="shared" si="97"/>
        <v>R</v>
      </c>
      <c r="W63" s="28">
        <v>15.0</v>
      </c>
      <c r="X63" s="26" t="str">
        <f t="shared" si="98"/>
        <v>R</v>
      </c>
      <c r="Y63" s="28">
        <v>18.0</v>
      </c>
      <c r="Z63" s="26" t="str">
        <f t="shared" si="99"/>
        <v>I</v>
      </c>
      <c r="AA63" s="32" t="s">
        <v>299</v>
      </c>
      <c r="AB63" s="65">
        <v>11.0</v>
      </c>
      <c r="AC63" s="33" t="str">
        <f t="shared" si="100"/>
        <v>R</v>
      </c>
      <c r="AD63" s="65">
        <v>19.0</v>
      </c>
      <c r="AE63" s="33" t="str">
        <f t="shared" si="101"/>
        <v>S</v>
      </c>
      <c r="AF63" s="65">
        <v>15.0</v>
      </c>
      <c r="AG63" s="33" t="str">
        <f t="shared" si="102"/>
        <v>R</v>
      </c>
      <c r="AH63" s="65">
        <v>18.0</v>
      </c>
      <c r="AI63" s="33" t="str">
        <f t="shared" si="103"/>
        <v>S</v>
      </c>
      <c r="AJ63" s="65">
        <v>16.0</v>
      </c>
      <c r="AK63" s="33" t="str">
        <f t="shared" si="104"/>
        <v>R</v>
      </c>
      <c r="AL63" s="65" t="s">
        <v>299</v>
      </c>
      <c r="AM63" s="66">
        <v>17.0</v>
      </c>
      <c r="AN63" s="36" t="str">
        <f t="shared" si="105"/>
        <v>R</v>
      </c>
      <c r="AO63" s="66">
        <v>17.0</v>
      </c>
      <c r="AP63" s="36" t="str">
        <f t="shared" si="106"/>
        <v>R</v>
      </c>
      <c r="AQ63" s="66">
        <v>15.0</v>
      </c>
      <c r="AR63" s="36" t="str">
        <f t="shared" si="107"/>
        <v>S</v>
      </c>
      <c r="AS63" s="66" t="s">
        <v>299</v>
      </c>
      <c r="AT63" s="67">
        <v>6.0</v>
      </c>
      <c r="AU63" s="37" t="str">
        <f t="shared" si="108"/>
        <v>R</v>
      </c>
      <c r="AV63" s="65">
        <v>16.0</v>
      </c>
      <c r="AW63" s="33" t="str">
        <f t="shared" si="109"/>
        <v>R</v>
      </c>
      <c r="AX63" s="65">
        <v>15.0</v>
      </c>
      <c r="AY63" s="33" t="str">
        <f t="shared" si="110"/>
        <v>R</v>
      </c>
      <c r="AZ63" s="65" t="s">
        <v>299</v>
      </c>
      <c r="BA63" s="28">
        <v>9.0</v>
      </c>
      <c r="BB63" s="26" t="str">
        <f t="shared" si="111"/>
        <v>R</v>
      </c>
      <c r="BC63" s="67">
        <v>10.0</v>
      </c>
      <c r="BD63" s="37" t="str">
        <f t="shared" si="112"/>
        <v>R</v>
      </c>
      <c r="BE63" s="66">
        <v>21.0</v>
      </c>
      <c r="BF63" s="36" t="str">
        <f t="shared" si="113"/>
        <v>R</v>
      </c>
      <c r="BG63" s="39" t="s">
        <v>357</v>
      </c>
      <c r="BH63" s="39" t="s">
        <v>357</v>
      </c>
      <c r="BI63" s="66">
        <v>20.0</v>
      </c>
      <c r="BJ63" s="36" t="str">
        <f t="shared" si="114"/>
        <v>I</v>
      </c>
      <c r="BK63" s="68">
        <v>12.0</v>
      </c>
      <c r="BL63" s="41" t="str">
        <f t="shared" si="115"/>
        <v>R</v>
      </c>
      <c r="BM63" s="41"/>
    </row>
    <row r="64">
      <c r="A64" s="18" t="s">
        <v>588</v>
      </c>
      <c r="B64" s="19">
        <v>201.0</v>
      </c>
      <c r="C64" s="18" t="s">
        <v>1000</v>
      </c>
      <c r="D64" s="69" t="s">
        <v>571</v>
      </c>
      <c r="E64" s="18" t="s">
        <v>572</v>
      </c>
      <c r="F64" s="18" t="s">
        <v>192</v>
      </c>
      <c r="G64" s="63" t="s">
        <v>1001</v>
      </c>
      <c r="H64" s="22" t="s">
        <v>198</v>
      </c>
      <c r="I64" s="24" t="s">
        <v>816</v>
      </c>
      <c r="J64" s="25" t="s">
        <v>205</v>
      </c>
      <c r="K64" s="25" t="s">
        <v>205</v>
      </c>
      <c r="L64" s="25" t="s">
        <v>205</v>
      </c>
      <c r="M64" s="28">
        <v>6.0</v>
      </c>
      <c r="N64" s="26" t="str">
        <f t="shared" si="93"/>
        <v>R</v>
      </c>
      <c r="O64" s="28">
        <v>18.0</v>
      </c>
      <c r="P64" s="26" t="str">
        <f t="shared" si="94"/>
        <v>R</v>
      </c>
      <c r="Q64" s="28">
        <v>6.0</v>
      </c>
      <c r="R64" s="26" t="str">
        <f t="shared" si="95"/>
        <v>R</v>
      </c>
      <c r="S64" s="28">
        <v>20.0</v>
      </c>
      <c r="T64" s="26" t="str">
        <f t="shared" si="96"/>
        <v>I</v>
      </c>
      <c r="U64" s="28">
        <v>6.0</v>
      </c>
      <c r="V64" s="26" t="str">
        <f t="shared" si="97"/>
        <v>R</v>
      </c>
      <c r="W64" s="28">
        <v>22.0</v>
      </c>
      <c r="X64" s="26" t="str">
        <f t="shared" si="98"/>
        <v>S</v>
      </c>
      <c r="Y64" s="28">
        <v>17.0</v>
      </c>
      <c r="Z64" s="26" t="str">
        <f t="shared" si="99"/>
        <v>I</v>
      </c>
      <c r="AA64" s="32" t="s">
        <v>299</v>
      </c>
      <c r="AB64" s="65">
        <v>9.0</v>
      </c>
      <c r="AC64" s="33" t="str">
        <f t="shared" si="100"/>
        <v>R</v>
      </c>
      <c r="AD64" s="65">
        <v>26.0</v>
      </c>
      <c r="AE64" s="33" t="str">
        <f t="shared" si="101"/>
        <v>S</v>
      </c>
      <c r="AF64" s="65">
        <v>6.0</v>
      </c>
      <c r="AG64" s="33" t="str">
        <f t="shared" si="102"/>
        <v>R</v>
      </c>
      <c r="AH64" s="65">
        <v>15.0</v>
      </c>
      <c r="AI64" s="33" t="str">
        <f t="shared" si="103"/>
        <v>S</v>
      </c>
      <c r="AJ64" s="65">
        <v>6.0</v>
      </c>
      <c r="AK64" s="33" t="str">
        <f t="shared" si="104"/>
        <v>R</v>
      </c>
      <c r="AL64" s="65" t="s">
        <v>299</v>
      </c>
      <c r="AM64" s="66">
        <v>6.0</v>
      </c>
      <c r="AN64" s="36" t="str">
        <f t="shared" si="105"/>
        <v>R</v>
      </c>
      <c r="AO64" s="66">
        <v>10.0</v>
      </c>
      <c r="AP64" s="36" t="str">
        <f t="shared" si="106"/>
        <v>R</v>
      </c>
      <c r="AQ64" s="66">
        <v>6.0</v>
      </c>
      <c r="AR64" s="36" t="str">
        <f t="shared" si="107"/>
        <v>R</v>
      </c>
      <c r="AS64" s="66" t="s">
        <v>299</v>
      </c>
      <c r="AT64" s="67">
        <v>6.0</v>
      </c>
      <c r="AU64" s="37" t="str">
        <f t="shared" si="108"/>
        <v>R</v>
      </c>
      <c r="AV64" s="65">
        <v>18.0</v>
      </c>
      <c r="AW64" s="33" t="str">
        <f t="shared" si="109"/>
        <v>S</v>
      </c>
      <c r="AX64" s="65">
        <v>12.0</v>
      </c>
      <c r="AY64" s="33" t="str">
        <f t="shared" si="110"/>
        <v>R</v>
      </c>
      <c r="AZ64" s="65" t="s">
        <v>299</v>
      </c>
      <c r="BA64" s="28">
        <v>6.0</v>
      </c>
      <c r="BB64" s="26" t="str">
        <f t="shared" si="111"/>
        <v>R</v>
      </c>
      <c r="BC64" s="67">
        <v>11.0</v>
      </c>
      <c r="BD64" s="37" t="str">
        <f t="shared" si="112"/>
        <v>R</v>
      </c>
      <c r="BE64" s="66">
        <v>19.0</v>
      </c>
      <c r="BF64" s="36" t="str">
        <f t="shared" si="113"/>
        <v>R</v>
      </c>
      <c r="BG64" s="39" t="s">
        <v>357</v>
      </c>
      <c r="BH64" s="39" t="s">
        <v>357</v>
      </c>
      <c r="BI64" s="66">
        <v>13.0</v>
      </c>
      <c r="BJ64" s="36" t="str">
        <f t="shared" si="114"/>
        <v>R</v>
      </c>
      <c r="BK64" s="68">
        <v>6.0</v>
      </c>
      <c r="BL64" s="41" t="str">
        <f t="shared" si="115"/>
        <v>R</v>
      </c>
      <c r="BM64" s="41"/>
    </row>
    <row r="65">
      <c r="A65" s="18" t="s">
        <v>588</v>
      </c>
      <c r="B65" s="19">
        <v>202.0</v>
      </c>
      <c r="C65" s="18" t="s">
        <v>1004</v>
      </c>
      <c r="D65" s="69" t="s">
        <v>705</v>
      </c>
      <c r="E65" s="18" t="s">
        <v>572</v>
      </c>
      <c r="F65" s="18" t="s">
        <v>192</v>
      </c>
      <c r="G65" s="63" t="s">
        <v>1005</v>
      </c>
      <c r="H65" s="22" t="s">
        <v>198</v>
      </c>
      <c r="I65" s="24" t="s">
        <v>37</v>
      </c>
      <c r="J65" s="25" t="s">
        <v>205</v>
      </c>
      <c r="K65" s="25" t="s">
        <v>205</v>
      </c>
      <c r="L65" s="25" t="s">
        <v>208</v>
      </c>
      <c r="M65" s="28">
        <v>6.0</v>
      </c>
      <c r="N65" s="26" t="str">
        <f t="shared" si="93"/>
        <v>R</v>
      </c>
      <c r="O65" s="28">
        <v>25.0</v>
      </c>
      <c r="P65" s="26" t="str">
        <f t="shared" si="94"/>
        <v>S</v>
      </c>
      <c r="Q65" s="28">
        <v>17.0</v>
      </c>
      <c r="R65" s="26" t="str">
        <f t="shared" si="95"/>
        <v>R</v>
      </c>
      <c r="S65" s="28">
        <v>25.0</v>
      </c>
      <c r="T65" s="26" t="str">
        <f t="shared" si="96"/>
        <v>S</v>
      </c>
      <c r="U65" s="28">
        <v>21.0</v>
      </c>
      <c r="V65" s="26" t="str">
        <f t="shared" si="97"/>
        <v>S</v>
      </c>
      <c r="W65" s="28">
        <v>20.0</v>
      </c>
      <c r="X65" s="26" t="str">
        <f t="shared" si="98"/>
        <v>S</v>
      </c>
      <c r="Y65" s="28">
        <v>19.0</v>
      </c>
      <c r="Z65" s="26" t="str">
        <f t="shared" si="99"/>
        <v>I</v>
      </c>
      <c r="AA65" s="32" t="s">
        <v>299</v>
      </c>
      <c r="AB65" s="65">
        <v>14.0</v>
      </c>
      <c r="AC65" s="33" t="str">
        <f t="shared" si="100"/>
        <v>R</v>
      </c>
      <c r="AD65" s="65">
        <v>19.0</v>
      </c>
      <c r="AE65" s="33" t="str">
        <f t="shared" si="101"/>
        <v>S</v>
      </c>
      <c r="AF65" s="65">
        <v>27.0</v>
      </c>
      <c r="AG65" s="33" t="str">
        <f t="shared" si="102"/>
        <v>S</v>
      </c>
      <c r="AH65" s="65">
        <v>32.0</v>
      </c>
      <c r="AI65" s="33" t="str">
        <f t="shared" si="103"/>
        <v>S</v>
      </c>
      <c r="AJ65" s="65">
        <v>20.0</v>
      </c>
      <c r="AK65" s="33" t="str">
        <f t="shared" si="104"/>
        <v>R</v>
      </c>
      <c r="AL65" s="65" t="s">
        <v>299</v>
      </c>
      <c r="AM65" s="66">
        <v>23.0</v>
      </c>
      <c r="AN65" s="36" t="str">
        <f t="shared" si="105"/>
        <v>I</v>
      </c>
      <c r="AO65" s="66">
        <v>23.0</v>
      </c>
      <c r="AP65" s="36" t="str">
        <f t="shared" si="106"/>
        <v>S</v>
      </c>
      <c r="AQ65" s="66">
        <v>15.0</v>
      </c>
      <c r="AR65" s="36" t="str">
        <f t="shared" si="107"/>
        <v>S</v>
      </c>
      <c r="AS65" s="66" t="s">
        <v>299</v>
      </c>
      <c r="AT65" s="67">
        <v>19.0</v>
      </c>
      <c r="AU65" s="37" t="str">
        <f t="shared" si="108"/>
        <v>S</v>
      </c>
      <c r="AV65" s="65">
        <v>18.0</v>
      </c>
      <c r="AW65" s="33" t="str">
        <f t="shared" si="109"/>
        <v>S</v>
      </c>
      <c r="AX65" s="65">
        <v>19.0</v>
      </c>
      <c r="AY65" s="33" t="str">
        <f t="shared" si="110"/>
        <v>S</v>
      </c>
      <c r="AZ65" s="33" t="s">
        <v>300</v>
      </c>
      <c r="BA65" s="28">
        <v>18.0</v>
      </c>
      <c r="BB65" s="26" t="str">
        <f t="shared" si="111"/>
        <v>R</v>
      </c>
      <c r="BC65" s="67">
        <v>30.0</v>
      </c>
      <c r="BD65" s="37" t="str">
        <f t="shared" si="112"/>
        <v>S</v>
      </c>
      <c r="BE65" s="66">
        <v>26.0</v>
      </c>
      <c r="BF65" s="36" t="str">
        <f t="shared" si="113"/>
        <v>S</v>
      </c>
      <c r="BG65" s="39" t="s">
        <v>357</v>
      </c>
      <c r="BH65" s="39" t="s">
        <v>357</v>
      </c>
      <c r="BI65" s="66">
        <v>35.0</v>
      </c>
      <c r="BJ65" s="36" t="str">
        <f t="shared" si="114"/>
        <v>S</v>
      </c>
      <c r="BK65" s="68">
        <v>22.0</v>
      </c>
      <c r="BL65" s="41" t="str">
        <f t="shared" si="115"/>
        <v>S</v>
      </c>
      <c r="BM65" s="41"/>
    </row>
    <row r="66">
      <c r="A66" s="18" t="s">
        <v>588</v>
      </c>
      <c r="B66" s="19">
        <v>203.0</v>
      </c>
      <c r="C66" s="18" t="s">
        <v>1008</v>
      </c>
      <c r="D66" s="69" t="s">
        <v>1009</v>
      </c>
      <c r="E66" s="18" t="s">
        <v>103</v>
      </c>
      <c r="F66" s="18" t="s">
        <v>192</v>
      </c>
      <c r="G66" s="63" t="s">
        <v>1010</v>
      </c>
      <c r="H66" s="22" t="s">
        <v>198</v>
      </c>
      <c r="I66" s="64" t="s">
        <v>1011</v>
      </c>
      <c r="J66" s="71" t="s">
        <v>208</v>
      </c>
      <c r="K66" s="70" t="s">
        <v>208</v>
      </c>
      <c r="L66" s="70" t="s">
        <v>208</v>
      </c>
      <c r="M66" s="28">
        <v>9.0</v>
      </c>
      <c r="N66" s="26" t="str">
        <f t="shared" si="93"/>
        <v>R</v>
      </c>
      <c r="O66" s="28">
        <v>27.0</v>
      </c>
      <c r="P66" s="26" t="str">
        <f t="shared" si="94"/>
        <v>S</v>
      </c>
      <c r="Q66" s="28">
        <v>21.0</v>
      </c>
      <c r="R66" s="26" t="str">
        <f t="shared" si="95"/>
        <v>R</v>
      </c>
      <c r="S66" s="28">
        <v>22.0</v>
      </c>
      <c r="T66" s="26" t="str">
        <f t="shared" si="96"/>
        <v>I</v>
      </c>
      <c r="U66" s="28">
        <v>22.0</v>
      </c>
      <c r="V66" s="26" t="str">
        <f t="shared" si="97"/>
        <v>S</v>
      </c>
      <c r="W66" s="28">
        <v>21.0</v>
      </c>
      <c r="X66" s="26" t="str">
        <f t="shared" si="98"/>
        <v>S</v>
      </c>
      <c r="Y66" s="28">
        <v>13.0</v>
      </c>
      <c r="Z66" s="26" t="str">
        <f t="shared" si="99"/>
        <v>R</v>
      </c>
      <c r="AA66" s="32" t="s">
        <v>299</v>
      </c>
      <c r="AB66" s="65">
        <v>26.0</v>
      </c>
      <c r="AC66" s="33" t="str">
        <f t="shared" si="100"/>
        <v>S</v>
      </c>
      <c r="AD66" s="65">
        <v>24.0</v>
      </c>
      <c r="AE66" s="33" t="str">
        <f t="shared" si="101"/>
        <v>S</v>
      </c>
      <c r="AF66" s="65">
        <v>22.0</v>
      </c>
      <c r="AG66" s="33" t="str">
        <f t="shared" si="102"/>
        <v>S</v>
      </c>
      <c r="AH66" s="65">
        <v>21.0</v>
      </c>
      <c r="AI66" s="33" t="str">
        <f t="shared" si="103"/>
        <v>S</v>
      </c>
      <c r="AJ66" s="65">
        <v>28.0</v>
      </c>
      <c r="AK66" s="33" t="str">
        <f t="shared" si="104"/>
        <v>S</v>
      </c>
      <c r="AL66" s="33" t="s">
        <v>300</v>
      </c>
      <c r="AM66" s="66">
        <v>28.0</v>
      </c>
      <c r="AN66" s="36" t="str">
        <f t="shared" si="105"/>
        <v>S</v>
      </c>
      <c r="AO66" s="66">
        <v>25.0</v>
      </c>
      <c r="AP66" s="36" t="str">
        <f t="shared" si="106"/>
        <v>S</v>
      </c>
      <c r="AQ66" s="66">
        <v>23.0</v>
      </c>
      <c r="AR66" s="36" t="str">
        <f t="shared" si="107"/>
        <v>S</v>
      </c>
      <c r="AS66" s="36" t="s">
        <v>300</v>
      </c>
      <c r="AT66" s="67">
        <v>26.0</v>
      </c>
      <c r="AU66" s="37" t="str">
        <f t="shared" si="108"/>
        <v>S</v>
      </c>
      <c r="AV66" s="65">
        <v>19.0</v>
      </c>
      <c r="AW66" s="33" t="str">
        <f t="shared" si="109"/>
        <v>S</v>
      </c>
      <c r="AX66" s="65">
        <v>18.0</v>
      </c>
      <c r="AY66" s="33" t="str">
        <f t="shared" si="110"/>
        <v>S</v>
      </c>
      <c r="AZ66" s="33" t="s">
        <v>300</v>
      </c>
      <c r="BA66" s="28">
        <v>21.0</v>
      </c>
      <c r="BB66" s="26" t="str">
        <f t="shared" si="111"/>
        <v>S</v>
      </c>
      <c r="BC66" s="67">
        <v>28.0</v>
      </c>
      <c r="BD66" s="37" t="str">
        <f t="shared" si="112"/>
        <v>S</v>
      </c>
      <c r="BE66" s="66">
        <v>27.0</v>
      </c>
      <c r="BF66" s="36" t="str">
        <f t="shared" si="113"/>
        <v>S</v>
      </c>
      <c r="BG66" s="39" t="s">
        <v>357</v>
      </c>
      <c r="BH66" s="39" t="s">
        <v>357</v>
      </c>
      <c r="BI66" s="66">
        <v>31.0</v>
      </c>
      <c r="BJ66" s="36" t="str">
        <f t="shared" si="114"/>
        <v>S</v>
      </c>
      <c r="BK66" s="68">
        <v>22.0</v>
      </c>
      <c r="BL66" s="41" t="str">
        <f t="shared" si="115"/>
        <v>S</v>
      </c>
      <c r="BM66" s="41"/>
    </row>
    <row r="67">
      <c r="A67" s="18" t="s">
        <v>603</v>
      </c>
      <c r="B67" s="19">
        <v>212.0</v>
      </c>
      <c r="C67" s="18" t="s">
        <v>1014</v>
      </c>
      <c r="D67" s="69" t="s">
        <v>571</v>
      </c>
      <c r="E67" s="18" t="s">
        <v>572</v>
      </c>
      <c r="F67" s="18" t="s">
        <v>192</v>
      </c>
      <c r="G67" s="63" t="s">
        <v>1015</v>
      </c>
      <c r="H67" s="22" t="s">
        <v>198</v>
      </c>
      <c r="I67" s="64" t="s">
        <v>41</v>
      </c>
      <c r="J67" s="70" t="s">
        <v>205</v>
      </c>
      <c r="K67" s="71" t="s">
        <v>208</v>
      </c>
      <c r="L67" s="71" t="s">
        <v>205</v>
      </c>
      <c r="M67" s="28">
        <v>6.0</v>
      </c>
      <c r="N67" s="26" t="str">
        <f t="shared" si="93"/>
        <v>R</v>
      </c>
      <c r="O67" s="28">
        <v>19.0</v>
      </c>
      <c r="P67" s="26" t="str">
        <f t="shared" si="94"/>
        <v>S</v>
      </c>
      <c r="Q67" s="28">
        <v>9.0</v>
      </c>
      <c r="R67" s="26" t="str">
        <f t="shared" si="95"/>
        <v>R</v>
      </c>
      <c r="S67" s="28">
        <v>24.0</v>
      </c>
      <c r="T67" s="26" t="str">
        <f t="shared" si="96"/>
        <v>S</v>
      </c>
      <c r="U67" s="28">
        <v>18.0</v>
      </c>
      <c r="V67" s="26" t="str">
        <f t="shared" si="97"/>
        <v>R</v>
      </c>
      <c r="W67" s="28">
        <v>21.0</v>
      </c>
      <c r="X67" s="26" t="str">
        <f t="shared" si="98"/>
        <v>S</v>
      </c>
      <c r="Y67" s="28">
        <v>18.0</v>
      </c>
      <c r="Z67" s="26" t="str">
        <f t="shared" si="99"/>
        <v>I</v>
      </c>
      <c r="AA67" s="32" t="s">
        <v>299</v>
      </c>
      <c r="AB67" s="65">
        <v>18.0</v>
      </c>
      <c r="AC67" s="33" t="str">
        <f t="shared" si="100"/>
        <v>I</v>
      </c>
      <c r="AD67" s="65">
        <v>20.0</v>
      </c>
      <c r="AE67" s="33" t="str">
        <f t="shared" si="101"/>
        <v>S</v>
      </c>
      <c r="AF67" s="65">
        <v>20.0</v>
      </c>
      <c r="AG67" s="33" t="str">
        <f t="shared" si="102"/>
        <v>I</v>
      </c>
      <c r="AH67" s="65">
        <v>17.0</v>
      </c>
      <c r="AI67" s="33" t="str">
        <f t="shared" si="103"/>
        <v>S</v>
      </c>
      <c r="AJ67" s="65">
        <v>16.0</v>
      </c>
      <c r="AK67" s="33" t="str">
        <f t="shared" si="104"/>
        <v>R</v>
      </c>
      <c r="AL67" s="65" t="s">
        <v>299</v>
      </c>
      <c r="AM67" s="66">
        <v>16.0</v>
      </c>
      <c r="AN67" s="36" t="str">
        <f t="shared" si="105"/>
        <v>R</v>
      </c>
      <c r="AO67" s="66">
        <v>11.0</v>
      </c>
      <c r="AP67" s="36" t="str">
        <f t="shared" si="106"/>
        <v>R</v>
      </c>
      <c r="AQ67" s="66">
        <v>12.0</v>
      </c>
      <c r="AR67" s="36" t="str">
        <f t="shared" si="107"/>
        <v>R</v>
      </c>
      <c r="AS67" s="66" t="s">
        <v>299</v>
      </c>
      <c r="AT67" s="67">
        <v>6.0</v>
      </c>
      <c r="AU67" s="37" t="str">
        <f t="shared" si="108"/>
        <v>R</v>
      </c>
      <c r="AV67" s="65">
        <v>18.0</v>
      </c>
      <c r="AW67" s="33" t="str">
        <f t="shared" si="109"/>
        <v>S</v>
      </c>
      <c r="AX67" s="65">
        <v>17.0</v>
      </c>
      <c r="AY67" s="33" t="str">
        <f t="shared" si="110"/>
        <v>S</v>
      </c>
      <c r="AZ67" s="33" t="s">
        <v>300</v>
      </c>
      <c r="BA67" s="28">
        <v>11.0</v>
      </c>
      <c r="BB67" s="26" t="str">
        <f t="shared" si="111"/>
        <v>R</v>
      </c>
      <c r="BC67" s="67">
        <v>14.0</v>
      </c>
      <c r="BD67" s="37" t="str">
        <f t="shared" si="112"/>
        <v>R</v>
      </c>
      <c r="BE67" s="66">
        <v>18.0</v>
      </c>
      <c r="BF67" s="36" t="str">
        <f t="shared" si="113"/>
        <v>R</v>
      </c>
      <c r="BG67" s="39" t="s">
        <v>357</v>
      </c>
      <c r="BH67" s="39" t="s">
        <v>357</v>
      </c>
      <c r="BI67" s="66">
        <v>20.0</v>
      </c>
      <c r="BJ67" s="36" t="str">
        <f t="shared" si="114"/>
        <v>I</v>
      </c>
      <c r="BK67" s="68">
        <v>17.0</v>
      </c>
      <c r="BL67" s="41" t="str">
        <f t="shared" si="115"/>
        <v>S</v>
      </c>
      <c r="BM67" s="41"/>
    </row>
    <row r="68">
      <c r="A68" s="18" t="s">
        <v>618</v>
      </c>
      <c r="B68" s="19">
        <v>213.0</v>
      </c>
      <c r="C68" s="18" t="s">
        <v>1020</v>
      </c>
      <c r="D68" s="69" t="s">
        <v>190</v>
      </c>
      <c r="E68" s="18" t="s">
        <v>190</v>
      </c>
      <c r="F68" s="18" t="s">
        <v>192</v>
      </c>
      <c r="G68" s="63" t="s">
        <v>1021</v>
      </c>
      <c r="H68" s="42" t="s">
        <v>479</v>
      </c>
      <c r="I68" s="24" t="s">
        <v>816</v>
      </c>
      <c r="J68" s="25" t="s">
        <v>205</v>
      </c>
      <c r="K68" s="25" t="s">
        <v>205</v>
      </c>
      <c r="L68" s="25" t="s">
        <v>205</v>
      </c>
      <c r="M68" s="28">
        <v>6.0</v>
      </c>
      <c r="N68" s="26" t="str">
        <f t="shared" si="93"/>
        <v>R</v>
      </c>
      <c r="O68" s="28">
        <v>16.0</v>
      </c>
      <c r="P68" s="26" t="str">
        <f t="shared" si="94"/>
        <v>R</v>
      </c>
      <c r="Q68" s="28">
        <v>10.0</v>
      </c>
      <c r="R68" s="26" t="str">
        <f t="shared" si="95"/>
        <v>R</v>
      </c>
      <c r="S68" s="28">
        <v>22.0</v>
      </c>
      <c r="T68" s="26" t="str">
        <f t="shared" si="96"/>
        <v>I</v>
      </c>
      <c r="U68" s="28">
        <v>20.0</v>
      </c>
      <c r="V68" s="26" t="str">
        <f t="shared" si="97"/>
        <v>S</v>
      </c>
      <c r="W68" s="28">
        <v>21.0</v>
      </c>
      <c r="X68" s="26" t="str">
        <f t="shared" si="98"/>
        <v>S</v>
      </c>
      <c r="Y68" s="28">
        <v>17.0</v>
      </c>
      <c r="Z68" s="26" t="str">
        <f t="shared" si="99"/>
        <v>I</v>
      </c>
      <c r="AA68" s="32" t="s">
        <v>299</v>
      </c>
      <c r="AB68" s="65">
        <v>14.0</v>
      </c>
      <c r="AC68" s="33" t="str">
        <f t="shared" si="100"/>
        <v>R</v>
      </c>
      <c r="AD68" s="65">
        <v>20.0</v>
      </c>
      <c r="AE68" s="33" t="str">
        <f t="shared" si="101"/>
        <v>S</v>
      </c>
      <c r="AF68" s="65">
        <v>23.0</v>
      </c>
      <c r="AG68" s="33" t="str">
        <f t="shared" si="102"/>
        <v>S</v>
      </c>
      <c r="AH68" s="65">
        <v>15.0</v>
      </c>
      <c r="AI68" s="33" t="str">
        <f t="shared" si="103"/>
        <v>S</v>
      </c>
      <c r="AJ68" s="65">
        <v>18.0</v>
      </c>
      <c r="AK68" s="33" t="str">
        <f t="shared" si="104"/>
        <v>R</v>
      </c>
      <c r="AL68" s="65" t="s">
        <v>299</v>
      </c>
      <c r="AM68" s="66">
        <v>11.0</v>
      </c>
      <c r="AN68" s="36" t="str">
        <f t="shared" si="105"/>
        <v>R</v>
      </c>
      <c r="AO68" s="66">
        <v>10.0</v>
      </c>
      <c r="AP68" s="36" t="str">
        <f t="shared" si="106"/>
        <v>R</v>
      </c>
      <c r="AQ68" s="66">
        <v>6.0</v>
      </c>
      <c r="AR68" s="36" t="str">
        <f t="shared" si="107"/>
        <v>R</v>
      </c>
      <c r="AS68" s="66" t="s">
        <v>299</v>
      </c>
      <c r="AT68" s="67">
        <v>10.0</v>
      </c>
      <c r="AU68" s="37" t="str">
        <f t="shared" si="108"/>
        <v>R</v>
      </c>
      <c r="AV68" s="65">
        <v>19.0</v>
      </c>
      <c r="AW68" s="33" t="str">
        <f t="shared" si="109"/>
        <v>S</v>
      </c>
      <c r="AX68" s="65">
        <v>18.0</v>
      </c>
      <c r="AY68" s="33" t="str">
        <f t="shared" si="110"/>
        <v>S</v>
      </c>
      <c r="AZ68" s="33" t="s">
        <v>300</v>
      </c>
      <c r="BA68" s="28">
        <v>12.0</v>
      </c>
      <c r="BB68" s="26" t="str">
        <f t="shared" si="111"/>
        <v>R</v>
      </c>
      <c r="BC68" s="67">
        <v>12.0</v>
      </c>
      <c r="BD68" s="37" t="str">
        <f t="shared" si="112"/>
        <v>R</v>
      </c>
      <c r="BE68" s="66">
        <v>14.0</v>
      </c>
      <c r="BF68" s="36" t="str">
        <f t="shared" si="113"/>
        <v>R</v>
      </c>
      <c r="BG68" s="39" t="s">
        <v>357</v>
      </c>
      <c r="BH68" s="39" t="s">
        <v>357</v>
      </c>
      <c r="BI68" s="66">
        <v>16.0</v>
      </c>
      <c r="BJ68" s="36" t="str">
        <f t="shared" si="114"/>
        <v>R</v>
      </c>
      <c r="BK68" s="68">
        <v>20.0</v>
      </c>
      <c r="BL68" s="41" t="str">
        <f t="shared" si="115"/>
        <v>S</v>
      </c>
      <c r="BM68" s="41"/>
    </row>
    <row r="69">
      <c r="A69" s="18" t="s">
        <v>618</v>
      </c>
      <c r="B69" s="19">
        <v>214.0</v>
      </c>
      <c r="C69" s="18" t="s">
        <v>1022</v>
      </c>
      <c r="D69" s="69" t="s">
        <v>190</v>
      </c>
      <c r="E69" s="18" t="s">
        <v>190</v>
      </c>
      <c r="F69" s="18" t="s">
        <v>192</v>
      </c>
      <c r="G69" s="63" t="s">
        <v>1023</v>
      </c>
      <c r="H69" s="42" t="s">
        <v>479</v>
      </c>
      <c r="I69" s="24" t="s">
        <v>816</v>
      </c>
      <c r="J69" s="25" t="s">
        <v>205</v>
      </c>
      <c r="K69" s="25" t="s">
        <v>205</v>
      </c>
      <c r="L69" s="25" t="s">
        <v>205</v>
      </c>
      <c r="M69" s="28">
        <v>6.0</v>
      </c>
      <c r="N69" s="26" t="str">
        <f t="shared" si="93"/>
        <v>R</v>
      </c>
      <c r="O69" s="28">
        <v>20.0</v>
      </c>
      <c r="P69" s="26" t="str">
        <f t="shared" si="94"/>
        <v>S</v>
      </c>
      <c r="Q69" s="28">
        <v>6.0</v>
      </c>
      <c r="R69" s="26" t="str">
        <f t="shared" si="95"/>
        <v>R</v>
      </c>
      <c r="S69" s="28">
        <v>25.0</v>
      </c>
      <c r="T69" s="26" t="str">
        <f t="shared" si="96"/>
        <v>S</v>
      </c>
      <c r="U69" s="28">
        <v>19.0</v>
      </c>
      <c r="V69" s="26" t="str">
        <f t="shared" si="97"/>
        <v>R</v>
      </c>
      <c r="W69" s="28">
        <v>17.0</v>
      </c>
      <c r="X69" s="26" t="str">
        <f t="shared" si="98"/>
        <v>R</v>
      </c>
      <c r="Y69" s="28">
        <v>18.0</v>
      </c>
      <c r="Z69" s="26" t="str">
        <f t="shared" si="99"/>
        <v>I</v>
      </c>
      <c r="AA69" s="32" t="s">
        <v>299</v>
      </c>
      <c r="AB69" s="65">
        <v>19.0</v>
      </c>
      <c r="AC69" s="33" t="str">
        <f t="shared" si="100"/>
        <v>I</v>
      </c>
      <c r="AD69" s="65">
        <v>20.0</v>
      </c>
      <c r="AE69" s="33" t="str">
        <f t="shared" si="101"/>
        <v>S</v>
      </c>
      <c r="AF69" s="65">
        <v>18.0</v>
      </c>
      <c r="AG69" s="33" t="str">
        <f t="shared" si="102"/>
        <v>R</v>
      </c>
      <c r="AH69" s="65">
        <v>17.0</v>
      </c>
      <c r="AI69" s="33" t="str">
        <f t="shared" si="103"/>
        <v>S</v>
      </c>
      <c r="AJ69" s="65">
        <v>20.0</v>
      </c>
      <c r="AK69" s="33" t="str">
        <f t="shared" si="104"/>
        <v>R</v>
      </c>
      <c r="AL69" s="65" t="s">
        <v>299</v>
      </c>
      <c r="AM69" s="66">
        <v>9.0</v>
      </c>
      <c r="AN69" s="36" t="str">
        <f t="shared" si="105"/>
        <v>R</v>
      </c>
      <c r="AO69" s="66">
        <v>6.0</v>
      </c>
      <c r="AP69" s="36" t="str">
        <f t="shared" si="106"/>
        <v>R</v>
      </c>
      <c r="AQ69" s="66">
        <v>10.0</v>
      </c>
      <c r="AR69" s="36" t="str">
        <f t="shared" si="107"/>
        <v>R</v>
      </c>
      <c r="AS69" s="66" t="s">
        <v>299</v>
      </c>
      <c r="AT69" s="67">
        <v>11.0</v>
      </c>
      <c r="AU69" s="37" t="str">
        <f t="shared" si="108"/>
        <v>I</v>
      </c>
      <c r="AV69" s="65">
        <v>18.0</v>
      </c>
      <c r="AW69" s="33" t="str">
        <f t="shared" si="109"/>
        <v>S</v>
      </c>
      <c r="AX69" s="65">
        <v>21.0</v>
      </c>
      <c r="AY69" s="33" t="str">
        <f t="shared" si="110"/>
        <v>S</v>
      </c>
      <c r="AZ69" s="33" t="s">
        <v>300</v>
      </c>
      <c r="BA69" s="28">
        <v>9.0</v>
      </c>
      <c r="BB69" s="26" t="str">
        <f t="shared" si="111"/>
        <v>R</v>
      </c>
      <c r="BC69" s="67">
        <v>18.0</v>
      </c>
      <c r="BD69" s="37" t="str">
        <f t="shared" si="112"/>
        <v>R</v>
      </c>
      <c r="BE69" s="66">
        <v>18.0</v>
      </c>
      <c r="BF69" s="36" t="str">
        <f t="shared" si="113"/>
        <v>R</v>
      </c>
      <c r="BG69" s="39" t="s">
        <v>357</v>
      </c>
      <c r="BH69" s="39" t="s">
        <v>357</v>
      </c>
      <c r="BI69" s="66">
        <v>21.0</v>
      </c>
      <c r="BJ69" s="36" t="str">
        <f t="shared" si="114"/>
        <v>I</v>
      </c>
      <c r="BK69" s="68">
        <v>22.0</v>
      </c>
      <c r="BL69" s="41" t="str">
        <f t="shared" si="115"/>
        <v>S</v>
      </c>
      <c r="BM69" s="41"/>
    </row>
    <row r="70">
      <c r="A70" s="18" t="s">
        <v>618</v>
      </c>
      <c r="B70" s="19">
        <v>215.0</v>
      </c>
      <c r="C70" s="18" t="s">
        <v>1024</v>
      </c>
      <c r="D70" s="69" t="s">
        <v>571</v>
      </c>
      <c r="E70" s="18" t="s">
        <v>572</v>
      </c>
      <c r="F70" s="18" t="s">
        <v>192</v>
      </c>
      <c r="G70" s="63" t="s">
        <v>1025</v>
      </c>
      <c r="H70" s="42" t="s">
        <v>479</v>
      </c>
      <c r="I70" s="64" t="s">
        <v>41</v>
      </c>
      <c r="J70" s="70" t="s">
        <v>205</v>
      </c>
      <c r="K70" s="71" t="s">
        <v>208</v>
      </c>
      <c r="L70" s="71" t="s">
        <v>205</v>
      </c>
      <c r="M70" s="28">
        <v>6.0</v>
      </c>
      <c r="N70" s="26" t="str">
        <f t="shared" si="93"/>
        <v>R</v>
      </c>
      <c r="O70" s="28">
        <v>18.0</v>
      </c>
      <c r="P70" s="26" t="str">
        <f t="shared" si="94"/>
        <v>R</v>
      </c>
      <c r="Q70" s="28">
        <v>10.0</v>
      </c>
      <c r="R70" s="26" t="str">
        <f t="shared" si="95"/>
        <v>R</v>
      </c>
      <c r="S70" s="28">
        <v>22.0</v>
      </c>
      <c r="T70" s="26" t="str">
        <f t="shared" si="96"/>
        <v>I</v>
      </c>
      <c r="U70" s="28">
        <v>16.0</v>
      </c>
      <c r="V70" s="26" t="str">
        <f t="shared" si="97"/>
        <v>R</v>
      </c>
      <c r="W70" s="28">
        <v>22.0</v>
      </c>
      <c r="X70" s="26" t="str">
        <f t="shared" si="98"/>
        <v>S</v>
      </c>
      <c r="Y70" s="28">
        <v>20.0</v>
      </c>
      <c r="Z70" s="26" t="str">
        <f t="shared" si="99"/>
        <v>S</v>
      </c>
      <c r="AA70" s="32" t="s">
        <v>299</v>
      </c>
      <c r="AB70" s="65">
        <v>22.0</v>
      </c>
      <c r="AC70" s="33" t="str">
        <f t="shared" si="100"/>
        <v>S</v>
      </c>
      <c r="AD70" s="65">
        <v>21.0</v>
      </c>
      <c r="AE70" s="33" t="str">
        <f t="shared" si="101"/>
        <v>S</v>
      </c>
      <c r="AF70" s="65">
        <v>21.0</v>
      </c>
      <c r="AG70" s="33" t="str">
        <f t="shared" si="102"/>
        <v>I</v>
      </c>
      <c r="AH70" s="65">
        <v>19.0</v>
      </c>
      <c r="AI70" s="33" t="str">
        <f t="shared" si="103"/>
        <v>S</v>
      </c>
      <c r="AJ70" s="65">
        <v>19.0</v>
      </c>
      <c r="AK70" s="33" t="str">
        <f t="shared" si="104"/>
        <v>R</v>
      </c>
      <c r="AL70" s="65" t="s">
        <v>299</v>
      </c>
      <c r="AM70" s="66">
        <v>6.0</v>
      </c>
      <c r="AN70" s="36" t="str">
        <f t="shared" si="105"/>
        <v>R</v>
      </c>
      <c r="AO70" s="66">
        <v>12.0</v>
      </c>
      <c r="AP70" s="36" t="str">
        <f t="shared" si="106"/>
        <v>R</v>
      </c>
      <c r="AQ70" s="66">
        <v>11.0</v>
      </c>
      <c r="AR70" s="36" t="str">
        <f t="shared" si="107"/>
        <v>R</v>
      </c>
      <c r="AS70" s="66" t="s">
        <v>299</v>
      </c>
      <c r="AT70" s="67">
        <v>12.0</v>
      </c>
      <c r="AU70" s="37" t="str">
        <f t="shared" si="108"/>
        <v>I</v>
      </c>
      <c r="AV70" s="65">
        <v>18.0</v>
      </c>
      <c r="AW70" s="33" t="str">
        <f t="shared" si="109"/>
        <v>S</v>
      </c>
      <c r="AX70" s="65">
        <v>19.0</v>
      </c>
      <c r="AY70" s="33" t="str">
        <f t="shared" si="110"/>
        <v>S</v>
      </c>
      <c r="AZ70" s="33" t="s">
        <v>300</v>
      </c>
      <c r="BA70" s="28">
        <v>13.0</v>
      </c>
      <c r="BB70" s="26" t="str">
        <f t="shared" si="111"/>
        <v>R</v>
      </c>
      <c r="BC70" s="67">
        <v>20.0</v>
      </c>
      <c r="BD70" s="37" t="str">
        <f t="shared" si="112"/>
        <v>R</v>
      </c>
      <c r="BE70" s="66">
        <v>21.0</v>
      </c>
      <c r="BF70" s="36" t="str">
        <f t="shared" si="113"/>
        <v>R</v>
      </c>
      <c r="BG70" s="39" t="s">
        <v>357</v>
      </c>
      <c r="BH70" s="39" t="s">
        <v>357</v>
      </c>
      <c r="BI70" s="66">
        <v>18.0</v>
      </c>
      <c r="BJ70" s="36" t="str">
        <f t="shared" si="114"/>
        <v>R</v>
      </c>
      <c r="BK70" s="68">
        <v>15.0</v>
      </c>
      <c r="BL70" s="41" t="str">
        <f t="shared" si="115"/>
        <v>R</v>
      </c>
      <c r="BM70" s="41"/>
    </row>
    <row r="71">
      <c r="A71" s="18" t="s">
        <v>624</v>
      </c>
      <c r="B71" s="19">
        <v>238.0</v>
      </c>
      <c r="C71" s="18" t="s">
        <v>1028</v>
      </c>
      <c r="D71" s="69" t="s">
        <v>190</v>
      </c>
      <c r="E71" s="18" t="s">
        <v>190</v>
      </c>
      <c r="F71" s="18" t="s">
        <v>192</v>
      </c>
      <c r="G71" s="63" t="s">
        <v>1031</v>
      </c>
      <c r="H71" s="22" t="s">
        <v>198</v>
      </c>
      <c r="I71" s="64" t="s">
        <v>1011</v>
      </c>
      <c r="J71" s="71" t="s">
        <v>208</v>
      </c>
      <c r="K71" s="70" t="s">
        <v>208</v>
      </c>
      <c r="L71" s="70" t="s">
        <v>208</v>
      </c>
      <c r="M71" s="28">
        <v>20.0</v>
      </c>
      <c r="N71" s="26" t="str">
        <f t="shared" si="93"/>
        <v>S</v>
      </c>
      <c r="O71" s="28">
        <v>28.0</v>
      </c>
      <c r="P71" s="26" t="str">
        <f t="shared" si="94"/>
        <v>S</v>
      </c>
      <c r="Q71" s="28">
        <v>18.0</v>
      </c>
      <c r="R71" s="26" t="str">
        <f t="shared" si="95"/>
        <v>R</v>
      </c>
      <c r="S71" s="28">
        <v>26.0</v>
      </c>
      <c r="T71" s="26" t="str">
        <f t="shared" si="96"/>
        <v>S</v>
      </c>
      <c r="U71" s="28">
        <v>16.0</v>
      </c>
      <c r="V71" s="26" t="str">
        <f t="shared" si="97"/>
        <v>R</v>
      </c>
      <c r="W71" s="28">
        <v>25.0</v>
      </c>
      <c r="X71" s="26" t="str">
        <f t="shared" si="98"/>
        <v>S</v>
      </c>
      <c r="Y71" s="28">
        <v>19.0</v>
      </c>
      <c r="Z71" s="26" t="str">
        <f t="shared" si="99"/>
        <v>I</v>
      </c>
      <c r="AA71" s="32" t="s">
        <v>299</v>
      </c>
      <c r="AB71" s="65">
        <v>20.0</v>
      </c>
      <c r="AC71" s="33" t="str">
        <f t="shared" si="100"/>
        <v>S</v>
      </c>
      <c r="AD71" s="65">
        <v>26.0</v>
      </c>
      <c r="AE71" s="33" t="str">
        <f t="shared" si="101"/>
        <v>S</v>
      </c>
      <c r="AF71" s="65">
        <v>32.0</v>
      </c>
      <c r="AG71" s="33" t="str">
        <f t="shared" si="102"/>
        <v>S</v>
      </c>
      <c r="AH71" s="65">
        <v>22.0</v>
      </c>
      <c r="AI71" s="33" t="str">
        <f t="shared" si="103"/>
        <v>S</v>
      </c>
      <c r="AJ71" s="65">
        <v>35.0</v>
      </c>
      <c r="AK71" s="33" t="str">
        <f t="shared" si="104"/>
        <v>S</v>
      </c>
      <c r="AL71" s="33" t="s">
        <v>300</v>
      </c>
      <c r="AM71" s="66">
        <v>25.0</v>
      </c>
      <c r="AN71" s="36" t="str">
        <f t="shared" si="105"/>
        <v>S</v>
      </c>
      <c r="AO71" s="66">
        <v>25.0</v>
      </c>
      <c r="AP71" s="36" t="str">
        <f t="shared" si="106"/>
        <v>S</v>
      </c>
      <c r="AQ71" s="66">
        <v>15.0</v>
      </c>
      <c r="AR71" s="36" t="str">
        <f t="shared" si="107"/>
        <v>S</v>
      </c>
      <c r="AS71" s="36" t="s">
        <v>300</v>
      </c>
      <c r="AT71" s="67">
        <v>29.0</v>
      </c>
      <c r="AU71" s="37" t="str">
        <f t="shared" si="108"/>
        <v>S</v>
      </c>
      <c r="AV71" s="65">
        <v>25.0</v>
      </c>
      <c r="AW71" s="33" t="str">
        <f t="shared" si="109"/>
        <v>S</v>
      </c>
      <c r="AX71" s="65">
        <v>19.0</v>
      </c>
      <c r="AY71" s="33" t="str">
        <f t="shared" si="110"/>
        <v>S</v>
      </c>
      <c r="AZ71" s="33" t="s">
        <v>300</v>
      </c>
      <c r="BA71" s="28">
        <v>18.0</v>
      </c>
      <c r="BB71" s="26" t="str">
        <f t="shared" si="111"/>
        <v>R</v>
      </c>
      <c r="BC71" s="67">
        <v>22.0</v>
      </c>
      <c r="BD71" s="37" t="str">
        <f t="shared" si="112"/>
        <v>I</v>
      </c>
      <c r="BE71" s="66">
        <v>35.0</v>
      </c>
      <c r="BF71" s="36" t="str">
        <f t="shared" si="113"/>
        <v>S</v>
      </c>
      <c r="BG71" s="39" t="s">
        <v>357</v>
      </c>
      <c r="BH71" s="39" t="s">
        <v>357</v>
      </c>
      <c r="BI71" s="66">
        <v>26.0</v>
      </c>
      <c r="BJ71" s="36" t="str">
        <f t="shared" si="114"/>
        <v>S</v>
      </c>
      <c r="BK71" s="68">
        <v>25.0</v>
      </c>
      <c r="BL71" s="41" t="str">
        <f t="shared" si="115"/>
        <v>S</v>
      </c>
      <c r="BM71" s="41"/>
    </row>
    <row r="72">
      <c r="A72" s="18" t="s">
        <v>624</v>
      </c>
      <c r="B72" s="19">
        <v>239.0</v>
      </c>
      <c r="C72" s="18" t="s">
        <v>1032</v>
      </c>
      <c r="D72" s="69" t="s">
        <v>190</v>
      </c>
      <c r="E72" s="18" t="s">
        <v>190</v>
      </c>
      <c r="F72" s="18" t="s">
        <v>192</v>
      </c>
      <c r="G72" s="63" t="s">
        <v>1033</v>
      </c>
      <c r="H72" s="22" t="s">
        <v>198</v>
      </c>
      <c r="I72" s="64" t="s">
        <v>41</v>
      </c>
      <c r="J72" s="70" t="s">
        <v>205</v>
      </c>
      <c r="K72" s="71" t="s">
        <v>208</v>
      </c>
      <c r="L72" s="71" t="s">
        <v>205</v>
      </c>
      <c r="M72" s="28">
        <v>18.0</v>
      </c>
      <c r="N72" s="26" t="str">
        <f t="shared" si="93"/>
        <v>R</v>
      </c>
      <c r="O72" s="28">
        <v>15.0</v>
      </c>
      <c r="P72" s="26" t="str">
        <f t="shared" si="94"/>
        <v>R</v>
      </c>
      <c r="Q72" s="28">
        <v>19.0</v>
      </c>
      <c r="R72" s="26" t="str">
        <f t="shared" si="95"/>
        <v>R</v>
      </c>
      <c r="S72" s="28">
        <v>20.0</v>
      </c>
      <c r="T72" s="26" t="str">
        <f t="shared" si="96"/>
        <v>I</v>
      </c>
      <c r="U72" s="28">
        <v>12.0</v>
      </c>
      <c r="V72" s="26" t="str">
        <f t="shared" si="97"/>
        <v>R</v>
      </c>
      <c r="W72" s="28">
        <v>13.0</v>
      </c>
      <c r="X72" s="26" t="str">
        <f t="shared" si="98"/>
        <v>R</v>
      </c>
      <c r="Y72" s="28">
        <v>18.0</v>
      </c>
      <c r="Z72" s="26" t="str">
        <f t="shared" si="99"/>
        <v>I</v>
      </c>
      <c r="AA72" s="32" t="s">
        <v>299</v>
      </c>
      <c r="AB72" s="65">
        <v>11.0</v>
      </c>
      <c r="AC72" s="33" t="str">
        <f t="shared" si="100"/>
        <v>R</v>
      </c>
      <c r="AD72" s="65">
        <v>13.0</v>
      </c>
      <c r="AE72" s="33" t="str">
        <f t="shared" si="101"/>
        <v>R</v>
      </c>
      <c r="AF72" s="65">
        <v>6.0</v>
      </c>
      <c r="AG72" s="33" t="str">
        <f t="shared" si="102"/>
        <v>R</v>
      </c>
      <c r="AH72" s="65">
        <v>6.0</v>
      </c>
      <c r="AI72" s="33" t="str">
        <f t="shared" si="103"/>
        <v>R</v>
      </c>
      <c r="AJ72" s="65">
        <v>6.0</v>
      </c>
      <c r="AK72" s="33" t="str">
        <f t="shared" si="104"/>
        <v>R</v>
      </c>
      <c r="AL72" s="65" t="s">
        <v>299</v>
      </c>
      <c r="AM72" s="66">
        <v>13.0</v>
      </c>
      <c r="AN72" s="36" t="str">
        <f t="shared" si="105"/>
        <v>R</v>
      </c>
      <c r="AO72" s="66">
        <v>13.0</v>
      </c>
      <c r="AP72" s="36" t="str">
        <f t="shared" si="106"/>
        <v>R</v>
      </c>
      <c r="AQ72" s="66">
        <v>6.0</v>
      </c>
      <c r="AR72" s="36" t="str">
        <f t="shared" si="107"/>
        <v>R</v>
      </c>
      <c r="AS72" s="66" t="s">
        <v>299</v>
      </c>
      <c r="AT72" s="67">
        <v>6.0</v>
      </c>
      <c r="AU72" s="37" t="str">
        <f t="shared" si="108"/>
        <v>R</v>
      </c>
      <c r="AV72" s="65">
        <v>10.0</v>
      </c>
      <c r="AW72" s="33" t="str">
        <f t="shared" si="109"/>
        <v>R</v>
      </c>
      <c r="AX72" s="65">
        <v>11.0</v>
      </c>
      <c r="AY72" s="33" t="str">
        <f t="shared" si="110"/>
        <v>R</v>
      </c>
      <c r="AZ72" s="65" t="s">
        <v>299</v>
      </c>
      <c r="BA72" s="28">
        <v>17.0</v>
      </c>
      <c r="BB72" s="26" t="str">
        <f t="shared" si="111"/>
        <v>R</v>
      </c>
      <c r="BC72" s="67">
        <v>6.0</v>
      </c>
      <c r="BD72" s="37" t="str">
        <f t="shared" si="112"/>
        <v>R</v>
      </c>
      <c r="BE72" s="66">
        <v>12.0</v>
      </c>
      <c r="BF72" s="36" t="str">
        <f t="shared" si="113"/>
        <v>R</v>
      </c>
      <c r="BG72" s="39" t="s">
        <v>357</v>
      </c>
      <c r="BH72" s="39" t="s">
        <v>357</v>
      </c>
      <c r="BI72" s="66">
        <v>21.0</v>
      </c>
      <c r="BJ72" s="36" t="str">
        <f t="shared" si="114"/>
        <v>I</v>
      </c>
      <c r="BK72" s="68">
        <v>15.0</v>
      </c>
      <c r="BL72" s="41" t="str">
        <f t="shared" si="115"/>
        <v>R</v>
      </c>
      <c r="BM72" s="41"/>
    </row>
    <row r="73">
      <c r="A73" s="18" t="s">
        <v>624</v>
      </c>
      <c r="B73" s="19">
        <v>240.0</v>
      </c>
      <c r="C73" s="18" t="s">
        <v>1034</v>
      </c>
      <c r="D73" s="69" t="s">
        <v>571</v>
      </c>
      <c r="E73" s="18" t="s">
        <v>572</v>
      </c>
      <c r="F73" s="18" t="s">
        <v>192</v>
      </c>
      <c r="G73" s="63" t="s">
        <v>1035</v>
      </c>
      <c r="H73" s="22" t="s">
        <v>198</v>
      </c>
      <c r="I73" s="64" t="s">
        <v>41</v>
      </c>
      <c r="J73" s="70" t="s">
        <v>205</v>
      </c>
      <c r="K73" s="71" t="s">
        <v>208</v>
      </c>
      <c r="L73" s="71" t="s">
        <v>205</v>
      </c>
      <c r="M73" s="28">
        <v>6.0</v>
      </c>
      <c r="N73" s="26" t="str">
        <f t="shared" si="93"/>
        <v>R</v>
      </c>
      <c r="O73" s="28">
        <v>6.0</v>
      </c>
      <c r="P73" s="26" t="str">
        <f t="shared" si="94"/>
        <v>R</v>
      </c>
      <c r="Q73" s="28">
        <v>6.0</v>
      </c>
      <c r="R73" s="26" t="str">
        <f t="shared" si="95"/>
        <v>R</v>
      </c>
      <c r="S73" s="28">
        <v>25.0</v>
      </c>
      <c r="T73" s="26" t="str">
        <f t="shared" si="96"/>
        <v>S</v>
      </c>
      <c r="U73" s="28">
        <v>6.0</v>
      </c>
      <c r="V73" s="26" t="str">
        <f t="shared" si="97"/>
        <v>R</v>
      </c>
      <c r="W73" s="28">
        <v>6.0</v>
      </c>
      <c r="X73" s="26" t="str">
        <f t="shared" si="98"/>
        <v>R</v>
      </c>
      <c r="Y73" s="28">
        <v>12.0</v>
      </c>
      <c r="Z73" s="26" t="str">
        <f t="shared" si="99"/>
        <v>R</v>
      </c>
      <c r="AA73" s="32" t="s">
        <v>299</v>
      </c>
      <c r="AB73" s="65">
        <v>6.0</v>
      </c>
      <c r="AC73" s="33" t="str">
        <f t="shared" si="100"/>
        <v>R</v>
      </c>
      <c r="AD73" s="65">
        <v>6.0</v>
      </c>
      <c r="AE73" s="33" t="str">
        <f t="shared" si="101"/>
        <v>R</v>
      </c>
      <c r="AF73" s="65">
        <v>6.0</v>
      </c>
      <c r="AG73" s="33" t="str">
        <f t="shared" si="102"/>
        <v>R</v>
      </c>
      <c r="AH73" s="65">
        <v>13.0</v>
      </c>
      <c r="AI73" s="33" t="str">
        <f t="shared" si="103"/>
        <v>S</v>
      </c>
      <c r="AJ73" s="65">
        <v>6.0</v>
      </c>
      <c r="AK73" s="33" t="str">
        <f t="shared" si="104"/>
        <v>R</v>
      </c>
      <c r="AL73" s="65" t="s">
        <v>299</v>
      </c>
      <c r="AM73" s="66">
        <v>6.0</v>
      </c>
      <c r="AN73" s="36" t="str">
        <f t="shared" si="105"/>
        <v>R</v>
      </c>
      <c r="AO73" s="66">
        <v>6.0</v>
      </c>
      <c r="AP73" s="36" t="str">
        <f t="shared" si="106"/>
        <v>R</v>
      </c>
      <c r="AQ73" s="66">
        <v>6.0</v>
      </c>
      <c r="AR73" s="36" t="str">
        <f t="shared" si="107"/>
        <v>R</v>
      </c>
      <c r="AS73" s="66" t="s">
        <v>299</v>
      </c>
      <c r="AT73" s="67">
        <v>6.0</v>
      </c>
      <c r="AU73" s="37" t="str">
        <f t="shared" si="108"/>
        <v>R</v>
      </c>
      <c r="AV73" s="65">
        <v>13.0</v>
      </c>
      <c r="AW73" s="33" t="str">
        <f t="shared" si="109"/>
        <v>R</v>
      </c>
      <c r="AX73" s="65">
        <v>17.0</v>
      </c>
      <c r="AY73" s="33" t="str">
        <f t="shared" si="110"/>
        <v>S</v>
      </c>
      <c r="AZ73" s="65" t="s">
        <v>299</v>
      </c>
      <c r="BA73" s="28">
        <v>6.0</v>
      </c>
      <c r="BB73" s="26" t="str">
        <f t="shared" si="111"/>
        <v>R</v>
      </c>
      <c r="BC73" s="67">
        <v>6.0</v>
      </c>
      <c r="BD73" s="37" t="str">
        <f t="shared" si="112"/>
        <v>R</v>
      </c>
      <c r="BE73" s="66">
        <v>13.0</v>
      </c>
      <c r="BF73" s="36" t="str">
        <f t="shared" si="113"/>
        <v>R</v>
      </c>
      <c r="BG73" s="39" t="s">
        <v>357</v>
      </c>
      <c r="BH73" s="39" t="s">
        <v>357</v>
      </c>
      <c r="BI73" s="66">
        <v>21.0</v>
      </c>
      <c r="BJ73" s="36" t="str">
        <f t="shared" si="114"/>
        <v>I</v>
      </c>
      <c r="BK73" s="68">
        <v>6.0</v>
      </c>
      <c r="BL73" s="41" t="str">
        <f t="shared" si="115"/>
        <v>R</v>
      </c>
      <c r="BM73" s="41"/>
    </row>
    <row r="74">
      <c r="A74" s="18" t="s">
        <v>633</v>
      </c>
      <c r="B74" s="19">
        <v>249.0</v>
      </c>
      <c r="C74" s="18" t="s">
        <v>1036</v>
      </c>
      <c r="D74" s="69" t="s">
        <v>190</v>
      </c>
      <c r="E74" s="18" t="s">
        <v>190</v>
      </c>
      <c r="F74" s="18" t="s">
        <v>192</v>
      </c>
      <c r="G74" s="63" t="s">
        <v>1037</v>
      </c>
      <c r="H74" s="22" t="s">
        <v>198</v>
      </c>
      <c r="I74" s="24" t="s">
        <v>37</v>
      </c>
      <c r="J74" s="25" t="s">
        <v>205</v>
      </c>
      <c r="K74" s="25" t="s">
        <v>205</v>
      </c>
      <c r="L74" s="25" t="s">
        <v>208</v>
      </c>
      <c r="M74" s="28">
        <v>6.0</v>
      </c>
      <c r="N74" s="26" t="str">
        <f t="shared" si="93"/>
        <v>R</v>
      </c>
      <c r="O74" s="28">
        <v>17.0</v>
      </c>
      <c r="P74" s="26" t="str">
        <f t="shared" si="94"/>
        <v>R</v>
      </c>
      <c r="Q74" s="28">
        <v>6.0</v>
      </c>
      <c r="R74" s="26" t="str">
        <f t="shared" si="95"/>
        <v>R</v>
      </c>
      <c r="S74" s="28">
        <v>18.0</v>
      </c>
      <c r="T74" s="26" t="str">
        <f t="shared" si="96"/>
        <v>R</v>
      </c>
      <c r="U74" s="28">
        <v>6.0</v>
      </c>
      <c r="V74" s="26" t="str">
        <f t="shared" si="97"/>
        <v>R</v>
      </c>
      <c r="W74" s="28">
        <v>14.0</v>
      </c>
      <c r="X74" s="26" t="str">
        <f t="shared" si="98"/>
        <v>R</v>
      </c>
      <c r="Y74" s="28">
        <v>19.0</v>
      </c>
      <c r="Z74" s="26" t="str">
        <f t="shared" si="99"/>
        <v>I</v>
      </c>
      <c r="AA74" s="32" t="s">
        <v>299</v>
      </c>
      <c r="AB74" s="65">
        <v>10.0</v>
      </c>
      <c r="AC74" s="33" t="str">
        <f t="shared" si="100"/>
        <v>R</v>
      </c>
      <c r="AD74" s="65">
        <v>20.0</v>
      </c>
      <c r="AE74" s="33" t="str">
        <f t="shared" si="101"/>
        <v>S</v>
      </c>
      <c r="AF74" s="65">
        <v>8.0</v>
      </c>
      <c r="AG74" s="33" t="str">
        <f t="shared" si="102"/>
        <v>R</v>
      </c>
      <c r="AH74" s="65">
        <v>23.0</v>
      </c>
      <c r="AI74" s="33" t="str">
        <f t="shared" si="103"/>
        <v>S</v>
      </c>
      <c r="AJ74" s="65">
        <v>14.0</v>
      </c>
      <c r="AK74" s="33" t="str">
        <f t="shared" si="104"/>
        <v>R</v>
      </c>
      <c r="AL74" s="65" t="s">
        <v>299</v>
      </c>
      <c r="AM74" s="66">
        <v>6.0</v>
      </c>
      <c r="AN74" s="36" t="str">
        <f t="shared" si="105"/>
        <v>R</v>
      </c>
      <c r="AO74" s="66">
        <v>9.0</v>
      </c>
      <c r="AP74" s="36" t="str">
        <f t="shared" si="106"/>
        <v>R</v>
      </c>
      <c r="AQ74" s="66">
        <v>6.0</v>
      </c>
      <c r="AR74" s="36" t="str">
        <f t="shared" si="107"/>
        <v>R</v>
      </c>
      <c r="AS74" s="66" t="s">
        <v>299</v>
      </c>
      <c r="AT74" s="67">
        <v>6.0</v>
      </c>
      <c r="AU74" s="37" t="str">
        <f t="shared" si="108"/>
        <v>R</v>
      </c>
      <c r="AV74" s="65">
        <v>18.0</v>
      </c>
      <c r="AW74" s="33" t="str">
        <f t="shared" si="109"/>
        <v>S</v>
      </c>
      <c r="AX74" s="65">
        <v>6.0</v>
      </c>
      <c r="AY74" s="33" t="str">
        <f t="shared" si="110"/>
        <v>R</v>
      </c>
      <c r="AZ74" s="65" t="s">
        <v>299</v>
      </c>
      <c r="BA74" s="28">
        <v>6.0</v>
      </c>
      <c r="BB74" s="26" t="str">
        <f t="shared" si="111"/>
        <v>R</v>
      </c>
      <c r="BC74" s="67">
        <v>14.0</v>
      </c>
      <c r="BD74" s="37" t="str">
        <f t="shared" si="112"/>
        <v>R</v>
      </c>
      <c r="BE74" s="66">
        <v>26.0</v>
      </c>
      <c r="BF74" s="36" t="str">
        <f t="shared" si="113"/>
        <v>S</v>
      </c>
      <c r="BG74" s="39" t="s">
        <v>357</v>
      </c>
      <c r="BH74" s="39" t="s">
        <v>357</v>
      </c>
      <c r="BI74" s="66">
        <v>29.0</v>
      </c>
      <c r="BJ74" s="36" t="str">
        <f t="shared" si="114"/>
        <v>S</v>
      </c>
      <c r="BK74" s="68">
        <v>20.0</v>
      </c>
      <c r="BL74" s="41" t="str">
        <f t="shared" si="115"/>
        <v>S</v>
      </c>
      <c r="BM74" s="41"/>
    </row>
    <row r="75">
      <c r="A75" s="18" t="s">
        <v>633</v>
      </c>
      <c r="B75" s="19">
        <v>250.0</v>
      </c>
      <c r="C75" s="18" t="s">
        <v>1043</v>
      </c>
      <c r="D75" s="69" t="s">
        <v>571</v>
      </c>
      <c r="E75" s="18" t="s">
        <v>572</v>
      </c>
      <c r="F75" s="18" t="s">
        <v>192</v>
      </c>
      <c r="G75" s="63" t="s">
        <v>1044</v>
      </c>
      <c r="H75" s="42" t="s">
        <v>479</v>
      </c>
      <c r="I75" s="24" t="s">
        <v>816</v>
      </c>
      <c r="J75" s="25" t="s">
        <v>205</v>
      </c>
      <c r="K75" s="25" t="s">
        <v>205</v>
      </c>
      <c r="L75" s="25" t="s">
        <v>205</v>
      </c>
      <c r="M75" s="28">
        <v>6.0</v>
      </c>
      <c r="N75" s="26" t="str">
        <f t="shared" si="93"/>
        <v>R</v>
      </c>
      <c r="O75" s="28">
        <v>18.0</v>
      </c>
      <c r="P75" s="26" t="str">
        <f t="shared" si="94"/>
        <v>R</v>
      </c>
      <c r="Q75" s="28">
        <v>6.0</v>
      </c>
      <c r="R75" s="26" t="str">
        <f t="shared" si="95"/>
        <v>R</v>
      </c>
      <c r="S75" s="28">
        <v>21.0</v>
      </c>
      <c r="T75" s="26" t="str">
        <f t="shared" si="96"/>
        <v>I</v>
      </c>
      <c r="U75" s="28">
        <v>6.0</v>
      </c>
      <c r="V75" s="26" t="str">
        <f t="shared" si="97"/>
        <v>R</v>
      </c>
      <c r="W75" s="28">
        <v>16.0</v>
      </c>
      <c r="X75" s="26" t="str">
        <f t="shared" si="98"/>
        <v>R</v>
      </c>
      <c r="Y75" s="28">
        <v>18.0</v>
      </c>
      <c r="Z75" s="26" t="str">
        <f t="shared" si="99"/>
        <v>I</v>
      </c>
      <c r="AA75" s="32" t="s">
        <v>299</v>
      </c>
      <c r="AB75" s="65">
        <v>6.0</v>
      </c>
      <c r="AC75" s="33" t="str">
        <f t="shared" si="100"/>
        <v>R</v>
      </c>
      <c r="AD75" s="65">
        <v>21.0</v>
      </c>
      <c r="AE75" s="33" t="str">
        <f t="shared" si="101"/>
        <v>S</v>
      </c>
      <c r="AF75" s="65">
        <v>6.0</v>
      </c>
      <c r="AG75" s="33" t="str">
        <f t="shared" si="102"/>
        <v>R</v>
      </c>
      <c r="AH75" s="65">
        <v>6.0</v>
      </c>
      <c r="AI75" s="33" t="str">
        <f t="shared" si="103"/>
        <v>R</v>
      </c>
      <c r="AJ75" s="65">
        <v>11.0</v>
      </c>
      <c r="AK75" s="33" t="str">
        <f t="shared" si="104"/>
        <v>R</v>
      </c>
      <c r="AL75" s="65" t="s">
        <v>299</v>
      </c>
      <c r="AM75" s="66">
        <v>6.0</v>
      </c>
      <c r="AN75" s="36" t="str">
        <f t="shared" si="105"/>
        <v>R</v>
      </c>
      <c r="AO75" s="66">
        <v>6.0</v>
      </c>
      <c r="AP75" s="36" t="str">
        <f t="shared" si="106"/>
        <v>R</v>
      </c>
      <c r="AQ75" s="66">
        <v>6.0</v>
      </c>
      <c r="AR75" s="36" t="str">
        <f t="shared" si="107"/>
        <v>R</v>
      </c>
      <c r="AS75" s="66" t="s">
        <v>299</v>
      </c>
      <c r="AT75" s="67">
        <v>6.0</v>
      </c>
      <c r="AU75" s="37" t="str">
        <f t="shared" si="108"/>
        <v>R</v>
      </c>
      <c r="AV75" s="65">
        <v>16.0</v>
      </c>
      <c r="AW75" s="33" t="str">
        <f t="shared" si="109"/>
        <v>R</v>
      </c>
      <c r="AX75" s="65">
        <v>13.0</v>
      </c>
      <c r="AY75" s="33" t="str">
        <f t="shared" si="110"/>
        <v>R</v>
      </c>
      <c r="AZ75" s="65" t="s">
        <v>299</v>
      </c>
      <c r="BA75" s="28">
        <v>6.0</v>
      </c>
      <c r="BB75" s="26" t="str">
        <f t="shared" si="111"/>
        <v>R</v>
      </c>
      <c r="BC75" s="67">
        <v>13.0</v>
      </c>
      <c r="BD75" s="37" t="str">
        <f t="shared" si="112"/>
        <v>R</v>
      </c>
      <c r="BE75" s="66">
        <v>18.0</v>
      </c>
      <c r="BF75" s="36" t="str">
        <f t="shared" si="113"/>
        <v>R</v>
      </c>
      <c r="BG75" s="39" t="s">
        <v>357</v>
      </c>
      <c r="BH75" s="39" t="s">
        <v>357</v>
      </c>
      <c r="BI75" s="66">
        <v>21.0</v>
      </c>
      <c r="BJ75" s="36" t="str">
        <f t="shared" si="114"/>
        <v>I</v>
      </c>
      <c r="BK75" s="68">
        <v>17.0</v>
      </c>
      <c r="BL75" s="41" t="str">
        <f t="shared" si="115"/>
        <v>S</v>
      </c>
      <c r="BM75" s="41"/>
    </row>
    <row r="76">
      <c r="A76" s="18" t="s">
        <v>633</v>
      </c>
      <c r="B76" s="19">
        <v>251.0</v>
      </c>
      <c r="C76" s="18" t="s">
        <v>1045</v>
      </c>
      <c r="D76" s="69" t="s">
        <v>1046</v>
      </c>
      <c r="E76" s="18" t="s">
        <v>103</v>
      </c>
      <c r="F76" s="18" t="s">
        <v>192</v>
      </c>
      <c r="G76" s="63" t="s">
        <v>1048</v>
      </c>
      <c r="H76" s="42" t="s">
        <v>479</v>
      </c>
      <c r="I76" s="24" t="s">
        <v>816</v>
      </c>
      <c r="J76" s="25" t="s">
        <v>205</v>
      </c>
      <c r="K76" s="25" t="s">
        <v>205</v>
      </c>
      <c r="L76" s="25" t="s">
        <v>205</v>
      </c>
      <c r="M76" s="28">
        <v>6.0</v>
      </c>
      <c r="N76" s="26" t="str">
        <f t="shared" si="93"/>
        <v>R</v>
      </c>
      <c r="O76" s="28">
        <v>17.0</v>
      </c>
      <c r="P76" s="26" t="str">
        <f t="shared" si="94"/>
        <v>R</v>
      </c>
      <c r="Q76" s="28">
        <v>6.0</v>
      </c>
      <c r="R76" s="26" t="str">
        <f t="shared" si="95"/>
        <v>R</v>
      </c>
      <c r="S76" s="28">
        <v>19.0</v>
      </c>
      <c r="T76" s="26" t="str">
        <f t="shared" si="96"/>
        <v>R</v>
      </c>
      <c r="U76" s="28">
        <v>6.0</v>
      </c>
      <c r="V76" s="26" t="str">
        <f t="shared" si="97"/>
        <v>R</v>
      </c>
      <c r="W76" s="28">
        <v>18.0</v>
      </c>
      <c r="X76" s="26" t="str">
        <f t="shared" si="98"/>
        <v>R</v>
      </c>
      <c r="Y76" s="28">
        <v>15.0</v>
      </c>
      <c r="Z76" s="26" t="str">
        <f t="shared" si="99"/>
        <v>R</v>
      </c>
      <c r="AA76" s="32" t="s">
        <v>299</v>
      </c>
      <c r="AB76" s="65">
        <v>10.0</v>
      </c>
      <c r="AC76" s="33" t="str">
        <f t="shared" si="100"/>
        <v>R</v>
      </c>
      <c r="AD76" s="65">
        <v>18.0</v>
      </c>
      <c r="AE76" s="33" t="str">
        <f t="shared" si="101"/>
        <v>S</v>
      </c>
      <c r="AF76" s="65">
        <v>11.0</v>
      </c>
      <c r="AG76" s="33" t="str">
        <f t="shared" si="102"/>
        <v>R</v>
      </c>
      <c r="AH76" s="65">
        <v>15.0</v>
      </c>
      <c r="AI76" s="33" t="str">
        <f t="shared" si="103"/>
        <v>S</v>
      </c>
      <c r="AJ76" s="65">
        <v>9.0</v>
      </c>
      <c r="AK76" s="33" t="str">
        <f t="shared" si="104"/>
        <v>R</v>
      </c>
      <c r="AL76" s="65" t="s">
        <v>299</v>
      </c>
      <c r="AM76" s="66">
        <v>16.0</v>
      </c>
      <c r="AN76" s="36" t="str">
        <f t="shared" si="105"/>
        <v>R</v>
      </c>
      <c r="AO76" s="66">
        <v>11.0</v>
      </c>
      <c r="AP76" s="36" t="str">
        <f t="shared" si="106"/>
        <v>R</v>
      </c>
      <c r="AQ76" s="66">
        <v>10.0</v>
      </c>
      <c r="AR76" s="36" t="str">
        <f t="shared" si="107"/>
        <v>R</v>
      </c>
      <c r="AS76" s="66" t="s">
        <v>299</v>
      </c>
      <c r="AT76" s="67">
        <v>6.0</v>
      </c>
      <c r="AU76" s="37" t="str">
        <f t="shared" si="108"/>
        <v>R</v>
      </c>
      <c r="AV76" s="65">
        <v>15.0</v>
      </c>
      <c r="AW76" s="33" t="str">
        <f t="shared" si="109"/>
        <v>R</v>
      </c>
      <c r="AX76" s="65">
        <v>15.0</v>
      </c>
      <c r="AY76" s="33" t="str">
        <f t="shared" si="110"/>
        <v>R</v>
      </c>
      <c r="AZ76" s="65" t="s">
        <v>299</v>
      </c>
      <c r="BA76" s="28">
        <v>6.0</v>
      </c>
      <c r="BB76" s="26" t="str">
        <f t="shared" si="111"/>
        <v>R</v>
      </c>
      <c r="BC76" s="67">
        <v>15.0</v>
      </c>
      <c r="BD76" s="37" t="str">
        <f t="shared" si="112"/>
        <v>R</v>
      </c>
      <c r="BE76" s="66">
        <v>23.0</v>
      </c>
      <c r="BF76" s="36" t="str">
        <f t="shared" si="113"/>
        <v>S</v>
      </c>
      <c r="BG76" s="39" t="s">
        <v>357</v>
      </c>
      <c r="BH76" s="39" t="s">
        <v>357</v>
      </c>
      <c r="BI76" s="66">
        <v>20.0</v>
      </c>
      <c r="BJ76" s="36" t="str">
        <f t="shared" si="114"/>
        <v>I</v>
      </c>
      <c r="BK76" s="68">
        <v>14.0</v>
      </c>
      <c r="BL76" s="41" t="str">
        <f t="shared" si="115"/>
        <v>R</v>
      </c>
      <c r="BM76" s="41"/>
    </row>
    <row r="77">
      <c r="A77" s="18" t="s">
        <v>637</v>
      </c>
      <c r="B77" s="19">
        <v>252.0</v>
      </c>
      <c r="C77" s="18" t="s">
        <v>1052</v>
      </c>
      <c r="D77" s="69" t="s">
        <v>190</v>
      </c>
      <c r="E77" s="18" t="s">
        <v>190</v>
      </c>
      <c r="F77" s="18" t="s">
        <v>192</v>
      </c>
      <c r="G77" s="63" t="s">
        <v>1053</v>
      </c>
      <c r="H77" s="22" t="s">
        <v>198</v>
      </c>
      <c r="I77" s="64" t="s">
        <v>481</v>
      </c>
      <c r="J77" s="43" t="s">
        <v>205</v>
      </c>
      <c r="K77" s="43" t="s">
        <v>208</v>
      </c>
      <c r="L77" s="25" t="s">
        <v>208</v>
      </c>
      <c r="M77" s="28">
        <v>6.0</v>
      </c>
      <c r="N77" s="26" t="str">
        <f t="shared" si="93"/>
        <v>R</v>
      </c>
      <c r="O77" s="28">
        <v>19.0</v>
      </c>
      <c r="P77" s="26" t="str">
        <f t="shared" si="94"/>
        <v>S</v>
      </c>
      <c r="Q77" s="28">
        <v>6.0</v>
      </c>
      <c r="R77" s="26" t="str">
        <f t="shared" si="95"/>
        <v>R</v>
      </c>
      <c r="S77" s="28">
        <v>23.0</v>
      </c>
      <c r="T77" s="26" t="str">
        <f t="shared" si="96"/>
        <v>S</v>
      </c>
      <c r="U77" s="28">
        <v>11.0</v>
      </c>
      <c r="V77" s="26" t="str">
        <f t="shared" si="97"/>
        <v>R</v>
      </c>
      <c r="W77" s="28">
        <v>23.0</v>
      </c>
      <c r="X77" s="26" t="str">
        <f t="shared" si="98"/>
        <v>S</v>
      </c>
      <c r="Y77" s="28">
        <v>27.0</v>
      </c>
      <c r="Z77" s="26" t="str">
        <f t="shared" si="99"/>
        <v>S</v>
      </c>
      <c r="AA77" s="32" t="s">
        <v>299</v>
      </c>
      <c r="AB77" s="65">
        <v>17.0</v>
      </c>
      <c r="AC77" s="33" t="str">
        <f t="shared" si="100"/>
        <v>I</v>
      </c>
      <c r="AD77" s="65">
        <v>24.0</v>
      </c>
      <c r="AE77" s="33" t="str">
        <f t="shared" si="101"/>
        <v>S</v>
      </c>
      <c r="AF77" s="65">
        <v>21.0</v>
      </c>
      <c r="AG77" s="33" t="str">
        <f t="shared" si="102"/>
        <v>I</v>
      </c>
      <c r="AH77" s="65">
        <v>24.0</v>
      </c>
      <c r="AI77" s="33" t="str">
        <f t="shared" si="103"/>
        <v>S</v>
      </c>
      <c r="AJ77" s="65">
        <v>23.0</v>
      </c>
      <c r="AK77" s="33" t="str">
        <f t="shared" si="104"/>
        <v>R</v>
      </c>
      <c r="AL77" s="65" t="s">
        <v>299</v>
      </c>
      <c r="AM77" s="66">
        <v>32.0</v>
      </c>
      <c r="AN77" s="36" t="str">
        <f t="shared" si="105"/>
        <v>S</v>
      </c>
      <c r="AO77" s="66">
        <v>26.0</v>
      </c>
      <c r="AP77" s="36" t="str">
        <f t="shared" si="106"/>
        <v>S</v>
      </c>
      <c r="AQ77" s="66">
        <v>26.0</v>
      </c>
      <c r="AR77" s="36" t="str">
        <f t="shared" si="107"/>
        <v>S</v>
      </c>
      <c r="AS77" s="36" t="s">
        <v>300</v>
      </c>
      <c r="AT77" s="67">
        <v>6.0</v>
      </c>
      <c r="AU77" s="37" t="str">
        <f t="shared" si="108"/>
        <v>R</v>
      </c>
      <c r="AV77" s="65">
        <v>24.0</v>
      </c>
      <c r="AW77" s="33" t="str">
        <f t="shared" si="109"/>
        <v>S</v>
      </c>
      <c r="AX77" s="65">
        <v>24.0</v>
      </c>
      <c r="AY77" s="33" t="str">
        <f t="shared" si="110"/>
        <v>S</v>
      </c>
      <c r="AZ77" s="33" t="s">
        <v>300</v>
      </c>
      <c r="BA77" s="28">
        <v>6.0</v>
      </c>
      <c r="BB77" s="26" t="str">
        <f t="shared" si="111"/>
        <v>R</v>
      </c>
      <c r="BC77" s="67">
        <v>26.0</v>
      </c>
      <c r="BD77" s="37" t="str">
        <f t="shared" si="112"/>
        <v>S</v>
      </c>
      <c r="BE77" s="66">
        <v>34.0</v>
      </c>
      <c r="BF77" s="36" t="str">
        <f t="shared" si="113"/>
        <v>S</v>
      </c>
      <c r="BG77" s="39" t="s">
        <v>357</v>
      </c>
      <c r="BH77" s="39" t="s">
        <v>357</v>
      </c>
      <c r="BI77" s="66">
        <v>27.0</v>
      </c>
      <c r="BJ77" s="36" t="str">
        <f t="shared" si="114"/>
        <v>S</v>
      </c>
      <c r="BK77" s="68">
        <v>23.0</v>
      </c>
      <c r="BL77" s="41" t="str">
        <f t="shared" si="115"/>
        <v>S</v>
      </c>
      <c r="BM77" s="41"/>
    </row>
    <row r="78">
      <c r="A78" s="18" t="s">
        <v>637</v>
      </c>
      <c r="B78" s="19">
        <v>253.0</v>
      </c>
      <c r="C78" s="18" t="s">
        <v>1058</v>
      </c>
      <c r="D78" s="69" t="s">
        <v>571</v>
      </c>
      <c r="E78" s="18" t="s">
        <v>572</v>
      </c>
      <c r="F78" s="18" t="s">
        <v>192</v>
      </c>
      <c r="G78" s="63" t="s">
        <v>1059</v>
      </c>
      <c r="H78" s="52" t="s">
        <v>581</v>
      </c>
      <c r="I78" s="24" t="s">
        <v>816</v>
      </c>
      <c r="J78" s="25" t="s">
        <v>205</v>
      </c>
      <c r="K78" s="25" t="s">
        <v>205</v>
      </c>
      <c r="L78" s="25" t="s">
        <v>205</v>
      </c>
      <c r="M78" s="28">
        <v>6.0</v>
      </c>
      <c r="N78" s="26" t="str">
        <f t="shared" si="93"/>
        <v>R</v>
      </c>
      <c r="O78" s="28">
        <v>18.0</v>
      </c>
      <c r="P78" s="26" t="str">
        <f t="shared" si="94"/>
        <v>R</v>
      </c>
      <c r="Q78" s="28">
        <v>20.0</v>
      </c>
      <c r="R78" s="26" t="str">
        <f t="shared" si="95"/>
        <v>R</v>
      </c>
      <c r="S78" s="28">
        <v>37.0</v>
      </c>
      <c r="T78" s="26" t="str">
        <f t="shared" si="96"/>
        <v>S</v>
      </c>
      <c r="U78" s="28">
        <v>19.0</v>
      </c>
      <c r="V78" s="26" t="str">
        <f t="shared" si="97"/>
        <v>R</v>
      </c>
      <c r="W78" s="28">
        <v>15.0</v>
      </c>
      <c r="X78" s="26" t="str">
        <f t="shared" si="98"/>
        <v>R</v>
      </c>
      <c r="Y78" s="28">
        <v>12.0</v>
      </c>
      <c r="Z78" s="26" t="str">
        <f t="shared" si="99"/>
        <v>R</v>
      </c>
      <c r="AA78" s="32" t="s">
        <v>299</v>
      </c>
      <c r="AB78" s="65">
        <v>18.0</v>
      </c>
      <c r="AC78" s="33" t="str">
        <f t="shared" si="100"/>
        <v>I</v>
      </c>
      <c r="AD78" s="65">
        <v>25.0</v>
      </c>
      <c r="AE78" s="33" t="str">
        <f t="shared" si="101"/>
        <v>S</v>
      </c>
      <c r="AF78" s="65">
        <v>18.0</v>
      </c>
      <c r="AG78" s="33" t="str">
        <f t="shared" si="102"/>
        <v>R</v>
      </c>
      <c r="AH78" s="65">
        <v>18.0</v>
      </c>
      <c r="AI78" s="33" t="str">
        <f t="shared" si="103"/>
        <v>S</v>
      </c>
      <c r="AJ78" s="65">
        <v>18.0</v>
      </c>
      <c r="AK78" s="33" t="str">
        <f t="shared" si="104"/>
        <v>R</v>
      </c>
      <c r="AL78" s="65" t="s">
        <v>299</v>
      </c>
      <c r="AM78" s="66">
        <v>22.0</v>
      </c>
      <c r="AN78" s="36" t="str">
        <f t="shared" si="105"/>
        <v>I</v>
      </c>
      <c r="AO78" s="66">
        <v>15.0</v>
      </c>
      <c r="AP78" s="36" t="str">
        <f t="shared" si="106"/>
        <v>R</v>
      </c>
      <c r="AQ78" s="66">
        <v>12.0</v>
      </c>
      <c r="AR78" s="36" t="str">
        <f t="shared" si="107"/>
        <v>R</v>
      </c>
      <c r="AS78" s="66" t="s">
        <v>299</v>
      </c>
      <c r="AT78" s="67">
        <v>11.0</v>
      </c>
      <c r="AU78" s="37" t="str">
        <f t="shared" si="108"/>
        <v>I</v>
      </c>
      <c r="AV78" s="65">
        <v>21.0</v>
      </c>
      <c r="AW78" s="33" t="str">
        <f t="shared" si="109"/>
        <v>S</v>
      </c>
      <c r="AX78" s="65">
        <v>17.0</v>
      </c>
      <c r="AY78" s="33" t="str">
        <f t="shared" si="110"/>
        <v>S</v>
      </c>
      <c r="AZ78" s="33" t="s">
        <v>300</v>
      </c>
      <c r="BA78" s="28">
        <v>6.0</v>
      </c>
      <c r="BB78" s="26" t="str">
        <f t="shared" si="111"/>
        <v>R</v>
      </c>
      <c r="BC78" s="67">
        <v>6.0</v>
      </c>
      <c r="BD78" s="37" t="str">
        <f t="shared" si="112"/>
        <v>R</v>
      </c>
      <c r="BE78" s="66">
        <v>25.0</v>
      </c>
      <c r="BF78" s="36" t="str">
        <f t="shared" si="113"/>
        <v>S</v>
      </c>
      <c r="BG78" s="39" t="s">
        <v>357</v>
      </c>
      <c r="BH78" s="39" t="s">
        <v>357</v>
      </c>
      <c r="BI78" s="66">
        <v>25.0</v>
      </c>
      <c r="BJ78" s="36" t="str">
        <f t="shared" si="114"/>
        <v>S</v>
      </c>
      <c r="BK78" s="68">
        <v>15.0</v>
      </c>
      <c r="BL78" s="41" t="str">
        <f t="shared" si="115"/>
        <v>R</v>
      </c>
      <c r="BM78" s="41"/>
    </row>
    <row r="79">
      <c r="A79" s="18" t="s">
        <v>647</v>
      </c>
      <c r="B79" s="19">
        <v>254.0</v>
      </c>
      <c r="C79" s="18" t="s">
        <v>1061</v>
      </c>
      <c r="D79" s="69" t="s">
        <v>190</v>
      </c>
      <c r="E79" s="18" t="s">
        <v>190</v>
      </c>
      <c r="F79" s="18" t="s">
        <v>192</v>
      </c>
      <c r="G79" s="63" t="s">
        <v>1062</v>
      </c>
      <c r="H79" s="22" t="s">
        <v>198</v>
      </c>
      <c r="I79" s="24" t="s">
        <v>37</v>
      </c>
      <c r="J79" s="25" t="s">
        <v>205</v>
      </c>
      <c r="K79" s="25" t="s">
        <v>205</v>
      </c>
      <c r="L79" s="25" t="s">
        <v>208</v>
      </c>
      <c r="M79" s="28">
        <v>9.0</v>
      </c>
      <c r="N79" s="26" t="str">
        <f t="shared" si="93"/>
        <v>R</v>
      </c>
      <c r="O79" s="28">
        <v>19.0</v>
      </c>
      <c r="P79" s="26" t="str">
        <f t="shared" si="94"/>
        <v>S</v>
      </c>
      <c r="Q79" s="28">
        <v>21.0</v>
      </c>
      <c r="R79" s="26" t="str">
        <f t="shared" si="95"/>
        <v>R</v>
      </c>
      <c r="S79" s="28">
        <v>26.0</v>
      </c>
      <c r="T79" s="26" t="str">
        <f t="shared" si="96"/>
        <v>S</v>
      </c>
      <c r="U79" s="28">
        <v>15.0</v>
      </c>
      <c r="V79" s="26" t="str">
        <f t="shared" si="97"/>
        <v>R</v>
      </c>
      <c r="W79" s="28">
        <v>18.0</v>
      </c>
      <c r="X79" s="26" t="str">
        <f t="shared" si="98"/>
        <v>R</v>
      </c>
      <c r="Y79" s="28">
        <v>19.0</v>
      </c>
      <c r="Z79" s="26" t="str">
        <f t="shared" si="99"/>
        <v>I</v>
      </c>
      <c r="AA79" s="32" t="s">
        <v>299</v>
      </c>
      <c r="AB79" s="65">
        <v>16.0</v>
      </c>
      <c r="AC79" s="33" t="str">
        <f t="shared" si="100"/>
        <v>R</v>
      </c>
      <c r="AD79" s="65">
        <v>24.0</v>
      </c>
      <c r="AE79" s="33" t="str">
        <f t="shared" si="101"/>
        <v>S</v>
      </c>
      <c r="AF79" s="65">
        <v>18.0</v>
      </c>
      <c r="AG79" s="33" t="str">
        <f t="shared" si="102"/>
        <v>R</v>
      </c>
      <c r="AH79" s="65">
        <v>17.0</v>
      </c>
      <c r="AI79" s="33" t="str">
        <f t="shared" si="103"/>
        <v>S</v>
      </c>
      <c r="AJ79" s="65">
        <v>22.0</v>
      </c>
      <c r="AK79" s="33" t="str">
        <f t="shared" si="104"/>
        <v>R</v>
      </c>
      <c r="AL79" s="65" t="s">
        <v>299</v>
      </c>
      <c r="AM79" s="66">
        <v>20.0</v>
      </c>
      <c r="AN79" s="36" t="str">
        <f t="shared" si="105"/>
        <v>R</v>
      </c>
      <c r="AO79" s="66">
        <v>11.0</v>
      </c>
      <c r="AP79" s="36" t="str">
        <f t="shared" si="106"/>
        <v>R</v>
      </c>
      <c r="AQ79" s="66">
        <v>10.0</v>
      </c>
      <c r="AR79" s="36" t="str">
        <f t="shared" si="107"/>
        <v>R</v>
      </c>
      <c r="AS79" s="66" t="s">
        <v>299</v>
      </c>
      <c r="AT79" s="67">
        <v>12.0</v>
      </c>
      <c r="AU79" s="37" t="str">
        <f t="shared" si="108"/>
        <v>I</v>
      </c>
      <c r="AV79" s="65">
        <v>17.0</v>
      </c>
      <c r="AW79" s="33" t="str">
        <f t="shared" si="109"/>
        <v>R</v>
      </c>
      <c r="AX79" s="65">
        <v>15.0</v>
      </c>
      <c r="AY79" s="33" t="str">
        <f t="shared" si="110"/>
        <v>R</v>
      </c>
      <c r="AZ79" s="65" t="s">
        <v>299</v>
      </c>
      <c r="BA79" s="28">
        <v>12.0</v>
      </c>
      <c r="BB79" s="26" t="str">
        <f t="shared" si="111"/>
        <v>R</v>
      </c>
      <c r="BC79" s="67">
        <v>21.0</v>
      </c>
      <c r="BD79" s="37" t="str">
        <f t="shared" si="112"/>
        <v>I</v>
      </c>
      <c r="BE79" s="66">
        <v>23.0</v>
      </c>
      <c r="BF79" s="36" t="str">
        <f t="shared" si="113"/>
        <v>S</v>
      </c>
      <c r="BG79" s="39" t="s">
        <v>357</v>
      </c>
      <c r="BH79" s="39" t="s">
        <v>357</v>
      </c>
      <c r="BI79" s="66">
        <v>25.0</v>
      </c>
      <c r="BJ79" s="36" t="str">
        <f t="shared" si="114"/>
        <v>S</v>
      </c>
      <c r="BK79" s="68">
        <v>18.0</v>
      </c>
      <c r="BL79" s="41" t="str">
        <f t="shared" si="115"/>
        <v>S</v>
      </c>
      <c r="BM79" s="41"/>
    </row>
    <row r="80">
      <c r="A80" s="18" t="s">
        <v>647</v>
      </c>
      <c r="B80" s="19">
        <v>255.0</v>
      </c>
      <c r="C80" s="18" t="s">
        <v>1067</v>
      </c>
      <c r="D80" s="69" t="s">
        <v>571</v>
      </c>
      <c r="E80" s="18" t="s">
        <v>572</v>
      </c>
      <c r="F80" s="18" t="s">
        <v>192</v>
      </c>
      <c r="G80" s="63" t="s">
        <v>1068</v>
      </c>
      <c r="H80" s="22" t="s">
        <v>198</v>
      </c>
      <c r="I80" s="24" t="s">
        <v>816</v>
      </c>
      <c r="J80" s="25" t="s">
        <v>205</v>
      </c>
      <c r="K80" s="25" t="s">
        <v>205</v>
      </c>
      <c r="L80" s="25" t="s">
        <v>205</v>
      </c>
      <c r="M80" s="28">
        <v>9.0</v>
      </c>
      <c r="N80" s="26" t="str">
        <f t="shared" si="93"/>
        <v>R</v>
      </c>
      <c r="O80" s="28">
        <v>12.0</v>
      </c>
      <c r="P80" s="26" t="str">
        <f t="shared" si="94"/>
        <v>R</v>
      </c>
      <c r="Q80" s="28">
        <v>16.0</v>
      </c>
      <c r="R80" s="26" t="str">
        <f t="shared" si="95"/>
        <v>R</v>
      </c>
      <c r="S80" s="28">
        <v>16.0</v>
      </c>
      <c r="T80" s="26" t="str">
        <f t="shared" si="96"/>
        <v>R</v>
      </c>
      <c r="U80" s="28">
        <v>9.0</v>
      </c>
      <c r="V80" s="26" t="str">
        <f t="shared" si="97"/>
        <v>R</v>
      </c>
      <c r="W80" s="28">
        <v>12.0</v>
      </c>
      <c r="X80" s="26" t="str">
        <f t="shared" si="98"/>
        <v>R</v>
      </c>
      <c r="Y80" s="28">
        <v>12.0</v>
      </c>
      <c r="Z80" s="26" t="str">
        <f t="shared" si="99"/>
        <v>R</v>
      </c>
      <c r="AA80" s="32" t="s">
        <v>299</v>
      </c>
      <c r="AB80" s="65">
        <v>11.0</v>
      </c>
      <c r="AC80" s="33" t="str">
        <f t="shared" si="100"/>
        <v>R</v>
      </c>
      <c r="AD80" s="65">
        <v>18.0</v>
      </c>
      <c r="AE80" s="33" t="str">
        <f t="shared" si="101"/>
        <v>S</v>
      </c>
      <c r="AF80" s="65">
        <v>13.0</v>
      </c>
      <c r="AG80" s="33" t="str">
        <f t="shared" si="102"/>
        <v>R</v>
      </c>
      <c r="AH80" s="65">
        <v>12.0</v>
      </c>
      <c r="AI80" s="33" t="str">
        <f t="shared" si="103"/>
        <v>R</v>
      </c>
      <c r="AJ80" s="65">
        <v>16.0</v>
      </c>
      <c r="AK80" s="33" t="str">
        <f t="shared" si="104"/>
        <v>R</v>
      </c>
      <c r="AL80" s="65" t="s">
        <v>299</v>
      </c>
      <c r="AM80" s="66">
        <v>15.0</v>
      </c>
      <c r="AN80" s="36" t="str">
        <f t="shared" si="105"/>
        <v>R</v>
      </c>
      <c r="AO80" s="66">
        <v>13.0</v>
      </c>
      <c r="AP80" s="36" t="str">
        <f t="shared" si="106"/>
        <v>R</v>
      </c>
      <c r="AQ80" s="66">
        <v>6.0</v>
      </c>
      <c r="AR80" s="36" t="str">
        <f t="shared" si="107"/>
        <v>R</v>
      </c>
      <c r="AS80" s="66" t="s">
        <v>299</v>
      </c>
      <c r="AT80" s="67">
        <v>10.0</v>
      </c>
      <c r="AU80" s="37" t="str">
        <f t="shared" si="108"/>
        <v>R</v>
      </c>
      <c r="AV80" s="65">
        <v>15.0</v>
      </c>
      <c r="AW80" s="33" t="str">
        <f t="shared" si="109"/>
        <v>R</v>
      </c>
      <c r="AX80" s="65">
        <v>13.0</v>
      </c>
      <c r="AY80" s="33" t="str">
        <f t="shared" si="110"/>
        <v>R</v>
      </c>
      <c r="AZ80" s="65" t="s">
        <v>299</v>
      </c>
      <c r="BA80" s="28">
        <v>6.0</v>
      </c>
      <c r="BB80" s="26" t="str">
        <f t="shared" si="111"/>
        <v>R</v>
      </c>
      <c r="BC80" s="67">
        <v>14.0</v>
      </c>
      <c r="BD80" s="37" t="str">
        <f t="shared" si="112"/>
        <v>R</v>
      </c>
      <c r="BE80" s="66">
        <v>17.0</v>
      </c>
      <c r="BF80" s="36" t="str">
        <f t="shared" si="113"/>
        <v>R</v>
      </c>
      <c r="BG80" s="39" t="s">
        <v>357</v>
      </c>
      <c r="BH80" s="39" t="s">
        <v>357</v>
      </c>
      <c r="BI80" s="66">
        <v>19.0</v>
      </c>
      <c r="BJ80" s="36" t="str">
        <f t="shared" si="114"/>
        <v>I</v>
      </c>
      <c r="BK80" s="68">
        <v>13.0</v>
      </c>
      <c r="BL80" s="41" t="str">
        <f t="shared" si="115"/>
        <v>R</v>
      </c>
      <c r="BM80" s="41"/>
    </row>
    <row r="81">
      <c r="A81" s="18" t="s">
        <v>647</v>
      </c>
      <c r="B81" s="19">
        <v>256.0</v>
      </c>
      <c r="C81" s="18" t="s">
        <v>1073</v>
      </c>
      <c r="D81" s="69" t="s">
        <v>705</v>
      </c>
      <c r="E81" s="18" t="s">
        <v>572</v>
      </c>
      <c r="F81" s="18" t="s">
        <v>192</v>
      </c>
      <c r="G81" s="63" t="s">
        <v>1074</v>
      </c>
      <c r="H81" s="22" t="s">
        <v>198</v>
      </c>
      <c r="I81" s="24" t="s">
        <v>816</v>
      </c>
      <c r="J81" s="25" t="s">
        <v>205</v>
      </c>
      <c r="K81" s="25" t="s">
        <v>205</v>
      </c>
      <c r="L81" s="25" t="s">
        <v>205</v>
      </c>
      <c r="M81" s="28">
        <v>6.0</v>
      </c>
      <c r="N81" s="26" t="str">
        <f t="shared" si="93"/>
        <v>R</v>
      </c>
      <c r="O81" s="28">
        <v>15.0</v>
      </c>
      <c r="P81" s="26" t="str">
        <f t="shared" si="94"/>
        <v>R</v>
      </c>
      <c r="Q81" s="28">
        <v>12.0</v>
      </c>
      <c r="R81" s="26" t="str">
        <f t="shared" si="95"/>
        <v>R</v>
      </c>
      <c r="S81" s="28">
        <v>18.0</v>
      </c>
      <c r="T81" s="26" t="str">
        <f t="shared" si="96"/>
        <v>R</v>
      </c>
      <c r="U81" s="28">
        <v>6.0</v>
      </c>
      <c r="V81" s="26" t="str">
        <f t="shared" si="97"/>
        <v>R</v>
      </c>
      <c r="W81" s="28">
        <v>15.0</v>
      </c>
      <c r="X81" s="26" t="str">
        <f t="shared" si="98"/>
        <v>R</v>
      </c>
      <c r="Y81" s="28">
        <v>11.0</v>
      </c>
      <c r="Z81" s="26" t="str">
        <f t="shared" si="99"/>
        <v>R</v>
      </c>
      <c r="AA81" s="32" t="s">
        <v>299</v>
      </c>
      <c r="AB81" s="65">
        <v>14.0</v>
      </c>
      <c r="AC81" s="33" t="str">
        <f t="shared" si="100"/>
        <v>R</v>
      </c>
      <c r="AD81" s="65">
        <v>21.0</v>
      </c>
      <c r="AE81" s="33" t="str">
        <f t="shared" si="101"/>
        <v>S</v>
      </c>
      <c r="AF81" s="65">
        <v>14.0</v>
      </c>
      <c r="AG81" s="33" t="str">
        <f t="shared" si="102"/>
        <v>R</v>
      </c>
      <c r="AH81" s="65">
        <v>15.0</v>
      </c>
      <c r="AI81" s="33" t="str">
        <f t="shared" si="103"/>
        <v>S</v>
      </c>
      <c r="AJ81" s="65">
        <v>13.0</v>
      </c>
      <c r="AK81" s="33" t="str">
        <f t="shared" si="104"/>
        <v>R</v>
      </c>
      <c r="AL81" s="65" t="s">
        <v>299</v>
      </c>
      <c r="AM81" s="66">
        <v>18.0</v>
      </c>
      <c r="AN81" s="36" t="str">
        <f t="shared" si="105"/>
        <v>R</v>
      </c>
      <c r="AO81" s="66">
        <v>9.0</v>
      </c>
      <c r="AP81" s="36" t="str">
        <f t="shared" si="106"/>
        <v>R</v>
      </c>
      <c r="AQ81" s="66">
        <v>6.0</v>
      </c>
      <c r="AR81" s="36" t="str">
        <f t="shared" si="107"/>
        <v>R</v>
      </c>
      <c r="AS81" s="66" t="s">
        <v>299</v>
      </c>
      <c r="AT81" s="67">
        <v>9.0</v>
      </c>
      <c r="AU81" s="37" t="str">
        <f t="shared" si="108"/>
        <v>R</v>
      </c>
      <c r="AV81" s="65">
        <v>16.0</v>
      </c>
      <c r="AW81" s="33" t="str">
        <f t="shared" si="109"/>
        <v>R</v>
      </c>
      <c r="AX81" s="65">
        <v>16.0</v>
      </c>
      <c r="AY81" s="33" t="str">
        <f t="shared" si="110"/>
        <v>S</v>
      </c>
      <c r="AZ81" s="65" t="s">
        <v>299</v>
      </c>
      <c r="BA81" s="28">
        <v>6.0</v>
      </c>
      <c r="BB81" s="26" t="str">
        <f t="shared" si="111"/>
        <v>R</v>
      </c>
      <c r="BC81" s="67">
        <v>13.0</v>
      </c>
      <c r="BD81" s="37" t="str">
        <f t="shared" si="112"/>
        <v>R</v>
      </c>
      <c r="BE81" s="66">
        <v>15.0</v>
      </c>
      <c r="BF81" s="36" t="str">
        <f t="shared" si="113"/>
        <v>R</v>
      </c>
      <c r="BG81" s="39" t="s">
        <v>357</v>
      </c>
      <c r="BH81" s="39" t="s">
        <v>357</v>
      </c>
      <c r="BI81" s="66">
        <v>20.0</v>
      </c>
      <c r="BJ81" s="36" t="str">
        <f t="shared" si="114"/>
        <v>I</v>
      </c>
      <c r="BK81" s="68">
        <v>15.0</v>
      </c>
      <c r="BL81" s="41" t="str">
        <f t="shared" si="115"/>
        <v>R</v>
      </c>
      <c r="BM81" s="41"/>
    </row>
    <row r="82">
      <c r="A82" s="18" t="s">
        <v>659</v>
      </c>
      <c r="B82" s="19">
        <v>260.0</v>
      </c>
      <c r="C82" s="18" t="s">
        <v>1078</v>
      </c>
      <c r="D82" s="69" t="s">
        <v>190</v>
      </c>
      <c r="E82" s="18" t="s">
        <v>190</v>
      </c>
      <c r="F82" s="18" t="s">
        <v>192</v>
      </c>
      <c r="G82" s="63" t="s">
        <v>1080</v>
      </c>
      <c r="H82" s="42" t="s">
        <v>479</v>
      </c>
      <c r="I82" s="64" t="s">
        <v>481</v>
      </c>
      <c r="J82" s="43" t="s">
        <v>205</v>
      </c>
      <c r="K82" s="43" t="s">
        <v>208</v>
      </c>
      <c r="L82" s="25" t="s">
        <v>208</v>
      </c>
      <c r="M82" s="28">
        <v>6.0</v>
      </c>
      <c r="N82" s="26" t="str">
        <f t="shared" si="93"/>
        <v>R</v>
      </c>
      <c r="O82" s="28">
        <v>21.0</v>
      </c>
      <c r="P82" s="26" t="str">
        <f t="shared" si="94"/>
        <v>S</v>
      </c>
      <c r="Q82" s="28">
        <v>6.0</v>
      </c>
      <c r="R82" s="26" t="str">
        <f t="shared" si="95"/>
        <v>R</v>
      </c>
      <c r="S82" s="28">
        <v>26.0</v>
      </c>
      <c r="T82" s="26" t="str">
        <f t="shared" si="96"/>
        <v>S</v>
      </c>
      <c r="U82" s="28">
        <v>6.0</v>
      </c>
      <c r="V82" s="26" t="str">
        <f t="shared" si="97"/>
        <v>R</v>
      </c>
      <c r="W82" s="28">
        <v>20.0</v>
      </c>
      <c r="X82" s="26" t="str">
        <f t="shared" si="98"/>
        <v>S</v>
      </c>
      <c r="Y82" s="28">
        <v>25.0</v>
      </c>
      <c r="Z82" s="26" t="str">
        <f t="shared" si="99"/>
        <v>S</v>
      </c>
      <c r="AA82" s="32" t="s">
        <v>299</v>
      </c>
      <c r="AB82" s="65">
        <v>26.0</v>
      </c>
      <c r="AC82" s="33" t="str">
        <f t="shared" si="100"/>
        <v>S</v>
      </c>
      <c r="AD82" s="65">
        <v>18.0</v>
      </c>
      <c r="AE82" s="33" t="str">
        <f t="shared" si="101"/>
        <v>S</v>
      </c>
      <c r="AF82" s="65">
        <v>24.0</v>
      </c>
      <c r="AG82" s="33" t="str">
        <f t="shared" si="102"/>
        <v>S</v>
      </c>
      <c r="AH82" s="65">
        <v>13.0</v>
      </c>
      <c r="AI82" s="33" t="str">
        <f t="shared" si="103"/>
        <v>S</v>
      </c>
      <c r="AJ82" s="65">
        <v>25.0</v>
      </c>
      <c r="AK82" s="33" t="str">
        <f t="shared" si="104"/>
        <v>I</v>
      </c>
      <c r="AL82" s="65" t="s">
        <v>299</v>
      </c>
      <c r="AM82" s="66">
        <v>19.0</v>
      </c>
      <c r="AN82" s="36" t="str">
        <f t="shared" si="105"/>
        <v>R</v>
      </c>
      <c r="AO82" s="66">
        <v>19.0</v>
      </c>
      <c r="AP82" s="36" t="str">
        <f t="shared" si="106"/>
        <v>I</v>
      </c>
      <c r="AQ82" s="66">
        <v>8.0</v>
      </c>
      <c r="AR82" s="36" t="str">
        <f t="shared" si="107"/>
        <v>R</v>
      </c>
      <c r="AS82" s="66" t="s">
        <v>299</v>
      </c>
      <c r="AT82" s="67">
        <v>21.0</v>
      </c>
      <c r="AU82" s="37" t="str">
        <f t="shared" si="108"/>
        <v>S</v>
      </c>
      <c r="AV82" s="65">
        <v>16.0</v>
      </c>
      <c r="AW82" s="33" t="str">
        <f t="shared" si="109"/>
        <v>R</v>
      </c>
      <c r="AX82" s="65">
        <v>20.0</v>
      </c>
      <c r="AY82" s="33" t="str">
        <f t="shared" si="110"/>
        <v>S</v>
      </c>
      <c r="AZ82" s="65" t="s">
        <v>299</v>
      </c>
      <c r="BA82" s="28">
        <v>20.0</v>
      </c>
      <c r="BB82" s="26" t="str">
        <f t="shared" si="111"/>
        <v>S</v>
      </c>
      <c r="BC82" s="67">
        <v>20.0</v>
      </c>
      <c r="BD82" s="37" t="str">
        <f t="shared" si="112"/>
        <v>R</v>
      </c>
      <c r="BE82" s="66">
        <v>28.0</v>
      </c>
      <c r="BF82" s="36" t="str">
        <f t="shared" si="113"/>
        <v>S</v>
      </c>
      <c r="BG82" s="39" t="s">
        <v>357</v>
      </c>
      <c r="BH82" s="39" t="s">
        <v>357</v>
      </c>
      <c r="BI82" s="66">
        <v>26.0</v>
      </c>
      <c r="BJ82" s="36" t="str">
        <f t="shared" si="114"/>
        <v>S</v>
      </c>
      <c r="BK82" s="68">
        <v>14.0</v>
      </c>
      <c r="BL82" s="41" t="str">
        <f t="shared" si="115"/>
        <v>R</v>
      </c>
      <c r="BM82" s="41"/>
    </row>
    <row r="83">
      <c r="A83" s="18" t="s">
        <v>659</v>
      </c>
      <c r="B83" s="19">
        <v>261.0</v>
      </c>
      <c r="C83" s="18" t="s">
        <v>1084</v>
      </c>
      <c r="D83" s="69" t="s">
        <v>571</v>
      </c>
      <c r="E83" s="18" t="s">
        <v>572</v>
      </c>
      <c r="F83" s="18" t="s">
        <v>192</v>
      </c>
      <c r="G83" s="63" t="s">
        <v>1086</v>
      </c>
      <c r="H83" s="22" t="s">
        <v>198</v>
      </c>
      <c r="I83" s="24" t="s">
        <v>37</v>
      </c>
      <c r="J83" s="25" t="s">
        <v>205</v>
      </c>
      <c r="K83" s="25" t="s">
        <v>205</v>
      </c>
      <c r="L83" s="25" t="s">
        <v>208</v>
      </c>
      <c r="M83" s="28">
        <v>6.0</v>
      </c>
      <c r="N83" s="26" t="str">
        <f t="shared" si="93"/>
        <v>R</v>
      </c>
      <c r="O83" s="28">
        <v>18.0</v>
      </c>
      <c r="P83" s="26" t="str">
        <f t="shared" si="94"/>
        <v>R</v>
      </c>
      <c r="Q83" s="28">
        <v>6.0</v>
      </c>
      <c r="R83" s="26" t="str">
        <f t="shared" si="95"/>
        <v>R</v>
      </c>
      <c r="S83" s="28">
        <v>22.0</v>
      </c>
      <c r="T83" s="26" t="str">
        <f t="shared" si="96"/>
        <v>I</v>
      </c>
      <c r="U83" s="28">
        <v>6.0</v>
      </c>
      <c r="V83" s="26" t="str">
        <f t="shared" si="97"/>
        <v>R</v>
      </c>
      <c r="W83" s="28">
        <v>20.0</v>
      </c>
      <c r="X83" s="26" t="str">
        <f t="shared" si="98"/>
        <v>S</v>
      </c>
      <c r="Y83" s="28">
        <v>19.0</v>
      </c>
      <c r="Z83" s="26" t="str">
        <f t="shared" si="99"/>
        <v>I</v>
      </c>
      <c r="AA83" s="32" t="s">
        <v>299</v>
      </c>
      <c r="AB83" s="65">
        <v>6.0</v>
      </c>
      <c r="AC83" s="33" t="str">
        <f t="shared" si="100"/>
        <v>R</v>
      </c>
      <c r="AD83" s="65">
        <v>19.0</v>
      </c>
      <c r="AE83" s="33" t="str">
        <f t="shared" si="101"/>
        <v>S</v>
      </c>
      <c r="AF83" s="65">
        <v>6.0</v>
      </c>
      <c r="AG83" s="33" t="str">
        <f t="shared" si="102"/>
        <v>R</v>
      </c>
      <c r="AH83" s="65">
        <v>21.0</v>
      </c>
      <c r="AI83" s="33" t="str">
        <f t="shared" si="103"/>
        <v>S</v>
      </c>
      <c r="AJ83" s="65">
        <v>17.0</v>
      </c>
      <c r="AK83" s="33" t="str">
        <f t="shared" si="104"/>
        <v>R</v>
      </c>
      <c r="AL83" s="65" t="s">
        <v>299</v>
      </c>
      <c r="AM83" s="66">
        <v>6.0</v>
      </c>
      <c r="AN83" s="36" t="str">
        <f t="shared" si="105"/>
        <v>R</v>
      </c>
      <c r="AO83" s="66">
        <v>6.0</v>
      </c>
      <c r="AP83" s="36" t="str">
        <f t="shared" si="106"/>
        <v>R</v>
      </c>
      <c r="AQ83" s="66">
        <v>6.0</v>
      </c>
      <c r="AR83" s="36" t="str">
        <f t="shared" si="107"/>
        <v>R</v>
      </c>
      <c r="AS83" s="66" t="s">
        <v>299</v>
      </c>
      <c r="AT83" s="67">
        <v>6.0</v>
      </c>
      <c r="AU83" s="37" t="str">
        <f t="shared" si="108"/>
        <v>R</v>
      </c>
      <c r="AV83" s="65">
        <v>20.0</v>
      </c>
      <c r="AW83" s="33" t="str">
        <f t="shared" si="109"/>
        <v>S</v>
      </c>
      <c r="AX83" s="65">
        <v>19.0</v>
      </c>
      <c r="AY83" s="33" t="str">
        <f t="shared" si="110"/>
        <v>S</v>
      </c>
      <c r="AZ83" s="33" t="s">
        <v>300</v>
      </c>
      <c r="BA83" s="28">
        <v>6.0</v>
      </c>
      <c r="BB83" s="26" t="str">
        <f t="shared" si="111"/>
        <v>R</v>
      </c>
      <c r="BC83" s="67">
        <v>15.0</v>
      </c>
      <c r="BD83" s="37" t="str">
        <f t="shared" si="112"/>
        <v>R</v>
      </c>
      <c r="BE83" s="66">
        <v>27.0</v>
      </c>
      <c r="BF83" s="36" t="str">
        <f t="shared" si="113"/>
        <v>S</v>
      </c>
      <c r="BG83" s="39" t="s">
        <v>357</v>
      </c>
      <c r="BH83" s="39" t="s">
        <v>357</v>
      </c>
      <c r="BI83" s="66">
        <v>21.0</v>
      </c>
      <c r="BJ83" s="36" t="str">
        <f t="shared" si="114"/>
        <v>I</v>
      </c>
      <c r="BK83" s="68">
        <v>21.0</v>
      </c>
      <c r="BL83" s="41" t="str">
        <f t="shared" si="115"/>
        <v>S</v>
      </c>
      <c r="BM83" s="41"/>
    </row>
    <row r="84">
      <c r="A84" s="18" t="s">
        <v>659</v>
      </c>
      <c r="B84" s="19">
        <v>262.0</v>
      </c>
      <c r="C84" s="18" t="s">
        <v>1089</v>
      </c>
      <c r="D84" s="69" t="s">
        <v>705</v>
      </c>
      <c r="E84" s="18" t="s">
        <v>572</v>
      </c>
      <c r="F84" s="18" t="s">
        <v>192</v>
      </c>
      <c r="G84" s="63" t="s">
        <v>1091</v>
      </c>
      <c r="H84" s="42" t="s">
        <v>479</v>
      </c>
      <c r="I84" s="24" t="s">
        <v>816</v>
      </c>
      <c r="J84" s="25" t="s">
        <v>205</v>
      </c>
      <c r="K84" s="25" t="s">
        <v>205</v>
      </c>
      <c r="L84" s="25" t="s">
        <v>205</v>
      </c>
      <c r="M84" s="28">
        <v>6.0</v>
      </c>
      <c r="N84" s="26" t="str">
        <f t="shared" si="93"/>
        <v>R</v>
      </c>
      <c r="O84" s="28">
        <v>13.0</v>
      </c>
      <c r="P84" s="26" t="str">
        <f t="shared" si="94"/>
        <v>R</v>
      </c>
      <c r="Q84" s="28">
        <v>16.0</v>
      </c>
      <c r="R84" s="26" t="str">
        <f t="shared" si="95"/>
        <v>R</v>
      </c>
      <c r="S84" s="28">
        <v>20.0</v>
      </c>
      <c r="T84" s="26" t="str">
        <f t="shared" si="96"/>
        <v>I</v>
      </c>
      <c r="U84" s="28">
        <v>14.0</v>
      </c>
      <c r="V84" s="26" t="str">
        <f t="shared" si="97"/>
        <v>R</v>
      </c>
      <c r="W84" s="28">
        <v>15.0</v>
      </c>
      <c r="X84" s="26" t="str">
        <f t="shared" si="98"/>
        <v>R</v>
      </c>
      <c r="Y84" s="28">
        <v>15.0</v>
      </c>
      <c r="Z84" s="26" t="str">
        <f t="shared" si="99"/>
        <v>R</v>
      </c>
      <c r="AA84" s="32" t="s">
        <v>299</v>
      </c>
      <c r="AB84" s="65">
        <v>6.0</v>
      </c>
      <c r="AC84" s="33" t="str">
        <f t="shared" si="100"/>
        <v>R</v>
      </c>
      <c r="AD84" s="65">
        <v>18.0</v>
      </c>
      <c r="AE84" s="33" t="str">
        <f t="shared" si="101"/>
        <v>S</v>
      </c>
      <c r="AF84" s="65">
        <v>6.0</v>
      </c>
      <c r="AG84" s="33" t="str">
        <f t="shared" si="102"/>
        <v>R</v>
      </c>
      <c r="AH84" s="65">
        <v>12.0</v>
      </c>
      <c r="AI84" s="33" t="str">
        <f t="shared" si="103"/>
        <v>R</v>
      </c>
      <c r="AJ84" s="65">
        <v>6.0</v>
      </c>
      <c r="AK84" s="33" t="str">
        <f t="shared" si="104"/>
        <v>R</v>
      </c>
      <c r="AL84" s="65" t="s">
        <v>299</v>
      </c>
      <c r="AM84" s="66">
        <v>26.0</v>
      </c>
      <c r="AN84" s="36" t="str">
        <f t="shared" si="105"/>
        <v>S</v>
      </c>
      <c r="AO84" s="66">
        <v>23.0</v>
      </c>
      <c r="AP84" s="36" t="str">
        <f t="shared" si="106"/>
        <v>S</v>
      </c>
      <c r="AQ84" s="66">
        <v>20.0</v>
      </c>
      <c r="AR84" s="36" t="str">
        <f t="shared" si="107"/>
        <v>S</v>
      </c>
      <c r="AS84" s="36" t="s">
        <v>300</v>
      </c>
      <c r="AT84" s="67">
        <v>26.0</v>
      </c>
      <c r="AU84" s="37" t="str">
        <f t="shared" si="108"/>
        <v>S</v>
      </c>
      <c r="AV84" s="65">
        <v>17.0</v>
      </c>
      <c r="AW84" s="33" t="str">
        <f t="shared" si="109"/>
        <v>R</v>
      </c>
      <c r="AX84" s="65">
        <v>22.0</v>
      </c>
      <c r="AY84" s="33" t="str">
        <f t="shared" si="110"/>
        <v>S</v>
      </c>
      <c r="AZ84" s="65" t="s">
        <v>299</v>
      </c>
      <c r="BA84" s="28">
        <v>28.0</v>
      </c>
      <c r="BB84" s="26" t="str">
        <f t="shared" si="111"/>
        <v>S</v>
      </c>
      <c r="BC84" s="67">
        <v>6.0</v>
      </c>
      <c r="BD84" s="37" t="str">
        <f t="shared" si="112"/>
        <v>R</v>
      </c>
      <c r="BE84" s="66">
        <v>6.0</v>
      </c>
      <c r="BF84" s="36" t="str">
        <f t="shared" si="113"/>
        <v>R</v>
      </c>
      <c r="BG84" s="39" t="s">
        <v>357</v>
      </c>
      <c r="BH84" s="39" t="s">
        <v>357</v>
      </c>
      <c r="BI84" s="66">
        <v>6.0</v>
      </c>
      <c r="BJ84" s="36" t="str">
        <f t="shared" si="114"/>
        <v>R</v>
      </c>
      <c r="BK84" s="68">
        <v>35.0</v>
      </c>
      <c r="BL84" s="41" t="str">
        <f t="shared" si="115"/>
        <v>S</v>
      </c>
      <c r="BM84" s="41"/>
    </row>
    <row r="85">
      <c r="A85" s="18" t="s">
        <v>670</v>
      </c>
      <c r="B85" s="19">
        <v>274.0</v>
      </c>
      <c r="C85" s="18" t="s">
        <v>1095</v>
      </c>
      <c r="D85" s="69" t="s">
        <v>190</v>
      </c>
      <c r="E85" s="18" t="s">
        <v>190</v>
      </c>
      <c r="F85" s="18" t="s">
        <v>192</v>
      </c>
      <c r="G85" s="63" t="s">
        <v>1096</v>
      </c>
      <c r="H85" s="22" t="s">
        <v>198</v>
      </c>
      <c r="I85" s="24" t="s">
        <v>37</v>
      </c>
      <c r="J85" s="25" t="s">
        <v>205</v>
      </c>
      <c r="K85" s="25" t="s">
        <v>205</v>
      </c>
      <c r="L85" s="25" t="s">
        <v>208</v>
      </c>
      <c r="M85" s="28">
        <v>6.0</v>
      </c>
      <c r="N85" s="26" t="str">
        <f t="shared" si="93"/>
        <v>R</v>
      </c>
      <c r="O85" s="28">
        <v>14.0</v>
      </c>
      <c r="P85" s="26" t="str">
        <f t="shared" si="94"/>
        <v>R</v>
      </c>
      <c r="Q85" s="28">
        <v>6.0</v>
      </c>
      <c r="R85" s="26" t="str">
        <f t="shared" si="95"/>
        <v>R</v>
      </c>
      <c r="S85" s="28">
        <v>20.0</v>
      </c>
      <c r="T85" s="26" t="str">
        <f t="shared" si="96"/>
        <v>I</v>
      </c>
      <c r="U85" s="28">
        <v>16.0</v>
      </c>
      <c r="V85" s="26" t="str">
        <f t="shared" si="97"/>
        <v>R</v>
      </c>
      <c r="W85" s="28">
        <v>16.0</v>
      </c>
      <c r="X85" s="26" t="str">
        <f t="shared" si="98"/>
        <v>R</v>
      </c>
      <c r="Y85" s="28">
        <v>13.0</v>
      </c>
      <c r="Z85" s="26" t="str">
        <f t="shared" si="99"/>
        <v>R</v>
      </c>
      <c r="AA85" s="32" t="s">
        <v>299</v>
      </c>
      <c r="AB85" s="65">
        <v>6.0</v>
      </c>
      <c r="AC85" s="33" t="str">
        <f t="shared" si="100"/>
        <v>R</v>
      </c>
      <c r="AD85" s="65">
        <v>22.0</v>
      </c>
      <c r="AE85" s="33" t="str">
        <f t="shared" si="101"/>
        <v>S</v>
      </c>
      <c r="AF85" s="65">
        <v>6.0</v>
      </c>
      <c r="AG85" s="33" t="str">
        <f t="shared" si="102"/>
        <v>R</v>
      </c>
      <c r="AH85" s="65">
        <v>20.0</v>
      </c>
      <c r="AI85" s="33" t="str">
        <f t="shared" si="103"/>
        <v>S</v>
      </c>
      <c r="AJ85" s="65">
        <v>6.0</v>
      </c>
      <c r="AK85" s="33" t="str">
        <f t="shared" si="104"/>
        <v>R</v>
      </c>
      <c r="AL85" s="65" t="s">
        <v>299</v>
      </c>
      <c r="AM85" s="66">
        <v>6.0</v>
      </c>
      <c r="AN85" s="36" t="str">
        <f t="shared" si="105"/>
        <v>R</v>
      </c>
      <c r="AO85" s="66">
        <v>9.0</v>
      </c>
      <c r="AP85" s="36" t="str">
        <f t="shared" si="106"/>
        <v>R</v>
      </c>
      <c r="AQ85" s="66">
        <v>6.0</v>
      </c>
      <c r="AR85" s="36" t="str">
        <f t="shared" si="107"/>
        <v>R</v>
      </c>
      <c r="AS85" s="66" t="s">
        <v>299</v>
      </c>
      <c r="AT85" s="67">
        <v>9.0</v>
      </c>
      <c r="AU85" s="37" t="str">
        <f t="shared" si="108"/>
        <v>R</v>
      </c>
      <c r="AV85" s="65">
        <v>17.0</v>
      </c>
      <c r="AW85" s="33" t="str">
        <f t="shared" si="109"/>
        <v>R</v>
      </c>
      <c r="AX85" s="65">
        <v>10.0</v>
      </c>
      <c r="AY85" s="33" t="str">
        <f t="shared" si="110"/>
        <v>R</v>
      </c>
      <c r="AZ85" s="65" t="s">
        <v>299</v>
      </c>
      <c r="BA85" s="28">
        <v>21.0</v>
      </c>
      <c r="BB85" s="26" t="str">
        <f t="shared" si="111"/>
        <v>S</v>
      </c>
      <c r="BC85" s="67">
        <v>6.0</v>
      </c>
      <c r="BD85" s="37" t="str">
        <f t="shared" si="112"/>
        <v>R</v>
      </c>
      <c r="BE85" s="66">
        <v>28.0</v>
      </c>
      <c r="BF85" s="36" t="str">
        <f t="shared" si="113"/>
        <v>S</v>
      </c>
      <c r="BG85" s="39" t="s">
        <v>357</v>
      </c>
      <c r="BH85" s="39" t="s">
        <v>357</v>
      </c>
      <c r="BI85" s="66">
        <v>27.0</v>
      </c>
      <c r="BJ85" s="36" t="str">
        <f t="shared" si="114"/>
        <v>S</v>
      </c>
      <c r="BK85" s="68">
        <v>6.0</v>
      </c>
      <c r="BL85" s="41" t="str">
        <f t="shared" si="115"/>
        <v>R</v>
      </c>
      <c r="BM85" s="41"/>
    </row>
    <row r="86">
      <c r="A86" s="18" t="s">
        <v>670</v>
      </c>
      <c r="B86" s="19">
        <v>275.0</v>
      </c>
      <c r="C86" s="18" t="s">
        <v>1097</v>
      </c>
      <c r="D86" s="69" t="s">
        <v>571</v>
      </c>
      <c r="E86" s="18" t="s">
        <v>572</v>
      </c>
      <c r="F86" s="18" t="s">
        <v>573</v>
      </c>
      <c r="G86" s="63" t="s">
        <v>1098</v>
      </c>
      <c r="H86" s="72" t="s">
        <v>905</v>
      </c>
      <c r="I86" s="64" t="s">
        <v>481</v>
      </c>
      <c r="J86" s="43" t="s">
        <v>205</v>
      </c>
      <c r="K86" s="43" t="s">
        <v>208</v>
      </c>
      <c r="L86" s="25" t="s">
        <v>208</v>
      </c>
      <c r="M86" s="28">
        <v>12.0</v>
      </c>
      <c r="N86" s="26" t="str">
        <f t="shared" si="93"/>
        <v>R</v>
      </c>
      <c r="O86" s="28">
        <v>12.0</v>
      </c>
      <c r="P86" s="26" t="str">
        <f t="shared" si="94"/>
        <v>R</v>
      </c>
      <c r="Q86" s="28">
        <v>20.0</v>
      </c>
      <c r="R86" s="26" t="str">
        <f t="shared" si="95"/>
        <v>R</v>
      </c>
      <c r="S86" s="28">
        <v>33.0</v>
      </c>
      <c r="T86" s="26" t="str">
        <f t="shared" si="96"/>
        <v>S</v>
      </c>
      <c r="U86" s="28">
        <v>20.0</v>
      </c>
      <c r="V86" s="26" t="str">
        <f t="shared" si="97"/>
        <v>S</v>
      </c>
      <c r="W86" s="28">
        <v>18.0</v>
      </c>
      <c r="X86" s="26" t="str">
        <f t="shared" si="98"/>
        <v>R</v>
      </c>
      <c r="Y86" s="28">
        <v>6.0</v>
      </c>
      <c r="Z86" s="26" t="str">
        <f t="shared" si="99"/>
        <v>R</v>
      </c>
      <c r="AA86" s="32" t="s">
        <v>299</v>
      </c>
      <c r="AB86" s="65">
        <v>21.0</v>
      </c>
      <c r="AC86" s="33" t="str">
        <f t="shared" si="100"/>
        <v>S</v>
      </c>
      <c r="AD86" s="65">
        <v>6.0</v>
      </c>
      <c r="AE86" s="33" t="str">
        <f t="shared" si="101"/>
        <v>R</v>
      </c>
      <c r="AF86" s="65">
        <v>21.0</v>
      </c>
      <c r="AG86" s="33" t="str">
        <f t="shared" si="102"/>
        <v>I</v>
      </c>
      <c r="AH86" s="65">
        <v>20.0</v>
      </c>
      <c r="AI86" s="33" t="str">
        <f t="shared" si="103"/>
        <v>S</v>
      </c>
      <c r="AJ86" s="65">
        <v>25.0</v>
      </c>
      <c r="AK86" s="33" t="str">
        <f t="shared" si="104"/>
        <v>I</v>
      </c>
      <c r="AL86" s="65" t="s">
        <v>299</v>
      </c>
      <c r="AM86" s="66">
        <v>22.0</v>
      </c>
      <c r="AN86" s="36" t="str">
        <f t="shared" si="105"/>
        <v>I</v>
      </c>
      <c r="AO86" s="66">
        <v>23.0</v>
      </c>
      <c r="AP86" s="36" t="str">
        <f t="shared" si="106"/>
        <v>S</v>
      </c>
      <c r="AQ86" s="66">
        <v>18.0</v>
      </c>
      <c r="AR86" s="36" t="str">
        <f t="shared" si="107"/>
        <v>S</v>
      </c>
      <c r="AS86" s="66" t="s">
        <v>299</v>
      </c>
      <c r="AT86" s="67">
        <v>22.0</v>
      </c>
      <c r="AU86" s="37" t="str">
        <f t="shared" si="108"/>
        <v>S</v>
      </c>
      <c r="AV86" s="65">
        <v>18.0</v>
      </c>
      <c r="AW86" s="33" t="str">
        <f t="shared" si="109"/>
        <v>S</v>
      </c>
      <c r="AX86" s="65">
        <v>19.0</v>
      </c>
      <c r="AY86" s="33" t="str">
        <f t="shared" si="110"/>
        <v>S</v>
      </c>
      <c r="AZ86" s="33" t="s">
        <v>300</v>
      </c>
      <c r="BA86" s="28">
        <v>21.0</v>
      </c>
      <c r="BB86" s="26" t="str">
        <f t="shared" si="111"/>
        <v>S</v>
      </c>
      <c r="BC86" s="67">
        <v>24.0</v>
      </c>
      <c r="BD86" s="37" t="str">
        <f t="shared" si="112"/>
        <v>I</v>
      </c>
      <c r="BE86" s="66">
        <v>25.0</v>
      </c>
      <c r="BF86" s="36" t="str">
        <f t="shared" si="113"/>
        <v>S</v>
      </c>
      <c r="BG86" s="39" t="s">
        <v>357</v>
      </c>
      <c r="BH86" s="39" t="s">
        <v>357</v>
      </c>
      <c r="BI86" s="66">
        <v>23.0</v>
      </c>
      <c r="BJ86" s="36" t="str">
        <f t="shared" si="114"/>
        <v>S</v>
      </c>
      <c r="BK86" s="68">
        <v>16.0</v>
      </c>
      <c r="BL86" s="41" t="str">
        <f t="shared" si="115"/>
        <v>R</v>
      </c>
      <c r="BM86" s="41"/>
    </row>
    <row r="87">
      <c r="A87" s="18" t="s">
        <v>670</v>
      </c>
      <c r="B87" s="19">
        <v>276.0</v>
      </c>
      <c r="C87" s="18" t="s">
        <v>1101</v>
      </c>
      <c r="D87" s="69" t="s">
        <v>956</v>
      </c>
      <c r="E87" s="18" t="s">
        <v>103</v>
      </c>
      <c r="F87" s="18" t="s">
        <v>192</v>
      </c>
      <c r="G87" s="63" t="s">
        <v>1102</v>
      </c>
      <c r="H87" s="42" t="s">
        <v>479</v>
      </c>
      <c r="I87" s="64" t="s">
        <v>481</v>
      </c>
      <c r="J87" s="43" t="s">
        <v>205</v>
      </c>
      <c r="K87" s="43" t="s">
        <v>208</v>
      </c>
      <c r="L87" s="25" t="s">
        <v>208</v>
      </c>
      <c r="M87" s="28">
        <v>6.0</v>
      </c>
      <c r="N87" s="26" t="str">
        <f t="shared" si="93"/>
        <v>R</v>
      </c>
      <c r="O87" s="28">
        <v>13.0</v>
      </c>
      <c r="P87" s="26" t="str">
        <f t="shared" si="94"/>
        <v>R</v>
      </c>
      <c r="Q87" s="28">
        <v>10.0</v>
      </c>
      <c r="R87" s="26" t="str">
        <f t="shared" si="95"/>
        <v>R</v>
      </c>
      <c r="S87" s="28">
        <v>18.0</v>
      </c>
      <c r="T87" s="26" t="str">
        <f t="shared" si="96"/>
        <v>R</v>
      </c>
      <c r="U87" s="28">
        <v>9.0</v>
      </c>
      <c r="V87" s="26" t="str">
        <f t="shared" si="97"/>
        <v>R</v>
      </c>
      <c r="W87" s="28">
        <v>9.0</v>
      </c>
      <c r="X87" s="26" t="str">
        <f t="shared" si="98"/>
        <v>R</v>
      </c>
      <c r="Y87" s="28">
        <v>6.0</v>
      </c>
      <c r="Z87" s="26" t="str">
        <f t="shared" si="99"/>
        <v>R</v>
      </c>
      <c r="AA87" s="32" t="s">
        <v>299</v>
      </c>
      <c r="AB87" s="65">
        <v>16.0</v>
      </c>
      <c r="AC87" s="33" t="str">
        <f t="shared" si="100"/>
        <v>R</v>
      </c>
      <c r="AD87" s="65">
        <v>6.0</v>
      </c>
      <c r="AE87" s="33" t="str">
        <f t="shared" si="101"/>
        <v>R</v>
      </c>
      <c r="AF87" s="65">
        <v>11.0</v>
      </c>
      <c r="AG87" s="33" t="str">
        <f t="shared" si="102"/>
        <v>R</v>
      </c>
      <c r="AH87" s="65">
        <v>11.0</v>
      </c>
      <c r="AI87" s="33" t="str">
        <f t="shared" si="103"/>
        <v>R</v>
      </c>
      <c r="AJ87" s="65">
        <v>19.0</v>
      </c>
      <c r="AK87" s="33" t="str">
        <f t="shared" si="104"/>
        <v>R</v>
      </c>
      <c r="AL87" s="65" t="s">
        <v>299</v>
      </c>
      <c r="AM87" s="66">
        <v>13.0</v>
      </c>
      <c r="AN87" s="36" t="str">
        <f t="shared" si="105"/>
        <v>R</v>
      </c>
      <c r="AO87" s="66">
        <v>10.0</v>
      </c>
      <c r="AP87" s="36" t="str">
        <f t="shared" si="106"/>
        <v>R</v>
      </c>
      <c r="AQ87" s="66">
        <v>6.0</v>
      </c>
      <c r="AR87" s="36" t="str">
        <f t="shared" si="107"/>
        <v>R</v>
      </c>
      <c r="AS87" s="66" t="s">
        <v>299</v>
      </c>
      <c r="AT87" s="67">
        <v>6.0</v>
      </c>
      <c r="AU87" s="37" t="str">
        <f t="shared" si="108"/>
        <v>R</v>
      </c>
      <c r="AV87" s="65">
        <v>15.0</v>
      </c>
      <c r="AW87" s="33" t="str">
        <f t="shared" si="109"/>
        <v>R</v>
      </c>
      <c r="AX87" s="65">
        <v>12.0</v>
      </c>
      <c r="AY87" s="33" t="str">
        <f t="shared" si="110"/>
        <v>R</v>
      </c>
      <c r="AZ87" s="65" t="s">
        <v>299</v>
      </c>
      <c r="BA87" s="28">
        <v>6.0</v>
      </c>
      <c r="BB87" s="26" t="str">
        <f t="shared" si="111"/>
        <v>R</v>
      </c>
      <c r="BC87" s="67">
        <v>14.0</v>
      </c>
      <c r="BD87" s="37" t="str">
        <f t="shared" si="112"/>
        <v>R</v>
      </c>
      <c r="BE87" s="66">
        <v>17.0</v>
      </c>
      <c r="BF87" s="36" t="str">
        <f t="shared" si="113"/>
        <v>R</v>
      </c>
      <c r="BG87" s="39" t="s">
        <v>357</v>
      </c>
      <c r="BH87" s="39" t="s">
        <v>357</v>
      </c>
      <c r="BI87" s="66">
        <v>19.0</v>
      </c>
      <c r="BJ87" s="36" t="str">
        <f t="shared" si="114"/>
        <v>I</v>
      </c>
      <c r="BK87" s="68">
        <v>15.0</v>
      </c>
      <c r="BL87" s="41" t="str">
        <f t="shared" si="115"/>
        <v>R</v>
      </c>
      <c r="BM87" s="41"/>
    </row>
    <row r="88">
      <c r="A88" s="18" t="s">
        <v>680</v>
      </c>
      <c r="B88" s="19">
        <v>277.0</v>
      </c>
      <c r="C88" s="18" t="s">
        <v>1107</v>
      </c>
      <c r="D88" s="69" t="s">
        <v>190</v>
      </c>
      <c r="E88" s="18" t="s">
        <v>190</v>
      </c>
      <c r="F88" s="18" t="s">
        <v>192</v>
      </c>
      <c r="G88" s="63" t="s">
        <v>1108</v>
      </c>
      <c r="H88" s="42" t="s">
        <v>479</v>
      </c>
      <c r="I88" s="64" t="s">
        <v>481</v>
      </c>
      <c r="J88" s="43" t="s">
        <v>205</v>
      </c>
      <c r="K88" s="43" t="s">
        <v>208</v>
      </c>
      <c r="L88" s="25" t="s">
        <v>208</v>
      </c>
      <c r="M88" s="28">
        <v>6.0</v>
      </c>
      <c r="N88" s="26" t="str">
        <f t="shared" si="93"/>
        <v>R</v>
      </c>
      <c r="O88" s="28">
        <v>8.0</v>
      </c>
      <c r="P88" s="26" t="str">
        <f t="shared" si="94"/>
        <v>R</v>
      </c>
      <c r="Q88" s="28">
        <v>9.0</v>
      </c>
      <c r="R88" s="26" t="str">
        <f t="shared" si="95"/>
        <v>R</v>
      </c>
      <c r="S88" s="28">
        <v>24.0</v>
      </c>
      <c r="T88" s="26" t="str">
        <f t="shared" si="96"/>
        <v>S</v>
      </c>
      <c r="U88" s="28">
        <v>10.0</v>
      </c>
      <c r="V88" s="26" t="str">
        <f t="shared" si="97"/>
        <v>R</v>
      </c>
      <c r="W88" s="28">
        <v>20.0</v>
      </c>
      <c r="X88" s="26" t="str">
        <f t="shared" si="98"/>
        <v>S</v>
      </c>
      <c r="Y88" s="28">
        <v>13.0</v>
      </c>
      <c r="Z88" s="26" t="str">
        <f t="shared" si="99"/>
        <v>R</v>
      </c>
      <c r="AA88" s="32" t="s">
        <v>299</v>
      </c>
      <c r="AB88" s="65">
        <v>19.0</v>
      </c>
      <c r="AC88" s="33" t="str">
        <f t="shared" si="100"/>
        <v>I</v>
      </c>
      <c r="AD88" s="65">
        <v>10.0</v>
      </c>
      <c r="AE88" s="33" t="str">
        <f t="shared" si="101"/>
        <v>R</v>
      </c>
      <c r="AF88" s="65">
        <v>6.0</v>
      </c>
      <c r="AG88" s="33" t="str">
        <f t="shared" si="102"/>
        <v>R</v>
      </c>
      <c r="AH88" s="65">
        <v>19.0</v>
      </c>
      <c r="AI88" s="33" t="str">
        <f t="shared" si="103"/>
        <v>S</v>
      </c>
      <c r="AJ88" s="65">
        <v>16.0</v>
      </c>
      <c r="AK88" s="33" t="str">
        <f t="shared" si="104"/>
        <v>R</v>
      </c>
      <c r="AL88" s="65" t="s">
        <v>299</v>
      </c>
      <c r="AM88" s="66">
        <v>21.0</v>
      </c>
      <c r="AN88" s="36" t="str">
        <f t="shared" si="105"/>
        <v>R</v>
      </c>
      <c r="AO88" s="66">
        <v>20.0</v>
      </c>
      <c r="AP88" s="36" t="str">
        <f t="shared" si="106"/>
        <v>I</v>
      </c>
      <c r="AQ88" s="66">
        <v>16.0</v>
      </c>
      <c r="AR88" s="36" t="str">
        <f t="shared" si="107"/>
        <v>S</v>
      </c>
      <c r="AS88" s="66" t="s">
        <v>299</v>
      </c>
      <c r="AT88" s="67">
        <v>18.0</v>
      </c>
      <c r="AU88" s="37" t="str">
        <f t="shared" si="108"/>
        <v>S</v>
      </c>
      <c r="AV88" s="65">
        <v>20.0</v>
      </c>
      <c r="AW88" s="33" t="str">
        <f t="shared" si="109"/>
        <v>S</v>
      </c>
      <c r="AX88" s="65">
        <v>19.0</v>
      </c>
      <c r="AY88" s="33" t="str">
        <f t="shared" si="110"/>
        <v>S</v>
      </c>
      <c r="AZ88" s="33" t="s">
        <v>300</v>
      </c>
      <c r="BA88" s="28">
        <v>19.0</v>
      </c>
      <c r="BB88" s="26" t="str">
        <f t="shared" si="111"/>
        <v>R</v>
      </c>
      <c r="BC88" s="67">
        <v>16.0</v>
      </c>
      <c r="BD88" s="37" t="str">
        <f t="shared" si="112"/>
        <v>R</v>
      </c>
      <c r="BE88" s="66">
        <v>21.0</v>
      </c>
      <c r="BF88" s="36" t="str">
        <f t="shared" si="113"/>
        <v>R</v>
      </c>
      <c r="BG88" s="39" t="s">
        <v>357</v>
      </c>
      <c r="BH88" s="39" t="s">
        <v>357</v>
      </c>
      <c r="BI88" s="66">
        <v>19.0</v>
      </c>
      <c r="BJ88" s="36" t="str">
        <f t="shared" si="114"/>
        <v>I</v>
      </c>
      <c r="BK88" s="68">
        <v>20.0</v>
      </c>
      <c r="BL88" s="41" t="str">
        <f t="shared" si="115"/>
        <v>S</v>
      </c>
      <c r="BM88" s="41"/>
    </row>
    <row r="89">
      <c r="A89" s="18" t="s">
        <v>680</v>
      </c>
      <c r="B89" s="19">
        <v>278.0</v>
      </c>
      <c r="C89" s="18" t="s">
        <v>1111</v>
      </c>
      <c r="D89" s="69" t="s">
        <v>190</v>
      </c>
      <c r="E89" s="18" t="s">
        <v>190</v>
      </c>
      <c r="F89" s="18" t="s">
        <v>192</v>
      </c>
      <c r="G89" s="63" t="s">
        <v>1112</v>
      </c>
      <c r="H89" s="22" t="s">
        <v>198</v>
      </c>
      <c r="I89" s="24" t="s">
        <v>816</v>
      </c>
      <c r="J89" s="25" t="s">
        <v>205</v>
      </c>
      <c r="K89" s="25" t="s">
        <v>205</v>
      </c>
      <c r="L89" s="25" t="s">
        <v>205</v>
      </c>
      <c r="M89" s="28">
        <v>6.0</v>
      </c>
      <c r="N89" s="26" t="str">
        <f t="shared" si="93"/>
        <v>R</v>
      </c>
      <c r="O89" s="28">
        <v>18.0</v>
      </c>
      <c r="P89" s="26" t="str">
        <f t="shared" si="94"/>
        <v>R</v>
      </c>
      <c r="Q89" s="28">
        <v>6.0</v>
      </c>
      <c r="R89" s="26" t="str">
        <f t="shared" si="95"/>
        <v>R</v>
      </c>
      <c r="S89" s="28">
        <v>12.0</v>
      </c>
      <c r="T89" s="26" t="str">
        <f t="shared" si="96"/>
        <v>R</v>
      </c>
      <c r="U89" s="28">
        <v>6.0</v>
      </c>
      <c r="V89" s="26" t="str">
        <f t="shared" si="97"/>
        <v>R</v>
      </c>
      <c r="W89" s="28">
        <v>21.0</v>
      </c>
      <c r="X89" s="26" t="str">
        <f t="shared" si="98"/>
        <v>S</v>
      </c>
      <c r="Y89" s="28">
        <v>10.0</v>
      </c>
      <c r="Z89" s="26" t="str">
        <f t="shared" si="99"/>
        <v>R</v>
      </c>
      <c r="AA89" s="32" t="s">
        <v>299</v>
      </c>
      <c r="AB89" s="65">
        <v>6.0</v>
      </c>
      <c r="AC89" s="33" t="str">
        <f t="shared" si="100"/>
        <v>R</v>
      </c>
      <c r="AD89" s="65">
        <v>29.0</v>
      </c>
      <c r="AE89" s="33" t="str">
        <f t="shared" si="101"/>
        <v>S</v>
      </c>
      <c r="AF89" s="65">
        <v>6.0</v>
      </c>
      <c r="AG89" s="33" t="str">
        <f t="shared" si="102"/>
        <v>R</v>
      </c>
      <c r="AH89" s="65">
        <v>22.0</v>
      </c>
      <c r="AI89" s="33" t="str">
        <f t="shared" si="103"/>
        <v>S</v>
      </c>
      <c r="AJ89" s="65">
        <v>14.0</v>
      </c>
      <c r="AK89" s="33" t="str">
        <f t="shared" si="104"/>
        <v>R</v>
      </c>
      <c r="AL89" s="65" t="s">
        <v>299</v>
      </c>
      <c r="AM89" s="66">
        <v>6.0</v>
      </c>
      <c r="AN89" s="36" t="str">
        <f t="shared" si="105"/>
        <v>R</v>
      </c>
      <c r="AO89" s="66">
        <v>10.0</v>
      </c>
      <c r="AP89" s="36" t="str">
        <f t="shared" si="106"/>
        <v>R</v>
      </c>
      <c r="AQ89" s="66">
        <v>6.0</v>
      </c>
      <c r="AR89" s="36" t="str">
        <f t="shared" si="107"/>
        <v>R</v>
      </c>
      <c r="AS89" s="66" t="s">
        <v>299</v>
      </c>
      <c r="AT89" s="67">
        <v>6.0</v>
      </c>
      <c r="AU89" s="37" t="str">
        <f t="shared" si="108"/>
        <v>R</v>
      </c>
      <c r="AV89" s="65">
        <v>20.0</v>
      </c>
      <c r="AW89" s="33" t="str">
        <f t="shared" si="109"/>
        <v>S</v>
      </c>
      <c r="AX89" s="65">
        <v>16.0</v>
      </c>
      <c r="AY89" s="33" t="str">
        <f t="shared" si="110"/>
        <v>S</v>
      </c>
      <c r="AZ89" s="33" t="s">
        <v>300</v>
      </c>
      <c r="BA89" s="28">
        <v>6.0</v>
      </c>
      <c r="BB89" s="26" t="str">
        <f t="shared" si="111"/>
        <v>R</v>
      </c>
      <c r="BC89" s="67">
        <v>11.0</v>
      </c>
      <c r="BD89" s="37" t="str">
        <f t="shared" si="112"/>
        <v>R</v>
      </c>
      <c r="BE89" s="66">
        <v>12.0</v>
      </c>
      <c r="BF89" s="36" t="str">
        <f t="shared" si="113"/>
        <v>R</v>
      </c>
      <c r="BG89" s="39" t="s">
        <v>357</v>
      </c>
      <c r="BH89" s="39" t="s">
        <v>357</v>
      </c>
      <c r="BI89" s="66">
        <v>18.0</v>
      </c>
      <c r="BJ89" s="36" t="str">
        <f t="shared" si="114"/>
        <v>R</v>
      </c>
      <c r="BK89" s="68">
        <v>9.0</v>
      </c>
      <c r="BL89" s="41" t="str">
        <f t="shared" si="115"/>
        <v>R</v>
      </c>
      <c r="BM89" s="41"/>
    </row>
    <row r="90">
      <c r="A90" s="18" t="s">
        <v>680</v>
      </c>
      <c r="B90" s="19">
        <v>279.0</v>
      </c>
      <c r="C90" s="18" t="s">
        <v>1117</v>
      </c>
      <c r="D90" s="69" t="s">
        <v>571</v>
      </c>
      <c r="E90" s="18" t="s">
        <v>572</v>
      </c>
      <c r="F90" s="18" t="s">
        <v>192</v>
      </c>
      <c r="G90" s="63" t="s">
        <v>1118</v>
      </c>
      <c r="H90" s="52" t="s">
        <v>581</v>
      </c>
      <c r="I90" s="24" t="s">
        <v>37</v>
      </c>
      <c r="J90" s="25" t="s">
        <v>205</v>
      </c>
      <c r="K90" s="25" t="s">
        <v>205</v>
      </c>
      <c r="L90" s="25" t="s">
        <v>208</v>
      </c>
      <c r="M90" s="28">
        <v>6.0</v>
      </c>
      <c r="N90" s="26" t="str">
        <f t="shared" si="93"/>
        <v>R</v>
      </c>
      <c r="O90" s="28">
        <v>20.0</v>
      </c>
      <c r="P90" s="26" t="str">
        <f t="shared" si="94"/>
        <v>S</v>
      </c>
      <c r="Q90" s="28">
        <v>22.0</v>
      </c>
      <c r="R90" s="26" t="str">
        <f t="shared" si="95"/>
        <v>R</v>
      </c>
      <c r="S90" s="28">
        <v>19.0</v>
      </c>
      <c r="T90" s="26" t="str">
        <f t="shared" si="96"/>
        <v>R</v>
      </c>
      <c r="U90" s="28">
        <v>13.0</v>
      </c>
      <c r="V90" s="26" t="str">
        <f t="shared" si="97"/>
        <v>R</v>
      </c>
      <c r="W90" s="28">
        <v>25.0</v>
      </c>
      <c r="X90" s="26" t="str">
        <f t="shared" si="98"/>
        <v>S</v>
      </c>
      <c r="Y90" s="28">
        <v>18.0</v>
      </c>
      <c r="Z90" s="26" t="str">
        <f t="shared" si="99"/>
        <v>I</v>
      </c>
      <c r="AA90" s="32" t="s">
        <v>299</v>
      </c>
      <c r="AB90" s="65">
        <v>16.0</v>
      </c>
      <c r="AC90" s="33" t="str">
        <f t="shared" si="100"/>
        <v>R</v>
      </c>
      <c r="AD90" s="65">
        <v>21.0</v>
      </c>
      <c r="AE90" s="33" t="str">
        <f t="shared" si="101"/>
        <v>S</v>
      </c>
      <c r="AF90" s="65">
        <v>16.0</v>
      </c>
      <c r="AG90" s="33" t="str">
        <f t="shared" si="102"/>
        <v>R</v>
      </c>
      <c r="AH90" s="65">
        <v>6.0</v>
      </c>
      <c r="AI90" s="33" t="str">
        <f t="shared" si="103"/>
        <v>R</v>
      </c>
      <c r="AJ90" s="65">
        <v>6.0</v>
      </c>
      <c r="AK90" s="33" t="str">
        <f t="shared" si="104"/>
        <v>R</v>
      </c>
      <c r="AL90" s="65" t="s">
        <v>299</v>
      </c>
      <c r="AM90" s="66">
        <v>24.0</v>
      </c>
      <c r="AN90" s="36" t="str">
        <f t="shared" si="105"/>
        <v>I</v>
      </c>
      <c r="AO90" s="66">
        <v>20.0</v>
      </c>
      <c r="AP90" s="36" t="str">
        <f t="shared" si="106"/>
        <v>I</v>
      </c>
      <c r="AQ90" s="66">
        <v>18.0</v>
      </c>
      <c r="AR90" s="36" t="str">
        <f t="shared" si="107"/>
        <v>S</v>
      </c>
      <c r="AS90" s="66" t="s">
        <v>299</v>
      </c>
      <c r="AT90" s="67">
        <v>6.0</v>
      </c>
      <c r="AU90" s="37" t="str">
        <f t="shared" si="108"/>
        <v>R</v>
      </c>
      <c r="AV90" s="65">
        <v>18.0</v>
      </c>
      <c r="AW90" s="33" t="str">
        <f t="shared" si="109"/>
        <v>S</v>
      </c>
      <c r="AX90" s="65">
        <v>6.0</v>
      </c>
      <c r="AY90" s="33" t="str">
        <f t="shared" si="110"/>
        <v>R</v>
      </c>
      <c r="AZ90" s="65" t="s">
        <v>299</v>
      </c>
      <c r="BA90" s="28">
        <v>30.0</v>
      </c>
      <c r="BB90" s="26" t="str">
        <f t="shared" si="111"/>
        <v>S</v>
      </c>
      <c r="BC90" s="67">
        <v>6.0</v>
      </c>
      <c r="BD90" s="37" t="str">
        <f t="shared" si="112"/>
        <v>R</v>
      </c>
      <c r="BE90" s="66">
        <v>28.0</v>
      </c>
      <c r="BF90" s="36" t="str">
        <f t="shared" si="113"/>
        <v>S</v>
      </c>
      <c r="BG90" s="39" t="s">
        <v>357</v>
      </c>
      <c r="BH90" s="39" t="s">
        <v>357</v>
      </c>
      <c r="BI90" s="66">
        <v>30.0</v>
      </c>
      <c r="BJ90" s="36" t="str">
        <f t="shared" si="114"/>
        <v>S</v>
      </c>
      <c r="BK90" s="68">
        <v>20.0</v>
      </c>
      <c r="BL90" s="41" t="str">
        <f t="shared" si="115"/>
        <v>S</v>
      </c>
      <c r="BM90" s="41"/>
    </row>
    <row r="91">
      <c r="A91" s="18" t="s">
        <v>693</v>
      </c>
      <c r="B91" s="19">
        <v>304.0</v>
      </c>
      <c r="C91" s="18" t="s">
        <v>1123</v>
      </c>
      <c r="D91" s="69" t="s">
        <v>190</v>
      </c>
      <c r="E91" s="18" t="s">
        <v>190</v>
      </c>
      <c r="F91" s="18" t="s">
        <v>192</v>
      </c>
      <c r="G91" s="63" t="s">
        <v>1124</v>
      </c>
      <c r="H91" s="42" t="s">
        <v>479</v>
      </c>
      <c r="I91" s="64" t="s">
        <v>41</v>
      </c>
      <c r="J91" s="70" t="s">
        <v>205</v>
      </c>
      <c r="K91" s="71" t="s">
        <v>208</v>
      </c>
      <c r="L91" s="71" t="s">
        <v>205</v>
      </c>
      <c r="M91" s="28">
        <v>6.0</v>
      </c>
      <c r="N91" s="26" t="str">
        <f t="shared" si="93"/>
        <v>R</v>
      </c>
      <c r="O91" s="28">
        <v>15.0</v>
      </c>
      <c r="P91" s="26" t="str">
        <f t="shared" si="94"/>
        <v>R</v>
      </c>
      <c r="Q91" s="28">
        <v>6.0</v>
      </c>
      <c r="R91" s="26" t="str">
        <f t="shared" si="95"/>
        <v>R</v>
      </c>
      <c r="S91" s="28">
        <v>22.0</v>
      </c>
      <c r="T91" s="26" t="str">
        <f t="shared" si="96"/>
        <v>I</v>
      </c>
      <c r="U91" s="28">
        <v>6.0</v>
      </c>
      <c r="V91" s="26" t="str">
        <f t="shared" si="97"/>
        <v>R</v>
      </c>
      <c r="W91" s="28">
        <v>14.0</v>
      </c>
      <c r="X91" s="26" t="str">
        <f t="shared" si="98"/>
        <v>R</v>
      </c>
      <c r="Y91" s="28">
        <v>16.0</v>
      </c>
      <c r="Z91" s="26" t="str">
        <f t="shared" si="99"/>
        <v>R</v>
      </c>
      <c r="AA91" s="32" t="s">
        <v>299</v>
      </c>
      <c r="AB91" s="65">
        <v>6.0</v>
      </c>
      <c r="AC91" s="33" t="str">
        <f t="shared" si="100"/>
        <v>R</v>
      </c>
      <c r="AD91" s="65">
        <v>12.0</v>
      </c>
      <c r="AE91" s="33" t="str">
        <f t="shared" si="101"/>
        <v>R</v>
      </c>
      <c r="AF91" s="65">
        <v>6.0</v>
      </c>
      <c r="AG91" s="33" t="str">
        <f t="shared" si="102"/>
        <v>R</v>
      </c>
      <c r="AH91" s="65">
        <v>22.0</v>
      </c>
      <c r="AI91" s="33" t="str">
        <f t="shared" si="103"/>
        <v>S</v>
      </c>
      <c r="AJ91" s="65">
        <v>6.0</v>
      </c>
      <c r="AK91" s="33" t="str">
        <f t="shared" si="104"/>
        <v>R</v>
      </c>
      <c r="AL91" s="65" t="s">
        <v>299</v>
      </c>
      <c r="AM91" s="66">
        <v>20.0</v>
      </c>
      <c r="AN91" s="36" t="str">
        <f t="shared" si="105"/>
        <v>R</v>
      </c>
      <c r="AO91" s="66">
        <v>15.0</v>
      </c>
      <c r="AP91" s="36" t="str">
        <f t="shared" si="106"/>
        <v>R</v>
      </c>
      <c r="AQ91" s="66">
        <v>11.0</v>
      </c>
      <c r="AR91" s="36" t="str">
        <f t="shared" si="107"/>
        <v>R</v>
      </c>
      <c r="AS91" s="66" t="s">
        <v>299</v>
      </c>
      <c r="AT91" s="67">
        <v>6.0</v>
      </c>
      <c r="AU91" s="37" t="str">
        <f t="shared" si="108"/>
        <v>R</v>
      </c>
      <c r="AV91" s="65">
        <v>20.0</v>
      </c>
      <c r="AW91" s="33" t="str">
        <f t="shared" si="109"/>
        <v>S</v>
      </c>
      <c r="AX91" s="65">
        <v>20.0</v>
      </c>
      <c r="AY91" s="33" t="str">
        <f t="shared" si="110"/>
        <v>S</v>
      </c>
      <c r="AZ91" s="33" t="s">
        <v>300</v>
      </c>
      <c r="BA91" s="28">
        <v>17.0</v>
      </c>
      <c r="BB91" s="26" t="str">
        <f t="shared" si="111"/>
        <v>R</v>
      </c>
      <c r="BC91" s="67">
        <v>6.0</v>
      </c>
      <c r="BD91" s="37" t="str">
        <f t="shared" si="112"/>
        <v>R</v>
      </c>
      <c r="BE91" s="66">
        <v>15.0</v>
      </c>
      <c r="BF91" s="36" t="str">
        <f t="shared" si="113"/>
        <v>R</v>
      </c>
      <c r="BG91" s="39" t="s">
        <v>357</v>
      </c>
      <c r="BH91" s="39" t="s">
        <v>357</v>
      </c>
      <c r="BI91" s="66">
        <v>16.0</v>
      </c>
      <c r="BJ91" s="36" t="str">
        <f t="shared" si="114"/>
        <v>R</v>
      </c>
      <c r="BK91" s="68">
        <v>14.0</v>
      </c>
      <c r="BL91" s="41" t="str">
        <f t="shared" si="115"/>
        <v>R</v>
      </c>
      <c r="BM91" s="41"/>
    </row>
    <row r="92">
      <c r="A92" s="18" t="s">
        <v>693</v>
      </c>
      <c r="B92" s="19">
        <v>305.0</v>
      </c>
      <c r="C92" s="18" t="s">
        <v>1131</v>
      </c>
      <c r="D92" s="69" t="s">
        <v>190</v>
      </c>
      <c r="E92" s="18" t="s">
        <v>190</v>
      </c>
      <c r="F92" s="18" t="s">
        <v>192</v>
      </c>
      <c r="G92" s="63" t="s">
        <v>1132</v>
      </c>
      <c r="H92" s="22" t="s">
        <v>198</v>
      </c>
      <c r="I92" s="64" t="s">
        <v>41</v>
      </c>
      <c r="J92" s="70" t="s">
        <v>205</v>
      </c>
      <c r="K92" s="71" t="s">
        <v>208</v>
      </c>
      <c r="L92" s="71" t="s">
        <v>205</v>
      </c>
      <c r="M92" s="28">
        <v>6.0</v>
      </c>
      <c r="N92" s="26" t="str">
        <f t="shared" si="93"/>
        <v>R</v>
      </c>
      <c r="O92" s="28">
        <v>6.0</v>
      </c>
      <c r="P92" s="26" t="str">
        <f t="shared" si="94"/>
        <v>R</v>
      </c>
      <c r="Q92" s="28">
        <v>6.0</v>
      </c>
      <c r="R92" s="26" t="str">
        <f t="shared" si="95"/>
        <v>R</v>
      </c>
      <c r="S92" s="28">
        <v>20.0</v>
      </c>
      <c r="T92" s="26" t="str">
        <f t="shared" si="96"/>
        <v>I</v>
      </c>
      <c r="U92" s="28">
        <v>6.0</v>
      </c>
      <c r="V92" s="26" t="str">
        <f t="shared" si="97"/>
        <v>R</v>
      </c>
      <c r="W92" s="28">
        <v>22.0</v>
      </c>
      <c r="X92" s="26" t="str">
        <f t="shared" si="98"/>
        <v>S</v>
      </c>
      <c r="Y92" s="28">
        <v>13.0</v>
      </c>
      <c r="Z92" s="26" t="str">
        <f t="shared" si="99"/>
        <v>R</v>
      </c>
      <c r="AA92" s="32" t="s">
        <v>299</v>
      </c>
      <c r="AB92" s="65">
        <v>9.0</v>
      </c>
      <c r="AC92" s="33" t="str">
        <f t="shared" si="100"/>
        <v>R</v>
      </c>
      <c r="AD92" s="65">
        <v>9.0</v>
      </c>
      <c r="AE92" s="33" t="str">
        <f t="shared" si="101"/>
        <v>R</v>
      </c>
      <c r="AF92" s="65">
        <v>6.0</v>
      </c>
      <c r="AG92" s="33" t="str">
        <f t="shared" si="102"/>
        <v>R</v>
      </c>
      <c r="AH92" s="65">
        <v>23.0</v>
      </c>
      <c r="AI92" s="33" t="str">
        <f t="shared" si="103"/>
        <v>S</v>
      </c>
      <c r="AJ92" s="65">
        <v>6.0</v>
      </c>
      <c r="AK92" s="33" t="str">
        <f t="shared" si="104"/>
        <v>R</v>
      </c>
      <c r="AL92" s="65" t="s">
        <v>299</v>
      </c>
      <c r="AM92" s="66">
        <v>6.0</v>
      </c>
      <c r="AN92" s="36" t="str">
        <f t="shared" si="105"/>
        <v>R</v>
      </c>
      <c r="AO92" s="66">
        <v>6.0</v>
      </c>
      <c r="AP92" s="36" t="str">
        <f t="shared" si="106"/>
        <v>R</v>
      </c>
      <c r="AQ92" s="66">
        <v>6.0</v>
      </c>
      <c r="AR92" s="36" t="str">
        <f t="shared" si="107"/>
        <v>R</v>
      </c>
      <c r="AS92" s="66" t="s">
        <v>299</v>
      </c>
      <c r="AT92" s="67">
        <v>6.0</v>
      </c>
      <c r="AU92" s="37" t="str">
        <f t="shared" si="108"/>
        <v>R</v>
      </c>
      <c r="AV92" s="65">
        <v>12.0</v>
      </c>
      <c r="AW92" s="33" t="str">
        <f t="shared" si="109"/>
        <v>R</v>
      </c>
      <c r="AX92" s="65">
        <v>12.0</v>
      </c>
      <c r="AY92" s="33" t="str">
        <f t="shared" si="110"/>
        <v>R</v>
      </c>
      <c r="AZ92" s="65" t="s">
        <v>299</v>
      </c>
      <c r="BA92" s="28">
        <v>6.0</v>
      </c>
      <c r="BB92" s="26" t="str">
        <f t="shared" si="111"/>
        <v>R</v>
      </c>
      <c r="BC92" s="67">
        <v>11.0</v>
      </c>
      <c r="BD92" s="37" t="str">
        <f t="shared" si="112"/>
        <v>R</v>
      </c>
      <c r="BE92" s="66">
        <v>18.0</v>
      </c>
      <c r="BF92" s="36" t="str">
        <f t="shared" si="113"/>
        <v>R</v>
      </c>
      <c r="BG92" s="39" t="s">
        <v>357</v>
      </c>
      <c r="BH92" s="39" t="s">
        <v>357</v>
      </c>
      <c r="BI92" s="66">
        <v>18.0</v>
      </c>
      <c r="BJ92" s="36" t="str">
        <f t="shared" si="114"/>
        <v>R</v>
      </c>
      <c r="BK92" s="68">
        <v>6.0</v>
      </c>
      <c r="BL92" s="41" t="str">
        <f t="shared" si="115"/>
        <v>R</v>
      </c>
      <c r="BM92" s="41"/>
    </row>
    <row r="93">
      <c r="A93" s="78"/>
      <c r="B93" s="78"/>
      <c r="C93" s="78"/>
      <c r="I93" s="79"/>
    </row>
    <row r="94">
      <c r="A94" s="78"/>
      <c r="B94" s="78"/>
      <c r="C94" s="78"/>
      <c r="I94" s="79"/>
    </row>
    <row r="95">
      <c r="A95" s="78"/>
      <c r="B95" s="78"/>
      <c r="C95" s="78"/>
      <c r="I95" s="79"/>
    </row>
    <row r="96">
      <c r="A96" s="78"/>
      <c r="B96" s="78"/>
      <c r="C96" s="78"/>
      <c r="I96" s="79"/>
    </row>
    <row r="97">
      <c r="A97" s="78"/>
      <c r="B97" s="78"/>
      <c r="C97" s="78"/>
      <c r="I97" s="79"/>
    </row>
    <row r="98">
      <c r="A98" s="78"/>
      <c r="B98" s="78"/>
      <c r="C98" s="78"/>
      <c r="I98" s="79"/>
    </row>
    <row r="99">
      <c r="A99" s="78"/>
      <c r="B99" s="78"/>
      <c r="C99" s="78"/>
      <c r="I99" s="79"/>
    </row>
    <row r="100">
      <c r="A100" s="78"/>
      <c r="B100" s="78"/>
      <c r="C100" s="78"/>
      <c r="I100" s="79"/>
    </row>
    <row r="101">
      <c r="A101" s="78"/>
      <c r="B101" s="78"/>
      <c r="C101" s="78"/>
      <c r="I101" s="79"/>
    </row>
    <row r="102">
      <c r="A102" s="78"/>
      <c r="B102" s="78"/>
      <c r="C102" s="78"/>
      <c r="I102" s="79"/>
    </row>
    <row r="103">
      <c r="A103" s="78"/>
      <c r="B103" s="78"/>
      <c r="C103" s="78"/>
      <c r="I103" s="79"/>
    </row>
    <row r="104">
      <c r="A104" s="78"/>
      <c r="B104" s="78"/>
      <c r="C104" s="78"/>
      <c r="I104" s="79"/>
    </row>
    <row r="105">
      <c r="A105" s="78"/>
      <c r="B105" s="78"/>
      <c r="C105" s="78"/>
      <c r="I105" s="79"/>
    </row>
    <row r="106">
      <c r="A106" s="78"/>
      <c r="B106" s="78"/>
      <c r="C106" s="78"/>
      <c r="I106" s="79"/>
    </row>
    <row r="107">
      <c r="A107" s="78"/>
      <c r="B107" s="78"/>
      <c r="C107" s="78"/>
      <c r="I107" s="79"/>
    </row>
    <row r="108">
      <c r="A108" s="78"/>
      <c r="B108" s="78"/>
      <c r="C108" s="78"/>
      <c r="I108" s="79"/>
    </row>
    <row r="109">
      <c r="A109" s="78"/>
      <c r="B109" s="78"/>
      <c r="C109" s="78"/>
      <c r="I109" s="79"/>
    </row>
    <row r="110">
      <c r="A110" s="78"/>
      <c r="B110" s="78"/>
      <c r="C110" s="78"/>
      <c r="I110" s="79"/>
    </row>
    <row r="111">
      <c r="A111" s="78"/>
      <c r="B111" s="78"/>
      <c r="C111" s="78"/>
      <c r="I111" s="79"/>
    </row>
    <row r="112">
      <c r="A112" s="78"/>
      <c r="B112" s="78"/>
      <c r="C112" s="78"/>
      <c r="I112" s="79"/>
    </row>
    <row r="113">
      <c r="A113" s="78"/>
      <c r="B113" s="78"/>
      <c r="C113" s="78"/>
      <c r="I113" s="79"/>
    </row>
    <row r="114">
      <c r="A114" s="78"/>
      <c r="B114" s="78"/>
      <c r="C114" s="78"/>
      <c r="I114" s="79"/>
    </row>
    <row r="115">
      <c r="A115" s="78"/>
      <c r="B115" s="78"/>
      <c r="C115" s="78"/>
      <c r="I115" s="79"/>
    </row>
    <row r="116">
      <c r="A116" s="78"/>
      <c r="B116" s="78"/>
      <c r="C116" s="78"/>
      <c r="I116" s="79"/>
    </row>
    <row r="117">
      <c r="A117" s="78"/>
      <c r="B117" s="78"/>
      <c r="C117" s="78"/>
      <c r="I117" s="79"/>
    </row>
    <row r="118">
      <c r="A118" s="78"/>
      <c r="B118" s="78"/>
      <c r="C118" s="78"/>
      <c r="I118" s="79"/>
    </row>
    <row r="119">
      <c r="A119" s="78"/>
      <c r="B119" s="78"/>
      <c r="C119" s="78"/>
      <c r="I119" s="79"/>
    </row>
    <row r="120">
      <c r="A120" s="78"/>
      <c r="B120" s="78"/>
      <c r="C120" s="78"/>
      <c r="I120" s="79"/>
    </row>
    <row r="121">
      <c r="A121" s="78"/>
      <c r="B121" s="78"/>
      <c r="C121" s="78"/>
      <c r="I121" s="79"/>
    </row>
    <row r="122">
      <c r="A122" s="78"/>
      <c r="B122" s="78"/>
      <c r="C122" s="78"/>
      <c r="I122" s="79"/>
    </row>
    <row r="123">
      <c r="A123" s="78"/>
      <c r="B123" s="78"/>
      <c r="C123" s="78"/>
      <c r="I123" s="79"/>
    </row>
    <row r="124">
      <c r="A124" s="78"/>
      <c r="B124" s="78"/>
      <c r="C124" s="78"/>
      <c r="I124" s="79"/>
    </row>
    <row r="125">
      <c r="A125" s="78"/>
      <c r="B125" s="78"/>
      <c r="C125" s="78"/>
      <c r="I125" s="79"/>
    </row>
    <row r="126">
      <c r="A126" s="78"/>
      <c r="B126" s="78"/>
      <c r="C126" s="78"/>
      <c r="I126" s="79"/>
    </row>
    <row r="127">
      <c r="A127" s="78"/>
      <c r="B127" s="78"/>
      <c r="C127" s="78"/>
      <c r="I127" s="79"/>
    </row>
    <row r="128">
      <c r="A128" s="78"/>
      <c r="B128" s="78"/>
      <c r="C128" s="78"/>
      <c r="I128" s="79"/>
    </row>
    <row r="129">
      <c r="A129" s="78"/>
      <c r="B129" s="78"/>
      <c r="C129" s="78"/>
      <c r="I129" s="79"/>
    </row>
    <row r="130">
      <c r="A130" s="78"/>
      <c r="B130" s="78"/>
      <c r="C130" s="78"/>
      <c r="I130" s="79"/>
    </row>
    <row r="131">
      <c r="A131" s="78"/>
      <c r="B131" s="78"/>
      <c r="C131" s="78"/>
      <c r="I131" s="79"/>
    </row>
    <row r="132">
      <c r="A132" s="78"/>
      <c r="B132" s="78"/>
      <c r="C132" s="78"/>
      <c r="I132" s="79"/>
    </row>
    <row r="133">
      <c r="A133" s="78"/>
      <c r="B133" s="78"/>
      <c r="C133" s="78"/>
      <c r="I133" s="79"/>
    </row>
    <row r="134">
      <c r="A134" s="78"/>
      <c r="B134" s="78"/>
      <c r="C134" s="78"/>
      <c r="I134" s="79"/>
    </row>
    <row r="135">
      <c r="A135" s="78"/>
      <c r="B135" s="78"/>
      <c r="C135" s="78"/>
      <c r="I135" s="79"/>
    </row>
    <row r="136">
      <c r="A136" s="78"/>
      <c r="B136" s="78"/>
      <c r="C136" s="78"/>
      <c r="I136" s="79"/>
    </row>
    <row r="137">
      <c r="A137" s="78"/>
      <c r="B137" s="78"/>
      <c r="C137" s="78"/>
      <c r="I137" s="79"/>
    </row>
    <row r="138">
      <c r="A138" s="78"/>
      <c r="B138" s="78"/>
      <c r="C138" s="78"/>
      <c r="I138" s="79"/>
    </row>
    <row r="139">
      <c r="A139" s="78"/>
      <c r="B139" s="78"/>
      <c r="C139" s="78"/>
      <c r="I139" s="79"/>
    </row>
    <row r="140">
      <c r="A140" s="78"/>
      <c r="B140" s="78"/>
      <c r="C140" s="78"/>
      <c r="I140" s="79"/>
    </row>
    <row r="141">
      <c r="A141" s="78"/>
      <c r="B141" s="78"/>
      <c r="C141" s="78"/>
      <c r="I141" s="79"/>
    </row>
    <row r="142">
      <c r="A142" s="78"/>
      <c r="B142" s="78"/>
      <c r="C142" s="78"/>
      <c r="I142" s="79"/>
    </row>
    <row r="143">
      <c r="A143" s="78"/>
      <c r="B143" s="78"/>
      <c r="C143" s="78"/>
      <c r="I143" s="79"/>
    </row>
    <row r="144">
      <c r="A144" s="78"/>
      <c r="B144" s="78"/>
      <c r="C144" s="78"/>
      <c r="I144" s="79"/>
    </row>
    <row r="145">
      <c r="A145" s="78"/>
      <c r="B145" s="78"/>
      <c r="C145" s="78"/>
      <c r="I145" s="79"/>
    </row>
    <row r="146">
      <c r="A146" s="78"/>
      <c r="B146" s="78"/>
      <c r="C146" s="78"/>
      <c r="I146" s="79"/>
    </row>
    <row r="147">
      <c r="A147" s="78"/>
      <c r="B147" s="78"/>
      <c r="C147" s="78"/>
      <c r="I147" s="79"/>
    </row>
    <row r="148">
      <c r="A148" s="78"/>
      <c r="B148" s="78"/>
      <c r="C148" s="78"/>
      <c r="I148" s="79"/>
    </row>
    <row r="149">
      <c r="A149" s="78"/>
      <c r="B149" s="78"/>
      <c r="C149" s="78"/>
      <c r="I149" s="79"/>
    </row>
    <row r="150">
      <c r="A150" s="78"/>
      <c r="B150" s="78"/>
      <c r="C150" s="78"/>
      <c r="I150" s="79"/>
    </row>
    <row r="151">
      <c r="A151" s="78"/>
      <c r="B151" s="78"/>
      <c r="C151" s="78"/>
      <c r="I151" s="79"/>
    </row>
    <row r="152">
      <c r="A152" s="78"/>
      <c r="B152" s="78"/>
      <c r="C152" s="78"/>
      <c r="I152" s="79"/>
    </row>
    <row r="153">
      <c r="A153" s="78"/>
      <c r="B153" s="78"/>
      <c r="C153" s="78"/>
      <c r="I153" s="79"/>
    </row>
    <row r="154">
      <c r="A154" s="78"/>
      <c r="B154" s="78"/>
      <c r="C154" s="78"/>
      <c r="I154" s="79"/>
    </row>
    <row r="155">
      <c r="A155" s="78"/>
      <c r="B155" s="78"/>
      <c r="C155" s="78"/>
      <c r="I155" s="79"/>
    </row>
    <row r="156">
      <c r="A156" s="78"/>
      <c r="B156" s="78"/>
      <c r="C156" s="78"/>
      <c r="I156" s="79"/>
    </row>
    <row r="157">
      <c r="A157" s="78"/>
      <c r="B157" s="78"/>
      <c r="C157" s="78"/>
      <c r="I157" s="79"/>
    </row>
    <row r="158">
      <c r="A158" s="78"/>
      <c r="B158" s="78"/>
      <c r="C158" s="78"/>
      <c r="I158" s="79"/>
    </row>
    <row r="159">
      <c r="A159" s="78"/>
      <c r="B159" s="78"/>
      <c r="C159" s="78"/>
      <c r="I159" s="79"/>
    </row>
    <row r="160">
      <c r="A160" s="78"/>
      <c r="B160" s="78"/>
      <c r="C160" s="78"/>
      <c r="I160" s="79"/>
    </row>
    <row r="161">
      <c r="A161" s="78"/>
      <c r="B161" s="78"/>
      <c r="C161" s="78"/>
      <c r="I161" s="79"/>
    </row>
    <row r="162">
      <c r="A162" s="78"/>
      <c r="B162" s="78"/>
      <c r="C162" s="78"/>
      <c r="I162" s="79"/>
    </row>
    <row r="163">
      <c r="A163" s="78"/>
      <c r="B163" s="78"/>
      <c r="C163" s="78"/>
      <c r="I163" s="79"/>
    </row>
    <row r="164">
      <c r="A164" s="78"/>
      <c r="B164" s="78"/>
      <c r="C164" s="78"/>
      <c r="I164" s="79"/>
    </row>
    <row r="165">
      <c r="A165" s="78"/>
      <c r="B165" s="78"/>
      <c r="C165" s="78"/>
      <c r="I165" s="79"/>
    </row>
    <row r="166">
      <c r="A166" s="78"/>
      <c r="B166" s="78"/>
      <c r="C166" s="78"/>
      <c r="I166" s="79"/>
    </row>
    <row r="167">
      <c r="A167" s="78"/>
      <c r="B167" s="78"/>
      <c r="C167" s="78"/>
      <c r="I167" s="79"/>
    </row>
    <row r="168">
      <c r="A168" s="78"/>
      <c r="B168" s="78"/>
      <c r="C168" s="78"/>
      <c r="I168" s="79"/>
    </row>
    <row r="169">
      <c r="A169" s="78"/>
      <c r="B169" s="78"/>
      <c r="C169" s="78"/>
      <c r="I169" s="79"/>
    </row>
    <row r="170">
      <c r="A170" s="78"/>
      <c r="B170" s="78"/>
      <c r="C170" s="78"/>
      <c r="I170" s="79"/>
    </row>
    <row r="171">
      <c r="A171" s="78"/>
      <c r="B171" s="78"/>
      <c r="C171" s="78"/>
      <c r="I171" s="79"/>
    </row>
    <row r="172">
      <c r="A172" s="78"/>
      <c r="B172" s="78"/>
      <c r="C172" s="78"/>
      <c r="I172" s="79"/>
    </row>
    <row r="173">
      <c r="A173" s="78"/>
      <c r="B173" s="78"/>
      <c r="C173" s="78"/>
      <c r="I173" s="79"/>
    </row>
    <row r="174">
      <c r="A174" s="78"/>
      <c r="B174" s="78"/>
      <c r="C174" s="78"/>
      <c r="I174" s="79"/>
    </row>
    <row r="175">
      <c r="A175" s="78"/>
      <c r="B175" s="78"/>
      <c r="C175" s="78"/>
      <c r="I175" s="79"/>
    </row>
    <row r="176">
      <c r="A176" s="78"/>
      <c r="B176" s="78"/>
      <c r="C176" s="78"/>
      <c r="I176" s="79"/>
    </row>
    <row r="177">
      <c r="A177" s="78"/>
      <c r="B177" s="78"/>
      <c r="C177" s="78"/>
      <c r="I177" s="79"/>
    </row>
    <row r="178">
      <c r="A178" s="78"/>
      <c r="B178" s="78"/>
      <c r="C178" s="78"/>
      <c r="I178" s="79"/>
    </row>
    <row r="179">
      <c r="A179" s="78"/>
      <c r="B179" s="78"/>
      <c r="C179" s="78"/>
      <c r="I179" s="79"/>
    </row>
    <row r="180">
      <c r="A180" s="78"/>
      <c r="B180" s="78"/>
      <c r="C180" s="78"/>
      <c r="I180" s="79"/>
    </row>
    <row r="181">
      <c r="A181" s="78"/>
      <c r="B181" s="78"/>
      <c r="C181" s="78"/>
      <c r="I181" s="79"/>
    </row>
    <row r="182">
      <c r="A182" s="78"/>
      <c r="B182" s="78"/>
      <c r="C182" s="78"/>
      <c r="I182" s="79"/>
    </row>
    <row r="183">
      <c r="A183" s="78"/>
      <c r="B183" s="78"/>
      <c r="C183" s="78"/>
      <c r="I183" s="79"/>
    </row>
    <row r="184">
      <c r="A184" s="78"/>
      <c r="B184" s="78"/>
      <c r="C184" s="78"/>
      <c r="I184" s="79"/>
    </row>
    <row r="185">
      <c r="A185" s="78"/>
      <c r="B185" s="78"/>
      <c r="C185" s="78"/>
      <c r="I185" s="79"/>
    </row>
    <row r="186">
      <c r="A186" s="78"/>
      <c r="B186" s="78"/>
      <c r="C186" s="78"/>
      <c r="I186" s="79"/>
    </row>
    <row r="187">
      <c r="A187" s="78"/>
      <c r="B187" s="78"/>
      <c r="C187" s="78"/>
      <c r="I187" s="79"/>
    </row>
    <row r="188">
      <c r="A188" s="78"/>
      <c r="B188" s="78"/>
      <c r="C188" s="78"/>
      <c r="I188" s="79"/>
    </row>
    <row r="189">
      <c r="A189" s="78"/>
      <c r="B189" s="78"/>
      <c r="C189" s="78"/>
      <c r="I189" s="79"/>
    </row>
    <row r="190">
      <c r="A190" s="78"/>
      <c r="B190" s="78"/>
      <c r="C190" s="78"/>
      <c r="I190" s="79"/>
    </row>
    <row r="191">
      <c r="A191" s="78"/>
      <c r="B191" s="78"/>
      <c r="C191" s="78"/>
      <c r="I191" s="79"/>
    </row>
    <row r="192">
      <c r="A192" s="78"/>
      <c r="B192" s="78"/>
      <c r="C192" s="78"/>
      <c r="I192" s="79"/>
    </row>
    <row r="193">
      <c r="A193" s="78"/>
      <c r="B193" s="78"/>
      <c r="C193" s="78"/>
      <c r="I193" s="79"/>
    </row>
    <row r="194">
      <c r="A194" s="78"/>
      <c r="B194" s="78"/>
      <c r="C194" s="78"/>
      <c r="I194" s="79"/>
    </row>
    <row r="195">
      <c r="A195" s="78"/>
      <c r="B195" s="78"/>
      <c r="C195" s="78"/>
      <c r="I195" s="79"/>
    </row>
    <row r="196">
      <c r="A196" s="78"/>
      <c r="B196" s="78"/>
      <c r="C196" s="78"/>
      <c r="I196" s="79"/>
    </row>
    <row r="197">
      <c r="A197" s="78"/>
      <c r="B197" s="78"/>
      <c r="C197" s="78"/>
      <c r="I197" s="79"/>
    </row>
    <row r="198">
      <c r="A198" s="78"/>
      <c r="B198" s="78"/>
      <c r="C198" s="78"/>
      <c r="I198" s="79"/>
    </row>
    <row r="199">
      <c r="A199" s="78"/>
      <c r="B199" s="78"/>
      <c r="C199" s="78"/>
      <c r="I199" s="79"/>
    </row>
    <row r="200">
      <c r="A200" s="78"/>
      <c r="B200" s="78"/>
      <c r="C200" s="78"/>
      <c r="I200" s="79"/>
    </row>
    <row r="201">
      <c r="A201" s="78"/>
      <c r="B201" s="78"/>
      <c r="C201" s="78"/>
      <c r="I201" s="79"/>
    </row>
    <row r="202">
      <c r="A202" s="78"/>
      <c r="B202" s="78"/>
      <c r="C202" s="78"/>
      <c r="I202" s="79"/>
    </row>
    <row r="203">
      <c r="A203" s="78"/>
      <c r="B203" s="78"/>
      <c r="C203" s="78"/>
      <c r="I203" s="79"/>
    </row>
    <row r="204">
      <c r="A204" s="78"/>
      <c r="B204" s="78"/>
      <c r="C204" s="78"/>
      <c r="I204" s="79"/>
    </row>
    <row r="205">
      <c r="A205" s="78"/>
      <c r="B205" s="78"/>
      <c r="C205" s="78"/>
      <c r="I205" s="79"/>
    </row>
    <row r="206">
      <c r="A206" s="78"/>
      <c r="B206" s="78"/>
      <c r="C206" s="78"/>
      <c r="I206" s="79"/>
    </row>
    <row r="207">
      <c r="A207" s="78"/>
      <c r="B207" s="78"/>
      <c r="C207" s="78"/>
      <c r="I207" s="79"/>
    </row>
    <row r="208">
      <c r="A208" s="78"/>
      <c r="B208" s="78"/>
      <c r="C208" s="78"/>
      <c r="I208" s="79"/>
    </row>
    <row r="209">
      <c r="A209" s="78"/>
      <c r="B209" s="78"/>
      <c r="C209" s="78"/>
      <c r="I209" s="79"/>
    </row>
    <row r="210">
      <c r="A210" s="78"/>
      <c r="B210" s="78"/>
      <c r="C210" s="78"/>
      <c r="I210" s="79"/>
    </row>
    <row r="211">
      <c r="A211" s="78"/>
      <c r="B211" s="78"/>
      <c r="C211" s="78"/>
      <c r="I211" s="79"/>
    </row>
    <row r="212">
      <c r="A212" s="78"/>
      <c r="B212" s="78"/>
      <c r="C212" s="78"/>
      <c r="I212" s="79"/>
    </row>
    <row r="213">
      <c r="A213" s="78"/>
      <c r="B213" s="78"/>
      <c r="C213" s="78"/>
      <c r="I213" s="79"/>
    </row>
    <row r="214">
      <c r="A214" s="78"/>
      <c r="B214" s="78"/>
      <c r="C214" s="78"/>
      <c r="I214" s="79"/>
    </row>
    <row r="215">
      <c r="A215" s="78"/>
      <c r="B215" s="78"/>
      <c r="C215" s="78"/>
      <c r="I215" s="79"/>
    </row>
    <row r="216">
      <c r="A216" s="78"/>
      <c r="B216" s="78"/>
      <c r="C216" s="78"/>
      <c r="I216" s="79"/>
    </row>
    <row r="217">
      <c r="A217" s="78"/>
      <c r="B217" s="78"/>
      <c r="C217" s="78"/>
      <c r="I217" s="79"/>
    </row>
    <row r="218">
      <c r="A218" s="78"/>
      <c r="B218" s="78"/>
      <c r="C218" s="78"/>
      <c r="I218" s="79"/>
    </row>
    <row r="219">
      <c r="A219" s="78"/>
      <c r="B219" s="78"/>
      <c r="C219" s="78"/>
      <c r="I219" s="79"/>
    </row>
    <row r="220">
      <c r="A220" s="78"/>
      <c r="B220" s="78"/>
      <c r="C220" s="78"/>
      <c r="I220" s="79"/>
    </row>
    <row r="221">
      <c r="A221" s="78"/>
      <c r="B221" s="78"/>
      <c r="C221" s="78"/>
      <c r="I221" s="79"/>
    </row>
    <row r="222">
      <c r="A222" s="78"/>
      <c r="B222" s="78"/>
      <c r="C222" s="78"/>
      <c r="I222" s="79"/>
    </row>
    <row r="223">
      <c r="A223" s="78"/>
      <c r="B223" s="78"/>
      <c r="C223" s="78"/>
      <c r="I223" s="79"/>
    </row>
    <row r="224">
      <c r="A224" s="78"/>
      <c r="B224" s="78"/>
      <c r="C224" s="78"/>
      <c r="I224" s="79"/>
    </row>
    <row r="225">
      <c r="A225" s="78"/>
      <c r="B225" s="78"/>
      <c r="C225" s="78"/>
      <c r="I225" s="79"/>
    </row>
    <row r="226">
      <c r="A226" s="78"/>
      <c r="B226" s="78"/>
      <c r="C226" s="78"/>
      <c r="I226" s="79"/>
    </row>
    <row r="227">
      <c r="A227" s="78"/>
      <c r="B227" s="78"/>
      <c r="C227" s="78"/>
      <c r="I227" s="79"/>
    </row>
    <row r="228">
      <c r="A228" s="78"/>
      <c r="B228" s="78"/>
      <c r="C228" s="78"/>
      <c r="I228" s="79"/>
    </row>
    <row r="229">
      <c r="A229" s="78"/>
      <c r="B229" s="78"/>
      <c r="C229" s="78"/>
      <c r="I229" s="79"/>
    </row>
    <row r="230">
      <c r="A230" s="78"/>
      <c r="B230" s="78"/>
      <c r="C230" s="78"/>
      <c r="I230" s="79"/>
    </row>
    <row r="231">
      <c r="A231" s="78"/>
      <c r="B231" s="78"/>
      <c r="C231" s="78"/>
      <c r="I231" s="79"/>
    </row>
    <row r="232">
      <c r="A232" s="78"/>
      <c r="B232" s="78"/>
      <c r="C232" s="78"/>
      <c r="I232" s="79"/>
    </row>
    <row r="233">
      <c r="A233" s="78"/>
      <c r="B233" s="78"/>
      <c r="C233" s="78"/>
      <c r="I233" s="79"/>
    </row>
    <row r="234">
      <c r="A234" s="78"/>
      <c r="B234" s="78"/>
      <c r="C234" s="78"/>
      <c r="I234" s="79"/>
    </row>
    <row r="235">
      <c r="A235" s="78"/>
      <c r="B235" s="78"/>
      <c r="C235" s="78"/>
      <c r="I235" s="79"/>
    </row>
    <row r="236">
      <c r="A236" s="78"/>
      <c r="B236" s="78"/>
      <c r="C236" s="78"/>
      <c r="I236" s="79"/>
    </row>
    <row r="237">
      <c r="A237" s="78"/>
      <c r="B237" s="78"/>
      <c r="C237" s="78"/>
      <c r="I237" s="79"/>
    </row>
    <row r="238">
      <c r="A238" s="78"/>
      <c r="B238" s="78"/>
      <c r="C238" s="78"/>
      <c r="I238" s="79"/>
    </row>
    <row r="239">
      <c r="A239" s="78"/>
      <c r="B239" s="78"/>
      <c r="C239" s="78"/>
      <c r="I239" s="79"/>
    </row>
    <row r="240">
      <c r="A240" s="78"/>
      <c r="B240" s="78"/>
      <c r="C240" s="78"/>
      <c r="I240" s="79"/>
    </row>
    <row r="241">
      <c r="A241" s="78"/>
      <c r="B241" s="78"/>
      <c r="C241" s="78"/>
      <c r="I241" s="79"/>
    </row>
    <row r="242">
      <c r="A242" s="78"/>
      <c r="B242" s="78"/>
      <c r="C242" s="78"/>
      <c r="I242" s="79"/>
    </row>
    <row r="243">
      <c r="A243" s="78"/>
      <c r="B243" s="78"/>
      <c r="C243" s="78"/>
      <c r="I243" s="79"/>
    </row>
    <row r="244">
      <c r="A244" s="78"/>
      <c r="B244" s="78"/>
      <c r="C244" s="78"/>
      <c r="I244" s="79"/>
    </row>
    <row r="245">
      <c r="A245" s="78"/>
      <c r="B245" s="78"/>
      <c r="C245" s="78"/>
      <c r="I245" s="79"/>
    </row>
    <row r="246">
      <c r="A246" s="78"/>
      <c r="B246" s="78"/>
      <c r="C246" s="78"/>
      <c r="I246" s="79"/>
    </row>
    <row r="247">
      <c r="A247" s="78"/>
      <c r="B247" s="78"/>
      <c r="C247" s="78"/>
      <c r="I247" s="79"/>
    </row>
    <row r="248">
      <c r="A248" s="78"/>
      <c r="B248" s="78"/>
      <c r="C248" s="78"/>
      <c r="I248" s="79"/>
    </row>
    <row r="249">
      <c r="A249" s="78"/>
      <c r="B249" s="78"/>
      <c r="C249" s="78"/>
      <c r="I249" s="79"/>
    </row>
    <row r="250">
      <c r="A250" s="78"/>
      <c r="B250" s="78"/>
      <c r="C250" s="78"/>
      <c r="I250" s="79"/>
    </row>
    <row r="251">
      <c r="A251" s="78"/>
      <c r="B251" s="78"/>
      <c r="C251" s="78"/>
      <c r="I251" s="79"/>
    </row>
    <row r="252">
      <c r="A252" s="78"/>
      <c r="B252" s="78"/>
      <c r="C252" s="78"/>
      <c r="I252" s="79"/>
    </row>
    <row r="253">
      <c r="A253" s="78"/>
      <c r="B253" s="78"/>
      <c r="C253" s="78"/>
      <c r="I253" s="79"/>
    </row>
    <row r="254">
      <c r="A254" s="78"/>
      <c r="B254" s="78"/>
      <c r="C254" s="78"/>
      <c r="I254" s="79"/>
    </row>
    <row r="255">
      <c r="A255" s="78"/>
      <c r="B255" s="78"/>
      <c r="C255" s="78"/>
      <c r="I255" s="79"/>
    </row>
    <row r="256">
      <c r="A256" s="78"/>
      <c r="B256" s="78"/>
      <c r="C256" s="78"/>
      <c r="I256" s="79"/>
    </row>
    <row r="257">
      <c r="A257" s="78"/>
      <c r="B257" s="78"/>
      <c r="C257" s="78"/>
      <c r="I257" s="79"/>
    </row>
    <row r="258">
      <c r="A258" s="78"/>
      <c r="B258" s="78"/>
      <c r="C258" s="78"/>
      <c r="I258" s="79"/>
    </row>
    <row r="259">
      <c r="A259" s="78"/>
      <c r="B259" s="78"/>
      <c r="C259" s="78"/>
      <c r="I259" s="79"/>
    </row>
    <row r="260">
      <c r="A260" s="78"/>
      <c r="B260" s="78"/>
      <c r="C260" s="78"/>
      <c r="I260" s="79"/>
    </row>
    <row r="261">
      <c r="A261" s="78"/>
      <c r="B261" s="78"/>
      <c r="C261" s="78"/>
      <c r="I261" s="79"/>
    </row>
    <row r="262">
      <c r="A262" s="78"/>
      <c r="B262" s="78"/>
      <c r="C262" s="78"/>
      <c r="I262" s="79"/>
    </row>
    <row r="263">
      <c r="A263" s="78"/>
      <c r="B263" s="78"/>
      <c r="C263" s="78"/>
      <c r="I263" s="79"/>
    </row>
    <row r="264">
      <c r="A264" s="78"/>
      <c r="B264" s="78"/>
      <c r="C264" s="78"/>
      <c r="I264" s="79"/>
    </row>
    <row r="265">
      <c r="A265" s="78"/>
      <c r="B265" s="78"/>
      <c r="C265" s="78"/>
      <c r="I265" s="79"/>
    </row>
    <row r="266">
      <c r="A266" s="78"/>
      <c r="B266" s="78"/>
      <c r="C266" s="78"/>
      <c r="I266" s="79"/>
    </row>
    <row r="267">
      <c r="A267" s="78"/>
      <c r="B267" s="78"/>
      <c r="C267" s="78"/>
      <c r="I267" s="79"/>
    </row>
    <row r="268">
      <c r="A268" s="78"/>
      <c r="B268" s="78"/>
      <c r="C268" s="78"/>
      <c r="I268" s="79"/>
    </row>
    <row r="269">
      <c r="A269" s="78"/>
      <c r="B269" s="78"/>
      <c r="C269" s="78"/>
      <c r="I269" s="79"/>
    </row>
    <row r="270">
      <c r="A270" s="78"/>
      <c r="B270" s="78"/>
      <c r="C270" s="78"/>
      <c r="I270" s="79"/>
    </row>
    <row r="271">
      <c r="A271" s="78"/>
      <c r="B271" s="78"/>
      <c r="C271" s="78"/>
      <c r="I271" s="79"/>
    </row>
    <row r="272">
      <c r="A272" s="78"/>
      <c r="B272" s="78"/>
      <c r="C272" s="78"/>
      <c r="I272" s="79"/>
    </row>
    <row r="273">
      <c r="A273" s="78"/>
      <c r="B273" s="78"/>
      <c r="C273" s="78"/>
      <c r="I273" s="79"/>
    </row>
    <row r="274">
      <c r="A274" s="78"/>
      <c r="B274" s="78"/>
      <c r="C274" s="78"/>
      <c r="I274" s="79"/>
    </row>
    <row r="275">
      <c r="A275" s="78"/>
      <c r="B275" s="78"/>
      <c r="C275" s="78"/>
      <c r="I275" s="79"/>
    </row>
    <row r="276">
      <c r="A276" s="78"/>
      <c r="B276" s="78"/>
      <c r="C276" s="78"/>
      <c r="I276" s="79"/>
    </row>
    <row r="277">
      <c r="A277" s="78"/>
      <c r="B277" s="78"/>
      <c r="C277" s="78"/>
      <c r="I277" s="79"/>
    </row>
    <row r="278">
      <c r="A278" s="78"/>
      <c r="B278" s="78"/>
      <c r="C278" s="78"/>
      <c r="I278" s="79"/>
    </row>
    <row r="279">
      <c r="A279" s="78"/>
      <c r="B279" s="78"/>
      <c r="C279" s="78"/>
      <c r="I279" s="79"/>
    </row>
    <row r="280">
      <c r="A280" s="78"/>
      <c r="B280" s="78"/>
      <c r="C280" s="78"/>
      <c r="I280" s="79"/>
    </row>
    <row r="281">
      <c r="A281" s="78"/>
      <c r="B281" s="78"/>
      <c r="C281" s="78"/>
      <c r="I281" s="79"/>
    </row>
    <row r="282">
      <c r="A282" s="78"/>
      <c r="B282" s="78"/>
      <c r="C282" s="78"/>
      <c r="I282" s="79"/>
    </row>
    <row r="283">
      <c r="A283" s="78"/>
      <c r="B283" s="78"/>
      <c r="C283" s="78"/>
      <c r="I283" s="79"/>
    </row>
    <row r="284">
      <c r="A284" s="78"/>
      <c r="B284" s="78"/>
      <c r="C284" s="78"/>
      <c r="I284" s="79"/>
    </row>
    <row r="285">
      <c r="A285" s="78"/>
      <c r="B285" s="78"/>
      <c r="C285" s="78"/>
      <c r="I285" s="79"/>
    </row>
    <row r="286">
      <c r="A286" s="78"/>
      <c r="B286" s="78"/>
      <c r="C286" s="78"/>
      <c r="I286" s="79"/>
    </row>
    <row r="287">
      <c r="A287" s="78"/>
      <c r="B287" s="78"/>
      <c r="C287" s="78"/>
      <c r="I287" s="79"/>
    </row>
    <row r="288">
      <c r="A288" s="78"/>
      <c r="B288" s="78"/>
      <c r="C288" s="78"/>
      <c r="I288" s="79"/>
    </row>
    <row r="289">
      <c r="A289" s="78"/>
      <c r="B289" s="78"/>
      <c r="C289" s="78"/>
      <c r="I289" s="79"/>
    </row>
    <row r="290">
      <c r="A290" s="78"/>
      <c r="B290" s="78"/>
      <c r="C290" s="78"/>
      <c r="I290" s="79"/>
    </row>
    <row r="291">
      <c r="A291" s="78"/>
      <c r="B291" s="78"/>
      <c r="C291" s="78"/>
      <c r="I291" s="79"/>
    </row>
    <row r="292">
      <c r="A292" s="78"/>
      <c r="B292" s="78"/>
      <c r="C292" s="78"/>
      <c r="I292" s="79"/>
    </row>
    <row r="293">
      <c r="A293" s="78"/>
      <c r="B293" s="78"/>
      <c r="C293" s="78"/>
      <c r="I293" s="79"/>
    </row>
    <row r="294">
      <c r="A294" s="78"/>
      <c r="B294" s="78"/>
      <c r="C294" s="78"/>
      <c r="I294" s="79"/>
    </row>
    <row r="295">
      <c r="A295" s="78"/>
      <c r="B295" s="78"/>
      <c r="C295" s="78"/>
      <c r="I295" s="79"/>
    </row>
    <row r="296">
      <c r="A296" s="78"/>
      <c r="B296" s="78"/>
      <c r="C296" s="78"/>
      <c r="I296" s="79"/>
    </row>
    <row r="297">
      <c r="A297" s="78"/>
      <c r="B297" s="78"/>
      <c r="C297" s="78"/>
      <c r="I297" s="79"/>
    </row>
    <row r="298">
      <c r="A298" s="78"/>
      <c r="B298" s="78"/>
      <c r="C298" s="78"/>
      <c r="I298" s="79"/>
    </row>
    <row r="299">
      <c r="A299" s="78"/>
      <c r="B299" s="78"/>
      <c r="C299" s="78"/>
      <c r="I299" s="79"/>
    </row>
    <row r="300">
      <c r="A300" s="78"/>
      <c r="B300" s="78"/>
      <c r="C300" s="78"/>
      <c r="I300" s="79"/>
    </row>
    <row r="301">
      <c r="A301" s="78"/>
      <c r="B301" s="78"/>
      <c r="C301" s="78"/>
      <c r="I301" s="79"/>
    </row>
    <row r="302">
      <c r="A302" s="78"/>
      <c r="B302" s="78"/>
      <c r="C302" s="78"/>
      <c r="I302" s="79"/>
    </row>
    <row r="303">
      <c r="A303" s="78"/>
      <c r="B303" s="78"/>
      <c r="C303" s="78"/>
      <c r="I303" s="79"/>
    </row>
    <row r="304">
      <c r="A304" s="78"/>
      <c r="B304" s="78"/>
      <c r="C304" s="78"/>
      <c r="I304" s="79"/>
    </row>
    <row r="305">
      <c r="A305" s="78"/>
      <c r="B305" s="78"/>
      <c r="C305" s="78"/>
      <c r="I305" s="79"/>
    </row>
    <row r="306">
      <c r="A306" s="78"/>
      <c r="B306" s="78"/>
      <c r="C306" s="78"/>
      <c r="I306" s="79"/>
    </row>
    <row r="307">
      <c r="A307" s="78"/>
      <c r="B307" s="78"/>
      <c r="C307" s="78"/>
      <c r="I307" s="79"/>
    </row>
    <row r="308">
      <c r="A308" s="78"/>
      <c r="B308" s="78"/>
      <c r="C308" s="78"/>
      <c r="I308" s="79"/>
    </row>
    <row r="309">
      <c r="A309" s="78"/>
      <c r="B309" s="78"/>
      <c r="C309" s="78"/>
      <c r="I309" s="79"/>
    </row>
    <row r="310">
      <c r="A310" s="78"/>
      <c r="B310" s="78"/>
      <c r="C310" s="78"/>
      <c r="I310" s="79"/>
    </row>
    <row r="311">
      <c r="A311" s="78"/>
      <c r="B311" s="78"/>
      <c r="C311" s="78"/>
      <c r="I311" s="79"/>
    </row>
    <row r="312">
      <c r="A312" s="78"/>
      <c r="B312" s="78"/>
      <c r="C312" s="78"/>
      <c r="I312" s="79"/>
    </row>
    <row r="313">
      <c r="A313" s="78"/>
      <c r="B313" s="78"/>
      <c r="C313" s="78"/>
      <c r="I313" s="79"/>
    </row>
    <row r="314">
      <c r="A314" s="78"/>
      <c r="B314" s="78"/>
      <c r="C314" s="78"/>
      <c r="I314" s="79"/>
    </row>
    <row r="315">
      <c r="A315" s="78"/>
      <c r="B315" s="78"/>
      <c r="C315" s="78"/>
      <c r="I315" s="79"/>
    </row>
    <row r="316">
      <c r="A316" s="78"/>
      <c r="B316" s="78"/>
      <c r="C316" s="78"/>
      <c r="I316" s="79"/>
    </row>
    <row r="317">
      <c r="A317" s="78"/>
      <c r="B317" s="78"/>
      <c r="C317" s="78"/>
      <c r="I317" s="79"/>
    </row>
    <row r="318">
      <c r="A318" s="78"/>
      <c r="B318" s="78"/>
      <c r="C318" s="78"/>
      <c r="I318" s="79"/>
    </row>
    <row r="319">
      <c r="A319" s="78"/>
      <c r="B319" s="78"/>
      <c r="C319" s="78"/>
      <c r="I319" s="79"/>
    </row>
    <row r="320">
      <c r="A320" s="78"/>
      <c r="B320" s="78"/>
      <c r="C320" s="78"/>
      <c r="I320" s="79"/>
    </row>
    <row r="321">
      <c r="A321" s="78"/>
      <c r="B321" s="78"/>
      <c r="C321" s="78"/>
      <c r="I321" s="79"/>
    </row>
    <row r="322">
      <c r="A322" s="78"/>
      <c r="B322" s="78"/>
      <c r="C322" s="78"/>
      <c r="I322" s="79"/>
    </row>
    <row r="323">
      <c r="A323" s="78"/>
      <c r="B323" s="78"/>
      <c r="C323" s="78"/>
      <c r="I323" s="79"/>
    </row>
    <row r="324">
      <c r="A324" s="78"/>
      <c r="B324" s="78"/>
      <c r="C324" s="78"/>
      <c r="I324" s="79"/>
    </row>
    <row r="325">
      <c r="A325" s="78"/>
      <c r="B325" s="78"/>
      <c r="C325" s="78"/>
      <c r="I325" s="79"/>
    </row>
    <row r="326">
      <c r="A326" s="78"/>
      <c r="B326" s="78"/>
      <c r="C326" s="78"/>
      <c r="I326" s="79"/>
    </row>
    <row r="327">
      <c r="A327" s="78"/>
      <c r="B327" s="78"/>
      <c r="C327" s="78"/>
      <c r="I327" s="79"/>
    </row>
    <row r="328">
      <c r="A328" s="78"/>
      <c r="B328" s="78"/>
      <c r="C328" s="78"/>
      <c r="I328" s="79"/>
    </row>
    <row r="329">
      <c r="A329" s="78"/>
      <c r="B329" s="78"/>
      <c r="C329" s="78"/>
      <c r="I329" s="79"/>
    </row>
    <row r="330">
      <c r="A330" s="78"/>
      <c r="B330" s="78"/>
      <c r="C330" s="78"/>
      <c r="I330" s="79"/>
    </row>
    <row r="331">
      <c r="A331" s="78"/>
      <c r="B331" s="78"/>
      <c r="C331" s="78"/>
      <c r="I331" s="7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8.88"/>
    <col customWidth="1" min="7" max="7" width="21.25"/>
    <col customWidth="1" min="8" max="8" width="21.13"/>
    <col customWidth="1" min="9" max="9" width="25.25"/>
    <col customWidth="1" min="13" max="13" width="18.0"/>
    <col customWidth="1" min="14" max="14" width="28.63"/>
    <col customWidth="1" min="16" max="16" width="26.38"/>
    <col customWidth="1" min="17" max="17" width="17.25"/>
    <col customWidth="1" min="18" max="18" width="26.75"/>
    <col customWidth="1" min="19" max="19" width="22.38"/>
    <col customWidth="1" min="20" max="20" width="31.88"/>
    <col customWidth="1" min="21" max="21" width="15.75"/>
    <col customWidth="1" min="22" max="22" width="28.88"/>
    <col customWidth="1" min="23" max="23" width="27.63"/>
    <col customWidth="1" min="24" max="24" width="40.25"/>
    <col customWidth="1" min="25" max="25" width="15.63"/>
    <col customWidth="1" min="26" max="26" width="27.38"/>
    <col customWidth="1" min="28" max="28" width="16.25"/>
    <col customWidth="1" min="29" max="29" width="28.13"/>
    <col customWidth="1" min="30" max="30" width="19.13"/>
    <col customWidth="1" min="31" max="31" width="29.0"/>
    <col customWidth="1" min="32" max="32" width="17.25"/>
    <col customWidth="1" min="33" max="33" width="30.75"/>
    <col customWidth="1" min="34" max="34" width="28.0"/>
    <col customWidth="1" min="35" max="35" width="36.63"/>
    <col customWidth="1" min="37" max="37" width="28.75"/>
    <col customWidth="1" min="38" max="38" width="16.5"/>
    <col customWidth="1" min="39" max="39" width="18.25"/>
    <col customWidth="1" min="40" max="40" width="28.63"/>
    <col customWidth="1" min="41" max="41" width="18.75"/>
    <col customWidth="1" min="42" max="42" width="28.13"/>
    <col customWidth="1" min="43" max="43" width="19.13"/>
    <col customWidth="1" min="44" max="44" width="33.13"/>
    <col customWidth="1" min="45" max="45" width="16.88"/>
    <col customWidth="1" min="46" max="46" width="17.88"/>
    <col customWidth="1" min="47" max="47" width="28.63"/>
    <col customWidth="1" min="49" max="49" width="27.5"/>
    <col customWidth="1" min="50" max="50" width="15.63"/>
    <col customWidth="1" min="51" max="51" width="29.38"/>
    <col customWidth="1" min="53" max="53" width="15.5"/>
    <col customWidth="1" min="54" max="54" width="27.75"/>
    <col customWidth="1" min="55" max="55" width="16.63"/>
    <col customWidth="1" min="56" max="56" width="28.0"/>
    <col customWidth="1" min="57" max="57" width="17.0"/>
    <col customWidth="1" min="58" max="58" width="27.13"/>
    <col customWidth="1" min="60" max="60" width="22.88"/>
    <col customWidth="1" min="61" max="61" width="16.38"/>
    <col customWidth="1" min="62" max="62" width="28.13"/>
    <col customWidth="1" min="63" max="63" width="16.88"/>
    <col customWidth="1" min="64" max="64" width="28.0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4" t="s">
        <v>11</v>
      </c>
      <c r="G1" s="5" t="s">
        <v>17</v>
      </c>
      <c r="H1" s="6" t="s">
        <v>22</v>
      </c>
      <c r="I1" s="73" t="s">
        <v>29</v>
      </c>
      <c r="J1" s="74" t="s">
        <v>34</v>
      </c>
      <c r="K1" s="74" t="s">
        <v>37</v>
      </c>
      <c r="L1" s="74" t="s">
        <v>41</v>
      </c>
      <c r="M1" s="8" t="s">
        <v>26</v>
      </c>
      <c r="N1" s="8" t="s">
        <v>33</v>
      </c>
      <c r="O1" s="8" t="s">
        <v>38</v>
      </c>
      <c r="P1" s="8" t="s">
        <v>43</v>
      </c>
      <c r="Q1" s="8" t="s">
        <v>46</v>
      </c>
      <c r="R1" s="8" t="s">
        <v>49</v>
      </c>
      <c r="S1" s="8" t="s">
        <v>53</v>
      </c>
      <c r="T1" s="8" t="s">
        <v>56</v>
      </c>
      <c r="U1" s="8" t="s">
        <v>59</v>
      </c>
      <c r="V1" s="8" t="s">
        <v>63</v>
      </c>
      <c r="W1" s="8" t="s">
        <v>65</v>
      </c>
      <c r="X1" s="8" t="s">
        <v>69</v>
      </c>
      <c r="Y1" s="8" t="s">
        <v>72</v>
      </c>
      <c r="Z1" s="8" t="s">
        <v>77</v>
      </c>
      <c r="AA1" s="10" t="s">
        <v>80</v>
      </c>
      <c r="AB1" s="11" t="s">
        <v>90</v>
      </c>
      <c r="AC1" s="11" t="s">
        <v>92</v>
      </c>
      <c r="AD1" s="11" t="s">
        <v>93</v>
      </c>
      <c r="AE1" s="11" t="s">
        <v>95</v>
      </c>
      <c r="AF1" s="11" t="s">
        <v>97</v>
      </c>
      <c r="AG1" s="11" t="s">
        <v>99</v>
      </c>
      <c r="AH1" s="11" t="s">
        <v>100</v>
      </c>
      <c r="AI1" s="11" t="s">
        <v>102</v>
      </c>
      <c r="AJ1" s="11" t="s">
        <v>104</v>
      </c>
      <c r="AK1" s="11" t="s">
        <v>106</v>
      </c>
      <c r="AL1" s="13" t="s">
        <v>109</v>
      </c>
      <c r="AM1" s="14" t="s">
        <v>114</v>
      </c>
      <c r="AN1" s="14" t="s">
        <v>119</v>
      </c>
      <c r="AO1" s="14" t="s">
        <v>121</v>
      </c>
      <c r="AP1" s="14" t="s">
        <v>123</v>
      </c>
      <c r="AQ1" s="14" t="s">
        <v>126</v>
      </c>
      <c r="AR1" s="14" t="s">
        <v>128</v>
      </c>
      <c r="AS1" s="13" t="s">
        <v>130</v>
      </c>
      <c r="AT1" s="15" t="s">
        <v>132</v>
      </c>
      <c r="AU1" s="15" t="s">
        <v>136</v>
      </c>
      <c r="AV1" s="11" t="s">
        <v>138</v>
      </c>
      <c r="AW1" s="11" t="s">
        <v>141</v>
      </c>
      <c r="AX1" s="11" t="s">
        <v>143</v>
      </c>
      <c r="AY1" s="11" t="s">
        <v>146</v>
      </c>
      <c r="AZ1" s="16" t="s">
        <v>149</v>
      </c>
      <c r="BA1" s="8" t="s">
        <v>151</v>
      </c>
      <c r="BB1" s="8" t="s">
        <v>155</v>
      </c>
      <c r="BC1" s="15" t="s">
        <v>158</v>
      </c>
      <c r="BD1" s="15" t="s">
        <v>161</v>
      </c>
      <c r="BE1" s="14" t="s">
        <v>163</v>
      </c>
      <c r="BF1" s="14" t="s">
        <v>166</v>
      </c>
      <c r="BG1" s="14" t="s">
        <v>168</v>
      </c>
      <c r="BH1" s="14" t="s">
        <v>170</v>
      </c>
      <c r="BI1" s="14" t="s">
        <v>171</v>
      </c>
      <c r="BJ1" s="14" t="s">
        <v>172</v>
      </c>
      <c r="BK1" s="17" t="s">
        <v>173</v>
      </c>
      <c r="BL1" s="17" t="s">
        <v>175</v>
      </c>
      <c r="BM1" s="17"/>
    </row>
    <row r="2">
      <c r="A2" s="18" t="s">
        <v>884</v>
      </c>
      <c r="B2" s="19">
        <v>161.0</v>
      </c>
      <c r="C2" s="18" t="s">
        <v>1016</v>
      </c>
      <c r="D2" s="62" t="s">
        <v>190</v>
      </c>
      <c r="E2" s="18" t="s">
        <v>190</v>
      </c>
      <c r="F2" s="18" t="s">
        <v>192</v>
      </c>
      <c r="G2" s="63" t="s">
        <v>1017</v>
      </c>
      <c r="H2" s="22" t="s">
        <v>198</v>
      </c>
      <c r="I2" s="75" t="s">
        <v>481</v>
      </c>
      <c r="J2" s="71" t="s">
        <v>205</v>
      </c>
      <c r="K2" s="71" t="s">
        <v>208</v>
      </c>
      <c r="L2" s="70" t="s">
        <v>208</v>
      </c>
      <c r="M2" s="28">
        <v>6.0</v>
      </c>
      <c r="N2" s="26" t="str">
        <f t="shared" ref="N2:N66" si="1">IF((M2&gt;=19),"S",IF(AND(M2&lt;19),"R", "NA"))</f>
        <v>R</v>
      </c>
      <c r="O2" s="28">
        <v>24.0</v>
      </c>
      <c r="P2" s="26" t="str">
        <f t="shared" ref="P2:P66" si="2">IF((O2&gt;=19),"S",IF(AND(O2&lt;19),"R", "NA"))</f>
        <v>S</v>
      </c>
      <c r="Q2" s="28">
        <v>6.0</v>
      </c>
      <c r="R2" s="26" t="str">
        <f t="shared" ref="R2:R66" si="3">IF((Q2&gt;=23),"S",IF(AND(Q2&lt;23),"R","NA"))</f>
        <v>R</v>
      </c>
      <c r="S2" s="28">
        <v>21.0</v>
      </c>
      <c r="T2" s="26" t="str">
        <f t="shared" ref="T2:T66" si="4">IF((S2&gt;=23),"S",IF(AND(S2&lt;23,S2&gt;=20),"I",IF(AND(S2&lt;20),"R","NA")))</f>
        <v>I</v>
      </c>
      <c r="U2" s="28">
        <v>6.0</v>
      </c>
      <c r="V2" s="26" t="str">
        <f t="shared" ref="V2:V66" si="5">IF((U2&gt;=20),"S",IF(AND(U2&lt;20),"R", "NA"))</f>
        <v>R</v>
      </c>
      <c r="W2" s="28">
        <v>22.0</v>
      </c>
      <c r="X2" s="26" t="str">
        <f t="shared" ref="X2:X66" si="6">IF((W2&gt;=20),"S",IF(AND(W2&lt;20),"R", "NA"))</f>
        <v>S</v>
      </c>
      <c r="Y2" s="28">
        <v>20.0</v>
      </c>
      <c r="Z2" s="26" t="str">
        <f t="shared" ref="Z2:Z66" si="7">IF((Y2&gt;=20),"S",IF(AND(Y2&lt;20,Y2&gt;=17),"I",IF(AND(Y2&lt;17),"R","NA")))</f>
        <v>S</v>
      </c>
      <c r="AA2" s="32" t="s">
        <v>299</v>
      </c>
      <c r="AB2" s="65">
        <v>12.0</v>
      </c>
      <c r="AC2" s="33" t="str">
        <f t="shared" ref="AC2:AC66" si="8">IF((AB2&gt;=20),"S",IF(AND(AB2&lt;20,AB2&gt;=17),"I",IF(AND(AB2&lt;17),"R","NA")))</f>
        <v>R</v>
      </c>
      <c r="AD2" s="65">
        <v>23.0</v>
      </c>
      <c r="AE2" s="33" t="str">
        <f t="shared" ref="AE2:AE66" si="9">IF((AD2&gt;=18),"S",IF(AND(AD2&lt;18),"R", "NA"))</f>
        <v>S</v>
      </c>
      <c r="AF2" s="65">
        <v>20.0</v>
      </c>
      <c r="AG2" s="33" t="str">
        <f t="shared" ref="AG2:AG66" si="10">IF((AF2&gt;=22),"S",IF(AND(AF2&lt;22,AF2&gt;=19),"I",IF(AND(AF2&lt;19),"R","NA")))</f>
        <v>I</v>
      </c>
      <c r="AH2" s="65">
        <v>12.0</v>
      </c>
      <c r="AI2" s="33" t="str">
        <f t="shared" ref="AI2:AI66" si="11">IF((AH2&gt;=13),"S",IF(AND(AH2&lt;13),"R", "NA"))</f>
        <v>R</v>
      </c>
      <c r="AJ2" s="65">
        <v>16.0</v>
      </c>
      <c r="AK2" s="33" t="str">
        <f t="shared" ref="AK2:AK66" si="12">IF((AJ2&gt;=27),"S",IF(AND(AJ2&lt;27,AJ2&gt;=24),"I",IF(AND(AJ2&lt;24),"R","NA")))</f>
        <v>R</v>
      </c>
      <c r="AL2" s="65" t="s">
        <v>299</v>
      </c>
      <c r="AM2" s="66">
        <v>7.0</v>
      </c>
      <c r="AN2" s="36" t="str">
        <f t="shared" ref="AN2:AN66" si="13">IF((AM2&gt;=25),"S",IF(AND(AM2&lt;25,AM2&gt;=22),"I",IF(AND(AM2&lt;22),"R","NA")))</f>
        <v>R</v>
      </c>
      <c r="AO2" s="66">
        <v>11.0</v>
      </c>
      <c r="AP2" s="36" t="str">
        <f t="shared" ref="AP2:AP66" si="14">IF((AO2&gt;=23),"S",IF(AND(AO2&lt;23,AO2&gt;=19),"I",IF(AND(AO2&lt;19),"R","NA")))</f>
        <v>R</v>
      </c>
      <c r="AQ2" s="66">
        <v>6.0</v>
      </c>
      <c r="AR2" s="36" t="str">
        <f t="shared" ref="AR2:AR66" si="15">IF((AQ2&gt;=14),"S",IF(AND(AQ2&lt;14),"R","NA"))</f>
        <v>R</v>
      </c>
      <c r="AS2" s="66" t="s">
        <v>299</v>
      </c>
      <c r="AT2" s="67">
        <v>6.0</v>
      </c>
      <c r="AU2" s="37" t="str">
        <f t="shared" ref="AU2:AU66" si="16">IF((AT2&gt;=14),"S",IF(AND(AT2&lt;14,AT2&gt;=11),"I",IF(AND(AT2&lt;11),"R","NA")))</f>
        <v>R</v>
      </c>
      <c r="AV2" s="65">
        <v>16.0</v>
      </c>
      <c r="AW2" s="33" t="str">
        <f t="shared" ref="AW2:AW66" si="17">IF((AV2&gt;=18),"S",IF(AND(AV2&lt;18),"R", "NA"))</f>
        <v>R</v>
      </c>
      <c r="AX2" s="65">
        <v>32.0</v>
      </c>
      <c r="AY2" s="33" t="str">
        <f t="shared" ref="AY2:AY66" si="18">IF((AX2&gt;=16),"S",IF(AND(AX2&lt;16),"R", "NA"))</f>
        <v>S</v>
      </c>
      <c r="AZ2" s="65" t="s">
        <v>299</v>
      </c>
      <c r="BA2" s="28">
        <v>6.0</v>
      </c>
      <c r="BB2" s="26" t="str">
        <f t="shared" ref="BB2:BB66" si="19">IF((BA2&gt;=20),"S",IF(AND(BA2&lt;20),"R", "NA"))</f>
        <v>R</v>
      </c>
      <c r="BC2" s="67">
        <v>10.0</v>
      </c>
      <c r="BD2" s="37" t="str">
        <f t="shared" ref="BD2:BD66" si="20">IF((BC2&gt;=26),"S",IF(AND(BC2&lt;26,BC2&gt;=21),"I",IF(AND(BC2&lt;21),"R","NA")))</f>
        <v>R</v>
      </c>
      <c r="BE2" s="66">
        <v>23.0</v>
      </c>
      <c r="BF2" s="36" t="str">
        <f t="shared" ref="BF2:BF66" si="21">IF((BE2&gt;=23),"S",IF(AND(BE2&lt;23),"R","NA"))</f>
        <v>S</v>
      </c>
      <c r="BG2" s="39" t="s">
        <v>357</v>
      </c>
      <c r="BH2" s="39" t="s">
        <v>357</v>
      </c>
      <c r="BI2" s="66">
        <v>26.0</v>
      </c>
      <c r="BJ2" s="36" t="str">
        <f t="shared" ref="BJ2:BJ66" si="22">IF((BI2&gt;=22),"S",IF(AND(BI2&lt;22,BI2&gt;=19),"I",IF(AND(BI2&lt;19),"R","NA")))</f>
        <v>S</v>
      </c>
      <c r="BK2" s="68">
        <v>17.0</v>
      </c>
      <c r="BL2" s="41" t="str">
        <f t="shared" ref="BL2:BL66" si="23">IF((BK2&gt;=17),"S",IF(AND(BK2&lt;17),"R", "NA"))</f>
        <v>S</v>
      </c>
      <c r="BM2" s="41"/>
    </row>
    <row r="3">
      <c r="A3" s="18" t="s">
        <v>890</v>
      </c>
      <c r="B3" s="19">
        <v>162.0</v>
      </c>
      <c r="C3" s="18" t="s">
        <v>1038</v>
      </c>
      <c r="D3" s="62" t="s">
        <v>190</v>
      </c>
      <c r="E3" s="18" t="s">
        <v>190</v>
      </c>
      <c r="F3" s="18" t="s">
        <v>192</v>
      </c>
      <c r="G3" s="63" t="s">
        <v>1039</v>
      </c>
      <c r="H3" s="22" t="s">
        <v>198</v>
      </c>
      <c r="I3" s="75" t="s">
        <v>481</v>
      </c>
      <c r="J3" s="70" t="s">
        <v>205</v>
      </c>
      <c r="K3" s="70" t="s">
        <v>208</v>
      </c>
      <c r="L3" s="70" t="s">
        <v>208</v>
      </c>
      <c r="M3" s="28">
        <v>6.0</v>
      </c>
      <c r="N3" s="26" t="str">
        <f t="shared" si="1"/>
        <v>R</v>
      </c>
      <c r="O3" s="28">
        <v>20.0</v>
      </c>
      <c r="P3" s="26" t="str">
        <f t="shared" si="2"/>
        <v>S</v>
      </c>
      <c r="Q3" s="28">
        <v>6.0</v>
      </c>
      <c r="R3" s="26" t="str">
        <f t="shared" si="3"/>
        <v>R</v>
      </c>
      <c r="S3" s="28">
        <v>22.0</v>
      </c>
      <c r="T3" s="26" t="str">
        <f t="shared" si="4"/>
        <v>I</v>
      </c>
      <c r="U3" s="28">
        <v>6.0</v>
      </c>
      <c r="V3" s="26" t="str">
        <f t="shared" si="5"/>
        <v>R</v>
      </c>
      <c r="W3" s="28">
        <v>18.0</v>
      </c>
      <c r="X3" s="26" t="str">
        <f t="shared" si="6"/>
        <v>R</v>
      </c>
      <c r="Y3" s="28">
        <v>21.0</v>
      </c>
      <c r="Z3" s="26" t="str">
        <f t="shared" si="7"/>
        <v>S</v>
      </c>
      <c r="AA3" s="32" t="s">
        <v>299</v>
      </c>
      <c r="AB3" s="65">
        <v>6.0</v>
      </c>
      <c r="AC3" s="33" t="str">
        <f t="shared" si="8"/>
        <v>R</v>
      </c>
      <c r="AD3" s="65">
        <v>17.0</v>
      </c>
      <c r="AE3" s="33" t="str">
        <f t="shared" si="9"/>
        <v>R</v>
      </c>
      <c r="AF3" s="65">
        <v>6.0</v>
      </c>
      <c r="AG3" s="33" t="str">
        <f t="shared" si="10"/>
        <v>R</v>
      </c>
      <c r="AH3" s="65">
        <v>20.0</v>
      </c>
      <c r="AI3" s="33" t="str">
        <f t="shared" si="11"/>
        <v>S</v>
      </c>
      <c r="AJ3" s="65">
        <v>15.0</v>
      </c>
      <c r="AK3" s="33" t="str">
        <f t="shared" si="12"/>
        <v>R</v>
      </c>
      <c r="AL3" s="65" t="s">
        <v>299</v>
      </c>
      <c r="AM3" s="66">
        <v>6.0</v>
      </c>
      <c r="AN3" s="36" t="str">
        <f t="shared" si="13"/>
        <v>R</v>
      </c>
      <c r="AO3" s="66">
        <v>6.0</v>
      </c>
      <c r="AP3" s="36" t="str">
        <f t="shared" si="14"/>
        <v>R</v>
      </c>
      <c r="AQ3" s="66">
        <v>6.0</v>
      </c>
      <c r="AR3" s="36" t="str">
        <f t="shared" si="15"/>
        <v>R</v>
      </c>
      <c r="AS3" s="66" t="s">
        <v>299</v>
      </c>
      <c r="AT3" s="67">
        <v>6.0</v>
      </c>
      <c r="AU3" s="37" t="str">
        <f t="shared" si="16"/>
        <v>R</v>
      </c>
      <c r="AV3" s="65">
        <v>18.0</v>
      </c>
      <c r="AW3" s="33" t="str">
        <f t="shared" si="17"/>
        <v>S</v>
      </c>
      <c r="AX3" s="65">
        <v>17.0</v>
      </c>
      <c r="AY3" s="33" t="str">
        <f t="shared" si="18"/>
        <v>S</v>
      </c>
      <c r="AZ3" s="33" t="s">
        <v>300</v>
      </c>
      <c r="BA3" s="28">
        <v>6.0</v>
      </c>
      <c r="BB3" s="26" t="str">
        <f t="shared" si="19"/>
        <v>R</v>
      </c>
      <c r="BC3" s="67">
        <v>15.0</v>
      </c>
      <c r="BD3" s="37" t="str">
        <f t="shared" si="20"/>
        <v>R</v>
      </c>
      <c r="BE3" s="66">
        <v>25.0</v>
      </c>
      <c r="BF3" s="36" t="str">
        <f t="shared" si="21"/>
        <v>S</v>
      </c>
      <c r="BG3" s="39" t="s">
        <v>357</v>
      </c>
      <c r="BH3" s="39" t="s">
        <v>357</v>
      </c>
      <c r="BI3" s="66">
        <v>25.0</v>
      </c>
      <c r="BJ3" s="36" t="str">
        <f t="shared" si="22"/>
        <v>S</v>
      </c>
      <c r="BK3" s="68">
        <v>18.0</v>
      </c>
      <c r="BL3" s="41" t="str">
        <f t="shared" si="23"/>
        <v>S</v>
      </c>
      <c r="BM3" s="41"/>
    </row>
    <row r="4">
      <c r="A4" s="18" t="s">
        <v>890</v>
      </c>
      <c r="B4" s="19">
        <v>163.0</v>
      </c>
      <c r="C4" s="18" t="s">
        <v>1047</v>
      </c>
      <c r="D4" s="62" t="s">
        <v>190</v>
      </c>
      <c r="E4" s="18" t="s">
        <v>190</v>
      </c>
      <c r="F4" s="18" t="s">
        <v>192</v>
      </c>
      <c r="G4" s="63" t="s">
        <v>1049</v>
      </c>
      <c r="H4" s="22" t="s">
        <v>198</v>
      </c>
      <c r="I4" s="75" t="s">
        <v>41</v>
      </c>
      <c r="J4" s="70" t="s">
        <v>205</v>
      </c>
      <c r="K4" s="71" t="s">
        <v>208</v>
      </c>
      <c r="L4" s="71" t="s">
        <v>205</v>
      </c>
      <c r="M4" s="28">
        <v>6.0</v>
      </c>
      <c r="N4" s="26" t="str">
        <f t="shared" si="1"/>
        <v>R</v>
      </c>
      <c r="O4" s="28">
        <v>6.0</v>
      </c>
      <c r="P4" s="26" t="str">
        <f t="shared" si="2"/>
        <v>R</v>
      </c>
      <c r="Q4" s="28">
        <v>6.0</v>
      </c>
      <c r="R4" s="26" t="str">
        <f t="shared" si="3"/>
        <v>R</v>
      </c>
      <c r="S4" s="28">
        <v>6.0</v>
      </c>
      <c r="T4" s="26" t="str">
        <f t="shared" si="4"/>
        <v>R</v>
      </c>
      <c r="U4" s="28">
        <v>6.0</v>
      </c>
      <c r="V4" s="26" t="str">
        <f t="shared" si="5"/>
        <v>R</v>
      </c>
      <c r="W4" s="28">
        <v>6.0</v>
      </c>
      <c r="X4" s="26" t="str">
        <f t="shared" si="6"/>
        <v>R</v>
      </c>
      <c r="Y4" s="28">
        <v>6.0</v>
      </c>
      <c r="Z4" s="26" t="str">
        <f t="shared" si="7"/>
        <v>R</v>
      </c>
      <c r="AA4" s="32" t="s">
        <v>299</v>
      </c>
      <c r="AB4" s="65">
        <v>6.0</v>
      </c>
      <c r="AC4" s="33" t="str">
        <f t="shared" si="8"/>
        <v>R</v>
      </c>
      <c r="AD4" s="65">
        <v>6.0</v>
      </c>
      <c r="AE4" s="33" t="str">
        <f t="shared" si="9"/>
        <v>R</v>
      </c>
      <c r="AF4" s="65">
        <v>6.0</v>
      </c>
      <c r="AG4" s="33" t="str">
        <f t="shared" si="10"/>
        <v>R</v>
      </c>
      <c r="AH4" s="65">
        <v>6.0</v>
      </c>
      <c r="AI4" s="33" t="str">
        <f t="shared" si="11"/>
        <v>R</v>
      </c>
      <c r="AJ4" s="65">
        <v>6.0</v>
      </c>
      <c r="AK4" s="33" t="str">
        <f t="shared" si="12"/>
        <v>R</v>
      </c>
      <c r="AL4" s="65" t="s">
        <v>299</v>
      </c>
      <c r="AM4" s="66">
        <v>6.0</v>
      </c>
      <c r="AN4" s="36" t="str">
        <f t="shared" si="13"/>
        <v>R</v>
      </c>
      <c r="AO4" s="66">
        <v>6.0</v>
      </c>
      <c r="AP4" s="36" t="str">
        <f t="shared" si="14"/>
        <v>R</v>
      </c>
      <c r="AQ4" s="66">
        <v>6.0</v>
      </c>
      <c r="AR4" s="36" t="str">
        <f t="shared" si="15"/>
        <v>R</v>
      </c>
      <c r="AS4" s="66" t="s">
        <v>299</v>
      </c>
      <c r="AT4" s="67">
        <v>6.0</v>
      </c>
      <c r="AU4" s="37" t="str">
        <f t="shared" si="16"/>
        <v>R</v>
      </c>
      <c r="AV4" s="65">
        <v>19.0</v>
      </c>
      <c r="AW4" s="33" t="str">
        <f t="shared" si="17"/>
        <v>S</v>
      </c>
      <c r="AX4" s="65">
        <v>11.0</v>
      </c>
      <c r="AY4" s="33" t="str">
        <f t="shared" si="18"/>
        <v>R</v>
      </c>
      <c r="AZ4" s="65" t="s">
        <v>299</v>
      </c>
      <c r="BA4" s="28">
        <v>20.0</v>
      </c>
      <c r="BB4" s="26" t="str">
        <f t="shared" si="19"/>
        <v>S</v>
      </c>
      <c r="BC4" s="67">
        <v>6.0</v>
      </c>
      <c r="BD4" s="37" t="str">
        <f t="shared" si="20"/>
        <v>R</v>
      </c>
      <c r="BE4" s="66">
        <v>14.0</v>
      </c>
      <c r="BF4" s="36" t="str">
        <f t="shared" si="21"/>
        <v>R</v>
      </c>
      <c r="BG4" s="39" t="s">
        <v>357</v>
      </c>
      <c r="BH4" s="39" t="s">
        <v>357</v>
      </c>
      <c r="BI4" s="66">
        <v>20.0</v>
      </c>
      <c r="BJ4" s="36" t="str">
        <f t="shared" si="22"/>
        <v>I</v>
      </c>
      <c r="BK4" s="68">
        <v>6.0</v>
      </c>
      <c r="BL4" s="41" t="str">
        <f t="shared" si="23"/>
        <v>R</v>
      </c>
      <c r="BM4" s="41"/>
    </row>
    <row r="5">
      <c r="A5" s="18" t="s">
        <v>890</v>
      </c>
      <c r="B5" s="19">
        <v>164.0</v>
      </c>
      <c r="C5" s="18" t="s">
        <v>1054</v>
      </c>
      <c r="D5" s="69" t="s">
        <v>571</v>
      </c>
      <c r="E5" s="18" t="s">
        <v>572</v>
      </c>
      <c r="F5" s="18" t="s">
        <v>192</v>
      </c>
      <c r="G5" s="63" t="s">
        <v>1055</v>
      </c>
      <c r="H5" s="22" t="s">
        <v>198</v>
      </c>
      <c r="I5" s="75" t="s">
        <v>37</v>
      </c>
      <c r="J5" s="71" t="s">
        <v>205</v>
      </c>
      <c r="K5" s="71" t="s">
        <v>205</v>
      </c>
      <c r="L5" s="70" t="s">
        <v>208</v>
      </c>
      <c r="M5" s="28">
        <v>6.0</v>
      </c>
      <c r="N5" s="26" t="str">
        <f t="shared" si="1"/>
        <v>R</v>
      </c>
      <c r="O5" s="28">
        <v>18.0</v>
      </c>
      <c r="P5" s="26" t="str">
        <f t="shared" si="2"/>
        <v>R</v>
      </c>
      <c r="Q5" s="28">
        <v>6.0</v>
      </c>
      <c r="R5" s="26" t="str">
        <f t="shared" si="3"/>
        <v>R</v>
      </c>
      <c r="S5" s="28">
        <v>21.0</v>
      </c>
      <c r="T5" s="26" t="str">
        <f t="shared" si="4"/>
        <v>I</v>
      </c>
      <c r="U5" s="28">
        <v>6.0</v>
      </c>
      <c r="V5" s="26" t="str">
        <f t="shared" si="5"/>
        <v>R</v>
      </c>
      <c r="W5" s="28">
        <v>15.0</v>
      </c>
      <c r="X5" s="26" t="str">
        <f t="shared" si="6"/>
        <v>R</v>
      </c>
      <c r="Y5" s="28">
        <v>17.0</v>
      </c>
      <c r="Z5" s="26" t="str">
        <f t="shared" si="7"/>
        <v>I</v>
      </c>
      <c r="AA5" s="32" t="s">
        <v>299</v>
      </c>
      <c r="AB5" s="65">
        <v>6.0</v>
      </c>
      <c r="AC5" s="33" t="str">
        <f t="shared" si="8"/>
        <v>R</v>
      </c>
      <c r="AD5" s="65">
        <v>20.0</v>
      </c>
      <c r="AE5" s="33" t="str">
        <f t="shared" si="9"/>
        <v>S</v>
      </c>
      <c r="AF5" s="65">
        <v>6.0</v>
      </c>
      <c r="AG5" s="33" t="str">
        <f t="shared" si="10"/>
        <v>R</v>
      </c>
      <c r="AH5" s="65">
        <v>17.0</v>
      </c>
      <c r="AI5" s="33" t="str">
        <f t="shared" si="11"/>
        <v>S</v>
      </c>
      <c r="AJ5" s="65">
        <v>11.0</v>
      </c>
      <c r="AK5" s="33" t="str">
        <f t="shared" si="12"/>
        <v>R</v>
      </c>
      <c r="AL5" s="65" t="s">
        <v>299</v>
      </c>
      <c r="AM5" s="66">
        <v>6.0</v>
      </c>
      <c r="AN5" s="36" t="str">
        <f t="shared" si="13"/>
        <v>R</v>
      </c>
      <c r="AO5" s="66">
        <v>6.0</v>
      </c>
      <c r="AP5" s="36" t="str">
        <f t="shared" si="14"/>
        <v>R</v>
      </c>
      <c r="AQ5" s="66">
        <v>6.0</v>
      </c>
      <c r="AR5" s="36" t="str">
        <f t="shared" si="15"/>
        <v>R</v>
      </c>
      <c r="AS5" s="66" t="s">
        <v>299</v>
      </c>
      <c r="AT5" s="67">
        <v>6.0</v>
      </c>
      <c r="AU5" s="37" t="str">
        <f t="shared" si="16"/>
        <v>R</v>
      </c>
      <c r="AV5" s="65">
        <v>13.0</v>
      </c>
      <c r="AW5" s="33" t="str">
        <f t="shared" si="17"/>
        <v>R</v>
      </c>
      <c r="AX5" s="65">
        <v>12.0</v>
      </c>
      <c r="AY5" s="33" t="str">
        <f t="shared" si="18"/>
        <v>R</v>
      </c>
      <c r="AZ5" s="65" t="s">
        <v>299</v>
      </c>
      <c r="BA5" s="28">
        <v>6.0</v>
      </c>
      <c r="BB5" s="26" t="str">
        <f t="shared" si="19"/>
        <v>R</v>
      </c>
      <c r="BC5" s="67">
        <v>13.0</v>
      </c>
      <c r="BD5" s="37" t="str">
        <f t="shared" si="20"/>
        <v>R</v>
      </c>
      <c r="BE5" s="66">
        <v>20.0</v>
      </c>
      <c r="BF5" s="36" t="str">
        <f t="shared" si="21"/>
        <v>R</v>
      </c>
      <c r="BG5" s="39" t="s">
        <v>357</v>
      </c>
      <c r="BH5" s="39" t="s">
        <v>357</v>
      </c>
      <c r="BI5" s="66">
        <v>20.0</v>
      </c>
      <c r="BJ5" s="36" t="str">
        <f t="shared" si="22"/>
        <v>I</v>
      </c>
      <c r="BK5" s="68">
        <v>16.0</v>
      </c>
      <c r="BL5" s="41" t="str">
        <f t="shared" si="23"/>
        <v>R</v>
      </c>
      <c r="BM5" s="41"/>
    </row>
    <row r="6">
      <c r="A6" s="18" t="s">
        <v>890</v>
      </c>
      <c r="B6" s="19">
        <v>165.0</v>
      </c>
      <c r="C6" s="18" t="s">
        <v>1063</v>
      </c>
      <c r="D6" s="69" t="s">
        <v>705</v>
      </c>
      <c r="E6" s="18" t="s">
        <v>572</v>
      </c>
      <c r="F6" s="18" t="s">
        <v>192</v>
      </c>
      <c r="G6" s="63" t="s">
        <v>1064</v>
      </c>
      <c r="H6" s="42" t="s">
        <v>479</v>
      </c>
      <c r="I6" s="75" t="s">
        <v>481</v>
      </c>
      <c r="J6" s="70" t="s">
        <v>205</v>
      </c>
      <c r="K6" s="70" t="s">
        <v>208</v>
      </c>
      <c r="L6" s="70" t="s">
        <v>208</v>
      </c>
      <c r="M6" s="28">
        <v>6.0</v>
      </c>
      <c r="N6" s="26" t="str">
        <f t="shared" si="1"/>
        <v>R</v>
      </c>
      <c r="O6" s="28">
        <v>25.0</v>
      </c>
      <c r="P6" s="26" t="str">
        <f t="shared" si="2"/>
        <v>S</v>
      </c>
      <c r="Q6" s="28">
        <v>21.0</v>
      </c>
      <c r="R6" s="26" t="str">
        <f t="shared" si="3"/>
        <v>R</v>
      </c>
      <c r="S6" s="28">
        <v>19.0</v>
      </c>
      <c r="T6" s="26" t="str">
        <f t="shared" si="4"/>
        <v>R</v>
      </c>
      <c r="U6" s="28">
        <v>18.0</v>
      </c>
      <c r="V6" s="26" t="str">
        <f t="shared" si="5"/>
        <v>R</v>
      </c>
      <c r="W6" s="28">
        <v>15.0</v>
      </c>
      <c r="X6" s="26" t="str">
        <f t="shared" si="6"/>
        <v>R</v>
      </c>
      <c r="Y6" s="28">
        <v>6.0</v>
      </c>
      <c r="Z6" s="26" t="str">
        <f t="shared" si="7"/>
        <v>R</v>
      </c>
      <c r="AA6" s="32" t="s">
        <v>299</v>
      </c>
      <c r="AB6" s="65">
        <v>20.0</v>
      </c>
      <c r="AC6" s="33" t="str">
        <f t="shared" si="8"/>
        <v>S</v>
      </c>
      <c r="AD6" s="65">
        <v>16.0</v>
      </c>
      <c r="AE6" s="33" t="str">
        <f t="shared" si="9"/>
        <v>R</v>
      </c>
      <c r="AF6" s="65">
        <v>11.0</v>
      </c>
      <c r="AG6" s="33" t="str">
        <f t="shared" si="10"/>
        <v>R</v>
      </c>
      <c r="AH6" s="65">
        <v>10.0</v>
      </c>
      <c r="AI6" s="33" t="str">
        <f t="shared" si="11"/>
        <v>R</v>
      </c>
      <c r="AJ6" s="65">
        <v>18.0</v>
      </c>
      <c r="AK6" s="33" t="str">
        <f t="shared" si="12"/>
        <v>R</v>
      </c>
      <c r="AL6" s="65" t="s">
        <v>299</v>
      </c>
      <c r="AM6" s="66">
        <v>15.0</v>
      </c>
      <c r="AN6" s="36" t="str">
        <f t="shared" si="13"/>
        <v>R</v>
      </c>
      <c r="AO6" s="66">
        <v>10.0</v>
      </c>
      <c r="AP6" s="36" t="str">
        <f t="shared" si="14"/>
        <v>R</v>
      </c>
      <c r="AQ6" s="66">
        <v>6.0</v>
      </c>
      <c r="AR6" s="36" t="str">
        <f t="shared" si="15"/>
        <v>R</v>
      </c>
      <c r="AS6" s="66" t="s">
        <v>299</v>
      </c>
      <c r="AT6" s="67">
        <v>6.0</v>
      </c>
      <c r="AU6" s="37" t="str">
        <f t="shared" si="16"/>
        <v>R</v>
      </c>
      <c r="AV6" s="65">
        <v>17.0</v>
      </c>
      <c r="AW6" s="33" t="str">
        <f t="shared" si="17"/>
        <v>R</v>
      </c>
      <c r="AX6" s="65">
        <v>6.0</v>
      </c>
      <c r="AY6" s="33" t="str">
        <f t="shared" si="18"/>
        <v>R</v>
      </c>
      <c r="AZ6" s="65" t="s">
        <v>299</v>
      </c>
      <c r="BA6" s="28">
        <v>18.0</v>
      </c>
      <c r="BB6" s="26" t="str">
        <f t="shared" si="19"/>
        <v>R</v>
      </c>
      <c r="BC6" s="67">
        <v>11.0</v>
      </c>
      <c r="BD6" s="37" t="str">
        <f t="shared" si="20"/>
        <v>R</v>
      </c>
      <c r="BE6" s="66">
        <v>15.0</v>
      </c>
      <c r="BF6" s="36" t="str">
        <f t="shared" si="21"/>
        <v>R</v>
      </c>
      <c r="BG6" s="39" t="s">
        <v>357</v>
      </c>
      <c r="BH6" s="39" t="s">
        <v>357</v>
      </c>
      <c r="BI6" s="66">
        <v>30.0</v>
      </c>
      <c r="BJ6" s="36" t="str">
        <f t="shared" si="22"/>
        <v>S</v>
      </c>
      <c r="BK6" s="68">
        <v>12.0</v>
      </c>
      <c r="BL6" s="41" t="str">
        <f t="shared" si="23"/>
        <v>R</v>
      </c>
      <c r="BM6" s="41"/>
    </row>
    <row r="7">
      <c r="A7" s="18" t="s">
        <v>890</v>
      </c>
      <c r="B7" s="19">
        <v>166.0</v>
      </c>
      <c r="C7" s="18" t="s">
        <v>1069</v>
      </c>
      <c r="D7" s="69" t="s">
        <v>956</v>
      </c>
      <c r="E7" s="18" t="s">
        <v>103</v>
      </c>
      <c r="F7" s="18" t="s">
        <v>192</v>
      </c>
      <c r="G7" s="63" t="s">
        <v>1070</v>
      </c>
      <c r="H7" s="42" t="s">
        <v>479</v>
      </c>
      <c r="I7" s="75" t="s">
        <v>816</v>
      </c>
      <c r="J7" s="71" t="s">
        <v>205</v>
      </c>
      <c r="K7" s="71" t="s">
        <v>205</v>
      </c>
      <c r="L7" s="71" t="s">
        <v>205</v>
      </c>
      <c r="M7" s="28">
        <v>15.0</v>
      </c>
      <c r="N7" s="26" t="str">
        <f t="shared" si="1"/>
        <v>R</v>
      </c>
      <c r="O7" s="28">
        <v>22.0</v>
      </c>
      <c r="P7" s="26" t="str">
        <f t="shared" si="2"/>
        <v>S</v>
      </c>
      <c r="Q7" s="28">
        <v>18.0</v>
      </c>
      <c r="R7" s="26" t="str">
        <f t="shared" si="3"/>
        <v>R</v>
      </c>
      <c r="S7" s="28">
        <v>21.0</v>
      </c>
      <c r="T7" s="26" t="str">
        <f t="shared" si="4"/>
        <v>I</v>
      </c>
      <c r="U7" s="28">
        <v>12.0</v>
      </c>
      <c r="V7" s="26" t="str">
        <f t="shared" si="5"/>
        <v>R</v>
      </c>
      <c r="W7" s="28">
        <v>21.0</v>
      </c>
      <c r="X7" s="26" t="str">
        <f t="shared" si="6"/>
        <v>S</v>
      </c>
      <c r="Y7" s="28">
        <v>18.0</v>
      </c>
      <c r="Z7" s="26" t="str">
        <f t="shared" si="7"/>
        <v>I</v>
      </c>
      <c r="AA7" s="32" t="s">
        <v>299</v>
      </c>
      <c r="AB7" s="65">
        <v>16.0</v>
      </c>
      <c r="AC7" s="33" t="str">
        <f t="shared" si="8"/>
        <v>R</v>
      </c>
      <c r="AD7" s="65">
        <v>21.0</v>
      </c>
      <c r="AE7" s="33" t="str">
        <f t="shared" si="9"/>
        <v>S</v>
      </c>
      <c r="AF7" s="65">
        <v>12.0</v>
      </c>
      <c r="AG7" s="33" t="str">
        <f t="shared" si="10"/>
        <v>R</v>
      </c>
      <c r="AH7" s="65">
        <v>13.0</v>
      </c>
      <c r="AI7" s="33" t="str">
        <f t="shared" si="11"/>
        <v>S</v>
      </c>
      <c r="AJ7" s="65">
        <v>19.0</v>
      </c>
      <c r="AK7" s="33" t="str">
        <f t="shared" si="12"/>
        <v>R</v>
      </c>
      <c r="AL7" s="65" t="s">
        <v>299</v>
      </c>
      <c r="AM7" s="66">
        <v>21.0</v>
      </c>
      <c r="AN7" s="36" t="str">
        <f t="shared" si="13"/>
        <v>R</v>
      </c>
      <c r="AO7" s="66">
        <v>12.0</v>
      </c>
      <c r="AP7" s="36" t="str">
        <f t="shared" si="14"/>
        <v>R</v>
      </c>
      <c r="AQ7" s="66">
        <v>10.0</v>
      </c>
      <c r="AR7" s="36" t="str">
        <f t="shared" si="15"/>
        <v>R</v>
      </c>
      <c r="AS7" s="66" t="s">
        <v>299</v>
      </c>
      <c r="AT7" s="67">
        <v>19.0</v>
      </c>
      <c r="AU7" s="37" t="str">
        <f t="shared" si="16"/>
        <v>S</v>
      </c>
      <c r="AV7" s="65">
        <v>22.0</v>
      </c>
      <c r="AW7" s="33" t="str">
        <f t="shared" si="17"/>
        <v>S</v>
      </c>
      <c r="AX7" s="65">
        <v>22.0</v>
      </c>
      <c r="AY7" s="33" t="str">
        <f t="shared" si="18"/>
        <v>S</v>
      </c>
      <c r="AZ7" s="33" t="s">
        <v>300</v>
      </c>
      <c r="BA7" s="28">
        <v>16.0</v>
      </c>
      <c r="BB7" s="26" t="str">
        <f t="shared" si="19"/>
        <v>R</v>
      </c>
      <c r="BC7" s="67">
        <v>6.0</v>
      </c>
      <c r="BD7" s="37" t="str">
        <f t="shared" si="20"/>
        <v>R</v>
      </c>
      <c r="BE7" s="66">
        <v>10.0</v>
      </c>
      <c r="BF7" s="36" t="str">
        <f t="shared" si="21"/>
        <v>R</v>
      </c>
      <c r="BG7" s="39" t="s">
        <v>357</v>
      </c>
      <c r="BH7" s="39" t="s">
        <v>357</v>
      </c>
      <c r="BI7" s="66">
        <v>16.0</v>
      </c>
      <c r="BJ7" s="36" t="str">
        <f t="shared" si="22"/>
        <v>R</v>
      </c>
      <c r="BK7" s="68">
        <v>12.0</v>
      </c>
      <c r="BL7" s="41" t="str">
        <f t="shared" si="23"/>
        <v>R</v>
      </c>
      <c r="BM7" s="41"/>
    </row>
    <row r="8">
      <c r="A8" s="18" t="s">
        <v>906</v>
      </c>
      <c r="B8" s="19">
        <v>169.0</v>
      </c>
      <c r="C8" s="18" t="s">
        <v>1075</v>
      </c>
      <c r="D8" s="69" t="s">
        <v>190</v>
      </c>
      <c r="E8" s="18" t="s">
        <v>190</v>
      </c>
      <c r="F8" s="18" t="s">
        <v>192</v>
      </c>
      <c r="G8" s="63" t="s">
        <v>1076</v>
      </c>
      <c r="H8" s="42" t="s">
        <v>479</v>
      </c>
      <c r="I8" s="75" t="s">
        <v>37</v>
      </c>
      <c r="J8" s="71" t="s">
        <v>205</v>
      </c>
      <c r="K8" s="71" t="s">
        <v>205</v>
      </c>
      <c r="L8" s="70" t="s">
        <v>208</v>
      </c>
      <c r="M8" s="28">
        <v>6.0</v>
      </c>
      <c r="N8" s="26" t="str">
        <f t="shared" si="1"/>
        <v>R</v>
      </c>
      <c r="O8" s="28">
        <v>18.0</v>
      </c>
      <c r="P8" s="26" t="str">
        <f t="shared" si="2"/>
        <v>R</v>
      </c>
      <c r="Q8" s="28">
        <v>15.0</v>
      </c>
      <c r="R8" s="26" t="str">
        <f t="shared" si="3"/>
        <v>R</v>
      </c>
      <c r="S8" s="28">
        <v>20.0</v>
      </c>
      <c r="T8" s="26" t="str">
        <f t="shared" si="4"/>
        <v>I</v>
      </c>
      <c r="U8" s="28">
        <v>25.0</v>
      </c>
      <c r="V8" s="26" t="str">
        <f t="shared" si="5"/>
        <v>S</v>
      </c>
      <c r="W8" s="28">
        <v>24.0</v>
      </c>
      <c r="X8" s="26" t="str">
        <f t="shared" si="6"/>
        <v>S</v>
      </c>
      <c r="Y8" s="28">
        <v>15.0</v>
      </c>
      <c r="Z8" s="26" t="str">
        <f t="shared" si="7"/>
        <v>R</v>
      </c>
      <c r="AA8" s="32" t="s">
        <v>299</v>
      </c>
      <c r="AB8" s="65">
        <v>6.0</v>
      </c>
      <c r="AC8" s="33" t="str">
        <f t="shared" si="8"/>
        <v>R</v>
      </c>
      <c r="AD8" s="65">
        <v>24.0</v>
      </c>
      <c r="AE8" s="33" t="str">
        <f t="shared" si="9"/>
        <v>S</v>
      </c>
      <c r="AF8" s="65">
        <v>6.0</v>
      </c>
      <c r="AG8" s="33" t="str">
        <f t="shared" si="10"/>
        <v>R</v>
      </c>
      <c r="AH8" s="65">
        <v>17.0</v>
      </c>
      <c r="AI8" s="33" t="str">
        <f t="shared" si="11"/>
        <v>S</v>
      </c>
      <c r="AJ8" s="65">
        <v>12.0</v>
      </c>
      <c r="AK8" s="33" t="str">
        <f t="shared" si="12"/>
        <v>R</v>
      </c>
      <c r="AL8" s="65" t="s">
        <v>299</v>
      </c>
      <c r="AM8" s="66">
        <v>25.0</v>
      </c>
      <c r="AN8" s="36" t="str">
        <f t="shared" si="13"/>
        <v>S</v>
      </c>
      <c r="AO8" s="66">
        <v>24.0</v>
      </c>
      <c r="AP8" s="36" t="str">
        <f t="shared" si="14"/>
        <v>S</v>
      </c>
      <c r="AQ8" s="66">
        <v>18.0</v>
      </c>
      <c r="AR8" s="36" t="str">
        <f t="shared" si="15"/>
        <v>S</v>
      </c>
      <c r="AS8" s="36" t="s">
        <v>300</v>
      </c>
      <c r="AT8" s="67">
        <v>6.0</v>
      </c>
      <c r="AU8" s="37" t="str">
        <f t="shared" si="16"/>
        <v>R</v>
      </c>
      <c r="AV8" s="65">
        <v>15.0</v>
      </c>
      <c r="AW8" s="33" t="str">
        <f t="shared" si="17"/>
        <v>R</v>
      </c>
      <c r="AX8" s="65">
        <v>23.0</v>
      </c>
      <c r="AY8" s="33" t="str">
        <f t="shared" si="18"/>
        <v>S</v>
      </c>
      <c r="AZ8" s="65" t="s">
        <v>299</v>
      </c>
      <c r="BA8" s="28">
        <v>22.0</v>
      </c>
      <c r="BB8" s="26" t="str">
        <f t="shared" si="19"/>
        <v>S</v>
      </c>
      <c r="BC8" s="67">
        <v>6.0</v>
      </c>
      <c r="BD8" s="37" t="str">
        <f t="shared" si="20"/>
        <v>R</v>
      </c>
      <c r="BE8" s="66">
        <v>24.0</v>
      </c>
      <c r="BF8" s="36" t="str">
        <f t="shared" si="21"/>
        <v>S</v>
      </c>
      <c r="BG8" s="39" t="s">
        <v>357</v>
      </c>
      <c r="BH8" s="39" t="s">
        <v>357</v>
      </c>
      <c r="BI8" s="66">
        <v>27.0</v>
      </c>
      <c r="BJ8" s="36" t="str">
        <f t="shared" si="22"/>
        <v>S</v>
      </c>
      <c r="BK8" s="68">
        <v>17.0</v>
      </c>
      <c r="BL8" s="41" t="str">
        <f t="shared" si="23"/>
        <v>S</v>
      </c>
      <c r="BM8" s="41"/>
    </row>
    <row r="9">
      <c r="A9" s="18" t="s">
        <v>906</v>
      </c>
      <c r="B9" s="19">
        <v>170.0</v>
      </c>
      <c r="C9" s="18" t="s">
        <v>1079</v>
      </c>
      <c r="D9" s="69" t="s">
        <v>190</v>
      </c>
      <c r="E9" s="18" t="s">
        <v>190</v>
      </c>
      <c r="F9" s="18" t="s">
        <v>192</v>
      </c>
      <c r="G9" s="63" t="s">
        <v>1081</v>
      </c>
      <c r="H9" s="22" t="s">
        <v>198</v>
      </c>
      <c r="I9" s="75" t="s">
        <v>37</v>
      </c>
      <c r="J9" s="71" t="s">
        <v>205</v>
      </c>
      <c r="K9" s="71" t="s">
        <v>205</v>
      </c>
      <c r="L9" s="70" t="s">
        <v>208</v>
      </c>
      <c r="M9" s="28">
        <v>6.0</v>
      </c>
      <c r="N9" s="26" t="str">
        <f t="shared" si="1"/>
        <v>R</v>
      </c>
      <c r="O9" s="28">
        <v>25.0</v>
      </c>
      <c r="P9" s="26" t="str">
        <f t="shared" si="2"/>
        <v>S</v>
      </c>
      <c r="Q9" s="28">
        <v>23.0</v>
      </c>
      <c r="R9" s="26" t="str">
        <f t="shared" si="3"/>
        <v>S</v>
      </c>
      <c r="S9" s="28">
        <v>25.0</v>
      </c>
      <c r="T9" s="26" t="str">
        <f t="shared" si="4"/>
        <v>S</v>
      </c>
      <c r="U9" s="28">
        <v>21.0</v>
      </c>
      <c r="V9" s="26" t="str">
        <f t="shared" si="5"/>
        <v>S</v>
      </c>
      <c r="W9" s="28">
        <v>20.0</v>
      </c>
      <c r="X9" s="26" t="str">
        <f t="shared" si="6"/>
        <v>S</v>
      </c>
      <c r="Y9" s="28">
        <v>18.0</v>
      </c>
      <c r="Z9" s="26" t="str">
        <f t="shared" si="7"/>
        <v>I</v>
      </c>
      <c r="AA9" s="32" t="s">
        <v>299</v>
      </c>
      <c r="AB9" s="65">
        <v>6.0</v>
      </c>
      <c r="AC9" s="33" t="str">
        <f t="shared" si="8"/>
        <v>R</v>
      </c>
      <c r="AD9" s="65">
        <v>24.0</v>
      </c>
      <c r="AE9" s="33" t="str">
        <f t="shared" si="9"/>
        <v>S</v>
      </c>
      <c r="AF9" s="65">
        <v>6.0</v>
      </c>
      <c r="AG9" s="33" t="str">
        <f t="shared" si="10"/>
        <v>R</v>
      </c>
      <c r="AH9" s="65">
        <v>14.0</v>
      </c>
      <c r="AI9" s="33" t="str">
        <f t="shared" si="11"/>
        <v>S</v>
      </c>
      <c r="AJ9" s="65">
        <v>6.0</v>
      </c>
      <c r="AK9" s="33" t="str">
        <f t="shared" si="12"/>
        <v>R</v>
      </c>
      <c r="AL9" s="65" t="s">
        <v>299</v>
      </c>
      <c r="AM9" s="66">
        <v>25.0</v>
      </c>
      <c r="AN9" s="36" t="str">
        <f t="shared" si="13"/>
        <v>S</v>
      </c>
      <c r="AO9" s="66">
        <v>20.0</v>
      </c>
      <c r="AP9" s="36" t="str">
        <f t="shared" si="14"/>
        <v>I</v>
      </c>
      <c r="AQ9" s="66">
        <v>6.0</v>
      </c>
      <c r="AR9" s="36" t="str">
        <f t="shared" si="15"/>
        <v>R</v>
      </c>
      <c r="AS9" s="66" t="s">
        <v>299</v>
      </c>
      <c r="AT9" s="67">
        <v>20.0</v>
      </c>
      <c r="AU9" s="37" t="str">
        <f t="shared" si="16"/>
        <v>S</v>
      </c>
      <c r="AV9" s="65">
        <v>17.0</v>
      </c>
      <c r="AW9" s="33" t="str">
        <f t="shared" si="17"/>
        <v>R</v>
      </c>
      <c r="AX9" s="65">
        <v>6.0</v>
      </c>
      <c r="AY9" s="33" t="str">
        <f t="shared" si="18"/>
        <v>R</v>
      </c>
      <c r="AZ9" s="65" t="s">
        <v>299</v>
      </c>
      <c r="BA9" s="28">
        <v>6.0</v>
      </c>
      <c r="BB9" s="26" t="str">
        <f t="shared" si="19"/>
        <v>R</v>
      </c>
      <c r="BC9" s="67">
        <v>6.0</v>
      </c>
      <c r="BD9" s="37" t="str">
        <f t="shared" si="20"/>
        <v>R</v>
      </c>
      <c r="BE9" s="66">
        <v>25.0</v>
      </c>
      <c r="BF9" s="36" t="str">
        <f t="shared" si="21"/>
        <v>S</v>
      </c>
      <c r="BG9" s="39" t="s">
        <v>357</v>
      </c>
      <c r="BH9" s="39" t="s">
        <v>357</v>
      </c>
      <c r="BI9" s="66">
        <v>23.0</v>
      </c>
      <c r="BJ9" s="36" t="str">
        <f t="shared" si="22"/>
        <v>S</v>
      </c>
      <c r="BK9" s="68">
        <v>15.0</v>
      </c>
      <c r="BL9" s="41" t="str">
        <f t="shared" si="23"/>
        <v>R</v>
      </c>
      <c r="BM9" s="41"/>
    </row>
    <row r="10">
      <c r="A10" s="18" t="s">
        <v>906</v>
      </c>
      <c r="B10" s="19">
        <v>171.0</v>
      </c>
      <c r="C10" s="18" t="s">
        <v>1083</v>
      </c>
      <c r="D10" s="69" t="s">
        <v>190</v>
      </c>
      <c r="E10" s="18" t="s">
        <v>190</v>
      </c>
      <c r="F10" s="18" t="s">
        <v>192</v>
      </c>
      <c r="G10" s="63" t="s">
        <v>1085</v>
      </c>
      <c r="H10" s="42" t="s">
        <v>479</v>
      </c>
      <c r="I10" s="75" t="s">
        <v>37</v>
      </c>
      <c r="J10" s="71" t="s">
        <v>205</v>
      </c>
      <c r="K10" s="71" t="s">
        <v>205</v>
      </c>
      <c r="L10" s="70" t="s">
        <v>208</v>
      </c>
      <c r="M10" s="28">
        <v>6.0</v>
      </c>
      <c r="N10" s="26" t="str">
        <f t="shared" si="1"/>
        <v>R</v>
      </c>
      <c r="O10" s="28">
        <v>12.0</v>
      </c>
      <c r="P10" s="26" t="str">
        <f t="shared" si="2"/>
        <v>R</v>
      </c>
      <c r="Q10" s="28">
        <v>12.0</v>
      </c>
      <c r="R10" s="26" t="str">
        <f t="shared" si="3"/>
        <v>R</v>
      </c>
      <c r="S10" s="28">
        <v>22.0</v>
      </c>
      <c r="T10" s="26" t="str">
        <f t="shared" si="4"/>
        <v>I</v>
      </c>
      <c r="U10" s="28">
        <v>15.0</v>
      </c>
      <c r="V10" s="26" t="str">
        <f t="shared" si="5"/>
        <v>R</v>
      </c>
      <c r="W10" s="28">
        <v>14.0</v>
      </c>
      <c r="X10" s="26" t="str">
        <f t="shared" si="6"/>
        <v>R</v>
      </c>
      <c r="Y10" s="28">
        <v>19.0</v>
      </c>
      <c r="Z10" s="26" t="str">
        <f t="shared" si="7"/>
        <v>I</v>
      </c>
      <c r="AA10" s="32" t="s">
        <v>299</v>
      </c>
      <c r="AB10" s="65">
        <v>6.0</v>
      </c>
      <c r="AC10" s="33" t="str">
        <f t="shared" si="8"/>
        <v>R</v>
      </c>
      <c r="AD10" s="65">
        <v>22.0</v>
      </c>
      <c r="AE10" s="33" t="str">
        <f t="shared" si="9"/>
        <v>S</v>
      </c>
      <c r="AF10" s="65">
        <v>6.0</v>
      </c>
      <c r="AG10" s="33" t="str">
        <f t="shared" si="10"/>
        <v>R</v>
      </c>
      <c r="AH10" s="65">
        <v>24.0</v>
      </c>
      <c r="AI10" s="33" t="str">
        <f t="shared" si="11"/>
        <v>S</v>
      </c>
      <c r="AJ10" s="65">
        <v>6.0</v>
      </c>
      <c r="AK10" s="33" t="str">
        <f t="shared" si="12"/>
        <v>R</v>
      </c>
      <c r="AL10" s="65" t="s">
        <v>299</v>
      </c>
      <c r="AM10" s="66">
        <v>23.0</v>
      </c>
      <c r="AN10" s="36" t="str">
        <f t="shared" si="13"/>
        <v>I</v>
      </c>
      <c r="AO10" s="66">
        <v>22.0</v>
      </c>
      <c r="AP10" s="36" t="str">
        <f t="shared" si="14"/>
        <v>I</v>
      </c>
      <c r="AQ10" s="66">
        <v>15.0</v>
      </c>
      <c r="AR10" s="36" t="str">
        <f t="shared" si="15"/>
        <v>S</v>
      </c>
      <c r="AS10" s="66" t="s">
        <v>299</v>
      </c>
      <c r="AT10" s="67">
        <v>28.0</v>
      </c>
      <c r="AU10" s="37" t="str">
        <f t="shared" si="16"/>
        <v>S</v>
      </c>
      <c r="AV10" s="65">
        <v>19.0</v>
      </c>
      <c r="AW10" s="33" t="str">
        <f t="shared" si="17"/>
        <v>S</v>
      </c>
      <c r="AX10" s="65">
        <v>25.0</v>
      </c>
      <c r="AY10" s="33" t="str">
        <f t="shared" si="18"/>
        <v>S</v>
      </c>
      <c r="AZ10" s="33" t="s">
        <v>300</v>
      </c>
      <c r="BA10" s="28">
        <v>23.0</v>
      </c>
      <c r="BB10" s="26" t="str">
        <f t="shared" si="19"/>
        <v>S</v>
      </c>
      <c r="BC10" s="67">
        <v>6.0</v>
      </c>
      <c r="BD10" s="37" t="str">
        <f t="shared" si="20"/>
        <v>R</v>
      </c>
      <c r="BE10" s="66">
        <v>26.0</v>
      </c>
      <c r="BF10" s="36" t="str">
        <f t="shared" si="21"/>
        <v>S</v>
      </c>
      <c r="BG10" s="39" t="s">
        <v>357</v>
      </c>
      <c r="BH10" s="39" t="s">
        <v>357</v>
      </c>
      <c r="BI10" s="66">
        <v>22.0</v>
      </c>
      <c r="BJ10" s="36" t="str">
        <f t="shared" si="22"/>
        <v>S</v>
      </c>
      <c r="BK10" s="68">
        <v>22.0</v>
      </c>
      <c r="BL10" s="41" t="str">
        <f t="shared" si="23"/>
        <v>S</v>
      </c>
      <c r="BM10" s="41"/>
    </row>
    <row r="11">
      <c r="A11" s="18" t="s">
        <v>906</v>
      </c>
      <c r="B11" s="19">
        <v>172.0</v>
      </c>
      <c r="C11" s="18" t="s">
        <v>1087</v>
      </c>
      <c r="D11" s="69" t="s">
        <v>190</v>
      </c>
      <c r="E11" s="18" t="s">
        <v>190</v>
      </c>
      <c r="F11" s="18" t="s">
        <v>192</v>
      </c>
      <c r="G11" s="63" t="s">
        <v>1088</v>
      </c>
      <c r="H11" s="42" t="s">
        <v>479</v>
      </c>
      <c r="I11" s="75" t="s">
        <v>37</v>
      </c>
      <c r="J11" s="71" t="s">
        <v>205</v>
      </c>
      <c r="K11" s="71" t="s">
        <v>205</v>
      </c>
      <c r="L11" s="70" t="s">
        <v>208</v>
      </c>
      <c r="M11" s="28">
        <v>6.0</v>
      </c>
      <c r="N11" s="26" t="str">
        <f t="shared" si="1"/>
        <v>R</v>
      </c>
      <c r="O11" s="28">
        <v>19.0</v>
      </c>
      <c r="P11" s="26" t="str">
        <f t="shared" si="2"/>
        <v>S</v>
      </c>
      <c r="Q11" s="28">
        <v>18.0</v>
      </c>
      <c r="R11" s="26" t="str">
        <f t="shared" si="3"/>
        <v>R</v>
      </c>
      <c r="S11" s="28">
        <v>24.0</v>
      </c>
      <c r="T11" s="26" t="str">
        <f t="shared" si="4"/>
        <v>S</v>
      </c>
      <c r="U11" s="28">
        <v>16.0</v>
      </c>
      <c r="V11" s="26" t="str">
        <f t="shared" si="5"/>
        <v>R</v>
      </c>
      <c r="W11" s="28">
        <v>18.0</v>
      </c>
      <c r="X11" s="26" t="str">
        <f t="shared" si="6"/>
        <v>R</v>
      </c>
      <c r="Y11" s="28">
        <v>16.0</v>
      </c>
      <c r="Z11" s="26" t="str">
        <f t="shared" si="7"/>
        <v>R</v>
      </c>
      <c r="AA11" s="32" t="s">
        <v>299</v>
      </c>
      <c r="AB11" s="65">
        <v>6.0</v>
      </c>
      <c r="AC11" s="33" t="str">
        <f t="shared" si="8"/>
        <v>R</v>
      </c>
      <c r="AD11" s="65">
        <v>21.0</v>
      </c>
      <c r="AE11" s="33" t="str">
        <f t="shared" si="9"/>
        <v>S</v>
      </c>
      <c r="AF11" s="65">
        <v>6.0</v>
      </c>
      <c r="AG11" s="33" t="str">
        <f t="shared" si="10"/>
        <v>R</v>
      </c>
      <c r="AH11" s="65">
        <v>23.0</v>
      </c>
      <c r="AI11" s="33" t="str">
        <f t="shared" si="11"/>
        <v>S</v>
      </c>
      <c r="AJ11" s="65">
        <v>6.0</v>
      </c>
      <c r="AK11" s="33" t="str">
        <f t="shared" si="12"/>
        <v>R</v>
      </c>
      <c r="AL11" s="65" t="s">
        <v>299</v>
      </c>
      <c r="AM11" s="66">
        <v>11.0</v>
      </c>
      <c r="AN11" s="36" t="str">
        <f t="shared" si="13"/>
        <v>R</v>
      </c>
      <c r="AO11" s="66">
        <v>13.0</v>
      </c>
      <c r="AP11" s="36" t="str">
        <f t="shared" si="14"/>
        <v>R</v>
      </c>
      <c r="AQ11" s="66">
        <v>7.0</v>
      </c>
      <c r="AR11" s="36" t="str">
        <f t="shared" si="15"/>
        <v>R</v>
      </c>
      <c r="AS11" s="66" t="s">
        <v>299</v>
      </c>
      <c r="AT11" s="67">
        <v>6.0</v>
      </c>
      <c r="AU11" s="37" t="str">
        <f t="shared" si="16"/>
        <v>R</v>
      </c>
      <c r="AV11" s="65">
        <v>6.0</v>
      </c>
      <c r="AW11" s="33" t="str">
        <f t="shared" si="17"/>
        <v>R</v>
      </c>
      <c r="AX11" s="65">
        <v>6.0</v>
      </c>
      <c r="AY11" s="33" t="str">
        <f t="shared" si="18"/>
        <v>R</v>
      </c>
      <c r="AZ11" s="65" t="s">
        <v>299</v>
      </c>
      <c r="BA11" s="28">
        <v>22.0</v>
      </c>
      <c r="BB11" s="26" t="str">
        <f t="shared" si="19"/>
        <v>S</v>
      </c>
      <c r="BC11" s="67">
        <v>6.0</v>
      </c>
      <c r="BD11" s="37" t="str">
        <f t="shared" si="20"/>
        <v>R</v>
      </c>
      <c r="BE11" s="66">
        <v>18.0</v>
      </c>
      <c r="BF11" s="36" t="str">
        <f t="shared" si="21"/>
        <v>R</v>
      </c>
      <c r="BG11" s="39" t="s">
        <v>357</v>
      </c>
      <c r="BH11" s="39" t="s">
        <v>357</v>
      </c>
      <c r="BI11" s="66">
        <v>16.0</v>
      </c>
      <c r="BJ11" s="36" t="str">
        <f t="shared" si="22"/>
        <v>R</v>
      </c>
      <c r="BK11" s="68">
        <v>17.0</v>
      </c>
      <c r="BL11" s="41" t="str">
        <f t="shared" si="23"/>
        <v>S</v>
      </c>
      <c r="BM11" s="41"/>
    </row>
    <row r="12">
      <c r="A12" s="18" t="s">
        <v>906</v>
      </c>
      <c r="B12" s="19">
        <v>173.0</v>
      </c>
      <c r="C12" s="18" t="s">
        <v>1093</v>
      </c>
      <c r="D12" s="69" t="s">
        <v>571</v>
      </c>
      <c r="E12" s="18" t="s">
        <v>572</v>
      </c>
      <c r="F12" s="18" t="s">
        <v>192</v>
      </c>
      <c r="G12" s="63" t="s">
        <v>1094</v>
      </c>
      <c r="H12" s="42" t="s">
        <v>479</v>
      </c>
      <c r="I12" s="75" t="s">
        <v>37</v>
      </c>
      <c r="J12" s="71" t="s">
        <v>205</v>
      </c>
      <c r="K12" s="71" t="s">
        <v>205</v>
      </c>
      <c r="L12" s="70" t="s">
        <v>208</v>
      </c>
      <c r="M12" s="28">
        <v>6.0</v>
      </c>
      <c r="N12" s="26" t="str">
        <f t="shared" si="1"/>
        <v>R</v>
      </c>
      <c r="O12" s="28">
        <v>6.0</v>
      </c>
      <c r="P12" s="26" t="str">
        <f t="shared" si="2"/>
        <v>R</v>
      </c>
      <c r="Q12" s="28">
        <v>6.0</v>
      </c>
      <c r="R12" s="26" t="str">
        <f t="shared" si="3"/>
        <v>R</v>
      </c>
      <c r="S12" s="28">
        <v>22.0</v>
      </c>
      <c r="T12" s="26" t="str">
        <f t="shared" si="4"/>
        <v>I</v>
      </c>
      <c r="U12" s="28">
        <v>12.0</v>
      </c>
      <c r="V12" s="26" t="str">
        <f t="shared" si="5"/>
        <v>R</v>
      </c>
      <c r="W12" s="28">
        <v>11.0</v>
      </c>
      <c r="X12" s="26" t="str">
        <f t="shared" si="6"/>
        <v>R</v>
      </c>
      <c r="Y12" s="28">
        <v>14.0</v>
      </c>
      <c r="Z12" s="26" t="str">
        <f t="shared" si="7"/>
        <v>R</v>
      </c>
      <c r="AA12" s="32" t="s">
        <v>299</v>
      </c>
      <c r="AB12" s="65">
        <v>6.0</v>
      </c>
      <c r="AC12" s="33" t="str">
        <f t="shared" si="8"/>
        <v>R</v>
      </c>
      <c r="AD12" s="65">
        <v>18.0</v>
      </c>
      <c r="AE12" s="33" t="str">
        <f t="shared" si="9"/>
        <v>S</v>
      </c>
      <c r="AF12" s="65">
        <v>6.0</v>
      </c>
      <c r="AG12" s="33" t="str">
        <f t="shared" si="10"/>
        <v>R</v>
      </c>
      <c r="AH12" s="65">
        <v>18.0</v>
      </c>
      <c r="AI12" s="33" t="str">
        <f t="shared" si="11"/>
        <v>S</v>
      </c>
      <c r="AJ12" s="65">
        <v>6.0</v>
      </c>
      <c r="AK12" s="33" t="str">
        <f t="shared" si="12"/>
        <v>R</v>
      </c>
      <c r="AL12" s="65" t="s">
        <v>299</v>
      </c>
      <c r="AM12" s="66">
        <v>23.0</v>
      </c>
      <c r="AN12" s="36" t="str">
        <f t="shared" si="13"/>
        <v>I</v>
      </c>
      <c r="AO12" s="66">
        <v>23.0</v>
      </c>
      <c r="AP12" s="36" t="str">
        <f t="shared" si="14"/>
        <v>S</v>
      </c>
      <c r="AQ12" s="66">
        <v>23.0</v>
      </c>
      <c r="AR12" s="36" t="str">
        <f t="shared" si="15"/>
        <v>S</v>
      </c>
      <c r="AS12" s="66" t="s">
        <v>299</v>
      </c>
      <c r="AT12" s="67">
        <v>6.0</v>
      </c>
      <c r="AU12" s="37" t="str">
        <f t="shared" si="16"/>
        <v>R</v>
      </c>
      <c r="AV12" s="65">
        <v>18.0</v>
      </c>
      <c r="AW12" s="33" t="str">
        <f t="shared" si="17"/>
        <v>S</v>
      </c>
      <c r="AX12" s="65">
        <v>13.0</v>
      </c>
      <c r="AY12" s="33" t="str">
        <f t="shared" si="18"/>
        <v>R</v>
      </c>
      <c r="AZ12" s="65" t="s">
        <v>299</v>
      </c>
      <c r="BA12" s="28">
        <v>20.0</v>
      </c>
      <c r="BB12" s="26" t="str">
        <f t="shared" si="19"/>
        <v>S</v>
      </c>
      <c r="BC12" s="67">
        <v>6.0</v>
      </c>
      <c r="BD12" s="37" t="str">
        <f t="shared" si="20"/>
        <v>R</v>
      </c>
      <c r="BE12" s="66">
        <v>16.0</v>
      </c>
      <c r="BF12" s="36" t="str">
        <f t="shared" si="21"/>
        <v>R</v>
      </c>
      <c r="BG12" s="39" t="s">
        <v>357</v>
      </c>
      <c r="BH12" s="39" t="s">
        <v>357</v>
      </c>
      <c r="BI12" s="66">
        <v>15.0</v>
      </c>
      <c r="BJ12" s="36" t="str">
        <f t="shared" si="22"/>
        <v>R</v>
      </c>
      <c r="BK12" s="68">
        <v>16.0</v>
      </c>
      <c r="BL12" s="41" t="str">
        <f t="shared" si="23"/>
        <v>R</v>
      </c>
      <c r="BM12" s="41"/>
    </row>
    <row r="13">
      <c r="A13" s="18" t="s">
        <v>906</v>
      </c>
      <c r="B13" s="19">
        <v>174.0</v>
      </c>
      <c r="C13" s="18" t="s">
        <v>1099</v>
      </c>
      <c r="D13" s="69" t="s">
        <v>1009</v>
      </c>
      <c r="E13" s="18" t="s">
        <v>103</v>
      </c>
      <c r="F13" s="18" t="s">
        <v>192</v>
      </c>
      <c r="G13" s="63" t="s">
        <v>1100</v>
      </c>
      <c r="H13" s="42" t="s">
        <v>479</v>
      </c>
      <c r="I13" s="75" t="s">
        <v>41</v>
      </c>
      <c r="J13" s="70" t="s">
        <v>205</v>
      </c>
      <c r="K13" s="71" t="s">
        <v>208</v>
      </c>
      <c r="L13" s="71" t="s">
        <v>205</v>
      </c>
      <c r="M13" s="28">
        <v>6.0</v>
      </c>
      <c r="N13" s="26" t="str">
        <f t="shared" si="1"/>
        <v>R</v>
      </c>
      <c r="O13" s="28">
        <v>19.0</v>
      </c>
      <c r="P13" s="26" t="str">
        <f t="shared" si="2"/>
        <v>S</v>
      </c>
      <c r="Q13" s="28">
        <v>6.0</v>
      </c>
      <c r="R13" s="26" t="str">
        <f t="shared" si="3"/>
        <v>R</v>
      </c>
      <c r="S13" s="28">
        <v>25.0</v>
      </c>
      <c r="T13" s="26" t="str">
        <f t="shared" si="4"/>
        <v>S</v>
      </c>
      <c r="U13" s="28">
        <v>12.0</v>
      </c>
      <c r="V13" s="26" t="str">
        <f t="shared" si="5"/>
        <v>R</v>
      </c>
      <c r="W13" s="28">
        <v>6.0</v>
      </c>
      <c r="X13" s="26" t="str">
        <f t="shared" si="6"/>
        <v>R</v>
      </c>
      <c r="Y13" s="28">
        <v>17.0</v>
      </c>
      <c r="Z13" s="26" t="str">
        <f t="shared" si="7"/>
        <v>I</v>
      </c>
      <c r="AA13" s="32" t="s">
        <v>299</v>
      </c>
      <c r="AB13" s="65">
        <v>6.0</v>
      </c>
      <c r="AC13" s="33" t="str">
        <f t="shared" si="8"/>
        <v>R</v>
      </c>
      <c r="AD13" s="65">
        <v>12.0</v>
      </c>
      <c r="AE13" s="33" t="str">
        <f t="shared" si="9"/>
        <v>R</v>
      </c>
      <c r="AF13" s="65">
        <v>6.0</v>
      </c>
      <c r="AG13" s="33" t="str">
        <f t="shared" si="10"/>
        <v>R</v>
      </c>
      <c r="AH13" s="65">
        <v>21.0</v>
      </c>
      <c r="AI13" s="33" t="str">
        <f t="shared" si="11"/>
        <v>S</v>
      </c>
      <c r="AJ13" s="65">
        <v>6.0</v>
      </c>
      <c r="AK13" s="33" t="str">
        <f t="shared" si="12"/>
        <v>R</v>
      </c>
      <c r="AL13" s="65" t="s">
        <v>299</v>
      </c>
      <c r="AM13" s="66">
        <v>13.0</v>
      </c>
      <c r="AN13" s="36" t="str">
        <f t="shared" si="13"/>
        <v>R</v>
      </c>
      <c r="AO13" s="66">
        <v>11.0</v>
      </c>
      <c r="AP13" s="36" t="str">
        <f t="shared" si="14"/>
        <v>R</v>
      </c>
      <c r="AQ13" s="66">
        <v>8.0</v>
      </c>
      <c r="AR13" s="36" t="str">
        <f t="shared" si="15"/>
        <v>R</v>
      </c>
      <c r="AS13" s="66" t="s">
        <v>299</v>
      </c>
      <c r="AT13" s="67">
        <v>6.0</v>
      </c>
      <c r="AU13" s="37" t="str">
        <f t="shared" si="16"/>
        <v>R</v>
      </c>
      <c r="AV13" s="65">
        <v>15.0</v>
      </c>
      <c r="AW13" s="33" t="str">
        <f t="shared" si="17"/>
        <v>R</v>
      </c>
      <c r="AX13" s="65">
        <v>6.0</v>
      </c>
      <c r="AY13" s="33" t="str">
        <f t="shared" si="18"/>
        <v>R</v>
      </c>
      <c r="AZ13" s="65" t="s">
        <v>299</v>
      </c>
      <c r="BA13" s="28">
        <v>8.0</v>
      </c>
      <c r="BB13" s="26" t="str">
        <f t="shared" si="19"/>
        <v>R</v>
      </c>
      <c r="BC13" s="67">
        <v>6.0</v>
      </c>
      <c r="BD13" s="37" t="str">
        <f t="shared" si="20"/>
        <v>R</v>
      </c>
      <c r="BE13" s="66">
        <v>6.0</v>
      </c>
      <c r="BF13" s="36" t="str">
        <f t="shared" si="21"/>
        <v>R</v>
      </c>
      <c r="BG13" s="39" t="s">
        <v>357</v>
      </c>
      <c r="BH13" s="39" t="s">
        <v>357</v>
      </c>
      <c r="BI13" s="66">
        <v>8.0</v>
      </c>
      <c r="BJ13" s="36" t="str">
        <f t="shared" si="22"/>
        <v>R</v>
      </c>
      <c r="BK13" s="68">
        <v>6.0</v>
      </c>
      <c r="BL13" s="41" t="str">
        <f t="shared" si="23"/>
        <v>R</v>
      </c>
      <c r="BM13" s="41"/>
    </row>
    <row r="14">
      <c r="A14" s="18" t="s">
        <v>926</v>
      </c>
      <c r="B14" s="19">
        <v>181.0</v>
      </c>
      <c r="C14" s="18" t="s">
        <v>1105</v>
      </c>
      <c r="D14" s="69" t="s">
        <v>190</v>
      </c>
      <c r="E14" s="18" t="s">
        <v>190</v>
      </c>
      <c r="F14" s="18" t="s">
        <v>192</v>
      </c>
      <c r="G14" s="63" t="s">
        <v>1106</v>
      </c>
      <c r="H14" s="22" t="s">
        <v>198</v>
      </c>
      <c r="I14" s="75" t="s">
        <v>481</v>
      </c>
      <c r="J14" s="70" t="s">
        <v>205</v>
      </c>
      <c r="K14" s="70" t="s">
        <v>208</v>
      </c>
      <c r="L14" s="70" t="s">
        <v>208</v>
      </c>
      <c r="M14" s="28">
        <v>6.0</v>
      </c>
      <c r="N14" s="26" t="str">
        <f t="shared" si="1"/>
        <v>R</v>
      </c>
      <c r="O14" s="28">
        <v>20.0</v>
      </c>
      <c r="P14" s="26" t="str">
        <f t="shared" si="2"/>
        <v>S</v>
      </c>
      <c r="Q14" s="28">
        <v>6.0</v>
      </c>
      <c r="R14" s="26" t="str">
        <f t="shared" si="3"/>
        <v>R</v>
      </c>
      <c r="S14" s="28">
        <v>20.0</v>
      </c>
      <c r="T14" s="26" t="str">
        <f t="shared" si="4"/>
        <v>I</v>
      </c>
      <c r="U14" s="28">
        <v>6.0</v>
      </c>
      <c r="V14" s="26" t="str">
        <f t="shared" si="5"/>
        <v>R</v>
      </c>
      <c r="W14" s="28">
        <v>18.0</v>
      </c>
      <c r="X14" s="26" t="str">
        <f t="shared" si="6"/>
        <v>R</v>
      </c>
      <c r="Y14" s="28">
        <v>15.0</v>
      </c>
      <c r="Z14" s="26" t="str">
        <f t="shared" si="7"/>
        <v>R</v>
      </c>
      <c r="AA14" s="32" t="s">
        <v>299</v>
      </c>
      <c r="AB14" s="65">
        <v>6.0</v>
      </c>
      <c r="AC14" s="33" t="str">
        <f t="shared" si="8"/>
        <v>R</v>
      </c>
      <c r="AD14" s="65">
        <v>15.0</v>
      </c>
      <c r="AE14" s="33" t="str">
        <f t="shared" si="9"/>
        <v>R</v>
      </c>
      <c r="AF14" s="65">
        <v>17.0</v>
      </c>
      <c r="AG14" s="33" t="str">
        <f t="shared" si="10"/>
        <v>R</v>
      </c>
      <c r="AH14" s="65">
        <v>14.0</v>
      </c>
      <c r="AI14" s="33" t="str">
        <f t="shared" si="11"/>
        <v>S</v>
      </c>
      <c r="AJ14" s="65">
        <v>14.0</v>
      </c>
      <c r="AK14" s="33" t="str">
        <f t="shared" si="12"/>
        <v>R</v>
      </c>
      <c r="AL14" s="65" t="s">
        <v>299</v>
      </c>
      <c r="AM14" s="66">
        <v>18.0</v>
      </c>
      <c r="AN14" s="36" t="str">
        <f t="shared" si="13"/>
        <v>R</v>
      </c>
      <c r="AO14" s="66">
        <v>18.0</v>
      </c>
      <c r="AP14" s="36" t="str">
        <f t="shared" si="14"/>
        <v>R</v>
      </c>
      <c r="AQ14" s="66">
        <v>15.0</v>
      </c>
      <c r="AR14" s="36" t="str">
        <f t="shared" si="15"/>
        <v>S</v>
      </c>
      <c r="AS14" s="66" t="s">
        <v>299</v>
      </c>
      <c r="AT14" s="67">
        <v>16.0</v>
      </c>
      <c r="AU14" s="37" t="str">
        <f t="shared" si="16"/>
        <v>S</v>
      </c>
      <c r="AV14" s="65">
        <v>16.0</v>
      </c>
      <c r="AW14" s="33" t="str">
        <f t="shared" si="17"/>
        <v>R</v>
      </c>
      <c r="AX14" s="65">
        <v>15.0</v>
      </c>
      <c r="AY14" s="33" t="str">
        <f t="shared" si="18"/>
        <v>R</v>
      </c>
      <c r="AZ14" s="65" t="s">
        <v>299</v>
      </c>
      <c r="BA14" s="28">
        <v>17.0</v>
      </c>
      <c r="BB14" s="26" t="str">
        <f t="shared" si="19"/>
        <v>R</v>
      </c>
      <c r="BC14" s="67">
        <v>16.0</v>
      </c>
      <c r="BD14" s="37" t="str">
        <f t="shared" si="20"/>
        <v>R</v>
      </c>
      <c r="BE14" s="66">
        <v>26.0</v>
      </c>
      <c r="BF14" s="36" t="str">
        <f t="shared" si="21"/>
        <v>S</v>
      </c>
      <c r="BG14" s="39" t="s">
        <v>357</v>
      </c>
      <c r="BH14" s="39" t="s">
        <v>357</v>
      </c>
      <c r="BI14" s="66">
        <v>22.0</v>
      </c>
      <c r="BJ14" s="36" t="str">
        <f t="shared" si="22"/>
        <v>S</v>
      </c>
      <c r="BK14" s="68">
        <v>16.0</v>
      </c>
      <c r="BL14" s="41" t="str">
        <f t="shared" si="23"/>
        <v>R</v>
      </c>
      <c r="BM14" s="41"/>
    </row>
    <row r="15">
      <c r="A15" s="18" t="s">
        <v>926</v>
      </c>
      <c r="B15" s="19">
        <v>182.0</v>
      </c>
      <c r="C15" s="18" t="s">
        <v>1109</v>
      </c>
      <c r="D15" s="69" t="s">
        <v>190</v>
      </c>
      <c r="E15" s="18" t="s">
        <v>190</v>
      </c>
      <c r="F15" s="18" t="s">
        <v>192</v>
      </c>
      <c r="G15" s="63" t="s">
        <v>1110</v>
      </c>
      <c r="H15" s="22" t="s">
        <v>198</v>
      </c>
      <c r="I15" s="75" t="s">
        <v>481</v>
      </c>
      <c r="J15" s="70" t="s">
        <v>205</v>
      </c>
      <c r="K15" s="70" t="s">
        <v>208</v>
      </c>
      <c r="L15" s="70" t="s">
        <v>208</v>
      </c>
      <c r="M15" s="28">
        <v>6.0</v>
      </c>
      <c r="N15" s="26" t="str">
        <f t="shared" si="1"/>
        <v>R</v>
      </c>
      <c r="O15" s="28">
        <v>6.0</v>
      </c>
      <c r="P15" s="26" t="str">
        <f t="shared" si="2"/>
        <v>R</v>
      </c>
      <c r="Q15" s="28">
        <v>6.0</v>
      </c>
      <c r="R15" s="26" t="str">
        <f t="shared" si="3"/>
        <v>R</v>
      </c>
      <c r="S15" s="28">
        <v>9.0</v>
      </c>
      <c r="T15" s="26" t="str">
        <f t="shared" si="4"/>
        <v>R</v>
      </c>
      <c r="U15" s="28">
        <v>6.0</v>
      </c>
      <c r="V15" s="26" t="str">
        <f t="shared" si="5"/>
        <v>R</v>
      </c>
      <c r="W15" s="28">
        <v>20.0</v>
      </c>
      <c r="X15" s="26" t="str">
        <f t="shared" si="6"/>
        <v>S</v>
      </c>
      <c r="Y15" s="28">
        <v>17.0</v>
      </c>
      <c r="Z15" s="26" t="str">
        <f t="shared" si="7"/>
        <v>I</v>
      </c>
      <c r="AA15" s="32" t="s">
        <v>299</v>
      </c>
      <c r="AB15" s="65">
        <v>20.0</v>
      </c>
      <c r="AC15" s="33" t="str">
        <f t="shared" si="8"/>
        <v>S</v>
      </c>
      <c r="AD15" s="65">
        <v>6.0</v>
      </c>
      <c r="AE15" s="33" t="str">
        <f t="shared" si="9"/>
        <v>R</v>
      </c>
      <c r="AF15" s="65">
        <v>6.0</v>
      </c>
      <c r="AG15" s="33" t="str">
        <f t="shared" si="10"/>
        <v>R</v>
      </c>
      <c r="AH15" s="65">
        <v>15.0</v>
      </c>
      <c r="AI15" s="33" t="str">
        <f t="shared" si="11"/>
        <v>S</v>
      </c>
      <c r="AJ15" s="65">
        <v>14.0</v>
      </c>
      <c r="AK15" s="33" t="str">
        <f t="shared" si="12"/>
        <v>R</v>
      </c>
      <c r="AL15" s="65" t="s">
        <v>299</v>
      </c>
      <c r="AM15" s="66">
        <v>21.0</v>
      </c>
      <c r="AN15" s="36" t="str">
        <f t="shared" si="13"/>
        <v>R</v>
      </c>
      <c r="AO15" s="66">
        <v>20.0</v>
      </c>
      <c r="AP15" s="36" t="str">
        <f t="shared" si="14"/>
        <v>I</v>
      </c>
      <c r="AQ15" s="66">
        <v>11.0</v>
      </c>
      <c r="AR15" s="36" t="str">
        <f t="shared" si="15"/>
        <v>R</v>
      </c>
      <c r="AS15" s="66" t="s">
        <v>299</v>
      </c>
      <c r="AT15" s="67">
        <v>24.0</v>
      </c>
      <c r="AU15" s="37" t="str">
        <f t="shared" si="16"/>
        <v>S</v>
      </c>
      <c r="AV15" s="65">
        <v>20.0</v>
      </c>
      <c r="AW15" s="33" t="str">
        <f t="shared" si="17"/>
        <v>S</v>
      </c>
      <c r="AX15" s="65">
        <v>20.0</v>
      </c>
      <c r="AY15" s="33" t="str">
        <f t="shared" si="18"/>
        <v>S</v>
      </c>
      <c r="AZ15" s="33" t="s">
        <v>300</v>
      </c>
      <c r="BA15" s="28">
        <v>18.0</v>
      </c>
      <c r="BB15" s="26" t="str">
        <f t="shared" si="19"/>
        <v>R</v>
      </c>
      <c r="BC15" s="67">
        <v>16.0</v>
      </c>
      <c r="BD15" s="37" t="str">
        <f t="shared" si="20"/>
        <v>R</v>
      </c>
      <c r="BE15" s="66">
        <v>24.0</v>
      </c>
      <c r="BF15" s="36" t="str">
        <f t="shared" si="21"/>
        <v>S</v>
      </c>
      <c r="BG15" s="39" t="s">
        <v>357</v>
      </c>
      <c r="BH15" s="39" t="s">
        <v>357</v>
      </c>
      <c r="BI15" s="66">
        <v>18.0</v>
      </c>
      <c r="BJ15" s="36" t="str">
        <f t="shared" si="22"/>
        <v>R</v>
      </c>
      <c r="BK15" s="68">
        <v>20.0</v>
      </c>
      <c r="BL15" s="41" t="str">
        <f t="shared" si="23"/>
        <v>S</v>
      </c>
      <c r="BM15" s="41"/>
    </row>
    <row r="16">
      <c r="A16" s="18" t="s">
        <v>926</v>
      </c>
      <c r="B16" s="19">
        <v>183.0</v>
      </c>
      <c r="C16" s="18" t="s">
        <v>1115</v>
      </c>
      <c r="D16" s="69" t="s">
        <v>190</v>
      </c>
      <c r="E16" s="18" t="s">
        <v>190</v>
      </c>
      <c r="F16" s="18" t="s">
        <v>192</v>
      </c>
      <c r="G16" s="63" t="s">
        <v>1116</v>
      </c>
      <c r="H16" s="22" t="s">
        <v>198</v>
      </c>
      <c r="I16" s="75" t="s">
        <v>37</v>
      </c>
      <c r="J16" s="71" t="s">
        <v>205</v>
      </c>
      <c r="K16" s="71" t="s">
        <v>205</v>
      </c>
      <c r="L16" s="70" t="s">
        <v>208</v>
      </c>
      <c r="M16" s="28">
        <v>6.0</v>
      </c>
      <c r="N16" s="26" t="str">
        <f t="shared" si="1"/>
        <v>R</v>
      </c>
      <c r="O16" s="28">
        <v>18.0</v>
      </c>
      <c r="P16" s="26" t="str">
        <f t="shared" si="2"/>
        <v>R</v>
      </c>
      <c r="Q16" s="28">
        <v>6.0</v>
      </c>
      <c r="R16" s="26" t="str">
        <f t="shared" si="3"/>
        <v>R</v>
      </c>
      <c r="S16" s="28">
        <v>24.0</v>
      </c>
      <c r="T16" s="26" t="str">
        <f t="shared" si="4"/>
        <v>S</v>
      </c>
      <c r="U16" s="28">
        <v>6.0</v>
      </c>
      <c r="V16" s="26" t="str">
        <f t="shared" si="5"/>
        <v>R</v>
      </c>
      <c r="W16" s="28">
        <v>19.0</v>
      </c>
      <c r="X16" s="26" t="str">
        <f t="shared" si="6"/>
        <v>R</v>
      </c>
      <c r="Y16" s="28">
        <v>15.0</v>
      </c>
      <c r="Z16" s="26" t="str">
        <f t="shared" si="7"/>
        <v>R</v>
      </c>
      <c r="AA16" s="32" t="s">
        <v>299</v>
      </c>
      <c r="AB16" s="65">
        <v>6.0</v>
      </c>
      <c r="AC16" s="33" t="str">
        <f t="shared" si="8"/>
        <v>R</v>
      </c>
      <c r="AD16" s="65">
        <v>23.0</v>
      </c>
      <c r="AE16" s="33" t="str">
        <f t="shared" si="9"/>
        <v>S</v>
      </c>
      <c r="AF16" s="65">
        <v>16.0</v>
      </c>
      <c r="AG16" s="33" t="str">
        <f t="shared" si="10"/>
        <v>R</v>
      </c>
      <c r="AH16" s="65">
        <v>16.0</v>
      </c>
      <c r="AI16" s="33" t="str">
        <f t="shared" si="11"/>
        <v>S</v>
      </c>
      <c r="AJ16" s="65">
        <v>16.0</v>
      </c>
      <c r="AK16" s="33" t="str">
        <f t="shared" si="12"/>
        <v>R</v>
      </c>
      <c r="AL16" s="65" t="s">
        <v>299</v>
      </c>
      <c r="AM16" s="66">
        <v>24.0</v>
      </c>
      <c r="AN16" s="36" t="str">
        <f t="shared" si="13"/>
        <v>I</v>
      </c>
      <c r="AO16" s="66">
        <v>24.0</v>
      </c>
      <c r="AP16" s="36" t="str">
        <f t="shared" si="14"/>
        <v>S</v>
      </c>
      <c r="AQ16" s="66">
        <v>15.0</v>
      </c>
      <c r="AR16" s="36" t="str">
        <f t="shared" si="15"/>
        <v>S</v>
      </c>
      <c r="AS16" s="66" t="s">
        <v>299</v>
      </c>
      <c r="AT16" s="67">
        <v>21.0</v>
      </c>
      <c r="AU16" s="37" t="str">
        <f t="shared" si="16"/>
        <v>S</v>
      </c>
      <c r="AV16" s="65">
        <v>18.0</v>
      </c>
      <c r="AW16" s="33" t="str">
        <f t="shared" si="17"/>
        <v>S</v>
      </c>
      <c r="AX16" s="65">
        <v>16.0</v>
      </c>
      <c r="AY16" s="33" t="str">
        <f t="shared" si="18"/>
        <v>S</v>
      </c>
      <c r="AZ16" s="33" t="s">
        <v>300</v>
      </c>
      <c r="BA16" s="28">
        <v>11.0</v>
      </c>
      <c r="BB16" s="26" t="str">
        <f t="shared" si="19"/>
        <v>R</v>
      </c>
      <c r="BC16" s="67">
        <v>18.0</v>
      </c>
      <c r="BD16" s="37" t="str">
        <f t="shared" si="20"/>
        <v>R</v>
      </c>
      <c r="BE16" s="66">
        <v>22.0</v>
      </c>
      <c r="BF16" s="36" t="str">
        <f t="shared" si="21"/>
        <v>R</v>
      </c>
      <c r="BG16" s="39" t="s">
        <v>357</v>
      </c>
      <c r="BH16" s="39" t="s">
        <v>357</v>
      </c>
      <c r="BI16" s="66">
        <v>28.0</v>
      </c>
      <c r="BJ16" s="36" t="str">
        <f t="shared" si="22"/>
        <v>S</v>
      </c>
      <c r="BK16" s="68">
        <v>19.0</v>
      </c>
      <c r="BL16" s="41" t="str">
        <f t="shared" si="23"/>
        <v>S</v>
      </c>
      <c r="BM16" s="41"/>
    </row>
    <row r="17">
      <c r="A17" s="18" t="s">
        <v>926</v>
      </c>
      <c r="B17" s="19">
        <v>184.0</v>
      </c>
      <c r="C17" s="18" t="s">
        <v>1119</v>
      </c>
      <c r="D17" s="69" t="s">
        <v>571</v>
      </c>
      <c r="E17" s="18" t="s">
        <v>572</v>
      </c>
      <c r="F17" s="18" t="s">
        <v>192</v>
      </c>
      <c r="G17" s="63" t="s">
        <v>1120</v>
      </c>
      <c r="H17" s="22" t="s">
        <v>198</v>
      </c>
      <c r="I17" s="75" t="s">
        <v>816</v>
      </c>
      <c r="J17" s="71" t="s">
        <v>205</v>
      </c>
      <c r="K17" s="71" t="s">
        <v>205</v>
      </c>
      <c r="L17" s="71" t="s">
        <v>205</v>
      </c>
      <c r="M17" s="28">
        <v>6.0</v>
      </c>
      <c r="N17" s="26" t="str">
        <f t="shared" si="1"/>
        <v>R</v>
      </c>
      <c r="O17" s="28">
        <v>16.0</v>
      </c>
      <c r="P17" s="26" t="str">
        <f t="shared" si="2"/>
        <v>R</v>
      </c>
      <c r="Q17" s="28">
        <v>9.0</v>
      </c>
      <c r="R17" s="26" t="str">
        <f t="shared" si="3"/>
        <v>R</v>
      </c>
      <c r="S17" s="28">
        <v>19.0</v>
      </c>
      <c r="T17" s="26" t="str">
        <f t="shared" si="4"/>
        <v>R</v>
      </c>
      <c r="U17" s="28">
        <v>19.0</v>
      </c>
      <c r="V17" s="26" t="str">
        <f t="shared" si="5"/>
        <v>R</v>
      </c>
      <c r="W17" s="28">
        <v>6.0</v>
      </c>
      <c r="X17" s="26" t="str">
        <f t="shared" si="6"/>
        <v>R</v>
      </c>
      <c r="Y17" s="28">
        <v>6.0</v>
      </c>
      <c r="Z17" s="26" t="str">
        <f t="shared" si="7"/>
        <v>R</v>
      </c>
      <c r="AA17" s="32" t="s">
        <v>299</v>
      </c>
      <c r="AB17" s="65">
        <v>6.0</v>
      </c>
      <c r="AC17" s="33" t="str">
        <f t="shared" si="8"/>
        <v>R</v>
      </c>
      <c r="AD17" s="65">
        <v>20.0</v>
      </c>
      <c r="AE17" s="33" t="str">
        <f t="shared" si="9"/>
        <v>S</v>
      </c>
      <c r="AF17" s="65">
        <v>9.0</v>
      </c>
      <c r="AG17" s="33" t="str">
        <f t="shared" si="10"/>
        <v>R</v>
      </c>
      <c r="AH17" s="65">
        <v>21.0</v>
      </c>
      <c r="AI17" s="33" t="str">
        <f t="shared" si="11"/>
        <v>S</v>
      </c>
      <c r="AJ17" s="65">
        <v>16.0</v>
      </c>
      <c r="AK17" s="33" t="str">
        <f t="shared" si="12"/>
        <v>R</v>
      </c>
      <c r="AL17" s="65" t="s">
        <v>299</v>
      </c>
      <c r="AM17" s="66">
        <v>6.0</v>
      </c>
      <c r="AN17" s="36" t="str">
        <f t="shared" si="13"/>
        <v>R</v>
      </c>
      <c r="AO17" s="66">
        <v>6.0</v>
      </c>
      <c r="AP17" s="36" t="str">
        <f t="shared" si="14"/>
        <v>R</v>
      </c>
      <c r="AQ17" s="66">
        <v>6.0</v>
      </c>
      <c r="AR17" s="36" t="str">
        <f t="shared" si="15"/>
        <v>R</v>
      </c>
      <c r="AS17" s="66" t="s">
        <v>299</v>
      </c>
      <c r="AT17" s="67">
        <v>6.0</v>
      </c>
      <c r="AU17" s="37" t="str">
        <f t="shared" si="16"/>
        <v>R</v>
      </c>
      <c r="AV17" s="65">
        <v>16.0</v>
      </c>
      <c r="AW17" s="33" t="str">
        <f t="shared" si="17"/>
        <v>R</v>
      </c>
      <c r="AX17" s="65">
        <v>16.0</v>
      </c>
      <c r="AY17" s="33" t="str">
        <f t="shared" si="18"/>
        <v>S</v>
      </c>
      <c r="AZ17" s="65" t="s">
        <v>299</v>
      </c>
      <c r="BA17" s="28">
        <v>6.0</v>
      </c>
      <c r="BB17" s="26" t="str">
        <f t="shared" si="19"/>
        <v>R</v>
      </c>
      <c r="BC17" s="67">
        <v>16.0</v>
      </c>
      <c r="BD17" s="37" t="str">
        <f t="shared" si="20"/>
        <v>R</v>
      </c>
      <c r="BE17" s="66">
        <v>23.0</v>
      </c>
      <c r="BF17" s="36" t="str">
        <f t="shared" si="21"/>
        <v>S</v>
      </c>
      <c r="BG17" s="39" t="s">
        <v>357</v>
      </c>
      <c r="BH17" s="39" t="s">
        <v>357</v>
      </c>
      <c r="BI17" s="66">
        <v>28.0</v>
      </c>
      <c r="BJ17" s="36" t="str">
        <f t="shared" si="22"/>
        <v>S</v>
      </c>
      <c r="BK17" s="68">
        <v>14.0</v>
      </c>
      <c r="BL17" s="41" t="str">
        <f t="shared" si="23"/>
        <v>R</v>
      </c>
      <c r="BM17" s="41"/>
    </row>
    <row r="18">
      <c r="A18" s="18" t="s">
        <v>926</v>
      </c>
      <c r="B18" s="19">
        <v>185.0</v>
      </c>
      <c r="C18" s="18" t="s">
        <v>1127</v>
      </c>
      <c r="D18" s="69" t="s">
        <v>1009</v>
      </c>
      <c r="E18" s="18" t="s">
        <v>103</v>
      </c>
      <c r="F18" s="18" t="s">
        <v>192</v>
      </c>
      <c r="G18" s="63" t="s">
        <v>1128</v>
      </c>
      <c r="H18" s="22" t="s">
        <v>198</v>
      </c>
      <c r="I18" s="75" t="s">
        <v>37</v>
      </c>
      <c r="J18" s="71" t="s">
        <v>205</v>
      </c>
      <c r="K18" s="71" t="s">
        <v>205</v>
      </c>
      <c r="L18" s="70" t="s">
        <v>208</v>
      </c>
      <c r="M18" s="28">
        <v>6.0</v>
      </c>
      <c r="N18" s="26" t="str">
        <f t="shared" si="1"/>
        <v>R</v>
      </c>
      <c r="O18" s="28">
        <v>13.0</v>
      </c>
      <c r="P18" s="26" t="str">
        <f t="shared" si="2"/>
        <v>R</v>
      </c>
      <c r="Q18" s="28">
        <v>6.0</v>
      </c>
      <c r="R18" s="26" t="str">
        <f t="shared" si="3"/>
        <v>R</v>
      </c>
      <c r="S18" s="28">
        <v>23.0</v>
      </c>
      <c r="T18" s="26" t="str">
        <f t="shared" si="4"/>
        <v>S</v>
      </c>
      <c r="U18" s="28">
        <v>14.0</v>
      </c>
      <c r="V18" s="26" t="str">
        <f t="shared" si="5"/>
        <v>R</v>
      </c>
      <c r="W18" s="28">
        <v>17.0</v>
      </c>
      <c r="X18" s="26" t="str">
        <f t="shared" si="6"/>
        <v>R</v>
      </c>
      <c r="Y18" s="28">
        <v>14.0</v>
      </c>
      <c r="Z18" s="26" t="str">
        <f t="shared" si="7"/>
        <v>R</v>
      </c>
      <c r="AA18" s="32" t="s">
        <v>299</v>
      </c>
      <c r="AB18" s="65">
        <v>6.0</v>
      </c>
      <c r="AC18" s="33" t="str">
        <f t="shared" si="8"/>
        <v>R</v>
      </c>
      <c r="AD18" s="65">
        <v>25.0</v>
      </c>
      <c r="AE18" s="33" t="str">
        <f t="shared" si="9"/>
        <v>S</v>
      </c>
      <c r="AF18" s="65">
        <v>6.0</v>
      </c>
      <c r="AG18" s="33" t="str">
        <f t="shared" si="10"/>
        <v>R</v>
      </c>
      <c r="AH18" s="65">
        <v>15.0</v>
      </c>
      <c r="AI18" s="33" t="str">
        <f t="shared" si="11"/>
        <v>S</v>
      </c>
      <c r="AJ18" s="65">
        <v>6.0</v>
      </c>
      <c r="AK18" s="33" t="str">
        <f t="shared" si="12"/>
        <v>R</v>
      </c>
      <c r="AL18" s="65" t="s">
        <v>299</v>
      </c>
      <c r="AM18" s="66">
        <v>22.0</v>
      </c>
      <c r="AN18" s="36" t="str">
        <f t="shared" si="13"/>
        <v>I</v>
      </c>
      <c r="AO18" s="66">
        <v>21.0</v>
      </c>
      <c r="AP18" s="36" t="str">
        <f t="shared" si="14"/>
        <v>I</v>
      </c>
      <c r="AQ18" s="66">
        <v>19.0</v>
      </c>
      <c r="AR18" s="36" t="str">
        <f t="shared" si="15"/>
        <v>S</v>
      </c>
      <c r="AS18" s="66" t="s">
        <v>299</v>
      </c>
      <c r="AT18" s="67">
        <v>28.0</v>
      </c>
      <c r="AU18" s="37" t="str">
        <f t="shared" si="16"/>
        <v>S</v>
      </c>
      <c r="AV18" s="65">
        <v>14.0</v>
      </c>
      <c r="AW18" s="33" t="str">
        <f t="shared" si="17"/>
        <v>R</v>
      </c>
      <c r="AX18" s="65">
        <v>14.0</v>
      </c>
      <c r="AY18" s="33" t="str">
        <f t="shared" si="18"/>
        <v>R</v>
      </c>
      <c r="AZ18" s="65" t="s">
        <v>299</v>
      </c>
      <c r="BA18" s="28">
        <v>6.0</v>
      </c>
      <c r="BB18" s="26" t="str">
        <f t="shared" si="19"/>
        <v>R</v>
      </c>
      <c r="BC18" s="67">
        <v>13.0</v>
      </c>
      <c r="BD18" s="37" t="str">
        <f t="shared" si="20"/>
        <v>R</v>
      </c>
      <c r="BE18" s="66">
        <v>25.0</v>
      </c>
      <c r="BF18" s="36" t="str">
        <f t="shared" si="21"/>
        <v>S</v>
      </c>
      <c r="BG18" s="39" t="s">
        <v>357</v>
      </c>
      <c r="BH18" s="39" t="s">
        <v>357</v>
      </c>
      <c r="BI18" s="66">
        <v>28.0</v>
      </c>
      <c r="BJ18" s="36" t="str">
        <f t="shared" si="22"/>
        <v>S</v>
      </c>
      <c r="BK18" s="68">
        <v>12.0</v>
      </c>
      <c r="BL18" s="41" t="str">
        <f t="shared" si="23"/>
        <v>R</v>
      </c>
      <c r="BM18" s="41"/>
    </row>
    <row r="19">
      <c r="A19" s="18" t="s">
        <v>926</v>
      </c>
      <c r="B19" s="19">
        <v>186.0</v>
      </c>
      <c r="C19" s="18" t="s">
        <v>1133</v>
      </c>
      <c r="D19" s="69" t="s">
        <v>1009</v>
      </c>
      <c r="E19" s="18" t="s">
        <v>103</v>
      </c>
      <c r="F19" s="18" t="s">
        <v>192</v>
      </c>
      <c r="G19" s="63" t="s">
        <v>1134</v>
      </c>
      <c r="H19" s="42" t="s">
        <v>479</v>
      </c>
      <c r="I19" s="75" t="s">
        <v>41</v>
      </c>
      <c r="J19" s="70" t="s">
        <v>205</v>
      </c>
      <c r="K19" s="71" t="s">
        <v>208</v>
      </c>
      <c r="L19" s="71" t="s">
        <v>205</v>
      </c>
      <c r="M19" s="28">
        <v>6.0</v>
      </c>
      <c r="N19" s="26" t="str">
        <f t="shared" si="1"/>
        <v>R</v>
      </c>
      <c r="O19" s="28">
        <v>16.0</v>
      </c>
      <c r="P19" s="26" t="str">
        <f t="shared" si="2"/>
        <v>R</v>
      </c>
      <c r="Q19" s="28">
        <v>6.0</v>
      </c>
      <c r="R19" s="26" t="str">
        <f t="shared" si="3"/>
        <v>R</v>
      </c>
      <c r="S19" s="28">
        <v>20.0</v>
      </c>
      <c r="T19" s="26" t="str">
        <f t="shared" si="4"/>
        <v>I</v>
      </c>
      <c r="U19" s="28">
        <v>16.0</v>
      </c>
      <c r="V19" s="26" t="str">
        <f t="shared" si="5"/>
        <v>R</v>
      </c>
      <c r="W19" s="28">
        <v>20.0</v>
      </c>
      <c r="X19" s="26" t="str">
        <f t="shared" si="6"/>
        <v>S</v>
      </c>
      <c r="Y19" s="28">
        <v>11.0</v>
      </c>
      <c r="Z19" s="26" t="str">
        <f t="shared" si="7"/>
        <v>R</v>
      </c>
      <c r="AA19" s="32" t="s">
        <v>299</v>
      </c>
      <c r="AB19" s="65">
        <v>23.0</v>
      </c>
      <c r="AC19" s="33" t="str">
        <f t="shared" si="8"/>
        <v>S</v>
      </c>
      <c r="AD19" s="65">
        <v>20.0</v>
      </c>
      <c r="AE19" s="33" t="str">
        <f t="shared" si="9"/>
        <v>S</v>
      </c>
      <c r="AF19" s="65">
        <v>21.0</v>
      </c>
      <c r="AG19" s="33" t="str">
        <f t="shared" si="10"/>
        <v>I</v>
      </c>
      <c r="AH19" s="65">
        <v>24.0</v>
      </c>
      <c r="AI19" s="33" t="str">
        <f t="shared" si="11"/>
        <v>S</v>
      </c>
      <c r="AJ19" s="65">
        <v>17.0</v>
      </c>
      <c r="AK19" s="33" t="str">
        <f t="shared" si="12"/>
        <v>R</v>
      </c>
      <c r="AL19" s="65" t="s">
        <v>299</v>
      </c>
      <c r="AM19" s="66">
        <v>16.0</v>
      </c>
      <c r="AN19" s="36" t="str">
        <f t="shared" si="13"/>
        <v>R</v>
      </c>
      <c r="AO19" s="66">
        <v>15.0</v>
      </c>
      <c r="AP19" s="36" t="str">
        <f t="shared" si="14"/>
        <v>R</v>
      </c>
      <c r="AQ19" s="66">
        <v>13.0</v>
      </c>
      <c r="AR19" s="36" t="str">
        <f t="shared" si="15"/>
        <v>R</v>
      </c>
      <c r="AS19" s="66" t="s">
        <v>299</v>
      </c>
      <c r="AT19" s="67">
        <v>6.0</v>
      </c>
      <c r="AU19" s="37" t="str">
        <f t="shared" si="16"/>
        <v>R</v>
      </c>
      <c r="AV19" s="65">
        <v>15.0</v>
      </c>
      <c r="AW19" s="33" t="str">
        <f t="shared" si="17"/>
        <v>R</v>
      </c>
      <c r="AX19" s="65">
        <v>18.0</v>
      </c>
      <c r="AY19" s="33" t="str">
        <f t="shared" si="18"/>
        <v>S</v>
      </c>
      <c r="AZ19" s="65" t="s">
        <v>299</v>
      </c>
      <c r="BA19" s="28">
        <v>14.0</v>
      </c>
      <c r="BB19" s="26" t="str">
        <f t="shared" si="19"/>
        <v>R</v>
      </c>
      <c r="BC19" s="67">
        <v>20.0</v>
      </c>
      <c r="BD19" s="37" t="str">
        <f t="shared" si="20"/>
        <v>R</v>
      </c>
      <c r="BE19" s="66">
        <v>15.0</v>
      </c>
      <c r="BF19" s="36" t="str">
        <f t="shared" si="21"/>
        <v>R</v>
      </c>
      <c r="BG19" s="39" t="s">
        <v>357</v>
      </c>
      <c r="BH19" s="39" t="s">
        <v>357</v>
      </c>
      <c r="BI19" s="66">
        <v>20.0</v>
      </c>
      <c r="BJ19" s="36" t="str">
        <f t="shared" si="22"/>
        <v>I</v>
      </c>
      <c r="BK19" s="68">
        <v>12.0</v>
      </c>
      <c r="BL19" s="41" t="str">
        <f t="shared" si="23"/>
        <v>R</v>
      </c>
      <c r="BM19" s="41"/>
    </row>
    <row r="20">
      <c r="A20" s="18" t="s">
        <v>926</v>
      </c>
      <c r="B20" s="19">
        <v>187.0</v>
      </c>
      <c r="C20" s="18" t="s">
        <v>1136</v>
      </c>
      <c r="D20" s="69" t="s">
        <v>956</v>
      </c>
      <c r="E20" s="18" t="s">
        <v>103</v>
      </c>
      <c r="F20" s="18" t="s">
        <v>192</v>
      </c>
      <c r="G20" s="63" t="s">
        <v>1137</v>
      </c>
      <c r="H20" s="42" t="s">
        <v>479</v>
      </c>
      <c r="I20" s="75" t="s">
        <v>816</v>
      </c>
      <c r="J20" s="71" t="s">
        <v>205</v>
      </c>
      <c r="K20" s="71" t="s">
        <v>205</v>
      </c>
      <c r="L20" s="71" t="s">
        <v>205</v>
      </c>
      <c r="M20" s="28">
        <v>6.0</v>
      </c>
      <c r="N20" s="26" t="str">
        <f t="shared" si="1"/>
        <v>R</v>
      </c>
      <c r="O20" s="28">
        <v>18.0</v>
      </c>
      <c r="P20" s="26" t="str">
        <f t="shared" si="2"/>
        <v>R</v>
      </c>
      <c r="Q20" s="28">
        <v>6.0</v>
      </c>
      <c r="R20" s="26" t="str">
        <f t="shared" si="3"/>
        <v>R</v>
      </c>
      <c r="S20" s="28">
        <v>24.0</v>
      </c>
      <c r="T20" s="26" t="str">
        <f t="shared" si="4"/>
        <v>S</v>
      </c>
      <c r="U20" s="28">
        <v>14.0</v>
      </c>
      <c r="V20" s="26" t="str">
        <f t="shared" si="5"/>
        <v>R</v>
      </c>
      <c r="W20" s="28">
        <v>19.0</v>
      </c>
      <c r="X20" s="26" t="str">
        <f t="shared" si="6"/>
        <v>R</v>
      </c>
      <c r="Y20" s="28">
        <v>17.0</v>
      </c>
      <c r="Z20" s="26" t="str">
        <f t="shared" si="7"/>
        <v>I</v>
      </c>
      <c r="AA20" s="32" t="s">
        <v>299</v>
      </c>
      <c r="AB20" s="65">
        <v>14.0</v>
      </c>
      <c r="AC20" s="33" t="str">
        <f t="shared" si="8"/>
        <v>R</v>
      </c>
      <c r="AD20" s="65">
        <v>28.0</v>
      </c>
      <c r="AE20" s="33" t="str">
        <f t="shared" si="9"/>
        <v>S</v>
      </c>
      <c r="AF20" s="65">
        <v>12.0</v>
      </c>
      <c r="AG20" s="33" t="str">
        <f t="shared" si="10"/>
        <v>R</v>
      </c>
      <c r="AH20" s="65">
        <v>20.0</v>
      </c>
      <c r="AI20" s="33" t="str">
        <f t="shared" si="11"/>
        <v>S</v>
      </c>
      <c r="AJ20" s="65">
        <v>23.0</v>
      </c>
      <c r="AK20" s="33" t="str">
        <f t="shared" si="12"/>
        <v>R</v>
      </c>
      <c r="AL20" s="65" t="s">
        <v>299</v>
      </c>
      <c r="AM20" s="66">
        <v>18.0</v>
      </c>
      <c r="AN20" s="36" t="str">
        <f t="shared" si="13"/>
        <v>R</v>
      </c>
      <c r="AO20" s="66">
        <v>10.0</v>
      </c>
      <c r="AP20" s="36" t="str">
        <f t="shared" si="14"/>
        <v>R</v>
      </c>
      <c r="AQ20" s="66">
        <v>9.0</v>
      </c>
      <c r="AR20" s="36" t="str">
        <f t="shared" si="15"/>
        <v>R</v>
      </c>
      <c r="AS20" s="66" t="s">
        <v>299</v>
      </c>
      <c r="AT20" s="67">
        <v>14.0</v>
      </c>
      <c r="AU20" s="37" t="str">
        <f t="shared" si="16"/>
        <v>S</v>
      </c>
      <c r="AV20" s="65">
        <v>18.0</v>
      </c>
      <c r="AW20" s="33" t="str">
        <f t="shared" si="17"/>
        <v>S</v>
      </c>
      <c r="AX20" s="65">
        <v>20.0</v>
      </c>
      <c r="AY20" s="33" t="str">
        <f t="shared" si="18"/>
        <v>S</v>
      </c>
      <c r="AZ20" s="33" t="s">
        <v>300</v>
      </c>
      <c r="BA20" s="28">
        <v>12.0</v>
      </c>
      <c r="BB20" s="26" t="str">
        <f t="shared" si="19"/>
        <v>R</v>
      </c>
      <c r="BC20" s="67">
        <v>15.0</v>
      </c>
      <c r="BD20" s="37" t="str">
        <f t="shared" si="20"/>
        <v>R</v>
      </c>
      <c r="BE20" s="66">
        <v>18.0</v>
      </c>
      <c r="BF20" s="36" t="str">
        <f t="shared" si="21"/>
        <v>R</v>
      </c>
      <c r="BG20" s="39" t="s">
        <v>357</v>
      </c>
      <c r="BH20" s="39" t="s">
        <v>357</v>
      </c>
      <c r="BI20" s="66">
        <v>18.0</v>
      </c>
      <c r="BJ20" s="36" t="str">
        <f t="shared" si="22"/>
        <v>R</v>
      </c>
      <c r="BK20" s="68">
        <v>13.0</v>
      </c>
      <c r="BL20" s="41" t="str">
        <f t="shared" si="23"/>
        <v>R</v>
      </c>
      <c r="BM20" s="41"/>
    </row>
    <row r="21">
      <c r="A21" s="18" t="s">
        <v>930</v>
      </c>
      <c r="B21" s="19">
        <v>190.0</v>
      </c>
      <c r="C21" s="18" t="s">
        <v>1141</v>
      </c>
      <c r="D21" s="69" t="s">
        <v>190</v>
      </c>
      <c r="E21" s="18" t="s">
        <v>190</v>
      </c>
      <c r="F21" s="18" t="s">
        <v>192</v>
      </c>
      <c r="G21" s="63" t="s">
        <v>1142</v>
      </c>
      <c r="H21" s="22" t="s">
        <v>198</v>
      </c>
      <c r="I21" s="75" t="s">
        <v>37</v>
      </c>
      <c r="J21" s="71" t="s">
        <v>205</v>
      </c>
      <c r="K21" s="71" t="s">
        <v>205</v>
      </c>
      <c r="L21" s="70" t="s">
        <v>208</v>
      </c>
      <c r="M21" s="28">
        <v>6.0</v>
      </c>
      <c r="N21" s="26" t="str">
        <f t="shared" si="1"/>
        <v>R</v>
      </c>
      <c r="O21" s="28">
        <v>16.0</v>
      </c>
      <c r="P21" s="26" t="str">
        <f t="shared" si="2"/>
        <v>R</v>
      </c>
      <c r="Q21" s="28">
        <v>6.0</v>
      </c>
      <c r="R21" s="26" t="str">
        <f t="shared" si="3"/>
        <v>R</v>
      </c>
      <c r="S21" s="28">
        <v>22.0</v>
      </c>
      <c r="T21" s="26" t="str">
        <f t="shared" si="4"/>
        <v>I</v>
      </c>
      <c r="U21" s="28">
        <v>6.0</v>
      </c>
      <c r="V21" s="26" t="str">
        <f t="shared" si="5"/>
        <v>R</v>
      </c>
      <c r="W21" s="28">
        <v>17.0</v>
      </c>
      <c r="X21" s="26" t="str">
        <f t="shared" si="6"/>
        <v>R</v>
      </c>
      <c r="Y21" s="28">
        <v>18.0</v>
      </c>
      <c r="Z21" s="26" t="str">
        <f t="shared" si="7"/>
        <v>I</v>
      </c>
      <c r="AA21" s="32" t="s">
        <v>299</v>
      </c>
      <c r="AB21" s="65">
        <v>6.0</v>
      </c>
      <c r="AC21" s="33" t="str">
        <f t="shared" si="8"/>
        <v>R</v>
      </c>
      <c r="AD21" s="65">
        <v>21.0</v>
      </c>
      <c r="AE21" s="33" t="str">
        <f t="shared" si="9"/>
        <v>S</v>
      </c>
      <c r="AF21" s="65">
        <v>6.0</v>
      </c>
      <c r="AG21" s="33" t="str">
        <f t="shared" si="10"/>
        <v>R</v>
      </c>
      <c r="AH21" s="65">
        <v>12.0</v>
      </c>
      <c r="AI21" s="33" t="str">
        <f t="shared" si="11"/>
        <v>R</v>
      </c>
      <c r="AJ21" s="65">
        <v>6.0</v>
      </c>
      <c r="AK21" s="33" t="str">
        <f t="shared" si="12"/>
        <v>R</v>
      </c>
      <c r="AL21" s="65" t="s">
        <v>299</v>
      </c>
      <c r="AM21" s="66">
        <v>21.0</v>
      </c>
      <c r="AN21" s="36" t="str">
        <f t="shared" si="13"/>
        <v>R</v>
      </c>
      <c r="AO21" s="66">
        <v>18.0</v>
      </c>
      <c r="AP21" s="36" t="str">
        <f t="shared" si="14"/>
        <v>R</v>
      </c>
      <c r="AQ21" s="66">
        <v>20.0</v>
      </c>
      <c r="AR21" s="36" t="str">
        <f t="shared" si="15"/>
        <v>S</v>
      </c>
      <c r="AS21" s="66" t="s">
        <v>299</v>
      </c>
      <c r="AT21" s="67">
        <v>6.0</v>
      </c>
      <c r="AU21" s="37" t="str">
        <f t="shared" si="16"/>
        <v>R</v>
      </c>
      <c r="AV21" s="65">
        <v>12.0</v>
      </c>
      <c r="AW21" s="33" t="str">
        <f t="shared" si="17"/>
        <v>R</v>
      </c>
      <c r="AX21" s="65">
        <v>17.0</v>
      </c>
      <c r="AY21" s="33" t="str">
        <f t="shared" si="18"/>
        <v>S</v>
      </c>
      <c r="AZ21" s="65" t="s">
        <v>299</v>
      </c>
      <c r="BA21" s="28">
        <v>18.0</v>
      </c>
      <c r="BB21" s="26" t="str">
        <f t="shared" si="19"/>
        <v>R</v>
      </c>
      <c r="BC21" s="67">
        <v>6.0</v>
      </c>
      <c r="BD21" s="37" t="str">
        <f t="shared" si="20"/>
        <v>R</v>
      </c>
      <c r="BE21" s="66">
        <v>25.0</v>
      </c>
      <c r="BF21" s="36" t="str">
        <f t="shared" si="21"/>
        <v>S</v>
      </c>
      <c r="BG21" s="39" t="s">
        <v>357</v>
      </c>
      <c r="BH21" s="39" t="s">
        <v>357</v>
      </c>
      <c r="BI21" s="66">
        <v>24.0</v>
      </c>
      <c r="BJ21" s="36" t="str">
        <f t="shared" si="22"/>
        <v>S</v>
      </c>
      <c r="BK21" s="68">
        <v>17.0</v>
      </c>
      <c r="BL21" s="41" t="str">
        <f t="shared" si="23"/>
        <v>S</v>
      </c>
      <c r="BM21" s="41"/>
    </row>
    <row r="22">
      <c r="A22" s="18" t="s">
        <v>930</v>
      </c>
      <c r="B22" s="19">
        <v>191.0</v>
      </c>
      <c r="C22" s="18" t="s">
        <v>1145</v>
      </c>
      <c r="D22" s="69" t="s">
        <v>571</v>
      </c>
      <c r="E22" s="18" t="s">
        <v>572</v>
      </c>
      <c r="F22" s="18" t="s">
        <v>192</v>
      </c>
      <c r="G22" s="63" t="s">
        <v>1146</v>
      </c>
      <c r="H22" s="22" t="s">
        <v>198</v>
      </c>
      <c r="I22" s="75" t="s">
        <v>37</v>
      </c>
      <c r="J22" s="71" t="s">
        <v>205</v>
      </c>
      <c r="K22" s="71" t="s">
        <v>205</v>
      </c>
      <c r="L22" s="70" t="s">
        <v>208</v>
      </c>
      <c r="M22" s="28">
        <v>6.0</v>
      </c>
      <c r="N22" s="26" t="str">
        <f t="shared" si="1"/>
        <v>R</v>
      </c>
      <c r="O22" s="28">
        <v>13.0</v>
      </c>
      <c r="P22" s="26" t="str">
        <f t="shared" si="2"/>
        <v>R</v>
      </c>
      <c r="Q22" s="28">
        <v>11.0</v>
      </c>
      <c r="R22" s="26" t="str">
        <f t="shared" si="3"/>
        <v>R</v>
      </c>
      <c r="S22" s="28">
        <v>20.0</v>
      </c>
      <c r="T22" s="26" t="str">
        <f t="shared" si="4"/>
        <v>I</v>
      </c>
      <c r="U22" s="28">
        <v>16.0</v>
      </c>
      <c r="V22" s="26" t="str">
        <f t="shared" si="5"/>
        <v>R</v>
      </c>
      <c r="W22" s="28">
        <v>18.0</v>
      </c>
      <c r="X22" s="26" t="str">
        <f t="shared" si="6"/>
        <v>R</v>
      </c>
      <c r="Y22" s="28">
        <v>16.0</v>
      </c>
      <c r="Z22" s="26" t="str">
        <f t="shared" si="7"/>
        <v>R</v>
      </c>
      <c r="AA22" s="32" t="s">
        <v>299</v>
      </c>
      <c r="AB22" s="65">
        <v>6.0</v>
      </c>
      <c r="AC22" s="33" t="str">
        <f t="shared" si="8"/>
        <v>R</v>
      </c>
      <c r="AD22" s="65">
        <v>23.0</v>
      </c>
      <c r="AE22" s="33" t="str">
        <f t="shared" si="9"/>
        <v>S</v>
      </c>
      <c r="AF22" s="65">
        <v>18.0</v>
      </c>
      <c r="AG22" s="33" t="str">
        <f t="shared" si="10"/>
        <v>R</v>
      </c>
      <c r="AH22" s="65">
        <v>18.0</v>
      </c>
      <c r="AI22" s="33" t="str">
        <f t="shared" si="11"/>
        <v>S</v>
      </c>
      <c r="AJ22" s="65">
        <v>14.0</v>
      </c>
      <c r="AK22" s="33" t="str">
        <f t="shared" si="12"/>
        <v>R</v>
      </c>
      <c r="AL22" s="65" t="s">
        <v>299</v>
      </c>
      <c r="AM22" s="66">
        <v>25.0</v>
      </c>
      <c r="AN22" s="36" t="str">
        <f t="shared" si="13"/>
        <v>S</v>
      </c>
      <c r="AO22" s="66">
        <v>23.0</v>
      </c>
      <c r="AP22" s="36" t="str">
        <f t="shared" si="14"/>
        <v>S</v>
      </c>
      <c r="AQ22" s="66">
        <v>16.0</v>
      </c>
      <c r="AR22" s="36" t="str">
        <f t="shared" si="15"/>
        <v>S</v>
      </c>
      <c r="AS22" s="36" t="s">
        <v>300</v>
      </c>
      <c r="AT22" s="67">
        <v>20.0</v>
      </c>
      <c r="AU22" s="37" t="str">
        <f t="shared" si="16"/>
        <v>S</v>
      </c>
      <c r="AV22" s="65">
        <v>17.0</v>
      </c>
      <c r="AW22" s="33" t="str">
        <f t="shared" si="17"/>
        <v>R</v>
      </c>
      <c r="AX22" s="65">
        <v>21.0</v>
      </c>
      <c r="AY22" s="33" t="str">
        <f t="shared" si="18"/>
        <v>S</v>
      </c>
      <c r="AZ22" s="65" t="s">
        <v>299</v>
      </c>
      <c r="BA22" s="28">
        <v>23.0</v>
      </c>
      <c r="BB22" s="26" t="str">
        <f t="shared" si="19"/>
        <v>S</v>
      </c>
      <c r="BC22" s="67">
        <v>6.0</v>
      </c>
      <c r="BD22" s="37" t="str">
        <f t="shared" si="20"/>
        <v>R</v>
      </c>
      <c r="BE22" s="66">
        <v>22.0</v>
      </c>
      <c r="BF22" s="36" t="str">
        <f t="shared" si="21"/>
        <v>R</v>
      </c>
      <c r="BG22" s="39" t="s">
        <v>357</v>
      </c>
      <c r="BH22" s="39" t="s">
        <v>357</v>
      </c>
      <c r="BI22" s="66">
        <v>28.0</v>
      </c>
      <c r="BJ22" s="36" t="str">
        <f t="shared" si="22"/>
        <v>S</v>
      </c>
      <c r="BK22" s="68">
        <v>22.0</v>
      </c>
      <c r="BL22" s="41" t="str">
        <f t="shared" si="23"/>
        <v>S</v>
      </c>
      <c r="BM22" s="41"/>
    </row>
    <row r="23">
      <c r="A23" s="18" t="s">
        <v>930</v>
      </c>
      <c r="B23" s="19">
        <v>192.0</v>
      </c>
      <c r="C23" s="18" t="s">
        <v>1147</v>
      </c>
      <c r="D23" s="69" t="s">
        <v>705</v>
      </c>
      <c r="E23" s="18" t="s">
        <v>572</v>
      </c>
      <c r="F23" s="18" t="s">
        <v>192</v>
      </c>
      <c r="G23" s="63" t="s">
        <v>1148</v>
      </c>
      <c r="H23" s="42" t="s">
        <v>479</v>
      </c>
      <c r="I23" s="75" t="s">
        <v>481</v>
      </c>
      <c r="J23" s="70" t="s">
        <v>205</v>
      </c>
      <c r="K23" s="70" t="s">
        <v>208</v>
      </c>
      <c r="L23" s="70" t="s">
        <v>208</v>
      </c>
      <c r="M23" s="28">
        <v>15.0</v>
      </c>
      <c r="N23" s="26" t="str">
        <f t="shared" si="1"/>
        <v>R</v>
      </c>
      <c r="O23" s="28">
        <v>12.0</v>
      </c>
      <c r="P23" s="26" t="str">
        <f t="shared" si="2"/>
        <v>R</v>
      </c>
      <c r="Q23" s="28">
        <v>21.0</v>
      </c>
      <c r="R23" s="26" t="str">
        <f t="shared" si="3"/>
        <v>R</v>
      </c>
      <c r="S23" s="28">
        <v>28.0</v>
      </c>
      <c r="T23" s="26" t="str">
        <f t="shared" si="4"/>
        <v>S</v>
      </c>
      <c r="U23" s="28">
        <v>17.0</v>
      </c>
      <c r="V23" s="26" t="str">
        <f t="shared" si="5"/>
        <v>R</v>
      </c>
      <c r="W23" s="28">
        <v>11.0</v>
      </c>
      <c r="X23" s="26" t="str">
        <f t="shared" si="6"/>
        <v>R</v>
      </c>
      <c r="Y23" s="28">
        <v>12.0</v>
      </c>
      <c r="Z23" s="26" t="str">
        <f t="shared" si="7"/>
        <v>R</v>
      </c>
      <c r="AA23" s="32" t="s">
        <v>299</v>
      </c>
      <c r="AB23" s="65">
        <v>6.0</v>
      </c>
      <c r="AC23" s="33" t="str">
        <f t="shared" si="8"/>
        <v>R</v>
      </c>
      <c r="AD23" s="65">
        <v>11.0</v>
      </c>
      <c r="AE23" s="33" t="str">
        <f t="shared" si="9"/>
        <v>R</v>
      </c>
      <c r="AF23" s="65">
        <v>20.0</v>
      </c>
      <c r="AG23" s="33" t="str">
        <f t="shared" si="10"/>
        <v>I</v>
      </c>
      <c r="AH23" s="65">
        <v>13.0</v>
      </c>
      <c r="AI23" s="33" t="str">
        <f t="shared" si="11"/>
        <v>S</v>
      </c>
      <c r="AJ23" s="65">
        <v>15.0</v>
      </c>
      <c r="AK23" s="33" t="str">
        <f t="shared" si="12"/>
        <v>R</v>
      </c>
      <c r="AL23" s="65" t="s">
        <v>299</v>
      </c>
      <c r="AM23" s="66">
        <v>17.0</v>
      </c>
      <c r="AN23" s="36" t="str">
        <f t="shared" si="13"/>
        <v>R</v>
      </c>
      <c r="AO23" s="66">
        <v>25.0</v>
      </c>
      <c r="AP23" s="36" t="str">
        <f t="shared" si="14"/>
        <v>S</v>
      </c>
      <c r="AQ23" s="66">
        <v>15.0</v>
      </c>
      <c r="AR23" s="36" t="str">
        <f t="shared" si="15"/>
        <v>S</v>
      </c>
      <c r="AS23" s="66" t="s">
        <v>299</v>
      </c>
      <c r="AT23" s="67">
        <v>15.0</v>
      </c>
      <c r="AU23" s="37" t="str">
        <f t="shared" si="16"/>
        <v>S</v>
      </c>
      <c r="AV23" s="65">
        <v>13.0</v>
      </c>
      <c r="AW23" s="33" t="str">
        <f t="shared" si="17"/>
        <v>R</v>
      </c>
      <c r="AX23" s="65">
        <v>10.0</v>
      </c>
      <c r="AY23" s="33" t="str">
        <f t="shared" si="18"/>
        <v>R</v>
      </c>
      <c r="AZ23" s="65" t="s">
        <v>299</v>
      </c>
      <c r="BA23" s="28">
        <v>12.0</v>
      </c>
      <c r="BB23" s="26" t="str">
        <f t="shared" si="19"/>
        <v>R</v>
      </c>
      <c r="BC23" s="67">
        <v>15.0</v>
      </c>
      <c r="BD23" s="37" t="str">
        <f t="shared" si="20"/>
        <v>R</v>
      </c>
      <c r="BE23" s="66">
        <v>25.0</v>
      </c>
      <c r="BF23" s="36" t="str">
        <f t="shared" si="21"/>
        <v>S</v>
      </c>
      <c r="BG23" s="39" t="s">
        <v>357</v>
      </c>
      <c r="BH23" s="39" t="s">
        <v>357</v>
      </c>
      <c r="BI23" s="66">
        <v>23.0</v>
      </c>
      <c r="BJ23" s="36" t="str">
        <f t="shared" si="22"/>
        <v>S</v>
      </c>
      <c r="BK23" s="68">
        <v>25.0</v>
      </c>
      <c r="BL23" s="41" t="str">
        <f t="shared" si="23"/>
        <v>S</v>
      </c>
      <c r="BM23" s="41"/>
    </row>
    <row r="24">
      <c r="A24" s="18" t="s">
        <v>935</v>
      </c>
      <c r="B24" s="19">
        <v>193.0</v>
      </c>
      <c r="C24" s="18" t="s">
        <v>1151</v>
      </c>
      <c r="D24" s="69" t="s">
        <v>190</v>
      </c>
      <c r="E24" s="18" t="s">
        <v>190</v>
      </c>
      <c r="F24" s="18" t="s">
        <v>192</v>
      </c>
      <c r="G24" s="63" t="s">
        <v>1153</v>
      </c>
      <c r="H24" s="22" t="s">
        <v>198</v>
      </c>
      <c r="I24" s="75" t="s">
        <v>481</v>
      </c>
      <c r="J24" s="70" t="s">
        <v>205</v>
      </c>
      <c r="K24" s="70" t="s">
        <v>208</v>
      </c>
      <c r="L24" s="70" t="s">
        <v>208</v>
      </c>
      <c r="M24" s="28">
        <v>6.0</v>
      </c>
      <c r="N24" s="26" t="str">
        <f t="shared" si="1"/>
        <v>R</v>
      </c>
      <c r="O24" s="28">
        <v>6.0</v>
      </c>
      <c r="P24" s="26" t="str">
        <f t="shared" si="2"/>
        <v>R</v>
      </c>
      <c r="Q24" s="28">
        <v>6.0</v>
      </c>
      <c r="R24" s="26" t="str">
        <f t="shared" si="3"/>
        <v>R</v>
      </c>
      <c r="S24" s="28">
        <v>22.0</v>
      </c>
      <c r="T24" s="26" t="str">
        <f t="shared" si="4"/>
        <v>I</v>
      </c>
      <c r="U24" s="28">
        <v>6.0</v>
      </c>
      <c r="V24" s="26" t="str">
        <f t="shared" si="5"/>
        <v>R</v>
      </c>
      <c r="W24" s="28">
        <v>6.0</v>
      </c>
      <c r="X24" s="26" t="str">
        <f t="shared" si="6"/>
        <v>R</v>
      </c>
      <c r="Y24" s="28">
        <v>18.0</v>
      </c>
      <c r="Z24" s="26" t="str">
        <f t="shared" si="7"/>
        <v>I</v>
      </c>
      <c r="AA24" s="32" t="s">
        <v>299</v>
      </c>
      <c r="AB24" s="65">
        <v>6.0</v>
      </c>
      <c r="AC24" s="33" t="str">
        <f t="shared" si="8"/>
        <v>R</v>
      </c>
      <c r="AD24" s="65">
        <v>7.0</v>
      </c>
      <c r="AE24" s="33" t="str">
        <f t="shared" si="9"/>
        <v>R</v>
      </c>
      <c r="AF24" s="65">
        <v>6.0</v>
      </c>
      <c r="AG24" s="33" t="str">
        <f t="shared" si="10"/>
        <v>R</v>
      </c>
      <c r="AH24" s="65">
        <v>12.0</v>
      </c>
      <c r="AI24" s="33" t="str">
        <f t="shared" si="11"/>
        <v>R</v>
      </c>
      <c r="AJ24" s="65">
        <v>6.0</v>
      </c>
      <c r="AK24" s="33" t="str">
        <f t="shared" si="12"/>
        <v>R</v>
      </c>
      <c r="AL24" s="65" t="s">
        <v>299</v>
      </c>
      <c r="AM24" s="66">
        <v>6.0</v>
      </c>
      <c r="AN24" s="36" t="str">
        <f t="shared" si="13"/>
        <v>R</v>
      </c>
      <c r="AO24" s="66">
        <v>6.0</v>
      </c>
      <c r="AP24" s="36" t="str">
        <f t="shared" si="14"/>
        <v>R</v>
      </c>
      <c r="AQ24" s="66">
        <v>7.0</v>
      </c>
      <c r="AR24" s="36" t="str">
        <f t="shared" si="15"/>
        <v>R</v>
      </c>
      <c r="AS24" s="66" t="s">
        <v>299</v>
      </c>
      <c r="AT24" s="67">
        <v>6.0</v>
      </c>
      <c r="AU24" s="37" t="str">
        <f t="shared" si="16"/>
        <v>R</v>
      </c>
      <c r="AV24" s="65">
        <v>12.0</v>
      </c>
      <c r="AW24" s="33" t="str">
        <f t="shared" si="17"/>
        <v>R</v>
      </c>
      <c r="AX24" s="65">
        <v>22.0</v>
      </c>
      <c r="AY24" s="33" t="str">
        <f t="shared" si="18"/>
        <v>S</v>
      </c>
      <c r="AZ24" s="65" t="s">
        <v>299</v>
      </c>
      <c r="BA24" s="28">
        <v>6.0</v>
      </c>
      <c r="BB24" s="26" t="str">
        <f t="shared" si="19"/>
        <v>R</v>
      </c>
      <c r="BC24" s="67">
        <v>6.0</v>
      </c>
      <c r="BD24" s="37" t="str">
        <f t="shared" si="20"/>
        <v>R</v>
      </c>
      <c r="BE24" s="66">
        <v>19.0</v>
      </c>
      <c r="BF24" s="36" t="str">
        <f t="shared" si="21"/>
        <v>R</v>
      </c>
      <c r="BG24" s="39" t="s">
        <v>357</v>
      </c>
      <c r="BH24" s="39" t="s">
        <v>357</v>
      </c>
      <c r="BI24" s="66">
        <v>23.0</v>
      </c>
      <c r="BJ24" s="36" t="str">
        <f t="shared" si="22"/>
        <v>S</v>
      </c>
      <c r="BK24" s="68">
        <v>6.0</v>
      </c>
      <c r="BL24" s="41" t="str">
        <f t="shared" si="23"/>
        <v>R</v>
      </c>
      <c r="BM24" s="41"/>
    </row>
    <row r="25">
      <c r="A25" s="18" t="s">
        <v>935</v>
      </c>
      <c r="B25" s="19">
        <v>194.0</v>
      </c>
      <c r="C25" s="18" t="s">
        <v>1154</v>
      </c>
      <c r="D25" s="69" t="s">
        <v>190</v>
      </c>
      <c r="E25" s="18" t="s">
        <v>190</v>
      </c>
      <c r="F25" s="18" t="s">
        <v>192</v>
      </c>
      <c r="G25" s="63" t="s">
        <v>1155</v>
      </c>
      <c r="H25" s="42" t="s">
        <v>479</v>
      </c>
      <c r="I25" s="75" t="s">
        <v>41</v>
      </c>
      <c r="J25" s="70" t="s">
        <v>205</v>
      </c>
      <c r="K25" s="71" t="s">
        <v>208</v>
      </c>
      <c r="L25" s="71" t="s">
        <v>205</v>
      </c>
      <c r="M25" s="28">
        <v>6.0</v>
      </c>
      <c r="N25" s="26" t="str">
        <f t="shared" si="1"/>
        <v>R</v>
      </c>
      <c r="O25" s="28">
        <v>18.0</v>
      </c>
      <c r="P25" s="26" t="str">
        <f t="shared" si="2"/>
        <v>R</v>
      </c>
      <c r="Q25" s="28">
        <v>15.0</v>
      </c>
      <c r="R25" s="26" t="str">
        <f t="shared" si="3"/>
        <v>R</v>
      </c>
      <c r="S25" s="28">
        <v>24.0</v>
      </c>
      <c r="T25" s="26" t="str">
        <f t="shared" si="4"/>
        <v>S</v>
      </c>
      <c r="U25" s="28">
        <v>12.0</v>
      </c>
      <c r="V25" s="26" t="str">
        <f t="shared" si="5"/>
        <v>R</v>
      </c>
      <c r="W25" s="28">
        <v>15.0</v>
      </c>
      <c r="X25" s="26" t="str">
        <f t="shared" si="6"/>
        <v>R</v>
      </c>
      <c r="Y25" s="28">
        <v>6.0</v>
      </c>
      <c r="Z25" s="26" t="str">
        <f t="shared" si="7"/>
        <v>R</v>
      </c>
      <c r="AA25" s="32" t="s">
        <v>299</v>
      </c>
      <c r="AB25" s="65">
        <v>6.0</v>
      </c>
      <c r="AC25" s="33" t="str">
        <f t="shared" si="8"/>
        <v>R</v>
      </c>
      <c r="AD25" s="65">
        <v>9.0</v>
      </c>
      <c r="AE25" s="33" t="str">
        <f t="shared" si="9"/>
        <v>R</v>
      </c>
      <c r="AF25" s="65">
        <v>6.0</v>
      </c>
      <c r="AG25" s="33" t="str">
        <f t="shared" si="10"/>
        <v>R</v>
      </c>
      <c r="AH25" s="65">
        <v>15.0</v>
      </c>
      <c r="AI25" s="33" t="str">
        <f t="shared" si="11"/>
        <v>S</v>
      </c>
      <c r="AJ25" s="65">
        <v>13.0</v>
      </c>
      <c r="AK25" s="33" t="str">
        <f t="shared" si="12"/>
        <v>R</v>
      </c>
      <c r="AL25" s="65" t="s">
        <v>299</v>
      </c>
      <c r="AM25" s="66">
        <v>19.0</v>
      </c>
      <c r="AN25" s="36" t="str">
        <f t="shared" si="13"/>
        <v>R</v>
      </c>
      <c r="AO25" s="66">
        <v>15.0</v>
      </c>
      <c r="AP25" s="36" t="str">
        <f t="shared" si="14"/>
        <v>R</v>
      </c>
      <c r="AQ25" s="66">
        <v>15.0</v>
      </c>
      <c r="AR25" s="36" t="str">
        <f t="shared" si="15"/>
        <v>S</v>
      </c>
      <c r="AS25" s="66" t="s">
        <v>299</v>
      </c>
      <c r="AT25" s="67">
        <v>13.0</v>
      </c>
      <c r="AU25" s="37" t="str">
        <f t="shared" si="16"/>
        <v>I</v>
      </c>
      <c r="AV25" s="65">
        <v>18.0</v>
      </c>
      <c r="AW25" s="33" t="str">
        <f t="shared" si="17"/>
        <v>S</v>
      </c>
      <c r="AX25" s="65">
        <v>18.0</v>
      </c>
      <c r="AY25" s="33" t="str">
        <f t="shared" si="18"/>
        <v>S</v>
      </c>
      <c r="AZ25" s="33" t="s">
        <v>300</v>
      </c>
      <c r="BA25" s="28">
        <v>18.0</v>
      </c>
      <c r="BB25" s="26" t="str">
        <f t="shared" si="19"/>
        <v>R</v>
      </c>
      <c r="BC25" s="67">
        <v>14.0</v>
      </c>
      <c r="BD25" s="37" t="str">
        <f t="shared" si="20"/>
        <v>R</v>
      </c>
      <c r="BE25" s="66">
        <v>14.0</v>
      </c>
      <c r="BF25" s="36" t="str">
        <f t="shared" si="21"/>
        <v>R</v>
      </c>
      <c r="BG25" s="39" t="s">
        <v>357</v>
      </c>
      <c r="BH25" s="39" t="s">
        <v>357</v>
      </c>
      <c r="BI25" s="66">
        <v>18.0</v>
      </c>
      <c r="BJ25" s="36" t="str">
        <f t="shared" si="22"/>
        <v>R</v>
      </c>
      <c r="BK25" s="68">
        <v>20.0</v>
      </c>
      <c r="BL25" s="41" t="str">
        <f t="shared" si="23"/>
        <v>S</v>
      </c>
      <c r="BM25" s="41"/>
    </row>
    <row r="26">
      <c r="A26" s="18" t="s">
        <v>988</v>
      </c>
      <c r="B26" s="19">
        <v>219.0</v>
      </c>
      <c r="C26" s="18" t="s">
        <v>1158</v>
      </c>
      <c r="D26" s="69" t="s">
        <v>190</v>
      </c>
      <c r="E26" s="18" t="s">
        <v>190</v>
      </c>
      <c r="F26" s="18" t="s">
        <v>192</v>
      </c>
      <c r="G26" s="63" t="s">
        <v>1159</v>
      </c>
      <c r="H26" s="22" t="s">
        <v>198</v>
      </c>
      <c r="I26" s="75" t="s">
        <v>481</v>
      </c>
      <c r="J26" s="70" t="s">
        <v>205</v>
      </c>
      <c r="K26" s="70" t="s">
        <v>208</v>
      </c>
      <c r="L26" s="70" t="s">
        <v>208</v>
      </c>
      <c r="M26" s="28">
        <v>6.0</v>
      </c>
      <c r="N26" s="26" t="str">
        <f t="shared" si="1"/>
        <v>R</v>
      </c>
      <c r="O26" s="28">
        <v>6.0</v>
      </c>
      <c r="P26" s="26" t="str">
        <f t="shared" si="2"/>
        <v>R</v>
      </c>
      <c r="Q26" s="28">
        <v>6.0</v>
      </c>
      <c r="R26" s="26" t="str">
        <f t="shared" si="3"/>
        <v>R</v>
      </c>
      <c r="S26" s="28">
        <v>15.0</v>
      </c>
      <c r="T26" s="26" t="str">
        <f t="shared" si="4"/>
        <v>R</v>
      </c>
      <c r="U26" s="28">
        <v>6.0</v>
      </c>
      <c r="V26" s="26" t="str">
        <f t="shared" si="5"/>
        <v>R</v>
      </c>
      <c r="W26" s="28">
        <v>21.0</v>
      </c>
      <c r="X26" s="26" t="str">
        <f t="shared" si="6"/>
        <v>S</v>
      </c>
      <c r="Y26" s="28">
        <v>19.0</v>
      </c>
      <c r="Z26" s="26" t="str">
        <f t="shared" si="7"/>
        <v>I</v>
      </c>
      <c r="AA26" s="32" t="s">
        <v>299</v>
      </c>
      <c r="AB26" s="65">
        <v>6.0</v>
      </c>
      <c r="AC26" s="33" t="str">
        <f t="shared" si="8"/>
        <v>R</v>
      </c>
      <c r="AD26" s="65">
        <v>6.0</v>
      </c>
      <c r="AE26" s="33" t="str">
        <f t="shared" si="9"/>
        <v>R</v>
      </c>
      <c r="AF26" s="65">
        <v>6.0</v>
      </c>
      <c r="AG26" s="33" t="str">
        <f t="shared" si="10"/>
        <v>R</v>
      </c>
      <c r="AH26" s="65">
        <v>23.0</v>
      </c>
      <c r="AI26" s="33" t="str">
        <f t="shared" si="11"/>
        <v>S</v>
      </c>
      <c r="AJ26" s="65">
        <v>18.0</v>
      </c>
      <c r="AK26" s="33" t="str">
        <f t="shared" si="12"/>
        <v>R</v>
      </c>
      <c r="AL26" s="65" t="s">
        <v>299</v>
      </c>
      <c r="AM26" s="66">
        <v>6.0</v>
      </c>
      <c r="AN26" s="36" t="str">
        <f t="shared" si="13"/>
        <v>R</v>
      </c>
      <c r="AO26" s="66">
        <v>6.0</v>
      </c>
      <c r="AP26" s="36" t="str">
        <f t="shared" si="14"/>
        <v>R</v>
      </c>
      <c r="AQ26" s="66">
        <v>6.0</v>
      </c>
      <c r="AR26" s="36" t="str">
        <f t="shared" si="15"/>
        <v>R</v>
      </c>
      <c r="AS26" s="66" t="s">
        <v>299</v>
      </c>
      <c r="AT26" s="67">
        <v>6.0</v>
      </c>
      <c r="AU26" s="37" t="str">
        <f t="shared" si="16"/>
        <v>R</v>
      </c>
      <c r="AV26" s="65">
        <v>20.0</v>
      </c>
      <c r="AW26" s="33" t="str">
        <f t="shared" si="17"/>
        <v>S</v>
      </c>
      <c r="AX26" s="65">
        <v>20.0</v>
      </c>
      <c r="AY26" s="33" t="str">
        <f t="shared" si="18"/>
        <v>S</v>
      </c>
      <c r="AZ26" s="33" t="s">
        <v>300</v>
      </c>
      <c r="BA26" s="28">
        <v>6.0</v>
      </c>
      <c r="BB26" s="26" t="str">
        <f t="shared" si="19"/>
        <v>R</v>
      </c>
      <c r="BC26" s="67">
        <v>13.0</v>
      </c>
      <c r="BD26" s="37" t="str">
        <f t="shared" si="20"/>
        <v>R</v>
      </c>
      <c r="BE26" s="66">
        <v>26.0</v>
      </c>
      <c r="BF26" s="36" t="str">
        <f t="shared" si="21"/>
        <v>S</v>
      </c>
      <c r="BG26" s="39" t="s">
        <v>357</v>
      </c>
      <c r="BH26" s="39" t="s">
        <v>357</v>
      </c>
      <c r="BI26" s="66">
        <v>20.0</v>
      </c>
      <c r="BJ26" s="36" t="str">
        <f t="shared" si="22"/>
        <v>I</v>
      </c>
      <c r="BK26" s="68">
        <v>20.0</v>
      </c>
      <c r="BL26" s="41" t="str">
        <f t="shared" si="23"/>
        <v>S</v>
      </c>
      <c r="BM26" s="41"/>
    </row>
    <row r="27">
      <c r="A27" s="18" t="s">
        <v>988</v>
      </c>
      <c r="B27" s="19">
        <v>220.0</v>
      </c>
      <c r="C27" s="18" t="s">
        <v>1161</v>
      </c>
      <c r="D27" s="69" t="s">
        <v>571</v>
      </c>
      <c r="E27" s="18" t="s">
        <v>572</v>
      </c>
      <c r="F27" s="18" t="s">
        <v>192</v>
      </c>
      <c r="G27" s="63" t="s">
        <v>1162</v>
      </c>
      <c r="H27" s="22" t="s">
        <v>198</v>
      </c>
      <c r="I27" s="75" t="s">
        <v>481</v>
      </c>
      <c r="J27" s="70" t="s">
        <v>205</v>
      </c>
      <c r="K27" s="70" t="s">
        <v>208</v>
      </c>
      <c r="L27" s="70" t="s">
        <v>208</v>
      </c>
      <c r="M27" s="28">
        <v>6.0</v>
      </c>
      <c r="N27" s="26" t="str">
        <f t="shared" si="1"/>
        <v>R</v>
      </c>
      <c r="O27" s="28">
        <v>9.0</v>
      </c>
      <c r="P27" s="26" t="str">
        <f t="shared" si="2"/>
        <v>R</v>
      </c>
      <c r="Q27" s="28">
        <v>6.0</v>
      </c>
      <c r="R27" s="26" t="str">
        <f t="shared" si="3"/>
        <v>R</v>
      </c>
      <c r="S27" s="28">
        <v>18.0</v>
      </c>
      <c r="T27" s="26" t="str">
        <f t="shared" si="4"/>
        <v>R</v>
      </c>
      <c r="U27" s="28">
        <v>14.0</v>
      </c>
      <c r="V27" s="26" t="str">
        <f t="shared" si="5"/>
        <v>R</v>
      </c>
      <c r="W27" s="28">
        <v>13.0</v>
      </c>
      <c r="X27" s="26" t="str">
        <f t="shared" si="6"/>
        <v>R</v>
      </c>
      <c r="Y27" s="28">
        <v>15.0</v>
      </c>
      <c r="Z27" s="26" t="str">
        <f t="shared" si="7"/>
        <v>R</v>
      </c>
      <c r="AA27" s="32" t="s">
        <v>299</v>
      </c>
      <c r="AB27" s="65">
        <v>6.0</v>
      </c>
      <c r="AC27" s="33" t="str">
        <f t="shared" si="8"/>
        <v>R</v>
      </c>
      <c r="AD27" s="65">
        <v>16.0</v>
      </c>
      <c r="AE27" s="33" t="str">
        <f t="shared" si="9"/>
        <v>R</v>
      </c>
      <c r="AF27" s="65">
        <v>6.0</v>
      </c>
      <c r="AG27" s="33" t="str">
        <f t="shared" si="10"/>
        <v>R</v>
      </c>
      <c r="AH27" s="65">
        <v>18.0</v>
      </c>
      <c r="AI27" s="33" t="str">
        <f t="shared" si="11"/>
        <v>S</v>
      </c>
      <c r="AJ27" s="65">
        <v>13.0</v>
      </c>
      <c r="AK27" s="33" t="str">
        <f t="shared" si="12"/>
        <v>R</v>
      </c>
      <c r="AL27" s="65" t="s">
        <v>299</v>
      </c>
      <c r="AM27" s="66">
        <v>23.0</v>
      </c>
      <c r="AN27" s="36" t="str">
        <f t="shared" si="13"/>
        <v>I</v>
      </c>
      <c r="AO27" s="66">
        <v>21.0</v>
      </c>
      <c r="AP27" s="36" t="str">
        <f t="shared" si="14"/>
        <v>I</v>
      </c>
      <c r="AQ27" s="66">
        <v>20.0</v>
      </c>
      <c r="AR27" s="36" t="str">
        <f t="shared" si="15"/>
        <v>S</v>
      </c>
      <c r="AS27" s="66" t="s">
        <v>299</v>
      </c>
      <c r="AT27" s="67">
        <v>24.0</v>
      </c>
      <c r="AU27" s="37" t="str">
        <f t="shared" si="16"/>
        <v>S</v>
      </c>
      <c r="AV27" s="65">
        <v>16.0</v>
      </c>
      <c r="AW27" s="33" t="str">
        <f t="shared" si="17"/>
        <v>R</v>
      </c>
      <c r="AX27" s="65">
        <v>18.0</v>
      </c>
      <c r="AY27" s="33" t="str">
        <f t="shared" si="18"/>
        <v>S</v>
      </c>
      <c r="AZ27" s="65" t="s">
        <v>299</v>
      </c>
      <c r="BA27" s="28">
        <v>18.0</v>
      </c>
      <c r="BB27" s="26" t="str">
        <f t="shared" si="19"/>
        <v>R</v>
      </c>
      <c r="BC27" s="67">
        <v>6.0</v>
      </c>
      <c r="BD27" s="37" t="str">
        <f t="shared" si="20"/>
        <v>R</v>
      </c>
      <c r="BE27" s="66">
        <v>26.0</v>
      </c>
      <c r="BF27" s="36" t="str">
        <f t="shared" si="21"/>
        <v>S</v>
      </c>
      <c r="BG27" s="39" t="s">
        <v>357</v>
      </c>
      <c r="BH27" s="39" t="s">
        <v>357</v>
      </c>
      <c r="BI27" s="66">
        <v>14.0</v>
      </c>
      <c r="BJ27" s="36" t="str">
        <f t="shared" si="22"/>
        <v>R</v>
      </c>
      <c r="BK27" s="68">
        <v>16.0</v>
      </c>
      <c r="BL27" s="41" t="str">
        <f t="shared" si="23"/>
        <v>R</v>
      </c>
      <c r="BM27" s="41"/>
    </row>
    <row r="28">
      <c r="A28" s="18" t="s">
        <v>988</v>
      </c>
      <c r="B28" s="19">
        <v>221.0</v>
      </c>
      <c r="C28" s="18" t="s">
        <v>1164</v>
      </c>
      <c r="D28" s="69" t="s">
        <v>705</v>
      </c>
      <c r="E28" s="18" t="s">
        <v>572</v>
      </c>
      <c r="F28" s="18" t="s">
        <v>192</v>
      </c>
      <c r="G28" s="63" t="s">
        <v>1165</v>
      </c>
      <c r="H28" s="22" t="s">
        <v>198</v>
      </c>
      <c r="I28" s="75" t="s">
        <v>816</v>
      </c>
      <c r="J28" s="71" t="s">
        <v>205</v>
      </c>
      <c r="K28" s="71" t="s">
        <v>205</v>
      </c>
      <c r="L28" s="71" t="s">
        <v>205</v>
      </c>
      <c r="M28" s="28">
        <v>18.0</v>
      </c>
      <c r="N28" s="26" t="str">
        <f t="shared" si="1"/>
        <v>R</v>
      </c>
      <c r="O28" s="28">
        <v>16.0</v>
      </c>
      <c r="P28" s="26" t="str">
        <f t="shared" si="2"/>
        <v>R</v>
      </c>
      <c r="Q28" s="28">
        <v>22.0</v>
      </c>
      <c r="R28" s="26" t="str">
        <f t="shared" si="3"/>
        <v>R</v>
      </c>
      <c r="S28" s="28">
        <v>20.0</v>
      </c>
      <c r="T28" s="26" t="str">
        <f t="shared" si="4"/>
        <v>I</v>
      </c>
      <c r="U28" s="28">
        <v>22.0</v>
      </c>
      <c r="V28" s="26" t="str">
        <f t="shared" si="5"/>
        <v>S</v>
      </c>
      <c r="W28" s="28">
        <v>22.0</v>
      </c>
      <c r="X28" s="26" t="str">
        <f t="shared" si="6"/>
        <v>S</v>
      </c>
      <c r="Y28" s="28">
        <v>6.0</v>
      </c>
      <c r="Z28" s="26" t="str">
        <f t="shared" si="7"/>
        <v>R</v>
      </c>
      <c r="AA28" s="32" t="s">
        <v>299</v>
      </c>
      <c r="AB28" s="65">
        <v>18.0</v>
      </c>
      <c r="AC28" s="33" t="str">
        <f t="shared" si="8"/>
        <v>I</v>
      </c>
      <c r="AD28" s="65">
        <v>21.0</v>
      </c>
      <c r="AE28" s="33" t="str">
        <f t="shared" si="9"/>
        <v>S</v>
      </c>
      <c r="AF28" s="65">
        <v>6.0</v>
      </c>
      <c r="AG28" s="33" t="str">
        <f t="shared" si="10"/>
        <v>R</v>
      </c>
      <c r="AH28" s="65">
        <v>17.0</v>
      </c>
      <c r="AI28" s="33" t="str">
        <f t="shared" si="11"/>
        <v>S</v>
      </c>
      <c r="AJ28" s="65">
        <v>6.0</v>
      </c>
      <c r="AK28" s="33" t="str">
        <f t="shared" si="12"/>
        <v>R</v>
      </c>
      <c r="AL28" s="65" t="s">
        <v>299</v>
      </c>
      <c r="AM28" s="66">
        <v>28.0</v>
      </c>
      <c r="AN28" s="36" t="str">
        <f t="shared" si="13"/>
        <v>S</v>
      </c>
      <c r="AO28" s="66">
        <v>15.0</v>
      </c>
      <c r="AP28" s="36" t="str">
        <f t="shared" si="14"/>
        <v>R</v>
      </c>
      <c r="AQ28" s="66">
        <v>19.0</v>
      </c>
      <c r="AR28" s="36" t="str">
        <f t="shared" si="15"/>
        <v>S</v>
      </c>
      <c r="AS28" s="66" t="s">
        <v>299</v>
      </c>
      <c r="AT28" s="67">
        <v>6.0</v>
      </c>
      <c r="AU28" s="37" t="str">
        <f t="shared" si="16"/>
        <v>R</v>
      </c>
      <c r="AV28" s="65">
        <v>17.0</v>
      </c>
      <c r="AW28" s="33" t="str">
        <f t="shared" si="17"/>
        <v>R</v>
      </c>
      <c r="AX28" s="65">
        <v>19.0</v>
      </c>
      <c r="AY28" s="33" t="str">
        <f t="shared" si="18"/>
        <v>S</v>
      </c>
      <c r="AZ28" s="65" t="s">
        <v>299</v>
      </c>
      <c r="BA28" s="28">
        <v>18.0</v>
      </c>
      <c r="BB28" s="26" t="str">
        <f t="shared" si="19"/>
        <v>R</v>
      </c>
      <c r="BC28" s="67">
        <v>14.0</v>
      </c>
      <c r="BD28" s="37" t="str">
        <f t="shared" si="20"/>
        <v>R</v>
      </c>
      <c r="BE28" s="66">
        <v>18.0</v>
      </c>
      <c r="BF28" s="36" t="str">
        <f t="shared" si="21"/>
        <v>R</v>
      </c>
      <c r="BG28" s="39" t="s">
        <v>357</v>
      </c>
      <c r="BH28" s="39" t="s">
        <v>357</v>
      </c>
      <c r="BI28" s="66">
        <v>19.0</v>
      </c>
      <c r="BJ28" s="36" t="str">
        <f t="shared" si="22"/>
        <v>I</v>
      </c>
      <c r="BK28" s="68">
        <v>20.0</v>
      </c>
      <c r="BL28" s="41" t="str">
        <f t="shared" si="23"/>
        <v>S</v>
      </c>
      <c r="BM28" s="41"/>
    </row>
    <row r="29">
      <c r="A29" s="18" t="s">
        <v>993</v>
      </c>
      <c r="B29" s="19">
        <v>222.0</v>
      </c>
      <c r="C29" s="18" t="s">
        <v>1168</v>
      </c>
      <c r="D29" s="69" t="s">
        <v>190</v>
      </c>
      <c r="E29" s="18" t="s">
        <v>190</v>
      </c>
      <c r="F29" s="18" t="s">
        <v>192</v>
      </c>
      <c r="G29" s="63" t="s">
        <v>1169</v>
      </c>
      <c r="H29" s="22" t="s">
        <v>198</v>
      </c>
      <c r="I29" s="75" t="s">
        <v>37</v>
      </c>
      <c r="J29" s="71" t="s">
        <v>205</v>
      </c>
      <c r="K29" s="71" t="s">
        <v>205</v>
      </c>
      <c r="L29" s="70" t="s">
        <v>208</v>
      </c>
      <c r="M29" s="28">
        <v>6.0</v>
      </c>
      <c r="N29" s="26" t="str">
        <f t="shared" si="1"/>
        <v>R</v>
      </c>
      <c r="O29" s="28">
        <v>16.0</v>
      </c>
      <c r="P29" s="26" t="str">
        <f t="shared" si="2"/>
        <v>R</v>
      </c>
      <c r="Q29" s="28">
        <v>6.0</v>
      </c>
      <c r="R29" s="26" t="str">
        <f t="shared" si="3"/>
        <v>R</v>
      </c>
      <c r="S29" s="28">
        <v>22.0</v>
      </c>
      <c r="T29" s="26" t="str">
        <f t="shared" si="4"/>
        <v>I</v>
      </c>
      <c r="U29" s="28">
        <v>6.0</v>
      </c>
      <c r="V29" s="26" t="str">
        <f t="shared" si="5"/>
        <v>R</v>
      </c>
      <c r="W29" s="28">
        <v>17.0</v>
      </c>
      <c r="X29" s="26" t="str">
        <f t="shared" si="6"/>
        <v>R</v>
      </c>
      <c r="Y29" s="28">
        <v>18.0</v>
      </c>
      <c r="Z29" s="26" t="str">
        <f t="shared" si="7"/>
        <v>I</v>
      </c>
      <c r="AA29" s="32" t="s">
        <v>299</v>
      </c>
      <c r="AB29" s="65">
        <v>6.0</v>
      </c>
      <c r="AC29" s="33" t="str">
        <f t="shared" si="8"/>
        <v>R</v>
      </c>
      <c r="AD29" s="65">
        <v>21.0</v>
      </c>
      <c r="AE29" s="33" t="str">
        <f t="shared" si="9"/>
        <v>S</v>
      </c>
      <c r="AF29" s="65">
        <v>6.0</v>
      </c>
      <c r="AG29" s="33" t="str">
        <f t="shared" si="10"/>
        <v>R</v>
      </c>
      <c r="AH29" s="65">
        <v>12.0</v>
      </c>
      <c r="AI29" s="33" t="str">
        <f t="shared" si="11"/>
        <v>R</v>
      </c>
      <c r="AJ29" s="65">
        <v>6.0</v>
      </c>
      <c r="AK29" s="33" t="str">
        <f t="shared" si="12"/>
        <v>R</v>
      </c>
      <c r="AL29" s="65" t="s">
        <v>299</v>
      </c>
      <c r="AM29" s="66">
        <v>21.0</v>
      </c>
      <c r="AN29" s="36" t="str">
        <f t="shared" si="13"/>
        <v>R</v>
      </c>
      <c r="AO29" s="66">
        <v>18.0</v>
      </c>
      <c r="AP29" s="36" t="str">
        <f t="shared" si="14"/>
        <v>R</v>
      </c>
      <c r="AQ29" s="66">
        <v>20.0</v>
      </c>
      <c r="AR29" s="36" t="str">
        <f t="shared" si="15"/>
        <v>S</v>
      </c>
      <c r="AS29" s="66" t="s">
        <v>299</v>
      </c>
      <c r="AT29" s="67">
        <v>6.0</v>
      </c>
      <c r="AU29" s="37" t="str">
        <f t="shared" si="16"/>
        <v>R</v>
      </c>
      <c r="AV29" s="65">
        <v>12.0</v>
      </c>
      <c r="AW29" s="33" t="str">
        <f t="shared" si="17"/>
        <v>R</v>
      </c>
      <c r="AX29" s="65">
        <v>17.0</v>
      </c>
      <c r="AY29" s="33" t="str">
        <f t="shared" si="18"/>
        <v>S</v>
      </c>
      <c r="AZ29" s="65" t="s">
        <v>299</v>
      </c>
      <c r="BA29" s="28">
        <v>18.0</v>
      </c>
      <c r="BB29" s="26" t="str">
        <f t="shared" si="19"/>
        <v>R</v>
      </c>
      <c r="BC29" s="67">
        <v>6.0</v>
      </c>
      <c r="BD29" s="37" t="str">
        <f t="shared" si="20"/>
        <v>R</v>
      </c>
      <c r="BE29" s="66">
        <v>25.0</v>
      </c>
      <c r="BF29" s="36" t="str">
        <f t="shared" si="21"/>
        <v>S</v>
      </c>
      <c r="BG29" s="39" t="s">
        <v>357</v>
      </c>
      <c r="BH29" s="39" t="s">
        <v>357</v>
      </c>
      <c r="BI29" s="66">
        <v>24.0</v>
      </c>
      <c r="BJ29" s="36" t="str">
        <f t="shared" si="22"/>
        <v>S</v>
      </c>
      <c r="BK29" s="68">
        <v>17.0</v>
      </c>
      <c r="BL29" s="41" t="str">
        <f t="shared" si="23"/>
        <v>S</v>
      </c>
      <c r="BM29" s="41"/>
    </row>
    <row r="30">
      <c r="A30" s="18" t="s">
        <v>993</v>
      </c>
      <c r="B30" s="19">
        <v>223.0</v>
      </c>
      <c r="C30" s="18" t="s">
        <v>1171</v>
      </c>
      <c r="D30" s="69" t="s">
        <v>571</v>
      </c>
      <c r="E30" s="18" t="s">
        <v>572</v>
      </c>
      <c r="F30" s="18" t="s">
        <v>192</v>
      </c>
      <c r="G30" s="63" t="s">
        <v>1172</v>
      </c>
      <c r="H30" s="22" t="s">
        <v>198</v>
      </c>
      <c r="I30" s="75" t="s">
        <v>1011</v>
      </c>
      <c r="J30" s="71" t="s">
        <v>208</v>
      </c>
      <c r="K30" s="70" t="s">
        <v>208</v>
      </c>
      <c r="L30" s="70" t="s">
        <v>208</v>
      </c>
      <c r="M30" s="28">
        <v>6.0</v>
      </c>
      <c r="N30" s="26" t="str">
        <f t="shared" si="1"/>
        <v>R</v>
      </c>
      <c r="O30" s="28">
        <v>10.0</v>
      </c>
      <c r="P30" s="26" t="str">
        <f t="shared" si="2"/>
        <v>R</v>
      </c>
      <c r="Q30" s="28">
        <v>22.0</v>
      </c>
      <c r="R30" s="26" t="str">
        <f t="shared" si="3"/>
        <v>R</v>
      </c>
      <c r="S30" s="28">
        <v>25.0</v>
      </c>
      <c r="T30" s="26" t="str">
        <f t="shared" si="4"/>
        <v>S</v>
      </c>
      <c r="U30" s="28">
        <v>15.0</v>
      </c>
      <c r="V30" s="26" t="str">
        <f t="shared" si="5"/>
        <v>R</v>
      </c>
      <c r="W30" s="28">
        <v>23.0</v>
      </c>
      <c r="X30" s="26" t="str">
        <f t="shared" si="6"/>
        <v>S</v>
      </c>
      <c r="Y30" s="28">
        <v>15.0</v>
      </c>
      <c r="Z30" s="26" t="str">
        <f t="shared" si="7"/>
        <v>R</v>
      </c>
      <c r="AA30" s="32" t="s">
        <v>299</v>
      </c>
      <c r="AB30" s="65">
        <v>23.0</v>
      </c>
      <c r="AC30" s="33" t="str">
        <f t="shared" si="8"/>
        <v>S</v>
      </c>
      <c r="AD30" s="65">
        <v>26.0</v>
      </c>
      <c r="AE30" s="33" t="str">
        <f t="shared" si="9"/>
        <v>S</v>
      </c>
      <c r="AF30" s="65">
        <v>22.0</v>
      </c>
      <c r="AG30" s="33" t="str">
        <f t="shared" si="10"/>
        <v>S</v>
      </c>
      <c r="AH30" s="65">
        <v>21.0</v>
      </c>
      <c r="AI30" s="33" t="str">
        <f t="shared" si="11"/>
        <v>S</v>
      </c>
      <c r="AJ30" s="65">
        <v>35.0</v>
      </c>
      <c r="AK30" s="33" t="str">
        <f t="shared" si="12"/>
        <v>S</v>
      </c>
      <c r="AL30" s="33" t="s">
        <v>300</v>
      </c>
      <c r="AM30" s="66">
        <v>28.0</v>
      </c>
      <c r="AN30" s="36" t="str">
        <f t="shared" si="13"/>
        <v>S</v>
      </c>
      <c r="AO30" s="66">
        <v>28.0</v>
      </c>
      <c r="AP30" s="36" t="str">
        <f t="shared" si="14"/>
        <v>S</v>
      </c>
      <c r="AQ30" s="66">
        <v>21.0</v>
      </c>
      <c r="AR30" s="36" t="str">
        <f t="shared" si="15"/>
        <v>S</v>
      </c>
      <c r="AS30" s="36" t="s">
        <v>300</v>
      </c>
      <c r="AT30" s="67">
        <v>26.0</v>
      </c>
      <c r="AU30" s="37" t="str">
        <f t="shared" si="16"/>
        <v>S</v>
      </c>
      <c r="AV30" s="65">
        <v>26.0</v>
      </c>
      <c r="AW30" s="33" t="str">
        <f t="shared" si="17"/>
        <v>S</v>
      </c>
      <c r="AX30" s="65">
        <v>21.0</v>
      </c>
      <c r="AY30" s="33" t="str">
        <f t="shared" si="18"/>
        <v>S</v>
      </c>
      <c r="AZ30" s="33" t="s">
        <v>300</v>
      </c>
      <c r="BA30" s="28">
        <v>17.0</v>
      </c>
      <c r="BB30" s="26" t="str">
        <f t="shared" si="19"/>
        <v>R</v>
      </c>
      <c r="BC30" s="67">
        <v>30.0</v>
      </c>
      <c r="BD30" s="37" t="str">
        <f t="shared" si="20"/>
        <v>S</v>
      </c>
      <c r="BE30" s="66">
        <v>32.0</v>
      </c>
      <c r="BF30" s="36" t="str">
        <f t="shared" si="21"/>
        <v>S</v>
      </c>
      <c r="BG30" s="39" t="s">
        <v>357</v>
      </c>
      <c r="BH30" s="39" t="s">
        <v>357</v>
      </c>
      <c r="BI30" s="66">
        <v>34.0</v>
      </c>
      <c r="BJ30" s="36" t="str">
        <f t="shared" si="22"/>
        <v>S</v>
      </c>
      <c r="BK30" s="68">
        <v>21.0</v>
      </c>
      <c r="BL30" s="41" t="str">
        <f t="shared" si="23"/>
        <v>S</v>
      </c>
      <c r="BM30" s="41"/>
    </row>
    <row r="31">
      <c r="A31" s="18" t="s">
        <v>993</v>
      </c>
      <c r="B31" s="19">
        <v>224.0</v>
      </c>
      <c r="C31" s="18" t="s">
        <v>1173</v>
      </c>
      <c r="D31" s="69" t="s">
        <v>1009</v>
      </c>
      <c r="E31" s="18" t="s">
        <v>103</v>
      </c>
      <c r="F31" s="18" t="s">
        <v>192</v>
      </c>
      <c r="G31" s="63" t="s">
        <v>1174</v>
      </c>
      <c r="H31" s="42" t="s">
        <v>479</v>
      </c>
      <c r="I31" s="75" t="s">
        <v>41</v>
      </c>
      <c r="J31" s="70" t="s">
        <v>205</v>
      </c>
      <c r="K31" s="71" t="s">
        <v>208</v>
      </c>
      <c r="L31" s="71" t="s">
        <v>205</v>
      </c>
      <c r="M31" s="28">
        <v>6.0</v>
      </c>
      <c r="N31" s="26" t="str">
        <f t="shared" si="1"/>
        <v>R</v>
      </c>
      <c r="O31" s="28">
        <v>12.0</v>
      </c>
      <c r="P31" s="26" t="str">
        <f t="shared" si="2"/>
        <v>R</v>
      </c>
      <c r="Q31" s="28">
        <v>9.0</v>
      </c>
      <c r="R31" s="26" t="str">
        <f t="shared" si="3"/>
        <v>R</v>
      </c>
      <c r="S31" s="28">
        <v>6.0</v>
      </c>
      <c r="T31" s="26" t="str">
        <f t="shared" si="4"/>
        <v>R</v>
      </c>
      <c r="U31" s="28">
        <v>20.0</v>
      </c>
      <c r="V31" s="26" t="str">
        <f t="shared" si="5"/>
        <v>S</v>
      </c>
      <c r="W31" s="28">
        <v>18.0</v>
      </c>
      <c r="X31" s="26" t="str">
        <f t="shared" si="6"/>
        <v>R</v>
      </c>
      <c r="Y31" s="28">
        <v>6.0</v>
      </c>
      <c r="Z31" s="26" t="str">
        <f t="shared" si="7"/>
        <v>R</v>
      </c>
      <c r="AA31" s="32" t="s">
        <v>299</v>
      </c>
      <c r="AB31" s="65">
        <v>16.0</v>
      </c>
      <c r="AC31" s="33" t="str">
        <f t="shared" si="8"/>
        <v>R</v>
      </c>
      <c r="AD31" s="65">
        <v>16.0</v>
      </c>
      <c r="AE31" s="33" t="str">
        <f t="shared" si="9"/>
        <v>R</v>
      </c>
      <c r="AF31" s="65">
        <v>12.0</v>
      </c>
      <c r="AG31" s="33" t="str">
        <f t="shared" si="10"/>
        <v>R</v>
      </c>
      <c r="AH31" s="65">
        <v>13.0</v>
      </c>
      <c r="AI31" s="33" t="str">
        <f t="shared" si="11"/>
        <v>S</v>
      </c>
      <c r="AJ31" s="65">
        <v>19.0</v>
      </c>
      <c r="AK31" s="33" t="str">
        <f t="shared" si="12"/>
        <v>R</v>
      </c>
      <c r="AL31" s="65" t="s">
        <v>299</v>
      </c>
      <c r="AM31" s="66">
        <v>14.0</v>
      </c>
      <c r="AN31" s="36" t="str">
        <f t="shared" si="13"/>
        <v>R</v>
      </c>
      <c r="AO31" s="66">
        <v>12.0</v>
      </c>
      <c r="AP31" s="36" t="str">
        <f t="shared" si="14"/>
        <v>R</v>
      </c>
      <c r="AQ31" s="66">
        <v>12.0</v>
      </c>
      <c r="AR31" s="36" t="str">
        <f t="shared" si="15"/>
        <v>R</v>
      </c>
      <c r="AS31" s="66" t="s">
        <v>299</v>
      </c>
      <c r="AT31" s="67">
        <v>10.0</v>
      </c>
      <c r="AU31" s="37" t="str">
        <f t="shared" si="16"/>
        <v>R</v>
      </c>
      <c r="AV31" s="65">
        <v>17.0</v>
      </c>
      <c r="AW31" s="33" t="str">
        <f t="shared" si="17"/>
        <v>R</v>
      </c>
      <c r="AX31" s="65">
        <v>22.0</v>
      </c>
      <c r="AY31" s="33" t="str">
        <f t="shared" si="18"/>
        <v>S</v>
      </c>
      <c r="AZ31" s="65" t="s">
        <v>299</v>
      </c>
      <c r="BA31" s="28">
        <v>6.0</v>
      </c>
      <c r="BB31" s="26" t="str">
        <f t="shared" si="19"/>
        <v>R</v>
      </c>
      <c r="BC31" s="67">
        <v>15.0</v>
      </c>
      <c r="BD31" s="37" t="str">
        <f t="shared" si="20"/>
        <v>R</v>
      </c>
      <c r="BE31" s="66">
        <v>22.0</v>
      </c>
      <c r="BF31" s="36" t="str">
        <f t="shared" si="21"/>
        <v>R</v>
      </c>
      <c r="BG31" s="39" t="s">
        <v>357</v>
      </c>
      <c r="BH31" s="39" t="s">
        <v>357</v>
      </c>
      <c r="BI31" s="66">
        <v>15.0</v>
      </c>
      <c r="BJ31" s="36" t="str">
        <f t="shared" si="22"/>
        <v>R</v>
      </c>
      <c r="BK31" s="68">
        <v>20.0</v>
      </c>
      <c r="BL31" s="41" t="str">
        <f t="shared" si="23"/>
        <v>S</v>
      </c>
      <c r="BM31" s="41"/>
    </row>
    <row r="32">
      <c r="A32" s="18" t="s">
        <v>1002</v>
      </c>
      <c r="B32" s="19">
        <v>225.0</v>
      </c>
      <c r="C32" s="18" t="s">
        <v>1175</v>
      </c>
      <c r="D32" s="69" t="s">
        <v>190</v>
      </c>
      <c r="E32" s="18" t="s">
        <v>190</v>
      </c>
      <c r="F32" s="18" t="s">
        <v>192</v>
      </c>
      <c r="G32" s="63" t="s">
        <v>1176</v>
      </c>
      <c r="H32" s="72" t="s">
        <v>1163</v>
      </c>
      <c r="I32" s="75" t="s">
        <v>37</v>
      </c>
      <c r="J32" s="71" t="s">
        <v>205</v>
      </c>
      <c r="K32" s="71" t="s">
        <v>205</v>
      </c>
      <c r="L32" s="70" t="s">
        <v>208</v>
      </c>
      <c r="M32" s="28">
        <v>6.0</v>
      </c>
      <c r="N32" s="26" t="str">
        <f t="shared" si="1"/>
        <v>R</v>
      </c>
      <c r="O32" s="28">
        <v>17.0</v>
      </c>
      <c r="P32" s="26" t="str">
        <f t="shared" si="2"/>
        <v>R</v>
      </c>
      <c r="Q32" s="28">
        <v>6.0</v>
      </c>
      <c r="R32" s="26" t="str">
        <f t="shared" si="3"/>
        <v>R</v>
      </c>
      <c r="S32" s="28">
        <v>22.0</v>
      </c>
      <c r="T32" s="26" t="str">
        <f t="shared" si="4"/>
        <v>I</v>
      </c>
      <c r="U32" s="28">
        <v>6.0</v>
      </c>
      <c r="V32" s="26" t="str">
        <f t="shared" si="5"/>
        <v>R</v>
      </c>
      <c r="W32" s="28">
        <v>17.0</v>
      </c>
      <c r="X32" s="26" t="str">
        <f t="shared" si="6"/>
        <v>R</v>
      </c>
      <c r="Y32" s="28">
        <v>19.0</v>
      </c>
      <c r="Z32" s="26" t="str">
        <f t="shared" si="7"/>
        <v>I</v>
      </c>
      <c r="AA32" s="32" t="s">
        <v>299</v>
      </c>
      <c r="AB32" s="65">
        <v>6.0</v>
      </c>
      <c r="AC32" s="33" t="str">
        <f t="shared" si="8"/>
        <v>R</v>
      </c>
      <c r="AD32" s="65">
        <v>22.0</v>
      </c>
      <c r="AE32" s="33" t="str">
        <f t="shared" si="9"/>
        <v>S</v>
      </c>
      <c r="AF32" s="65">
        <v>6.0</v>
      </c>
      <c r="AG32" s="33" t="str">
        <f t="shared" si="10"/>
        <v>R</v>
      </c>
      <c r="AH32" s="65">
        <v>19.0</v>
      </c>
      <c r="AI32" s="33" t="str">
        <f t="shared" si="11"/>
        <v>S</v>
      </c>
      <c r="AJ32" s="65">
        <v>16.0</v>
      </c>
      <c r="AK32" s="33" t="str">
        <f t="shared" si="12"/>
        <v>R</v>
      </c>
      <c r="AL32" s="65" t="s">
        <v>299</v>
      </c>
      <c r="AM32" s="66">
        <v>11.0</v>
      </c>
      <c r="AN32" s="36" t="str">
        <f t="shared" si="13"/>
        <v>R</v>
      </c>
      <c r="AO32" s="66">
        <v>14.0</v>
      </c>
      <c r="AP32" s="36" t="str">
        <f t="shared" si="14"/>
        <v>R</v>
      </c>
      <c r="AQ32" s="66">
        <v>6.0</v>
      </c>
      <c r="AR32" s="36" t="str">
        <f t="shared" si="15"/>
        <v>R</v>
      </c>
      <c r="AS32" s="66" t="s">
        <v>299</v>
      </c>
      <c r="AT32" s="67">
        <v>6.0</v>
      </c>
      <c r="AU32" s="37" t="str">
        <f t="shared" si="16"/>
        <v>R</v>
      </c>
      <c r="AV32" s="65">
        <v>14.0</v>
      </c>
      <c r="AW32" s="33" t="str">
        <f t="shared" si="17"/>
        <v>R</v>
      </c>
      <c r="AX32" s="65">
        <v>14.0</v>
      </c>
      <c r="AY32" s="33" t="str">
        <f t="shared" si="18"/>
        <v>R</v>
      </c>
      <c r="AZ32" s="65" t="s">
        <v>299</v>
      </c>
      <c r="BA32" s="28">
        <v>6.0</v>
      </c>
      <c r="BB32" s="26" t="str">
        <f t="shared" si="19"/>
        <v>R</v>
      </c>
      <c r="BC32" s="67">
        <v>17.0</v>
      </c>
      <c r="BD32" s="37" t="str">
        <f t="shared" si="20"/>
        <v>R</v>
      </c>
      <c r="BE32" s="66">
        <v>23.0</v>
      </c>
      <c r="BF32" s="36" t="str">
        <f t="shared" si="21"/>
        <v>S</v>
      </c>
      <c r="BG32" s="39" t="s">
        <v>357</v>
      </c>
      <c r="BH32" s="39" t="s">
        <v>357</v>
      </c>
      <c r="BI32" s="66">
        <v>23.0</v>
      </c>
      <c r="BJ32" s="36" t="str">
        <f t="shared" si="22"/>
        <v>S</v>
      </c>
      <c r="BK32" s="68">
        <v>17.0</v>
      </c>
      <c r="BL32" s="41" t="str">
        <f t="shared" si="23"/>
        <v>S</v>
      </c>
      <c r="BM32" s="41"/>
    </row>
    <row r="33">
      <c r="A33" s="18" t="s">
        <v>1002</v>
      </c>
      <c r="B33" s="19">
        <v>226.0</v>
      </c>
      <c r="C33" s="18" t="s">
        <v>1182</v>
      </c>
      <c r="D33" s="69" t="s">
        <v>571</v>
      </c>
      <c r="E33" s="18" t="s">
        <v>572</v>
      </c>
      <c r="F33" s="18" t="s">
        <v>192</v>
      </c>
      <c r="G33" s="63" t="s">
        <v>1183</v>
      </c>
      <c r="H33" s="22" t="s">
        <v>198</v>
      </c>
      <c r="I33" s="75" t="s">
        <v>481</v>
      </c>
      <c r="J33" s="70" t="s">
        <v>205</v>
      </c>
      <c r="K33" s="70" t="s">
        <v>208</v>
      </c>
      <c r="L33" s="70" t="s">
        <v>208</v>
      </c>
      <c r="M33" s="28">
        <v>14.0</v>
      </c>
      <c r="N33" s="26" t="str">
        <f t="shared" si="1"/>
        <v>R</v>
      </c>
      <c r="O33" s="28">
        <v>20.0</v>
      </c>
      <c r="P33" s="26" t="str">
        <f t="shared" si="2"/>
        <v>S</v>
      </c>
      <c r="Q33" s="28">
        <v>20.0</v>
      </c>
      <c r="R33" s="26" t="str">
        <f t="shared" si="3"/>
        <v>R</v>
      </c>
      <c r="S33" s="28">
        <v>18.0</v>
      </c>
      <c r="T33" s="26" t="str">
        <f t="shared" si="4"/>
        <v>R</v>
      </c>
      <c r="U33" s="28">
        <v>16.0</v>
      </c>
      <c r="V33" s="26" t="str">
        <f t="shared" si="5"/>
        <v>R</v>
      </c>
      <c r="W33" s="28">
        <v>15.0</v>
      </c>
      <c r="X33" s="26" t="str">
        <f t="shared" si="6"/>
        <v>R</v>
      </c>
      <c r="Y33" s="28">
        <v>6.0</v>
      </c>
      <c r="Z33" s="26" t="str">
        <f t="shared" si="7"/>
        <v>R</v>
      </c>
      <c r="AA33" s="32" t="s">
        <v>299</v>
      </c>
      <c r="AB33" s="65">
        <v>20.0</v>
      </c>
      <c r="AC33" s="33" t="str">
        <f t="shared" si="8"/>
        <v>S</v>
      </c>
      <c r="AD33" s="65">
        <v>16.0</v>
      </c>
      <c r="AE33" s="33" t="str">
        <f t="shared" si="9"/>
        <v>R</v>
      </c>
      <c r="AF33" s="65">
        <v>11.0</v>
      </c>
      <c r="AG33" s="33" t="str">
        <f t="shared" si="10"/>
        <v>R</v>
      </c>
      <c r="AH33" s="65">
        <v>12.0</v>
      </c>
      <c r="AI33" s="33" t="str">
        <f t="shared" si="11"/>
        <v>R</v>
      </c>
      <c r="AJ33" s="65">
        <v>18.0</v>
      </c>
      <c r="AK33" s="33" t="str">
        <f t="shared" si="12"/>
        <v>R</v>
      </c>
      <c r="AL33" s="65" t="s">
        <v>299</v>
      </c>
      <c r="AM33" s="66">
        <v>15.0</v>
      </c>
      <c r="AN33" s="36" t="str">
        <f t="shared" si="13"/>
        <v>R</v>
      </c>
      <c r="AO33" s="66">
        <v>12.0</v>
      </c>
      <c r="AP33" s="36" t="str">
        <f t="shared" si="14"/>
        <v>R</v>
      </c>
      <c r="AQ33" s="66">
        <v>6.0</v>
      </c>
      <c r="AR33" s="36" t="str">
        <f t="shared" si="15"/>
        <v>R</v>
      </c>
      <c r="AS33" s="66" t="s">
        <v>299</v>
      </c>
      <c r="AT33" s="67">
        <v>6.0</v>
      </c>
      <c r="AU33" s="37" t="str">
        <f t="shared" si="16"/>
        <v>R</v>
      </c>
      <c r="AV33" s="65">
        <v>16.0</v>
      </c>
      <c r="AW33" s="33" t="str">
        <f t="shared" si="17"/>
        <v>R</v>
      </c>
      <c r="AX33" s="65">
        <v>15.0</v>
      </c>
      <c r="AY33" s="33" t="str">
        <f t="shared" si="18"/>
        <v>R</v>
      </c>
      <c r="AZ33" s="65" t="s">
        <v>299</v>
      </c>
      <c r="BA33" s="28">
        <v>14.0</v>
      </c>
      <c r="BB33" s="26" t="str">
        <f t="shared" si="19"/>
        <v>R</v>
      </c>
      <c r="BC33" s="67">
        <v>14.0</v>
      </c>
      <c r="BD33" s="37" t="str">
        <f t="shared" si="20"/>
        <v>R</v>
      </c>
      <c r="BE33" s="66">
        <v>17.0</v>
      </c>
      <c r="BF33" s="36" t="str">
        <f t="shared" si="21"/>
        <v>R</v>
      </c>
      <c r="BG33" s="39" t="s">
        <v>357</v>
      </c>
      <c r="BH33" s="39" t="s">
        <v>357</v>
      </c>
      <c r="BI33" s="66">
        <v>28.0</v>
      </c>
      <c r="BJ33" s="36" t="str">
        <f t="shared" si="22"/>
        <v>S</v>
      </c>
      <c r="BK33" s="68">
        <v>12.0</v>
      </c>
      <c r="BL33" s="41" t="str">
        <f t="shared" si="23"/>
        <v>R</v>
      </c>
      <c r="BM33" s="41"/>
    </row>
    <row r="34">
      <c r="A34" s="18" t="s">
        <v>1006</v>
      </c>
      <c r="B34" s="19">
        <v>227.0</v>
      </c>
      <c r="C34" s="18" t="s">
        <v>1184</v>
      </c>
      <c r="D34" s="69" t="s">
        <v>190</v>
      </c>
      <c r="E34" s="18" t="s">
        <v>190</v>
      </c>
      <c r="F34" s="18" t="s">
        <v>192</v>
      </c>
      <c r="G34" s="63" t="s">
        <v>1185</v>
      </c>
      <c r="H34" s="22" t="s">
        <v>198</v>
      </c>
      <c r="I34" s="75" t="s">
        <v>37</v>
      </c>
      <c r="J34" s="71" t="s">
        <v>205</v>
      </c>
      <c r="K34" s="71" t="s">
        <v>205</v>
      </c>
      <c r="L34" s="70" t="s">
        <v>208</v>
      </c>
      <c r="M34" s="28">
        <v>6.0</v>
      </c>
      <c r="N34" s="26" t="str">
        <f t="shared" si="1"/>
        <v>R</v>
      </c>
      <c r="O34" s="28">
        <v>15.0</v>
      </c>
      <c r="P34" s="26" t="str">
        <f t="shared" si="2"/>
        <v>R</v>
      </c>
      <c r="Q34" s="28">
        <v>6.0</v>
      </c>
      <c r="R34" s="26" t="str">
        <f t="shared" si="3"/>
        <v>R</v>
      </c>
      <c r="S34" s="28">
        <v>19.0</v>
      </c>
      <c r="T34" s="26" t="str">
        <f t="shared" si="4"/>
        <v>R</v>
      </c>
      <c r="U34" s="28">
        <v>6.0</v>
      </c>
      <c r="V34" s="26" t="str">
        <f t="shared" si="5"/>
        <v>R</v>
      </c>
      <c r="W34" s="28">
        <v>15.0</v>
      </c>
      <c r="X34" s="26" t="str">
        <f t="shared" si="6"/>
        <v>R</v>
      </c>
      <c r="Y34" s="28">
        <v>18.0</v>
      </c>
      <c r="Z34" s="26" t="str">
        <f t="shared" si="7"/>
        <v>I</v>
      </c>
      <c r="AA34" s="32" t="s">
        <v>299</v>
      </c>
      <c r="AB34" s="65">
        <v>12.0</v>
      </c>
      <c r="AC34" s="33" t="str">
        <f t="shared" si="8"/>
        <v>R</v>
      </c>
      <c r="AD34" s="65">
        <v>18.0</v>
      </c>
      <c r="AE34" s="33" t="str">
        <f t="shared" si="9"/>
        <v>S</v>
      </c>
      <c r="AF34" s="65">
        <v>6.0</v>
      </c>
      <c r="AG34" s="33" t="str">
        <f t="shared" si="10"/>
        <v>R</v>
      </c>
      <c r="AH34" s="65">
        <v>18.0</v>
      </c>
      <c r="AI34" s="33" t="str">
        <f t="shared" si="11"/>
        <v>S</v>
      </c>
      <c r="AJ34" s="65">
        <v>16.0</v>
      </c>
      <c r="AK34" s="33" t="str">
        <f t="shared" si="12"/>
        <v>R</v>
      </c>
      <c r="AL34" s="65" t="s">
        <v>299</v>
      </c>
      <c r="AM34" s="66">
        <v>12.0</v>
      </c>
      <c r="AN34" s="36" t="str">
        <f t="shared" si="13"/>
        <v>R</v>
      </c>
      <c r="AO34" s="66">
        <v>17.0</v>
      </c>
      <c r="AP34" s="36" t="str">
        <f t="shared" si="14"/>
        <v>R</v>
      </c>
      <c r="AQ34" s="66">
        <v>6.0</v>
      </c>
      <c r="AR34" s="36" t="str">
        <f t="shared" si="15"/>
        <v>R</v>
      </c>
      <c r="AS34" s="66" t="s">
        <v>299</v>
      </c>
      <c r="AT34" s="67">
        <v>6.0</v>
      </c>
      <c r="AU34" s="37" t="str">
        <f t="shared" si="16"/>
        <v>R</v>
      </c>
      <c r="AV34" s="65">
        <v>21.0</v>
      </c>
      <c r="AW34" s="33" t="str">
        <f t="shared" si="17"/>
        <v>S</v>
      </c>
      <c r="AX34" s="65">
        <v>15.0</v>
      </c>
      <c r="AY34" s="33" t="str">
        <f t="shared" si="18"/>
        <v>R</v>
      </c>
      <c r="AZ34" s="65" t="s">
        <v>299</v>
      </c>
      <c r="BA34" s="28">
        <v>9.0</v>
      </c>
      <c r="BB34" s="26" t="str">
        <f t="shared" si="19"/>
        <v>R</v>
      </c>
      <c r="BC34" s="67">
        <v>10.0</v>
      </c>
      <c r="BD34" s="37" t="str">
        <f t="shared" si="20"/>
        <v>R</v>
      </c>
      <c r="BE34" s="66">
        <v>23.0</v>
      </c>
      <c r="BF34" s="36" t="str">
        <f t="shared" si="21"/>
        <v>S</v>
      </c>
      <c r="BG34" s="39" t="s">
        <v>357</v>
      </c>
      <c r="BH34" s="39" t="s">
        <v>357</v>
      </c>
      <c r="BI34" s="66">
        <v>21.0</v>
      </c>
      <c r="BJ34" s="36" t="str">
        <f t="shared" si="22"/>
        <v>I</v>
      </c>
      <c r="BK34" s="68">
        <v>11.0</v>
      </c>
      <c r="BL34" s="41" t="str">
        <f t="shared" si="23"/>
        <v>R</v>
      </c>
      <c r="BM34" s="41"/>
    </row>
    <row r="35">
      <c r="A35" s="18" t="s">
        <v>1006</v>
      </c>
      <c r="B35" s="19">
        <v>228.0</v>
      </c>
      <c r="C35" s="18" t="s">
        <v>1186</v>
      </c>
      <c r="D35" s="69" t="s">
        <v>571</v>
      </c>
      <c r="E35" s="18" t="s">
        <v>572</v>
      </c>
      <c r="F35" s="18" t="s">
        <v>192</v>
      </c>
      <c r="G35" s="63" t="s">
        <v>1187</v>
      </c>
      <c r="H35" s="22" t="s">
        <v>198</v>
      </c>
      <c r="I35" s="75" t="s">
        <v>481</v>
      </c>
      <c r="J35" s="70" t="s">
        <v>205</v>
      </c>
      <c r="K35" s="70" t="s">
        <v>208</v>
      </c>
      <c r="L35" s="70" t="s">
        <v>208</v>
      </c>
      <c r="M35" s="28">
        <v>6.0</v>
      </c>
      <c r="N35" s="26" t="str">
        <f t="shared" si="1"/>
        <v>R</v>
      </c>
      <c r="O35" s="28">
        <v>19.0</v>
      </c>
      <c r="P35" s="26" t="str">
        <f t="shared" si="2"/>
        <v>S</v>
      </c>
      <c r="Q35" s="28">
        <v>6.0</v>
      </c>
      <c r="R35" s="26" t="str">
        <f t="shared" si="3"/>
        <v>R</v>
      </c>
      <c r="S35" s="28">
        <v>23.0</v>
      </c>
      <c r="T35" s="26" t="str">
        <f t="shared" si="4"/>
        <v>S</v>
      </c>
      <c r="U35" s="28">
        <v>11.0</v>
      </c>
      <c r="V35" s="26" t="str">
        <f t="shared" si="5"/>
        <v>R</v>
      </c>
      <c r="W35" s="28">
        <v>23.0</v>
      </c>
      <c r="X35" s="26" t="str">
        <f t="shared" si="6"/>
        <v>S</v>
      </c>
      <c r="Y35" s="28">
        <v>27.0</v>
      </c>
      <c r="Z35" s="26" t="str">
        <f t="shared" si="7"/>
        <v>S</v>
      </c>
      <c r="AA35" s="32" t="s">
        <v>299</v>
      </c>
      <c r="AB35" s="65">
        <v>17.0</v>
      </c>
      <c r="AC35" s="33" t="str">
        <f t="shared" si="8"/>
        <v>I</v>
      </c>
      <c r="AD35" s="65">
        <v>24.0</v>
      </c>
      <c r="AE35" s="33" t="str">
        <f t="shared" si="9"/>
        <v>S</v>
      </c>
      <c r="AF35" s="65">
        <v>21.0</v>
      </c>
      <c r="AG35" s="33" t="str">
        <f t="shared" si="10"/>
        <v>I</v>
      </c>
      <c r="AH35" s="65">
        <v>24.0</v>
      </c>
      <c r="AI35" s="33" t="str">
        <f t="shared" si="11"/>
        <v>S</v>
      </c>
      <c r="AJ35" s="65">
        <v>23.0</v>
      </c>
      <c r="AK35" s="33" t="str">
        <f t="shared" si="12"/>
        <v>R</v>
      </c>
      <c r="AL35" s="65" t="s">
        <v>299</v>
      </c>
      <c r="AM35" s="66">
        <v>32.0</v>
      </c>
      <c r="AN35" s="36" t="str">
        <f t="shared" si="13"/>
        <v>S</v>
      </c>
      <c r="AO35" s="66">
        <v>26.0</v>
      </c>
      <c r="AP35" s="36" t="str">
        <f t="shared" si="14"/>
        <v>S</v>
      </c>
      <c r="AQ35" s="66">
        <v>26.0</v>
      </c>
      <c r="AR35" s="36" t="str">
        <f t="shared" si="15"/>
        <v>S</v>
      </c>
      <c r="AS35" s="36" t="s">
        <v>300</v>
      </c>
      <c r="AT35" s="67">
        <v>6.0</v>
      </c>
      <c r="AU35" s="37" t="str">
        <f t="shared" si="16"/>
        <v>R</v>
      </c>
      <c r="AV35" s="65">
        <v>24.0</v>
      </c>
      <c r="AW35" s="33" t="str">
        <f t="shared" si="17"/>
        <v>S</v>
      </c>
      <c r="AX35" s="65">
        <v>24.0</v>
      </c>
      <c r="AY35" s="33" t="str">
        <f t="shared" si="18"/>
        <v>S</v>
      </c>
      <c r="AZ35" s="33" t="s">
        <v>300</v>
      </c>
      <c r="BA35" s="28">
        <v>6.0</v>
      </c>
      <c r="BB35" s="26" t="str">
        <f t="shared" si="19"/>
        <v>R</v>
      </c>
      <c r="BC35" s="67">
        <v>26.0</v>
      </c>
      <c r="BD35" s="37" t="str">
        <f t="shared" si="20"/>
        <v>S</v>
      </c>
      <c r="BE35" s="66">
        <v>34.0</v>
      </c>
      <c r="BF35" s="36" t="str">
        <f t="shared" si="21"/>
        <v>S</v>
      </c>
      <c r="BG35" s="39" t="s">
        <v>357</v>
      </c>
      <c r="BH35" s="39" t="s">
        <v>357</v>
      </c>
      <c r="BI35" s="66">
        <v>27.0</v>
      </c>
      <c r="BJ35" s="36" t="str">
        <f t="shared" si="22"/>
        <v>S</v>
      </c>
      <c r="BK35" s="68">
        <v>23.0</v>
      </c>
      <c r="BL35" s="41" t="str">
        <f t="shared" si="23"/>
        <v>S</v>
      </c>
      <c r="BM35" s="41"/>
    </row>
    <row r="36">
      <c r="A36" s="18" t="s">
        <v>1006</v>
      </c>
      <c r="B36" s="19">
        <v>229.0</v>
      </c>
      <c r="C36" s="18" t="s">
        <v>1188</v>
      </c>
      <c r="D36" s="69" t="s">
        <v>705</v>
      </c>
      <c r="E36" s="18" t="s">
        <v>572</v>
      </c>
      <c r="F36" s="18" t="s">
        <v>192</v>
      </c>
      <c r="G36" s="63" t="s">
        <v>1189</v>
      </c>
      <c r="H36" s="42" t="s">
        <v>479</v>
      </c>
      <c r="I36" s="75" t="s">
        <v>481</v>
      </c>
      <c r="J36" s="70" t="s">
        <v>205</v>
      </c>
      <c r="K36" s="70" t="s">
        <v>208</v>
      </c>
      <c r="L36" s="70" t="s">
        <v>208</v>
      </c>
      <c r="M36" s="28">
        <v>6.0</v>
      </c>
      <c r="N36" s="26" t="str">
        <f t="shared" si="1"/>
        <v>R</v>
      </c>
      <c r="O36" s="28">
        <v>8.0</v>
      </c>
      <c r="P36" s="26" t="str">
        <f t="shared" si="2"/>
        <v>R</v>
      </c>
      <c r="Q36" s="28">
        <v>9.0</v>
      </c>
      <c r="R36" s="26" t="str">
        <f t="shared" si="3"/>
        <v>R</v>
      </c>
      <c r="S36" s="28">
        <v>22.0</v>
      </c>
      <c r="T36" s="26" t="str">
        <f t="shared" si="4"/>
        <v>I</v>
      </c>
      <c r="U36" s="28">
        <v>10.0</v>
      </c>
      <c r="V36" s="26" t="str">
        <f t="shared" si="5"/>
        <v>R</v>
      </c>
      <c r="W36" s="28">
        <v>20.0</v>
      </c>
      <c r="X36" s="26" t="str">
        <f t="shared" si="6"/>
        <v>S</v>
      </c>
      <c r="Y36" s="28">
        <v>16.0</v>
      </c>
      <c r="Z36" s="26" t="str">
        <f t="shared" si="7"/>
        <v>R</v>
      </c>
      <c r="AA36" s="32" t="s">
        <v>299</v>
      </c>
      <c r="AB36" s="65">
        <v>19.0</v>
      </c>
      <c r="AC36" s="33" t="str">
        <f t="shared" si="8"/>
        <v>I</v>
      </c>
      <c r="AD36" s="65">
        <v>10.0</v>
      </c>
      <c r="AE36" s="33" t="str">
        <f t="shared" si="9"/>
        <v>R</v>
      </c>
      <c r="AF36" s="65">
        <v>6.0</v>
      </c>
      <c r="AG36" s="33" t="str">
        <f t="shared" si="10"/>
        <v>R</v>
      </c>
      <c r="AH36" s="65">
        <v>19.0</v>
      </c>
      <c r="AI36" s="33" t="str">
        <f t="shared" si="11"/>
        <v>S</v>
      </c>
      <c r="AJ36" s="65">
        <v>16.0</v>
      </c>
      <c r="AK36" s="33" t="str">
        <f t="shared" si="12"/>
        <v>R</v>
      </c>
      <c r="AL36" s="65" t="s">
        <v>299</v>
      </c>
      <c r="AM36" s="66">
        <v>21.0</v>
      </c>
      <c r="AN36" s="36" t="str">
        <f t="shared" si="13"/>
        <v>R</v>
      </c>
      <c r="AO36" s="66">
        <v>20.0</v>
      </c>
      <c r="AP36" s="36" t="str">
        <f t="shared" si="14"/>
        <v>I</v>
      </c>
      <c r="AQ36" s="66">
        <v>16.0</v>
      </c>
      <c r="AR36" s="36" t="str">
        <f t="shared" si="15"/>
        <v>S</v>
      </c>
      <c r="AS36" s="66" t="s">
        <v>299</v>
      </c>
      <c r="AT36" s="67">
        <v>18.0</v>
      </c>
      <c r="AU36" s="37" t="str">
        <f t="shared" si="16"/>
        <v>S</v>
      </c>
      <c r="AV36" s="65">
        <v>20.0</v>
      </c>
      <c r="AW36" s="33" t="str">
        <f t="shared" si="17"/>
        <v>S</v>
      </c>
      <c r="AX36" s="65">
        <v>19.0</v>
      </c>
      <c r="AY36" s="33" t="str">
        <f t="shared" si="18"/>
        <v>S</v>
      </c>
      <c r="AZ36" s="33" t="s">
        <v>300</v>
      </c>
      <c r="BA36" s="28">
        <v>19.0</v>
      </c>
      <c r="BB36" s="26" t="str">
        <f t="shared" si="19"/>
        <v>R</v>
      </c>
      <c r="BC36" s="67">
        <v>16.0</v>
      </c>
      <c r="BD36" s="37" t="str">
        <f t="shared" si="20"/>
        <v>R</v>
      </c>
      <c r="BE36" s="66">
        <v>21.0</v>
      </c>
      <c r="BF36" s="36" t="str">
        <f t="shared" si="21"/>
        <v>R</v>
      </c>
      <c r="BG36" s="39" t="s">
        <v>357</v>
      </c>
      <c r="BH36" s="39" t="s">
        <v>357</v>
      </c>
      <c r="BI36" s="66">
        <v>19.0</v>
      </c>
      <c r="BJ36" s="36" t="str">
        <f t="shared" si="22"/>
        <v>I</v>
      </c>
      <c r="BK36" s="68">
        <v>20.0</v>
      </c>
      <c r="BL36" s="41" t="str">
        <f t="shared" si="23"/>
        <v>S</v>
      </c>
      <c r="BM36" s="41"/>
    </row>
    <row r="37">
      <c r="A37" s="18" t="s">
        <v>1012</v>
      </c>
      <c r="B37" s="19">
        <v>230.0</v>
      </c>
      <c r="C37" s="18" t="s">
        <v>1190</v>
      </c>
      <c r="D37" s="69" t="s">
        <v>571</v>
      </c>
      <c r="E37" s="18" t="s">
        <v>572</v>
      </c>
      <c r="F37" s="18" t="s">
        <v>192</v>
      </c>
      <c r="G37" s="63" t="s">
        <v>1191</v>
      </c>
      <c r="H37" s="22" t="s">
        <v>198</v>
      </c>
      <c r="I37" s="75" t="s">
        <v>37</v>
      </c>
      <c r="J37" s="71" t="s">
        <v>205</v>
      </c>
      <c r="K37" s="71" t="s">
        <v>205</v>
      </c>
      <c r="L37" s="70" t="s">
        <v>208</v>
      </c>
      <c r="M37" s="28">
        <v>6.0</v>
      </c>
      <c r="N37" s="26" t="str">
        <f t="shared" si="1"/>
        <v>R</v>
      </c>
      <c r="O37" s="28">
        <v>18.0</v>
      </c>
      <c r="P37" s="26" t="str">
        <f t="shared" si="2"/>
        <v>R</v>
      </c>
      <c r="Q37" s="28">
        <v>6.0</v>
      </c>
      <c r="R37" s="26" t="str">
        <f t="shared" si="3"/>
        <v>R</v>
      </c>
      <c r="S37" s="28">
        <v>24.0</v>
      </c>
      <c r="T37" s="26" t="str">
        <f t="shared" si="4"/>
        <v>S</v>
      </c>
      <c r="U37" s="28">
        <v>6.0</v>
      </c>
      <c r="V37" s="26" t="str">
        <f t="shared" si="5"/>
        <v>R</v>
      </c>
      <c r="W37" s="28">
        <v>21.0</v>
      </c>
      <c r="X37" s="26" t="str">
        <f t="shared" si="6"/>
        <v>S</v>
      </c>
      <c r="Y37" s="28">
        <v>18.0</v>
      </c>
      <c r="Z37" s="26" t="str">
        <f t="shared" si="7"/>
        <v>I</v>
      </c>
      <c r="AA37" s="32" t="s">
        <v>299</v>
      </c>
      <c r="AB37" s="65">
        <v>6.0</v>
      </c>
      <c r="AC37" s="33" t="str">
        <f t="shared" si="8"/>
        <v>R</v>
      </c>
      <c r="AD37" s="65">
        <v>29.0</v>
      </c>
      <c r="AE37" s="33" t="str">
        <f t="shared" si="9"/>
        <v>S</v>
      </c>
      <c r="AF37" s="65">
        <v>6.0</v>
      </c>
      <c r="AG37" s="33" t="str">
        <f t="shared" si="10"/>
        <v>R</v>
      </c>
      <c r="AH37" s="65">
        <v>22.0</v>
      </c>
      <c r="AI37" s="33" t="str">
        <f t="shared" si="11"/>
        <v>S</v>
      </c>
      <c r="AJ37" s="65">
        <v>14.0</v>
      </c>
      <c r="AK37" s="33" t="str">
        <f t="shared" si="12"/>
        <v>R</v>
      </c>
      <c r="AL37" s="65" t="s">
        <v>299</v>
      </c>
      <c r="AM37" s="66">
        <v>6.0</v>
      </c>
      <c r="AN37" s="36" t="str">
        <f t="shared" si="13"/>
        <v>R</v>
      </c>
      <c r="AO37" s="66">
        <v>10.0</v>
      </c>
      <c r="AP37" s="36" t="str">
        <f t="shared" si="14"/>
        <v>R</v>
      </c>
      <c r="AQ37" s="66">
        <v>6.0</v>
      </c>
      <c r="AR37" s="36" t="str">
        <f t="shared" si="15"/>
        <v>R</v>
      </c>
      <c r="AS37" s="66" t="s">
        <v>299</v>
      </c>
      <c r="AT37" s="67">
        <v>6.0</v>
      </c>
      <c r="AU37" s="37" t="str">
        <f t="shared" si="16"/>
        <v>R</v>
      </c>
      <c r="AV37" s="65">
        <v>20.0</v>
      </c>
      <c r="AW37" s="33" t="str">
        <f t="shared" si="17"/>
        <v>S</v>
      </c>
      <c r="AX37" s="65">
        <v>16.0</v>
      </c>
      <c r="AY37" s="33" t="str">
        <f t="shared" si="18"/>
        <v>S</v>
      </c>
      <c r="AZ37" s="33" t="s">
        <v>300</v>
      </c>
      <c r="BA37" s="28">
        <v>6.0</v>
      </c>
      <c r="BB37" s="26" t="str">
        <f t="shared" si="19"/>
        <v>R</v>
      </c>
      <c r="BC37" s="67">
        <v>11.0</v>
      </c>
      <c r="BD37" s="37" t="str">
        <f t="shared" si="20"/>
        <v>R</v>
      </c>
      <c r="BE37" s="66">
        <v>21.0</v>
      </c>
      <c r="BF37" s="36" t="str">
        <f t="shared" si="21"/>
        <v>R</v>
      </c>
      <c r="BG37" s="39" t="s">
        <v>357</v>
      </c>
      <c r="BH37" s="39" t="s">
        <v>357</v>
      </c>
      <c r="BI37" s="66">
        <v>25.0</v>
      </c>
      <c r="BJ37" s="36" t="str">
        <f t="shared" si="22"/>
        <v>S</v>
      </c>
      <c r="BK37" s="68">
        <v>9.0</v>
      </c>
      <c r="BL37" s="41" t="str">
        <f t="shared" si="23"/>
        <v>R</v>
      </c>
      <c r="BM37" s="41"/>
    </row>
    <row r="38">
      <c r="A38" s="18" t="s">
        <v>1012</v>
      </c>
      <c r="B38" s="19">
        <v>231.0</v>
      </c>
      <c r="C38" s="18" t="s">
        <v>1193</v>
      </c>
      <c r="D38" s="69" t="s">
        <v>555</v>
      </c>
      <c r="E38" s="18" t="s">
        <v>103</v>
      </c>
      <c r="F38" s="18" t="s">
        <v>192</v>
      </c>
      <c r="G38" s="63" t="s">
        <v>1194</v>
      </c>
      <c r="H38" s="42" t="s">
        <v>479</v>
      </c>
      <c r="I38" s="75" t="s">
        <v>41</v>
      </c>
      <c r="J38" s="70" t="s">
        <v>205</v>
      </c>
      <c r="K38" s="71" t="s">
        <v>208</v>
      </c>
      <c r="L38" s="71" t="s">
        <v>205</v>
      </c>
      <c r="M38" s="28">
        <v>6.0</v>
      </c>
      <c r="N38" s="26" t="str">
        <f t="shared" si="1"/>
        <v>R</v>
      </c>
      <c r="O38" s="28">
        <v>18.0</v>
      </c>
      <c r="P38" s="26" t="str">
        <f t="shared" si="2"/>
        <v>R</v>
      </c>
      <c r="Q38" s="28">
        <v>15.0</v>
      </c>
      <c r="R38" s="26" t="str">
        <f t="shared" si="3"/>
        <v>R</v>
      </c>
      <c r="S38" s="28">
        <v>24.0</v>
      </c>
      <c r="T38" s="26" t="str">
        <f t="shared" si="4"/>
        <v>S</v>
      </c>
      <c r="U38" s="28">
        <v>12.0</v>
      </c>
      <c r="V38" s="26" t="str">
        <f t="shared" si="5"/>
        <v>R</v>
      </c>
      <c r="W38" s="28">
        <v>15.0</v>
      </c>
      <c r="X38" s="26" t="str">
        <f t="shared" si="6"/>
        <v>R</v>
      </c>
      <c r="Y38" s="28">
        <v>6.0</v>
      </c>
      <c r="Z38" s="26" t="str">
        <f t="shared" si="7"/>
        <v>R</v>
      </c>
      <c r="AA38" s="32" t="s">
        <v>299</v>
      </c>
      <c r="AB38" s="65">
        <v>6.0</v>
      </c>
      <c r="AC38" s="33" t="str">
        <f t="shared" si="8"/>
        <v>R</v>
      </c>
      <c r="AD38" s="65">
        <v>9.0</v>
      </c>
      <c r="AE38" s="33" t="str">
        <f t="shared" si="9"/>
        <v>R</v>
      </c>
      <c r="AF38" s="65">
        <v>6.0</v>
      </c>
      <c r="AG38" s="33" t="str">
        <f t="shared" si="10"/>
        <v>R</v>
      </c>
      <c r="AH38" s="65">
        <v>15.0</v>
      </c>
      <c r="AI38" s="33" t="str">
        <f t="shared" si="11"/>
        <v>S</v>
      </c>
      <c r="AJ38" s="65">
        <v>13.0</v>
      </c>
      <c r="AK38" s="33" t="str">
        <f t="shared" si="12"/>
        <v>R</v>
      </c>
      <c r="AL38" s="65" t="s">
        <v>299</v>
      </c>
      <c r="AM38" s="66">
        <v>19.0</v>
      </c>
      <c r="AN38" s="36" t="str">
        <f t="shared" si="13"/>
        <v>R</v>
      </c>
      <c r="AO38" s="66">
        <v>15.0</v>
      </c>
      <c r="AP38" s="36" t="str">
        <f t="shared" si="14"/>
        <v>R</v>
      </c>
      <c r="AQ38" s="66">
        <v>15.0</v>
      </c>
      <c r="AR38" s="36" t="str">
        <f t="shared" si="15"/>
        <v>S</v>
      </c>
      <c r="AS38" s="66" t="s">
        <v>299</v>
      </c>
      <c r="AT38" s="67">
        <v>13.0</v>
      </c>
      <c r="AU38" s="37" t="str">
        <f t="shared" si="16"/>
        <v>I</v>
      </c>
      <c r="AV38" s="65">
        <v>18.0</v>
      </c>
      <c r="AW38" s="33" t="str">
        <f t="shared" si="17"/>
        <v>S</v>
      </c>
      <c r="AX38" s="65">
        <v>18.0</v>
      </c>
      <c r="AY38" s="33" t="str">
        <f t="shared" si="18"/>
        <v>S</v>
      </c>
      <c r="AZ38" s="33" t="s">
        <v>300</v>
      </c>
      <c r="BA38" s="28">
        <v>18.0</v>
      </c>
      <c r="BB38" s="26" t="str">
        <f t="shared" si="19"/>
        <v>R</v>
      </c>
      <c r="BC38" s="67">
        <v>14.0</v>
      </c>
      <c r="BD38" s="37" t="str">
        <f t="shared" si="20"/>
        <v>R</v>
      </c>
      <c r="BE38" s="66">
        <v>14.0</v>
      </c>
      <c r="BF38" s="36" t="str">
        <f t="shared" si="21"/>
        <v>R</v>
      </c>
      <c r="BG38" s="39" t="s">
        <v>357</v>
      </c>
      <c r="BH38" s="39" t="s">
        <v>357</v>
      </c>
      <c r="BI38" s="66">
        <v>18.0</v>
      </c>
      <c r="BJ38" s="36" t="str">
        <f t="shared" si="22"/>
        <v>R</v>
      </c>
      <c r="BK38" s="68">
        <v>20.0</v>
      </c>
      <c r="BL38" s="41" t="str">
        <f t="shared" si="23"/>
        <v>S</v>
      </c>
      <c r="BM38" s="41"/>
    </row>
    <row r="39">
      <c r="A39" s="18" t="s">
        <v>1018</v>
      </c>
      <c r="B39" s="19">
        <v>232.0</v>
      </c>
      <c r="C39" s="18" t="s">
        <v>1196</v>
      </c>
      <c r="D39" s="69" t="s">
        <v>190</v>
      </c>
      <c r="E39" s="18" t="s">
        <v>190</v>
      </c>
      <c r="F39" s="18" t="s">
        <v>192</v>
      </c>
      <c r="G39" s="63" t="s">
        <v>1197</v>
      </c>
      <c r="H39" s="22" t="s">
        <v>198</v>
      </c>
      <c r="I39" s="75" t="s">
        <v>816</v>
      </c>
      <c r="J39" s="71" t="s">
        <v>205</v>
      </c>
      <c r="K39" s="71" t="s">
        <v>205</v>
      </c>
      <c r="L39" s="71" t="s">
        <v>205</v>
      </c>
      <c r="M39" s="28">
        <v>9.0</v>
      </c>
      <c r="N39" s="26" t="str">
        <f t="shared" si="1"/>
        <v>R</v>
      </c>
      <c r="O39" s="28">
        <v>19.0</v>
      </c>
      <c r="P39" s="26" t="str">
        <f t="shared" si="2"/>
        <v>S</v>
      </c>
      <c r="Q39" s="28">
        <v>13.0</v>
      </c>
      <c r="R39" s="26" t="str">
        <f t="shared" si="3"/>
        <v>R</v>
      </c>
      <c r="S39" s="28">
        <v>20.0</v>
      </c>
      <c r="T39" s="26" t="str">
        <f t="shared" si="4"/>
        <v>I</v>
      </c>
      <c r="U39" s="28">
        <v>11.0</v>
      </c>
      <c r="V39" s="26" t="str">
        <f t="shared" si="5"/>
        <v>R</v>
      </c>
      <c r="W39" s="28">
        <v>13.0</v>
      </c>
      <c r="X39" s="26" t="str">
        <f t="shared" si="6"/>
        <v>R</v>
      </c>
      <c r="Y39" s="28">
        <v>10.0</v>
      </c>
      <c r="Z39" s="26" t="str">
        <f t="shared" si="7"/>
        <v>R</v>
      </c>
      <c r="AA39" s="32" t="s">
        <v>299</v>
      </c>
      <c r="AB39" s="65">
        <v>12.0</v>
      </c>
      <c r="AC39" s="33" t="str">
        <f t="shared" si="8"/>
        <v>R</v>
      </c>
      <c r="AD39" s="65">
        <v>20.0</v>
      </c>
      <c r="AE39" s="33" t="str">
        <f t="shared" si="9"/>
        <v>S</v>
      </c>
      <c r="AF39" s="65">
        <v>9.0</v>
      </c>
      <c r="AG39" s="33" t="str">
        <f t="shared" si="10"/>
        <v>R</v>
      </c>
      <c r="AH39" s="65">
        <v>10.0</v>
      </c>
      <c r="AI39" s="33" t="str">
        <f t="shared" si="11"/>
        <v>R</v>
      </c>
      <c r="AJ39" s="65">
        <v>12.0</v>
      </c>
      <c r="AK39" s="33" t="str">
        <f t="shared" si="12"/>
        <v>R</v>
      </c>
      <c r="AL39" s="65" t="s">
        <v>299</v>
      </c>
      <c r="AM39" s="66">
        <v>15.0</v>
      </c>
      <c r="AN39" s="36" t="str">
        <f t="shared" si="13"/>
        <v>R</v>
      </c>
      <c r="AO39" s="66">
        <v>12.0</v>
      </c>
      <c r="AP39" s="36" t="str">
        <f t="shared" si="14"/>
        <v>R</v>
      </c>
      <c r="AQ39" s="66">
        <v>10.0</v>
      </c>
      <c r="AR39" s="36" t="str">
        <f t="shared" si="15"/>
        <v>R</v>
      </c>
      <c r="AS39" s="66" t="s">
        <v>299</v>
      </c>
      <c r="AT39" s="67">
        <v>11.0</v>
      </c>
      <c r="AU39" s="37" t="str">
        <f t="shared" si="16"/>
        <v>I</v>
      </c>
      <c r="AV39" s="65">
        <v>20.0</v>
      </c>
      <c r="AW39" s="33" t="str">
        <f t="shared" si="17"/>
        <v>S</v>
      </c>
      <c r="AX39" s="65">
        <v>15.0</v>
      </c>
      <c r="AY39" s="33" t="str">
        <f t="shared" si="18"/>
        <v>R</v>
      </c>
      <c r="AZ39" s="65" t="s">
        <v>299</v>
      </c>
      <c r="BA39" s="28">
        <v>12.0</v>
      </c>
      <c r="BB39" s="26" t="str">
        <f t="shared" si="19"/>
        <v>R</v>
      </c>
      <c r="BC39" s="67">
        <v>16.0</v>
      </c>
      <c r="BD39" s="37" t="str">
        <f t="shared" si="20"/>
        <v>R</v>
      </c>
      <c r="BE39" s="66">
        <v>20.0</v>
      </c>
      <c r="BF39" s="36" t="str">
        <f t="shared" si="21"/>
        <v>R</v>
      </c>
      <c r="BG39" s="39" t="s">
        <v>357</v>
      </c>
      <c r="BH39" s="39" t="s">
        <v>357</v>
      </c>
      <c r="BI39" s="66">
        <v>18.0</v>
      </c>
      <c r="BJ39" s="36" t="str">
        <f t="shared" si="22"/>
        <v>R</v>
      </c>
      <c r="BK39" s="68">
        <v>16.0</v>
      </c>
      <c r="BL39" s="41" t="str">
        <f t="shared" si="23"/>
        <v>R</v>
      </c>
      <c r="BM39" s="41"/>
    </row>
    <row r="40">
      <c r="A40" s="18" t="s">
        <v>1018</v>
      </c>
      <c r="B40" s="19">
        <v>233.0</v>
      </c>
      <c r="C40" s="18" t="s">
        <v>1198</v>
      </c>
      <c r="D40" s="69" t="s">
        <v>190</v>
      </c>
      <c r="E40" s="18" t="s">
        <v>190</v>
      </c>
      <c r="F40" s="18" t="s">
        <v>192</v>
      </c>
      <c r="G40" s="63" t="s">
        <v>1199</v>
      </c>
      <c r="H40" s="22" t="s">
        <v>198</v>
      </c>
      <c r="I40" s="75" t="s">
        <v>481</v>
      </c>
      <c r="J40" s="70" t="s">
        <v>205</v>
      </c>
      <c r="K40" s="70" t="s">
        <v>208</v>
      </c>
      <c r="L40" s="70" t="s">
        <v>208</v>
      </c>
      <c r="M40" s="28">
        <v>6.0</v>
      </c>
      <c r="N40" s="26" t="str">
        <f t="shared" si="1"/>
        <v>R</v>
      </c>
      <c r="O40" s="28">
        <v>16.0</v>
      </c>
      <c r="P40" s="26" t="str">
        <f t="shared" si="2"/>
        <v>R</v>
      </c>
      <c r="Q40" s="28">
        <v>6.0</v>
      </c>
      <c r="R40" s="26" t="str">
        <f t="shared" si="3"/>
        <v>R</v>
      </c>
      <c r="S40" s="28">
        <v>23.0</v>
      </c>
      <c r="T40" s="26" t="str">
        <f t="shared" si="4"/>
        <v>S</v>
      </c>
      <c r="U40" s="28">
        <v>6.0</v>
      </c>
      <c r="V40" s="26" t="str">
        <f t="shared" si="5"/>
        <v>R</v>
      </c>
      <c r="W40" s="28">
        <v>18.0</v>
      </c>
      <c r="X40" s="26" t="str">
        <f t="shared" si="6"/>
        <v>R</v>
      </c>
      <c r="Y40" s="28">
        <v>16.0</v>
      </c>
      <c r="Z40" s="26" t="str">
        <f t="shared" si="7"/>
        <v>R</v>
      </c>
      <c r="AA40" s="32" t="s">
        <v>299</v>
      </c>
      <c r="AB40" s="65">
        <v>6.0</v>
      </c>
      <c r="AC40" s="33" t="str">
        <f t="shared" si="8"/>
        <v>R</v>
      </c>
      <c r="AD40" s="65">
        <v>14.0</v>
      </c>
      <c r="AE40" s="33" t="str">
        <f t="shared" si="9"/>
        <v>R</v>
      </c>
      <c r="AF40" s="65">
        <v>11.0</v>
      </c>
      <c r="AG40" s="33" t="str">
        <f t="shared" si="10"/>
        <v>R</v>
      </c>
      <c r="AH40" s="65">
        <v>19.0</v>
      </c>
      <c r="AI40" s="33" t="str">
        <f t="shared" si="11"/>
        <v>S</v>
      </c>
      <c r="AJ40" s="65">
        <v>6.0</v>
      </c>
      <c r="AK40" s="33" t="str">
        <f t="shared" si="12"/>
        <v>R</v>
      </c>
      <c r="AL40" s="65" t="s">
        <v>299</v>
      </c>
      <c r="AM40" s="66">
        <v>17.0</v>
      </c>
      <c r="AN40" s="36" t="str">
        <f t="shared" si="13"/>
        <v>R</v>
      </c>
      <c r="AO40" s="66">
        <v>18.0</v>
      </c>
      <c r="AP40" s="36" t="str">
        <f t="shared" si="14"/>
        <v>R</v>
      </c>
      <c r="AQ40" s="66">
        <v>16.0</v>
      </c>
      <c r="AR40" s="36" t="str">
        <f t="shared" si="15"/>
        <v>S</v>
      </c>
      <c r="AS40" s="66" t="s">
        <v>299</v>
      </c>
      <c r="AT40" s="67">
        <v>16.0</v>
      </c>
      <c r="AU40" s="37" t="str">
        <f t="shared" si="16"/>
        <v>S</v>
      </c>
      <c r="AV40" s="65">
        <v>16.0</v>
      </c>
      <c r="AW40" s="33" t="str">
        <f t="shared" si="17"/>
        <v>R</v>
      </c>
      <c r="AX40" s="65">
        <v>24.0</v>
      </c>
      <c r="AY40" s="33" t="str">
        <f t="shared" si="18"/>
        <v>S</v>
      </c>
      <c r="AZ40" s="65" t="s">
        <v>299</v>
      </c>
      <c r="BA40" s="28">
        <v>20.0</v>
      </c>
      <c r="BB40" s="26" t="str">
        <f t="shared" si="19"/>
        <v>S</v>
      </c>
      <c r="BC40" s="67">
        <v>6.0</v>
      </c>
      <c r="BD40" s="37" t="str">
        <f t="shared" si="20"/>
        <v>R</v>
      </c>
      <c r="BE40" s="66">
        <v>21.0</v>
      </c>
      <c r="BF40" s="36" t="str">
        <f t="shared" si="21"/>
        <v>R</v>
      </c>
      <c r="BG40" s="39" t="s">
        <v>357</v>
      </c>
      <c r="BH40" s="39" t="s">
        <v>357</v>
      </c>
      <c r="BI40" s="66">
        <v>24.0</v>
      </c>
      <c r="BJ40" s="36" t="str">
        <f t="shared" si="22"/>
        <v>S</v>
      </c>
      <c r="BK40" s="68">
        <v>14.0</v>
      </c>
      <c r="BL40" s="41" t="str">
        <f t="shared" si="23"/>
        <v>R</v>
      </c>
      <c r="BM40" s="41"/>
    </row>
    <row r="41">
      <c r="A41" s="18" t="s">
        <v>1018</v>
      </c>
      <c r="B41" s="19">
        <v>234.0</v>
      </c>
      <c r="C41" s="18" t="s">
        <v>1201</v>
      </c>
      <c r="D41" s="69" t="s">
        <v>190</v>
      </c>
      <c r="E41" s="18" t="s">
        <v>190</v>
      </c>
      <c r="F41" s="18" t="s">
        <v>192</v>
      </c>
      <c r="G41" s="63" t="s">
        <v>1202</v>
      </c>
      <c r="H41" s="22" t="s">
        <v>198</v>
      </c>
      <c r="I41" s="75" t="s">
        <v>481</v>
      </c>
      <c r="J41" s="70" t="s">
        <v>205</v>
      </c>
      <c r="K41" s="70" t="s">
        <v>208</v>
      </c>
      <c r="L41" s="70" t="s">
        <v>208</v>
      </c>
      <c r="M41" s="28">
        <v>6.0</v>
      </c>
      <c r="N41" s="26" t="str">
        <f t="shared" si="1"/>
        <v>R</v>
      </c>
      <c r="O41" s="28">
        <v>6.0</v>
      </c>
      <c r="P41" s="26" t="str">
        <f t="shared" si="2"/>
        <v>R</v>
      </c>
      <c r="Q41" s="28">
        <v>6.0</v>
      </c>
      <c r="R41" s="26" t="str">
        <f t="shared" si="3"/>
        <v>R</v>
      </c>
      <c r="S41" s="28">
        <v>15.0</v>
      </c>
      <c r="T41" s="26" t="str">
        <f t="shared" si="4"/>
        <v>R</v>
      </c>
      <c r="U41" s="28">
        <v>6.0</v>
      </c>
      <c r="V41" s="26" t="str">
        <f t="shared" si="5"/>
        <v>R</v>
      </c>
      <c r="W41" s="28">
        <v>21.0</v>
      </c>
      <c r="X41" s="26" t="str">
        <f t="shared" si="6"/>
        <v>S</v>
      </c>
      <c r="Y41" s="28">
        <v>19.0</v>
      </c>
      <c r="Z41" s="26" t="str">
        <f t="shared" si="7"/>
        <v>I</v>
      </c>
      <c r="AA41" s="32" t="s">
        <v>299</v>
      </c>
      <c r="AB41" s="65">
        <v>6.0</v>
      </c>
      <c r="AC41" s="33" t="str">
        <f t="shared" si="8"/>
        <v>R</v>
      </c>
      <c r="AD41" s="65">
        <v>6.0</v>
      </c>
      <c r="AE41" s="33" t="str">
        <f t="shared" si="9"/>
        <v>R</v>
      </c>
      <c r="AF41" s="65">
        <v>6.0</v>
      </c>
      <c r="AG41" s="33" t="str">
        <f t="shared" si="10"/>
        <v>R</v>
      </c>
      <c r="AH41" s="65">
        <v>23.0</v>
      </c>
      <c r="AI41" s="33" t="str">
        <f t="shared" si="11"/>
        <v>S</v>
      </c>
      <c r="AJ41" s="65">
        <v>18.0</v>
      </c>
      <c r="AK41" s="33" t="str">
        <f t="shared" si="12"/>
        <v>R</v>
      </c>
      <c r="AL41" s="65" t="s">
        <v>299</v>
      </c>
      <c r="AM41" s="66">
        <v>6.0</v>
      </c>
      <c r="AN41" s="36" t="str">
        <f t="shared" si="13"/>
        <v>R</v>
      </c>
      <c r="AO41" s="66">
        <v>6.0</v>
      </c>
      <c r="AP41" s="36" t="str">
        <f t="shared" si="14"/>
        <v>R</v>
      </c>
      <c r="AQ41" s="66">
        <v>6.0</v>
      </c>
      <c r="AR41" s="36" t="str">
        <f t="shared" si="15"/>
        <v>R</v>
      </c>
      <c r="AS41" s="66" t="s">
        <v>299</v>
      </c>
      <c r="AT41" s="67">
        <v>6.0</v>
      </c>
      <c r="AU41" s="37" t="str">
        <f t="shared" si="16"/>
        <v>R</v>
      </c>
      <c r="AV41" s="65">
        <v>20.0</v>
      </c>
      <c r="AW41" s="33" t="str">
        <f t="shared" si="17"/>
        <v>S</v>
      </c>
      <c r="AX41" s="65">
        <v>20.0</v>
      </c>
      <c r="AY41" s="33" t="str">
        <f t="shared" si="18"/>
        <v>S</v>
      </c>
      <c r="AZ41" s="33" t="s">
        <v>300</v>
      </c>
      <c r="BA41" s="28">
        <v>6.0</v>
      </c>
      <c r="BB41" s="26" t="str">
        <f t="shared" si="19"/>
        <v>R</v>
      </c>
      <c r="BC41" s="67">
        <v>13.0</v>
      </c>
      <c r="BD41" s="37" t="str">
        <f t="shared" si="20"/>
        <v>R</v>
      </c>
      <c r="BE41" s="66">
        <v>26.0</v>
      </c>
      <c r="BF41" s="36" t="str">
        <f t="shared" si="21"/>
        <v>S</v>
      </c>
      <c r="BG41" s="39" t="s">
        <v>357</v>
      </c>
      <c r="BH41" s="39" t="s">
        <v>357</v>
      </c>
      <c r="BI41" s="66">
        <v>20.0</v>
      </c>
      <c r="BJ41" s="36" t="str">
        <f t="shared" si="22"/>
        <v>I</v>
      </c>
      <c r="BK41" s="68">
        <v>20.0</v>
      </c>
      <c r="BL41" s="41" t="str">
        <f t="shared" si="23"/>
        <v>S</v>
      </c>
      <c r="BM41" s="41"/>
    </row>
    <row r="42">
      <c r="A42" s="18" t="s">
        <v>1018</v>
      </c>
      <c r="B42" s="19">
        <v>235.0</v>
      </c>
      <c r="C42" s="18" t="s">
        <v>1203</v>
      </c>
      <c r="D42" s="69" t="s">
        <v>571</v>
      </c>
      <c r="E42" s="18" t="s">
        <v>572</v>
      </c>
      <c r="F42" s="18" t="s">
        <v>192</v>
      </c>
      <c r="G42" s="63" t="s">
        <v>1204</v>
      </c>
      <c r="H42" s="52" t="s">
        <v>581</v>
      </c>
      <c r="I42" s="75" t="s">
        <v>481</v>
      </c>
      <c r="J42" s="70" t="s">
        <v>205</v>
      </c>
      <c r="K42" s="70" t="s">
        <v>208</v>
      </c>
      <c r="L42" s="70" t="s">
        <v>208</v>
      </c>
      <c r="M42" s="28">
        <v>6.0</v>
      </c>
      <c r="N42" s="26" t="str">
        <f t="shared" si="1"/>
        <v>R</v>
      </c>
      <c r="O42" s="28">
        <v>9.0</v>
      </c>
      <c r="P42" s="26" t="str">
        <f t="shared" si="2"/>
        <v>R</v>
      </c>
      <c r="Q42" s="28">
        <v>6.0</v>
      </c>
      <c r="R42" s="26" t="str">
        <f t="shared" si="3"/>
        <v>R</v>
      </c>
      <c r="S42" s="28">
        <v>18.0</v>
      </c>
      <c r="T42" s="26" t="str">
        <f t="shared" si="4"/>
        <v>R</v>
      </c>
      <c r="U42" s="28">
        <v>14.0</v>
      </c>
      <c r="V42" s="26" t="str">
        <f t="shared" si="5"/>
        <v>R</v>
      </c>
      <c r="W42" s="28">
        <v>13.0</v>
      </c>
      <c r="X42" s="26" t="str">
        <f t="shared" si="6"/>
        <v>R</v>
      </c>
      <c r="Y42" s="28">
        <v>15.0</v>
      </c>
      <c r="Z42" s="26" t="str">
        <f t="shared" si="7"/>
        <v>R</v>
      </c>
      <c r="AA42" s="32" t="s">
        <v>299</v>
      </c>
      <c r="AB42" s="65">
        <v>6.0</v>
      </c>
      <c r="AC42" s="33" t="str">
        <f t="shared" si="8"/>
        <v>R</v>
      </c>
      <c r="AD42" s="65">
        <v>16.0</v>
      </c>
      <c r="AE42" s="33" t="str">
        <f t="shared" si="9"/>
        <v>R</v>
      </c>
      <c r="AF42" s="65">
        <v>6.0</v>
      </c>
      <c r="AG42" s="33" t="str">
        <f t="shared" si="10"/>
        <v>R</v>
      </c>
      <c r="AH42" s="65">
        <v>18.0</v>
      </c>
      <c r="AI42" s="33" t="str">
        <f t="shared" si="11"/>
        <v>S</v>
      </c>
      <c r="AJ42" s="65">
        <v>13.0</v>
      </c>
      <c r="AK42" s="33" t="str">
        <f t="shared" si="12"/>
        <v>R</v>
      </c>
      <c r="AL42" s="65" t="s">
        <v>299</v>
      </c>
      <c r="AM42" s="66">
        <v>23.0</v>
      </c>
      <c r="AN42" s="36" t="str">
        <f t="shared" si="13"/>
        <v>I</v>
      </c>
      <c r="AO42" s="66">
        <v>21.0</v>
      </c>
      <c r="AP42" s="36" t="str">
        <f t="shared" si="14"/>
        <v>I</v>
      </c>
      <c r="AQ42" s="66">
        <v>20.0</v>
      </c>
      <c r="AR42" s="36" t="str">
        <f t="shared" si="15"/>
        <v>S</v>
      </c>
      <c r="AS42" s="66" t="s">
        <v>299</v>
      </c>
      <c r="AT42" s="67">
        <v>24.0</v>
      </c>
      <c r="AU42" s="37" t="str">
        <f t="shared" si="16"/>
        <v>S</v>
      </c>
      <c r="AV42" s="65">
        <v>16.0</v>
      </c>
      <c r="AW42" s="33" t="str">
        <f t="shared" si="17"/>
        <v>R</v>
      </c>
      <c r="AX42" s="65">
        <v>18.0</v>
      </c>
      <c r="AY42" s="33" t="str">
        <f t="shared" si="18"/>
        <v>S</v>
      </c>
      <c r="AZ42" s="65" t="s">
        <v>299</v>
      </c>
      <c r="BA42" s="28">
        <v>18.0</v>
      </c>
      <c r="BB42" s="26" t="str">
        <f t="shared" si="19"/>
        <v>R</v>
      </c>
      <c r="BC42" s="67">
        <v>6.0</v>
      </c>
      <c r="BD42" s="37" t="str">
        <f t="shared" si="20"/>
        <v>R</v>
      </c>
      <c r="BE42" s="66">
        <v>26.0</v>
      </c>
      <c r="BF42" s="36" t="str">
        <f t="shared" si="21"/>
        <v>S</v>
      </c>
      <c r="BG42" s="39" t="s">
        <v>357</v>
      </c>
      <c r="BH42" s="39" t="s">
        <v>357</v>
      </c>
      <c r="BI42" s="66">
        <v>14.0</v>
      </c>
      <c r="BJ42" s="36" t="str">
        <f t="shared" si="22"/>
        <v>R</v>
      </c>
      <c r="BK42" s="68">
        <v>16.0</v>
      </c>
      <c r="BL42" s="41" t="str">
        <f t="shared" si="23"/>
        <v>R</v>
      </c>
      <c r="BM42" s="41"/>
    </row>
    <row r="43">
      <c r="A43" s="18" t="s">
        <v>1018</v>
      </c>
      <c r="B43" s="19">
        <v>236.0</v>
      </c>
      <c r="C43" s="18" t="s">
        <v>1205</v>
      </c>
      <c r="D43" s="69" t="s">
        <v>1206</v>
      </c>
      <c r="E43" s="18" t="s">
        <v>103</v>
      </c>
      <c r="F43" s="18" t="s">
        <v>192</v>
      </c>
      <c r="G43" s="63" t="s">
        <v>1207</v>
      </c>
      <c r="H43" s="22" t="s">
        <v>198</v>
      </c>
      <c r="I43" s="75" t="s">
        <v>41</v>
      </c>
      <c r="J43" s="70" t="s">
        <v>205</v>
      </c>
      <c r="K43" s="71" t="s">
        <v>208</v>
      </c>
      <c r="L43" s="71" t="s">
        <v>205</v>
      </c>
      <c r="M43" s="28">
        <v>6.0</v>
      </c>
      <c r="N43" s="26" t="str">
        <f t="shared" si="1"/>
        <v>R</v>
      </c>
      <c r="O43" s="28">
        <v>6.0</v>
      </c>
      <c r="P43" s="26" t="str">
        <f t="shared" si="2"/>
        <v>R</v>
      </c>
      <c r="Q43" s="28">
        <v>6.0</v>
      </c>
      <c r="R43" s="26" t="str">
        <f t="shared" si="3"/>
        <v>R</v>
      </c>
      <c r="S43" s="28">
        <v>23.0</v>
      </c>
      <c r="T43" s="26" t="str">
        <f t="shared" si="4"/>
        <v>S</v>
      </c>
      <c r="U43" s="28">
        <v>6.0</v>
      </c>
      <c r="V43" s="26" t="str">
        <f t="shared" si="5"/>
        <v>R</v>
      </c>
      <c r="W43" s="28">
        <v>20.0</v>
      </c>
      <c r="X43" s="26" t="str">
        <f t="shared" si="6"/>
        <v>S</v>
      </c>
      <c r="Y43" s="28">
        <v>15.0</v>
      </c>
      <c r="Z43" s="26" t="str">
        <f t="shared" si="7"/>
        <v>R</v>
      </c>
      <c r="AA43" s="32" t="s">
        <v>299</v>
      </c>
      <c r="AB43" s="65">
        <v>15.0</v>
      </c>
      <c r="AC43" s="33" t="str">
        <f t="shared" si="8"/>
        <v>R</v>
      </c>
      <c r="AD43" s="65">
        <v>6.0</v>
      </c>
      <c r="AE43" s="33" t="str">
        <f t="shared" si="9"/>
        <v>R</v>
      </c>
      <c r="AF43" s="65">
        <v>6.0</v>
      </c>
      <c r="AG43" s="33" t="str">
        <f t="shared" si="10"/>
        <v>R</v>
      </c>
      <c r="AH43" s="65">
        <v>18.0</v>
      </c>
      <c r="AI43" s="33" t="str">
        <f t="shared" si="11"/>
        <v>S</v>
      </c>
      <c r="AJ43" s="65">
        <v>18.0</v>
      </c>
      <c r="AK43" s="33" t="str">
        <f t="shared" si="12"/>
        <v>R</v>
      </c>
      <c r="AL43" s="65" t="s">
        <v>299</v>
      </c>
      <c r="AM43" s="66">
        <v>20.0</v>
      </c>
      <c r="AN43" s="36" t="str">
        <f t="shared" si="13"/>
        <v>R</v>
      </c>
      <c r="AO43" s="66">
        <v>15.0</v>
      </c>
      <c r="AP43" s="36" t="str">
        <f t="shared" si="14"/>
        <v>R</v>
      </c>
      <c r="AQ43" s="66">
        <v>10.0</v>
      </c>
      <c r="AR43" s="36" t="str">
        <f t="shared" si="15"/>
        <v>R</v>
      </c>
      <c r="AS43" s="66" t="s">
        <v>299</v>
      </c>
      <c r="AT43" s="67">
        <v>12.0</v>
      </c>
      <c r="AU43" s="37" t="str">
        <f t="shared" si="16"/>
        <v>I</v>
      </c>
      <c r="AV43" s="65">
        <v>21.0</v>
      </c>
      <c r="AW43" s="33" t="str">
        <f t="shared" si="17"/>
        <v>S</v>
      </c>
      <c r="AX43" s="65">
        <v>18.0</v>
      </c>
      <c r="AY43" s="33" t="str">
        <f t="shared" si="18"/>
        <v>S</v>
      </c>
      <c r="AZ43" s="33" t="s">
        <v>300</v>
      </c>
      <c r="BA43" s="28">
        <v>20.0</v>
      </c>
      <c r="BB43" s="26" t="str">
        <f t="shared" si="19"/>
        <v>S</v>
      </c>
      <c r="BC43" s="67">
        <v>20.0</v>
      </c>
      <c r="BD43" s="37" t="str">
        <f t="shared" si="20"/>
        <v>R</v>
      </c>
      <c r="BE43" s="66">
        <v>18.0</v>
      </c>
      <c r="BF43" s="36" t="str">
        <f t="shared" si="21"/>
        <v>R</v>
      </c>
      <c r="BG43" s="39" t="s">
        <v>357</v>
      </c>
      <c r="BH43" s="39" t="s">
        <v>357</v>
      </c>
      <c r="BI43" s="66">
        <v>18.0</v>
      </c>
      <c r="BJ43" s="36" t="str">
        <f t="shared" si="22"/>
        <v>R</v>
      </c>
      <c r="BK43" s="68">
        <v>10.0</v>
      </c>
      <c r="BL43" s="41" t="str">
        <f t="shared" si="23"/>
        <v>R</v>
      </c>
      <c r="BM43" s="41"/>
    </row>
    <row r="44">
      <c r="A44" s="18" t="s">
        <v>1018</v>
      </c>
      <c r="B44" s="19">
        <v>237.0</v>
      </c>
      <c r="C44" s="18" t="s">
        <v>1208</v>
      </c>
      <c r="D44" s="69" t="s">
        <v>956</v>
      </c>
      <c r="E44" s="18" t="s">
        <v>103</v>
      </c>
      <c r="F44" s="18" t="s">
        <v>192</v>
      </c>
      <c r="G44" s="63" t="s">
        <v>1209</v>
      </c>
      <c r="H44" s="22" t="s">
        <v>198</v>
      </c>
      <c r="I44" s="75" t="s">
        <v>816</v>
      </c>
      <c r="J44" s="71" t="s">
        <v>205</v>
      </c>
      <c r="K44" s="71" t="s">
        <v>205</v>
      </c>
      <c r="L44" s="71" t="s">
        <v>205</v>
      </c>
      <c r="M44" s="28">
        <v>6.0</v>
      </c>
      <c r="N44" s="26" t="str">
        <f t="shared" si="1"/>
        <v>R</v>
      </c>
      <c r="O44" s="28">
        <v>18.0</v>
      </c>
      <c r="P44" s="26" t="str">
        <f t="shared" si="2"/>
        <v>R</v>
      </c>
      <c r="Q44" s="28">
        <v>6.0</v>
      </c>
      <c r="R44" s="26" t="str">
        <f t="shared" si="3"/>
        <v>R</v>
      </c>
      <c r="S44" s="28">
        <v>22.0</v>
      </c>
      <c r="T44" s="26" t="str">
        <f t="shared" si="4"/>
        <v>I</v>
      </c>
      <c r="U44" s="28">
        <v>6.0</v>
      </c>
      <c r="V44" s="26" t="str">
        <f t="shared" si="5"/>
        <v>R</v>
      </c>
      <c r="W44" s="28">
        <v>21.0</v>
      </c>
      <c r="X44" s="26" t="str">
        <f t="shared" si="6"/>
        <v>S</v>
      </c>
      <c r="Y44" s="28">
        <v>11.0</v>
      </c>
      <c r="Z44" s="26" t="str">
        <f t="shared" si="7"/>
        <v>R</v>
      </c>
      <c r="AA44" s="32" t="s">
        <v>299</v>
      </c>
      <c r="AB44" s="65">
        <v>6.0</v>
      </c>
      <c r="AC44" s="33" t="str">
        <f t="shared" si="8"/>
        <v>R</v>
      </c>
      <c r="AD44" s="65">
        <v>29.0</v>
      </c>
      <c r="AE44" s="33" t="str">
        <f t="shared" si="9"/>
        <v>S</v>
      </c>
      <c r="AF44" s="65">
        <v>6.0</v>
      </c>
      <c r="AG44" s="33" t="str">
        <f t="shared" si="10"/>
        <v>R</v>
      </c>
      <c r="AH44" s="65">
        <v>22.0</v>
      </c>
      <c r="AI44" s="33" t="str">
        <f t="shared" si="11"/>
        <v>S</v>
      </c>
      <c r="AJ44" s="65">
        <v>14.0</v>
      </c>
      <c r="AK44" s="33" t="str">
        <f t="shared" si="12"/>
        <v>R</v>
      </c>
      <c r="AL44" s="65" t="s">
        <v>299</v>
      </c>
      <c r="AM44" s="66">
        <v>6.0</v>
      </c>
      <c r="AN44" s="36" t="str">
        <f t="shared" si="13"/>
        <v>R</v>
      </c>
      <c r="AO44" s="66">
        <v>10.0</v>
      </c>
      <c r="AP44" s="36" t="str">
        <f t="shared" si="14"/>
        <v>R</v>
      </c>
      <c r="AQ44" s="66">
        <v>6.0</v>
      </c>
      <c r="AR44" s="36" t="str">
        <f t="shared" si="15"/>
        <v>R</v>
      </c>
      <c r="AS44" s="66" t="s">
        <v>299</v>
      </c>
      <c r="AT44" s="67">
        <v>6.0</v>
      </c>
      <c r="AU44" s="37" t="str">
        <f t="shared" si="16"/>
        <v>R</v>
      </c>
      <c r="AV44" s="65">
        <v>20.0</v>
      </c>
      <c r="AW44" s="33" t="str">
        <f t="shared" si="17"/>
        <v>S</v>
      </c>
      <c r="AX44" s="65">
        <v>16.0</v>
      </c>
      <c r="AY44" s="33" t="str">
        <f t="shared" si="18"/>
        <v>S</v>
      </c>
      <c r="AZ44" s="33" t="s">
        <v>300</v>
      </c>
      <c r="BA44" s="28">
        <v>6.0</v>
      </c>
      <c r="BB44" s="26" t="str">
        <f t="shared" si="19"/>
        <v>R</v>
      </c>
      <c r="BC44" s="67">
        <v>11.0</v>
      </c>
      <c r="BD44" s="37" t="str">
        <f t="shared" si="20"/>
        <v>R</v>
      </c>
      <c r="BE44" s="66">
        <v>12.0</v>
      </c>
      <c r="BF44" s="36" t="str">
        <f t="shared" si="21"/>
        <v>R</v>
      </c>
      <c r="BG44" s="39" t="s">
        <v>357</v>
      </c>
      <c r="BH44" s="39" t="s">
        <v>357</v>
      </c>
      <c r="BI44" s="66">
        <v>18.0</v>
      </c>
      <c r="BJ44" s="36" t="str">
        <f t="shared" si="22"/>
        <v>R</v>
      </c>
      <c r="BK44" s="68">
        <v>9.0</v>
      </c>
      <c r="BL44" s="41" t="str">
        <f t="shared" si="23"/>
        <v>R</v>
      </c>
      <c r="BM44" s="41"/>
    </row>
    <row r="45">
      <c r="A45" s="18" t="s">
        <v>1026</v>
      </c>
      <c r="B45" s="19">
        <v>241.0</v>
      </c>
      <c r="C45" s="18" t="s">
        <v>1210</v>
      </c>
      <c r="D45" s="69" t="s">
        <v>190</v>
      </c>
      <c r="E45" s="18" t="s">
        <v>190</v>
      </c>
      <c r="F45" s="18" t="s">
        <v>192</v>
      </c>
      <c r="G45" s="63" t="s">
        <v>1211</v>
      </c>
      <c r="H45" s="22" t="s">
        <v>198</v>
      </c>
      <c r="I45" s="75" t="s">
        <v>37</v>
      </c>
      <c r="J45" s="71" t="s">
        <v>205</v>
      </c>
      <c r="K45" s="71" t="s">
        <v>205</v>
      </c>
      <c r="L45" s="70" t="s">
        <v>208</v>
      </c>
      <c r="M45" s="28">
        <v>6.0</v>
      </c>
      <c r="N45" s="26" t="str">
        <f t="shared" si="1"/>
        <v>R</v>
      </c>
      <c r="O45" s="28">
        <v>19.0</v>
      </c>
      <c r="P45" s="26" t="str">
        <f t="shared" si="2"/>
        <v>S</v>
      </c>
      <c r="Q45" s="28">
        <v>13.0</v>
      </c>
      <c r="R45" s="26" t="str">
        <f t="shared" si="3"/>
        <v>R</v>
      </c>
      <c r="S45" s="28">
        <v>23.0</v>
      </c>
      <c r="T45" s="26" t="str">
        <f t="shared" si="4"/>
        <v>S</v>
      </c>
      <c r="U45" s="28">
        <v>12.0</v>
      </c>
      <c r="V45" s="26" t="str">
        <f t="shared" si="5"/>
        <v>R</v>
      </c>
      <c r="W45" s="28">
        <v>16.0</v>
      </c>
      <c r="X45" s="26" t="str">
        <f t="shared" si="6"/>
        <v>R</v>
      </c>
      <c r="Y45" s="28">
        <v>18.0</v>
      </c>
      <c r="Z45" s="26" t="str">
        <f t="shared" si="7"/>
        <v>I</v>
      </c>
      <c r="AA45" s="32" t="s">
        <v>299</v>
      </c>
      <c r="AB45" s="65">
        <v>18.0</v>
      </c>
      <c r="AC45" s="33" t="str">
        <f t="shared" si="8"/>
        <v>I</v>
      </c>
      <c r="AD45" s="65">
        <v>25.0</v>
      </c>
      <c r="AE45" s="33" t="str">
        <f t="shared" si="9"/>
        <v>S</v>
      </c>
      <c r="AF45" s="65">
        <v>16.0</v>
      </c>
      <c r="AG45" s="33" t="str">
        <f t="shared" si="10"/>
        <v>R</v>
      </c>
      <c r="AH45" s="65">
        <v>18.0</v>
      </c>
      <c r="AI45" s="33" t="str">
        <f t="shared" si="11"/>
        <v>S</v>
      </c>
      <c r="AJ45" s="65">
        <v>23.0</v>
      </c>
      <c r="AK45" s="33" t="str">
        <f t="shared" si="12"/>
        <v>R</v>
      </c>
      <c r="AL45" s="65" t="s">
        <v>299</v>
      </c>
      <c r="AM45" s="66">
        <v>18.0</v>
      </c>
      <c r="AN45" s="36" t="str">
        <f t="shared" si="13"/>
        <v>R</v>
      </c>
      <c r="AO45" s="66">
        <v>12.0</v>
      </c>
      <c r="AP45" s="36" t="str">
        <f t="shared" si="14"/>
        <v>R</v>
      </c>
      <c r="AQ45" s="66">
        <v>12.0</v>
      </c>
      <c r="AR45" s="36" t="str">
        <f t="shared" si="15"/>
        <v>R</v>
      </c>
      <c r="AS45" s="66" t="s">
        <v>299</v>
      </c>
      <c r="AT45" s="67">
        <v>11.0</v>
      </c>
      <c r="AU45" s="37" t="str">
        <f t="shared" si="16"/>
        <v>I</v>
      </c>
      <c r="AV45" s="65">
        <v>20.0</v>
      </c>
      <c r="AW45" s="33" t="str">
        <f t="shared" si="17"/>
        <v>S</v>
      </c>
      <c r="AX45" s="65">
        <v>18.0</v>
      </c>
      <c r="AY45" s="33" t="str">
        <f t="shared" si="18"/>
        <v>S</v>
      </c>
      <c r="AZ45" s="33" t="s">
        <v>300</v>
      </c>
      <c r="BA45" s="28">
        <v>15.0</v>
      </c>
      <c r="BB45" s="26" t="str">
        <f t="shared" si="19"/>
        <v>R</v>
      </c>
      <c r="BC45" s="67">
        <v>21.0</v>
      </c>
      <c r="BD45" s="37" t="str">
        <f t="shared" si="20"/>
        <v>I</v>
      </c>
      <c r="BE45" s="66">
        <v>26.0</v>
      </c>
      <c r="BF45" s="36" t="str">
        <f t="shared" si="21"/>
        <v>S</v>
      </c>
      <c r="BG45" s="39" t="s">
        <v>357</v>
      </c>
      <c r="BH45" s="39" t="s">
        <v>357</v>
      </c>
      <c r="BI45" s="66">
        <v>23.0</v>
      </c>
      <c r="BJ45" s="36" t="str">
        <f t="shared" si="22"/>
        <v>S</v>
      </c>
      <c r="BK45" s="68">
        <v>20.0</v>
      </c>
      <c r="BL45" s="41" t="str">
        <f t="shared" si="23"/>
        <v>S</v>
      </c>
      <c r="BM45" s="41"/>
    </row>
    <row r="46">
      <c r="A46" s="18" t="s">
        <v>1026</v>
      </c>
      <c r="B46" s="19">
        <v>242.0</v>
      </c>
      <c r="C46" s="18" t="s">
        <v>1212</v>
      </c>
      <c r="D46" s="69" t="s">
        <v>190</v>
      </c>
      <c r="E46" s="18" t="s">
        <v>190</v>
      </c>
      <c r="F46" s="18" t="s">
        <v>192</v>
      </c>
      <c r="G46" s="63" t="s">
        <v>1213</v>
      </c>
      <c r="H46" s="42" t="s">
        <v>479</v>
      </c>
      <c r="I46" s="75" t="s">
        <v>41</v>
      </c>
      <c r="J46" s="70" t="s">
        <v>205</v>
      </c>
      <c r="K46" s="71" t="s">
        <v>208</v>
      </c>
      <c r="L46" s="71" t="s">
        <v>205</v>
      </c>
      <c r="M46" s="28">
        <v>6.0</v>
      </c>
      <c r="N46" s="26" t="str">
        <f t="shared" si="1"/>
        <v>R</v>
      </c>
      <c r="O46" s="28">
        <v>13.0</v>
      </c>
      <c r="P46" s="26" t="str">
        <f t="shared" si="2"/>
        <v>R</v>
      </c>
      <c r="Q46" s="28">
        <v>10.0</v>
      </c>
      <c r="R46" s="26" t="str">
        <f t="shared" si="3"/>
        <v>R</v>
      </c>
      <c r="S46" s="28">
        <v>18.0</v>
      </c>
      <c r="T46" s="26" t="str">
        <f t="shared" si="4"/>
        <v>R</v>
      </c>
      <c r="U46" s="28">
        <v>9.0</v>
      </c>
      <c r="V46" s="26" t="str">
        <f t="shared" si="5"/>
        <v>R</v>
      </c>
      <c r="W46" s="28">
        <v>9.0</v>
      </c>
      <c r="X46" s="26" t="str">
        <f t="shared" si="6"/>
        <v>R</v>
      </c>
      <c r="Y46" s="28">
        <v>6.0</v>
      </c>
      <c r="Z46" s="26" t="str">
        <f t="shared" si="7"/>
        <v>R</v>
      </c>
      <c r="AA46" s="32" t="s">
        <v>299</v>
      </c>
      <c r="AB46" s="65">
        <v>16.0</v>
      </c>
      <c r="AC46" s="33" t="str">
        <f t="shared" si="8"/>
        <v>R</v>
      </c>
      <c r="AD46" s="65">
        <v>6.0</v>
      </c>
      <c r="AE46" s="33" t="str">
        <f t="shared" si="9"/>
        <v>R</v>
      </c>
      <c r="AF46" s="65">
        <v>11.0</v>
      </c>
      <c r="AG46" s="33" t="str">
        <f t="shared" si="10"/>
        <v>R</v>
      </c>
      <c r="AH46" s="65">
        <v>11.0</v>
      </c>
      <c r="AI46" s="33" t="str">
        <f t="shared" si="11"/>
        <v>R</v>
      </c>
      <c r="AJ46" s="65">
        <v>19.0</v>
      </c>
      <c r="AK46" s="33" t="str">
        <f t="shared" si="12"/>
        <v>R</v>
      </c>
      <c r="AL46" s="65" t="s">
        <v>299</v>
      </c>
      <c r="AM46" s="66">
        <v>13.0</v>
      </c>
      <c r="AN46" s="36" t="str">
        <f t="shared" si="13"/>
        <v>R</v>
      </c>
      <c r="AO46" s="66">
        <v>10.0</v>
      </c>
      <c r="AP46" s="36" t="str">
        <f t="shared" si="14"/>
        <v>R</v>
      </c>
      <c r="AQ46" s="66">
        <v>6.0</v>
      </c>
      <c r="AR46" s="36" t="str">
        <f t="shared" si="15"/>
        <v>R</v>
      </c>
      <c r="AS46" s="66" t="s">
        <v>299</v>
      </c>
      <c r="AT46" s="67">
        <v>6.0</v>
      </c>
      <c r="AU46" s="37" t="str">
        <f t="shared" si="16"/>
        <v>R</v>
      </c>
      <c r="AV46" s="65">
        <v>15.0</v>
      </c>
      <c r="AW46" s="33" t="str">
        <f t="shared" si="17"/>
        <v>R</v>
      </c>
      <c r="AX46" s="65">
        <v>12.0</v>
      </c>
      <c r="AY46" s="33" t="str">
        <f t="shared" si="18"/>
        <v>R</v>
      </c>
      <c r="AZ46" s="65" t="s">
        <v>299</v>
      </c>
      <c r="BA46" s="28">
        <v>6.0</v>
      </c>
      <c r="BB46" s="26" t="str">
        <f t="shared" si="19"/>
        <v>R</v>
      </c>
      <c r="BC46" s="67">
        <v>14.0</v>
      </c>
      <c r="BD46" s="37" t="str">
        <f t="shared" si="20"/>
        <v>R</v>
      </c>
      <c r="BE46" s="66">
        <v>17.0</v>
      </c>
      <c r="BF46" s="36" t="str">
        <f t="shared" si="21"/>
        <v>R</v>
      </c>
      <c r="BG46" s="39" t="s">
        <v>357</v>
      </c>
      <c r="BH46" s="39" t="s">
        <v>357</v>
      </c>
      <c r="BI46" s="66">
        <v>19.0</v>
      </c>
      <c r="BJ46" s="36" t="str">
        <f t="shared" si="22"/>
        <v>I</v>
      </c>
      <c r="BK46" s="68">
        <v>15.0</v>
      </c>
      <c r="BL46" s="41" t="str">
        <f t="shared" si="23"/>
        <v>R</v>
      </c>
      <c r="BM46" s="41"/>
    </row>
    <row r="47">
      <c r="A47" s="18" t="s">
        <v>1026</v>
      </c>
      <c r="B47" s="19">
        <v>243.0</v>
      </c>
      <c r="C47" s="18" t="s">
        <v>1214</v>
      </c>
      <c r="D47" s="69" t="s">
        <v>571</v>
      </c>
      <c r="E47" s="18" t="s">
        <v>572</v>
      </c>
      <c r="F47" s="18" t="s">
        <v>192</v>
      </c>
      <c r="G47" s="63" t="s">
        <v>1215</v>
      </c>
      <c r="H47" s="22" t="s">
        <v>198</v>
      </c>
      <c r="I47" s="75" t="s">
        <v>37</v>
      </c>
      <c r="J47" s="71" t="s">
        <v>205</v>
      </c>
      <c r="K47" s="71" t="s">
        <v>205</v>
      </c>
      <c r="L47" s="70" t="s">
        <v>208</v>
      </c>
      <c r="M47" s="28">
        <v>6.0</v>
      </c>
      <c r="N47" s="26" t="str">
        <f t="shared" si="1"/>
        <v>R</v>
      </c>
      <c r="O47" s="28">
        <v>18.0</v>
      </c>
      <c r="P47" s="26" t="str">
        <f t="shared" si="2"/>
        <v>R</v>
      </c>
      <c r="Q47" s="28">
        <v>6.0</v>
      </c>
      <c r="R47" s="26" t="str">
        <f t="shared" si="3"/>
        <v>R</v>
      </c>
      <c r="S47" s="28">
        <v>22.0</v>
      </c>
      <c r="T47" s="26" t="str">
        <f t="shared" si="4"/>
        <v>I</v>
      </c>
      <c r="U47" s="28">
        <v>6.0</v>
      </c>
      <c r="V47" s="26" t="str">
        <f t="shared" si="5"/>
        <v>R</v>
      </c>
      <c r="W47" s="28">
        <v>20.0</v>
      </c>
      <c r="X47" s="26" t="str">
        <f t="shared" si="6"/>
        <v>S</v>
      </c>
      <c r="Y47" s="28">
        <v>19.0</v>
      </c>
      <c r="Z47" s="26" t="str">
        <f t="shared" si="7"/>
        <v>I</v>
      </c>
      <c r="AA47" s="32" t="s">
        <v>299</v>
      </c>
      <c r="AB47" s="65">
        <v>6.0</v>
      </c>
      <c r="AC47" s="33" t="str">
        <f t="shared" si="8"/>
        <v>R</v>
      </c>
      <c r="AD47" s="65">
        <v>19.0</v>
      </c>
      <c r="AE47" s="33" t="str">
        <f t="shared" si="9"/>
        <v>S</v>
      </c>
      <c r="AF47" s="65">
        <v>6.0</v>
      </c>
      <c r="AG47" s="33" t="str">
        <f t="shared" si="10"/>
        <v>R</v>
      </c>
      <c r="AH47" s="65">
        <v>21.0</v>
      </c>
      <c r="AI47" s="33" t="str">
        <f t="shared" si="11"/>
        <v>S</v>
      </c>
      <c r="AJ47" s="65">
        <v>17.0</v>
      </c>
      <c r="AK47" s="33" t="str">
        <f t="shared" si="12"/>
        <v>R</v>
      </c>
      <c r="AL47" s="65" t="s">
        <v>299</v>
      </c>
      <c r="AM47" s="66">
        <v>6.0</v>
      </c>
      <c r="AN47" s="36" t="str">
        <f t="shared" si="13"/>
        <v>R</v>
      </c>
      <c r="AO47" s="66">
        <v>6.0</v>
      </c>
      <c r="AP47" s="36" t="str">
        <f t="shared" si="14"/>
        <v>R</v>
      </c>
      <c r="AQ47" s="66">
        <v>6.0</v>
      </c>
      <c r="AR47" s="36" t="str">
        <f t="shared" si="15"/>
        <v>R</v>
      </c>
      <c r="AS47" s="66" t="s">
        <v>299</v>
      </c>
      <c r="AT47" s="67">
        <v>6.0</v>
      </c>
      <c r="AU47" s="37" t="str">
        <f t="shared" si="16"/>
        <v>R</v>
      </c>
      <c r="AV47" s="65">
        <v>20.0</v>
      </c>
      <c r="AW47" s="33" t="str">
        <f t="shared" si="17"/>
        <v>S</v>
      </c>
      <c r="AX47" s="65">
        <v>19.0</v>
      </c>
      <c r="AY47" s="33" t="str">
        <f t="shared" si="18"/>
        <v>S</v>
      </c>
      <c r="AZ47" s="33" t="s">
        <v>300</v>
      </c>
      <c r="BA47" s="28">
        <v>6.0</v>
      </c>
      <c r="BB47" s="26" t="str">
        <f t="shared" si="19"/>
        <v>R</v>
      </c>
      <c r="BC47" s="67">
        <v>15.0</v>
      </c>
      <c r="BD47" s="37" t="str">
        <f t="shared" si="20"/>
        <v>R</v>
      </c>
      <c r="BE47" s="66">
        <v>27.0</v>
      </c>
      <c r="BF47" s="36" t="str">
        <f t="shared" si="21"/>
        <v>S</v>
      </c>
      <c r="BG47" s="39" t="s">
        <v>357</v>
      </c>
      <c r="BH47" s="39" t="s">
        <v>357</v>
      </c>
      <c r="BI47" s="66">
        <v>21.0</v>
      </c>
      <c r="BJ47" s="36" t="str">
        <f t="shared" si="22"/>
        <v>I</v>
      </c>
      <c r="BK47" s="68">
        <v>21.0</v>
      </c>
      <c r="BL47" s="41" t="str">
        <f t="shared" si="23"/>
        <v>S</v>
      </c>
      <c r="BM47" s="41"/>
    </row>
    <row r="48">
      <c r="A48" s="18" t="s">
        <v>1029</v>
      </c>
      <c r="B48" s="19">
        <v>244.0</v>
      </c>
      <c r="C48" s="18" t="s">
        <v>1217</v>
      </c>
      <c r="D48" s="69" t="s">
        <v>190</v>
      </c>
      <c r="E48" s="18" t="s">
        <v>190</v>
      </c>
      <c r="F48" s="18" t="s">
        <v>192</v>
      </c>
      <c r="G48" s="63" t="s">
        <v>1218</v>
      </c>
      <c r="H48" s="22" t="s">
        <v>198</v>
      </c>
      <c r="I48" s="75" t="s">
        <v>37</v>
      </c>
      <c r="J48" s="71" t="s">
        <v>205</v>
      </c>
      <c r="K48" s="71" t="s">
        <v>205</v>
      </c>
      <c r="L48" s="70" t="s">
        <v>208</v>
      </c>
      <c r="M48" s="28">
        <v>6.0</v>
      </c>
      <c r="N48" s="26" t="str">
        <f t="shared" si="1"/>
        <v>R</v>
      </c>
      <c r="O48" s="28">
        <v>18.0</v>
      </c>
      <c r="P48" s="26" t="str">
        <f t="shared" si="2"/>
        <v>R</v>
      </c>
      <c r="Q48" s="28">
        <v>6.0</v>
      </c>
      <c r="R48" s="26" t="str">
        <f t="shared" si="3"/>
        <v>R</v>
      </c>
      <c r="S48" s="28">
        <v>23.0</v>
      </c>
      <c r="T48" s="26" t="str">
        <f t="shared" si="4"/>
        <v>S</v>
      </c>
      <c r="U48" s="28">
        <v>11.0</v>
      </c>
      <c r="V48" s="26" t="str">
        <f t="shared" si="5"/>
        <v>R</v>
      </c>
      <c r="W48" s="28">
        <v>18.0</v>
      </c>
      <c r="X48" s="26" t="str">
        <f t="shared" si="6"/>
        <v>R</v>
      </c>
      <c r="Y48" s="28">
        <v>16.0</v>
      </c>
      <c r="Z48" s="26" t="str">
        <f t="shared" si="7"/>
        <v>R</v>
      </c>
      <c r="AA48" s="32" t="s">
        <v>299</v>
      </c>
      <c r="AB48" s="65">
        <v>6.0</v>
      </c>
      <c r="AC48" s="33" t="str">
        <f t="shared" si="8"/>
        <v>R</v>
      </c>
      <c r="AD48" s="65">
        <v>21.0</v>
      </c>
      <c r="AE48" s="33" t="str">
        <f t="shared" si="9"/>
        <v>S</v>
      </c>
      <c r="AF48" s="65">
        <v>18.0</v>
      </c>
      <c r="AG48" s="33" t="str">
        <f t="shared" si="10"/>
        <v>R</v>
      </c>
      <c r="AH48" s="65">
        <v>16.0</v>
      </c>
      <c r="AI48" s="33" t="str">
        <f t="shared" si="11"/>
        <v>S</v>
      </c>
      <c r="AJ48" s="65">
        <v>16.0</v>
      </c>
      <c r="AK48" s="33" t="str">
        <f t="shared" si="12"/>
        <v>R</v>
      </c>
      <c r="AL48" s="65" t="s">
        <v>299</v>
      </c>
      <c r="AM48" s="66">
        <v>21.0</v>
      </c>
      <c r="AN48" s="36" t="str">
        <f t="shared" si="13"/>
        <v>R</v>
      </c>
      <c r="AO48" s="66">
        <v>20.0</v>
      </c>
      <c r="AP48" s="36" t="str">
        <f t="shared" si="14"/>
        <v>I</v>
      </c>
      <c r="AQ48" s="66">
        <v>20.0</v>
      </c>
      <c r="AR48" s="36" t="str">
        <f t="shared" si="15"/>
        <v>S</v>
      </c>
      <c r="AS48" s="66" t="s">
        <v>299</v>
      </c>
      <c r="AT48" s="67">
        <v>18.0</v>
      </c>
      <c r="AU48" s="37" t="str">
        <f t="shared" si="16"/>
        <v>S</v>
      </c>
      <c r="AV48" s="65">
        <v>14.0</v>
      </c>
      <c r="AW48" s="33" t="str">
        <f t="shared" si="17"/>
        <v>R</v>
      </c>
      <c r="AX48" s="65">
        <v>16.0</v>
      </c>
      <c r="AY48" s="33" t="str">
        <f t="shared" si="18"/>
        <v>S</v>
      </c>
      <c r="AZ48" s="65" t="s">
        <v>299</v>
      </c>
      <c r="BA48" s="28">
        <v>16.0</v>
      </c>
      <c r="BB48" s="26" t="str">
        <f t="shared" si="19"/>
        <v>R</v>
      </c>
      <c r="BC48" s="67">
        <v>18.0</v>
      </c>
      <c r="BD48" s="37" t="str">
        <f t="shared" si="20"/>
        <v>R</v>
      </c>
      <c r="BE48" s="66">
        <v>12.0</v>
      </c>
      <c r="BF48" s="36" t="str">
        <f t="shared" si="21"/>
        <v>R</v>
      </c>
      <c r="BG48" s="39" t="s">
        <v>357</v>
      </c>
      <c r="BH48" s="39" t="s">
        <v>357</v>
      </c>
      <c r="BI48" s="66">
        <v>24.0</v>
      </c>
      <c r="BJ48" s="36" t="str">
        <f t="shared" si="22"/>
        <v>S</v>
      </c>
      <c r="BK48" s="68">
        <v>18.0</v>
      </c>
      <c r="BL48" s="41" t="str">
        <f t="shared" si="23"/>
        <v>S</v>
      </c>
      <c r="BM48" s="41"/>
    </row>
    <row r="49">
      <c r="A49" s="18" t="s">
        <v>1029</v>
      </c>
      <c r="B49" s="19">
        <v>245.0</v>
      </c>
      <c r="C49" s="18" t="s">
        <v>1219</v>
      </c>
      <c r="D49" s="69" t="s">
        <v>190</v>
      </c>
      <c r="E49" s="18" t="s">
        <v>190</v>
      </c>
      <c r="F49" s="18" t="s">
        <v>192</v>
      </c>
      <c r="G49" s="63" t="s">
        <v>1220</v>
      </c>
      <c r="H49" s="22" t="s">
        <v>198</v>
      </c>
      <c r="I49" s="75" t="s">
        <v>481</v>
      </c>
      <c r="J49" s="70" t="s">
        <v>205</v>
      </c>
      <c r="K49" s="70" t="s">
        <v>208</v>
      </c>
      <c r="L49" s="70" t="s">
        <v>208</v>
      </c>
      <c r="M49" s="28">
        <v>6.0</v>
      </c>
      <c r="N49" s="26" t="str">
        <f t="shared" si="1"/>
        <v>R</v>
      </c>
      <c r="O49" s="28">
        <v>14.0</v>
      </c>
      <c r="P49" s="26" t="str">
        <f t="shared" si="2"/>
        <v>R</v>
      </c>
      <c r="Q49" s="28">
        <v>6.0</v>
      </c>
      <c r="R49" s="26" t="str">
        <f t="shared" si="3"/>
        <v>R</v>
      </c>
      <c r="S49" s="28">
        <v>25.0</v>
      </c>
      <c r="T49" s="26" t="str">
        <f t="shared" si="4"/>
        <v>S</v>
      </c>
      <c r="U49" s="28">
        <v>11.0</v>
      </c>
      <c r="V49" s="26" t="str">
        <f t="shared" si="5"/>
        <v>R</v>
      </c>
      <c r="W49" s="28">
        <v>17.0</v>
      </c>
      <c r="X49" s="26" t="str">
        <f t="shared" si="6"/>
        <v>R</v>
      </c>
      <c r="Y49" s="28">
        <v>21.0</v>
      </c>
      <c r="Z49" s="26" t="str">
        <f t="shared" si="7"/>
        <v>S</v>
      </c>
      <c r="AA49" s="32" t="s">
        <v>299</v>
      </c>
      <c r="AB49" s="65">
        <v>6.0</v>
      </c>
      <c r="AC49" s="33" t="str">
        <f t="shared" si="8"/>
        <v>R</v>
      </c>
      <c r="AD49" s="65">
        <v>17.0</v>
      </c>
      <c r="AE49" s="33" t="str">
        <f t="shared" si="9"/>
        <v>R</v>
      </c>
      <c r="AF49" s="65">
        <v>6.0</v>
      </c>
      <c r="AG49" s="33" t="str">
        <f t="shared" si="10"/>
        <v>R</v>
      </c>
      <c r="AH49" s="65">
        <v>22.0</v>
      </c>
      <c r="AI49" s="33" t="str">
        <f t="shared" si="11"/>
        <v>S</v>
      </c>
      <c r="AJ49" s="65">
        <v>6.0</v>
      </c>
      <c r="AK49" s="33" t="str">
        <f t="shared" si="12"/>
        <v>R</v>
      </c>
      <c r="AL49" s="65" t="s">
        <v>299</v>
      </c>
      <c r="AM49" s="66">
        <v>20.0</v>
      </c>
      <c r="AN49" s="36" t="str">
        <f t="shared" si="13"/>
        <v>R</v>
      </c>
      <c r="AO49" s="66">
        <v>19.0</v>
      </c>
      <c r="AP49" s="36" t="str">
        <f t="shared" si="14"/>
        <v>I</v>
      </c>
      <c r="AQ49" s="66">
        <v>16.0</v>
      </c>
      <c r="AR49" s="36" t="str">
        <f t="shared" si="15"/>
        <v>S</v>
      </c>
      <c r="AS49" s="66" t="s">
        <v>299</v>
      </c>
      <c r="AT49" s="67">
        <v>18.0</v>
      </c>
      <c r="AU49" s="37" t="str">
        <f t="shared" si="16"/>
        <v>S</v>
      </c>
      <c r="AV49" s="65">
        <v>19.0</v>
      </c>
      <c r="AW49" s="33" t="str">
        <f t="shared" si="17"/>
        <v>S</v>
      </c>
      <c r="AX49" s="65">
        <v>16.0</v>
      </c>
      <c r="AY49" s="33" t="str">
        <f t="shared" si="18"/>
        <v>S</v>
      </c>
      <c r="AZ49" s="33" t="s">
        <v>300</v>
      </c>
      <c r="BA49" s="28">
        <v>20.0</v>
      </c>
      <c r="BB49" s="26" t="str">
        <f t="shared" si="19"/>
        <v>S</v>
      </c>
      <c r="BC49" s="67">
        <v>6.0</v>
      </c>
      <c r="BD49" s="37" t="str">
        <f t="shared" si="20"/>
        <v>R</v>
      </c>
      <c r="BE49" s="66">
        <v>25.0</v>
      </c>
      <c r="BF49" s="36" t="str">
        <f t="shared" si="21"/>
        <v>S</v>
      </c>
      <c r="BG49" s="39" t="s">
        <v>357</v>
      </c>
      <c r="BH49" s="39" t="s">
        <v>357</v>
      </c>
      <c r="BI49" s="66">
        <v>26.0</v>
      </c>
      <c r="BJ49" s="36" t="str">
        <f t="shared" si="22"/>
        <v>S</v>
      </c>
      <c r="BK49" s="68">
        <v>18.0</v>
      </c>
      <c r="BL49" s="41" t="str">
        <f t="shared" si="23"/>
        <v>S</v>
      </c>
      <c r="BM49" s="41"/>
    </row>
    <row r="50">
      <c r="A50" s="18" t="s">
        <v>1029</v>
      </c>
      <c r="B50" s="19">
        <v>246.0</v>
      </c>
      <c r="C50" s="18" t="s">
        <v>1221</v>
      </c>
      <c r="D50" s="69" t="s">
        <v>571</v>
      </c>
      <c r="E50" s="18" t="s">
        <v>572</v>
      </c>
      <c r="F50" s="18" t="s">
        <v>192</v>
      </c>
      <c r="G50" s="63" t="s">
        <v>1222</v>
      </c>
      <c r="H50" s="52" t="s">
        <v>581</v>
      </c>
      <c r="I50" s="75" t="s">
        <v>481</v>
      </c>
      <c r="J50" s="70" t="s">
        <v>205</v>
      </c>
      <c r="K50" s="70" t="s">
        <v>208</v>
      </c>
      <c r="L50" s="70" t="s">
        <v>208</v>
      </c>
      <c r="M50" s="28">
        <v>6.0</v>
      </c>
      <c r="N50" s="26" t="str">
        <f t="shared" si="1"/>
        <v>R</v>
      </c>
      <c r="O50" s="28">
        <v>9.0</v>
      </c>
      <c r="P50" s="26" t="str">
        <f t="shared" si="2"/>
        <v>R</v>
      </c>
      <c r="Q50" s="28">
        <v>6.0</v>
      </c>
      <c r="R50" s="26" t="str">
        <f t="shared" si="3"/>
        <v>R</v>
      </c>
      <c r="S50" s="28">
        <v>29.0</v>
      </c>
      <c r="T50" s="26" t="str">
        <f t="shared" si="4"/>
        <v>S</v>
      </c>
      <c r="U50" s="28">
        <v>14.0</v>
      </c>
      <c r="V50" s="26" t="str">
        <f t="shared" si="5"/>
        <v>R</v>
      </c>
      <c r="W50" s="28">
        <v>13.0</v>
      </c>
      <c r="X50" s="26" t="str">
        <f t="shared" si="6"/>
        <v>R</v>
      </c>
      <c r="Y50" s="28">
        <v>19.0</v>
      </c>
      <c r="Z50" s="26" t="str">
        <f t="shared" si="7"/>
        <v>I</v>
      </c>
      <c r="AA50" s="32" t="s">
        <v>299</v>
      </c>
      <c r="AB50" s="65">
        <v>6.0</v>
      </c>
      <c r="AC50" s="33" t="str">
        <f t="shared" si="8"/>
        <v>R</v>
      </c>
      <c r="AD50" s="65">
        <v>16.0</v>
      </c>
      <c r="AE50" s="33" t="str">
        <f t="shared" si="9"/>
        <v>R</v>
      </c>
      <c r="AF50" s="65">
        <v>6.0</v>
      </c>
      <c r="AG50" s="33" t="str">
        <f t="shared" si="10"/>
        <v>R</v>
      </c>
      <c r="AH50" s="65">
        <v>12.0</v>
      </c>
      <c r="AI50" s="33" t="str">
        <f t="shared" si="11"/>
        <v>R</v>
      </c>
      <c r="AJ50" s="65">
        <v>13.0</v>
      </c>
      <c r="AK50" s="33" t="str">
        <f t="shared" si="12"/>
        <v>R</v>
      </c>
      <c r="AL50" s="65" t="s">
        <v>299</v>
      </c>
      <c r="AM50" s="66">
        <v>23.0</v>
      </c>
      <c r="AN50" s="36" t="str">
        <f t="shared" si="13"/>
        <v>I</v>
      </c>
      <c r="AO50" s="66">
        <v>21.0</v>
      </c>
      <c r="AP50" s="36" t="str">
        <f t="shared" si="14"/>
        <v>I</v>
      </c>
      <c r="AQ50" s="66">
        <v>20.0</v>
      </c>
      <c r="AR50" s="36" t="str">
        <f t="shared" si="15"/>
        <v>S</v>
      </c>
      <c r="AS50" s="66" t="s">
        <v>299</v>
      </c>
      <c r="AT50" s="67">
        <v>24.0</v>
      </c>
      <c r="AU50" s="37" t="str">
        <f t="shared" si="16"/>
        <v>S</v>
      </c>
      <c r="AV50" s="65">
        <v>16.0</v>
      </c>
      <c r="AW50" s="33" t="str">
        <f t="shared" si="17"/>
        <v>R</v>
      </c>
      <c r="AX50" s="65">
        <v>18.0</v>
      </c>
      <c r="AY50" s="33" t="str">
        <f t="shared" si="18"/>
        <v>S</v>
      </c>
      <c r="AZ50" s="65" t="s">
        <v>299</v>
      </c>
      <c r="BA50" s="28">
        <v>18.0</v>
      </c>
      <c r="BB50" s="26" t="str">
        <f t="shared" si="19"/>
        <v>R</v>
      </c>
      <c r="BC50" s="67">
        <v>6.0</v>
      </c>
      <c r="BD50" s="37" t="str">
        <f t="shared" si="20"/>
        <v>R</v>
      </c>
      <c r="BE50" s="66">
        <v>26.0</v>
      </c>
      <c r="BF50" s="36" t="str">
        <f t="shared" si="21"/>
        <v>S</v>
      </c>
      <c r="BG50" s="39" t="s">
        <v>357</v>
      </c>
      <c r="BH50" s="39" t="s">
        <v>357</v>
      </c>
      <c r="BI50" s="66">
        <v>14.0</v>
      </c>
      <c r="BJ50" s="36" t="str">
        <f t="shared" si="22"/>
        <v>R</v>
      </c>
      <c r="BK50" s="68">
        <v>16.0</v>
      </c>
      <c r="BL50" s="41" t="str">
        <f t="shared" si="23"/>
        <v>R</v>
      </c>
      <c r="BM50" s="41"/>
    </row>
    <row r="51">
      <c r="A51" s="18" t="s">
        <v>1029</v>
      </c>
      <c r="B51" s="19">
        <v>247.0</v>
      </c>
      <c r="C51" s="18" t="s">
        <v>1223</v>
      </c>
      <c r="D51" s="69" t="s">
        <v>571</v>
      </c>
      <c r="E51" s="18" t="s">
        <v>572</v>
      </c>
      <c r="F51" s="18" t="s">
        <v>192</v>
      </c>
      <c r="G51" s="63" t="s">
        <v>1224</v>
      </c>
      <c r="H51" s="52" t="s">
        <v>581</v>
      </c>
      <c r="I51" s="75" t="s">
        <v>37</v>
      </c>
      <c r="J51" s="71" t="s">
        <v>205</v>
      </c>
      <c r="K51" s="71" t="s">
        <v>205</v>
      </c>
      <c r="L51" s="70" t="s">
        <v>208</v>
      </c>
      <c r="M51" s="28">
        <v>6.0</v>
      </c>
      <c r="N51" s="26" t="str">
        <f t="shared" si="1"/>
        <v>R</v>
      </c>
      <c r="O51" s="28">
        <v>16.0</v>
      </c>
      <c r="P51" s="26" t="str">
        <f t="shared" si="2"/>
        <v>R</v>
      </c>
      <c r="Q51" s="28">
        <v>20.0</v>
      </c>
      <c r="R51" s="26" t="str">
        <f t="shared" si="3"/>
        <v>R</v>
      </c>
      <c r="S51" s="28">
        <v>21.0</v>
      </c>
      <c r="T51" s="26" t="str">
        <f t="shared" si="4"/>
        <v>I</v>
      </c>
      <c r="U51" s="28">
        <v>15.0</v>
      </c>
      <c r="V51" s="26" t="str">
        <f t="shared" si="5"/>
        <v>R</v>
      </c>
      <c r="W51" s="28">
        <v>18.0</v>
      </c>
      <c r="X51" s="26" t="str">
        <f t="shared" si="6"/>
        <v>R</v>
      </c>
      <c r="Y51" s="28">
        <v>15.0</v>
      </c>
      <c r="Z51" s="26" t="str">
        <f t="shared" si="7"/>
        <v>R</v>
      </c>
      <c r="AA51" s="32" t="s">
        <v>299</v>
      </c>
      <c r="AB51" s="65">
        <v>6.0</v>
      </c>
      <c r="AC51" s="33" t="str">
        <f t="shared" si="8"/>
        <v>R</v>
      </c>
      <c r="AD51" s="65">
        <v>22.0</v>
      </c>
      <c r="AE51" s="33" t="str">
        <f t="shared" si="9"/>
        <v>S</v>
      </c>
      <c r="AF51" s="65">
        <v>18.0</v>
      </c>
      <c r="AG51" s="33" t="str">
        <f t="shared" si="10"/>
        <v>R</v>
      </c>
      <c r="AH51" s="65">
        <v>25.0</v>
      </c>
      <c r="AI51" s="33" t="str">
        <f t="shared" si="11"/>
        <v>S</v>
      </c>
      <c r="AJ51" s="65">
        <v>18.0</v>
      </c>
      <c r="AK51" s="33" t="str">
        <f t="shared" si="12"/>
        <v>R</v>
      </c>
      <c r="AL51" s="65" t="s">
        <v>299</v>
      </c>
      <c r="AM51" s="66">
        <v>20.0</v>
      </c>
      <c r="AN51" s="36" t="str">
        <f t="shared" si="13"/>
        <v>R</v>
      </c>
      <c r="AO51" s="66">
        <v>22.0</v>
      </c>
      <c r="AP51" s="36" t="str">
        <f t="shared" si="14"/>
        <v>I</v>
      </c>
      <c r="AQ51" s="66">
        <v>16.0</v>
      </c>
      <c r="AR51" s="36" t="str">
        <f t="shared" si="15"/>
        <v>S</v>
      </c>
      <c r="AS51" s="66" t="s">
        <v>299</v>
      </c>
      <c r="AT51" s="67">
        <v>18.0</v>
      </c>
      <c r="AU51" s="37" t="str">
        <f t="shared" si="16"/>
        <v>S</v>
      </c>
      <c r="AV51" s="65">
        <v>16.0</v>
      </c>
      <c r="AW51" s="33" t="str">
        <f t="shared" si="17"/>
        <v>R</v>
      </c>
      <c r="AX51" s="65">
        <v>21.0</v>
      </c>
      <c r="AY51" s="33" t="str">
        <f t="shared" si="18"/>
        <v>S</v>
      </c>
      <c r="AZ51" s="65" t="s">
        <v>299</v>
      </c>
      <c r="BA51" s="28">
        <v>21.0</v>
      </c>
      <c r="BB51" s="26" t="str">
        <f t="shared" si="19"/>
        <v>S</v>
      </c>
      <c r="BC51" s="67">
        <v>6.0</v>
      </c>
      <c r="BD51" s="37" t="str">
        <f t="shared" si="20"/>
        <v>R</v>
      </c>
      <c r="BE51" s="66">
        <v>18.0</v>
      </c>
      <c r="BF51" s="36" t="str">
        <f t="shared" si="21"/>
        <v>R</v>
      </c>
      <c r="BG51" s="39" t="s">
        <v>357</v>
      </c>
      <c r="BH51" s="39" t="s">
        <v>357</v>
      </c>
      <c r="BI51" s="66">
        <v>30.0</v>
      </c>
      <c r="BJ51" s="36" t="str">
        <f t="shared" si="22"/>
        <v>S</v>
      </c>
      <c r="BK51" s="68">
        <v>21.0</v>
      </c>
      <c r="BL51" s="41" t="str">
        <f t="shared" si="23"/>
        <v>S</v>
      </c>
      <c r="BM51" s="41"/>
    </row>
    <row r="52">
      <c r="A52" s="18" t="s">
        <v>1029</v>
      </c>
      <c r="B52" s="19">
        <v>248.0</v>
      </c>
      <c r="C52" s="18" t="s">
        <v>1225</v>
      </c>
      <c r="D52" s="69" t="s">
        <v>705</v>
      </c>
      <c r="E52" s="18" t="s">
        <v>572</v>
      </c>
      <c r="F52" s="18" t="s">
        <v>192</v>
      </c>
      <c r="G52" s="63" t="s">
        <v>1226</v>
      </c>
      <c r="H52" s="42" t="s">
        <v>479</v>
      </c>
      <c r="I52" s="75" t="s">
        <v>816</v>
      </c>
      <c r="J52" s="71" t="s">
        <v>205</v>
      </c>
      <c r="K52" s="71" t="s">
        <v>205</v>
      </c>
      <c r="L52" s="71" t="s">
        <v>205</v>
      </c>
      <c r="M52" s="28">
        <v>6.0</v>
      </c>
      <c r="N52" s="26" t="str">
        <f t="shared" si="1"/>
        <v>R</v>
      </c>
      <c r="O52" s="28">
        <v>16.0</v>
      </c>
      <c r="P52" s="26" t="str">
        <f t="shared" si="2"/>
        <v>R</v>
      </c>
      <c r="Q52" s="28">
        <v>6.0</v>
      </c>
      <c r="R52" s="26" t="str">
        <f t="shared" si="3"/>
        <v>R</v>
      </c>
      <c r="S52" s="28">
        <v>23.0</v>
      </c>
      <c r="T52" s="26" t="str">
        <f t="shared" si="4"/>
        <v>S</v>
      </c>
      <c r="U52" s="28">
        <v>6.0</v>
      </c>
      <c r="V52" s="26" t="str">
        <f t="shared" si="5"/>
        <v>R</v>
      </c>
      <c r="W52" s="28">
        <v>17.0</v>
      </c>
      <c r="X52" s="26" t="str">
        <f t="shared" si="6"/>
        <v>R</v>
      </c>
      <c r="Y52" s="28">
        <v>17.0</v>
      </c>
      <c r="Z52" s="26" t="str">
        <f t="shared" si="7"/>
        <v>I</v>
      </c>
      <c r="AA52" s="32" t="s">
        <v>299</v>
      </c>
      <c r="AB52" s="65">
        <v>6.0</v>
      </c>
      <c r="AC52" s="33" t="str">
        <f t="shared" si="8"/>
        <v>R</v>
      </c>
      <c r="AD52" s="65">
        <v>18.0</v>
      </c>
      <c r="AE52" s="33" t="str">
        <f t="shared" si="9"/>
        <v>S</v>
      </c>
      <c r="AF52" s="65">
        <v>6.0</v>
      </c>
      <c r="AG52" s="33" t="str">
        <f t="shared" si="10"/>
        <v>R</v>
      </c>
      <c r="AH52" s="65">
        <v>17.0</v>
      </c>
      <c r="AI52" s="33" t="str">
        <f t="shared" si="11"/>
        <v>S</v>
      </c>
      <c r="AJ52" s="65">
        <v>6.0</v>
      </c>
      <c r="AK52" s="33" t="str">
        <f t="shared" si="12"/>
        <v>R</v>
      </c>
      <c r="AL52" s="65" t="s">
        <v>299</v>
      </c>
      <c r="AM52" s="66">
        <v>12.0</v>
      </c>
      <c r="AN52" s="36" t="str">
        <f t="shared" si="13"/>
        <v>R</v>
      </c>
      <c r="AO52" s="66">
        <v>13.0</v>
      </c>
      <c r="AP52" s="36" t="str">
        <f t="shared" si="14"/>
        <v>R</v>
      </c>
      <c r="AQ52" s="66">
        <v>15.0</v>
      </c>
      <c r="AR52" s="36" t="str">
        <f t="shared" si="15"/>
        <v>S</v>
      </c>
      <c r="AS52" s="66" t="s">
        <v>299</v>
      </c>
      <c r="AT52" s="67">
        <v>15.0</v>
      </c>
      <c r="AU52" s="37" t="str">
        <f t="shared" si="16"/>
        <v>S</v>
      </c>
      <c r="AV52" s="65">
        <v>12.0</v>
      </c>
      <c r="AW52" s="33" t="str">
        <f t="shared" si="17"/>
        <v>R</v>
      </c>
      <c r="AX52" s="65">
        <v>11.0</v>
      </c>
      <c r="AY52" s="33" t="str">
        <f t="shared" si="18"/>
        <v>R</v>
      </c>
      <c r="AZ52" s="65" t="s">
        <v>299</v>
      </c>
      <c r="BA52" s="28">
        <v>17.0</v>
      </c>
      <c r="BB52" s="26" t="str">
        <f t="shared" si="19"/>
        <v>R</v>
      </c>
      <c r="BC52" s="67">
        <v>6.0</v>
      </c>
      <c r="BD52" s="37" t="str">
        <f t="shared" si="20"/>
        <v>R</v>
      </c>
      <c r="BE52" s="66">
        <v>20.0</v>
      </c>
      <c r="BF52" s="36" t="str">
        <f t="shared" si="21"/>
        <v>R</v>
      </c>
      <c r="BG52" s="39" t="s">
        <v>357</v>
      </c>
      <c r="BH52" s="39" t="s">
        <v>357</v>
      </c>
      <c r="BI52" s="66">
        <v>19.0</v>
      </c>
      <c r="BJ52" s="36" t="str">
        <f t="shared" si="22"/>
        <v>I</v>
      </c>
      <c r="BK52" s="68">
        <v>15.0</v>
      </c>
      <c r="BL52" s="41" t="str">
        <f t="shared" si="23"/>
        <v>R</v>
      </c>
      <c r="BM52" s="41"/>
    </row>
    <row r="53">
      <c r="A53" s="18" t="s">
        <v>1040</v>
      </c>
      <c r="B53" s="19">
        <v>257.0</v>
      </c>
      <c r="C53" s="18" t="s">
        <v>1227</v>
      </c>
      <c r="D53" s="69" t="s">
        <v>190</v>
      </c>
      <c r="E53" s="18" t="s">
        <v>190</v>
      </c>
      <c r="F53" s="18" t="s">
        <v>192</v>
      </c>
      <c r="G53" s="63" t="s">
        <v>1228</v>
      </c>
      <c r="H53" s="22" t="s">
        <v>198</v>
      </c>
      <c r="I53" s="75" t="s">
        <v>481</v>
      </c>
      <c r="J53" s="70" t="s">
        <v>205</v>
      </c>
      <c r="K53" s="70" t="s">
        <v>208</v>
      </c>
      <c r="L53" s="70" t="s">
        <v>208</v>
      </c>
      <c r="M53" s="28">
        <v>6.0</v>
      </c>
      <c r="N53" s="26" t="str">
        <f t="shared" si="1"/>
        <v>R</v>
      </c>
      <c r="O53" s="28">
        <v>20.0</v>
      </c>
      <c r="P53" s="26" t="str">
        <f t="shared" si="2"/>
        <v>S</v>
      </c>
      <c r="Q53" s="28">
        <v>6.0</v>
      </c>
      <c r="R53" s="26" t="str">
        <f t="shared" si="3"/>
        <v>R</v>
      </c>
      <c r="S53" s="28">
        <v>22.0</v>
      </c>
      <c r="T53" s="26" t="str">
        <f t="shared" si="4"/>
        <v>I</v>
      </c>
      <c r="U53" s="28">
        <v>6.0</v>
      </c>
      <c r="V53" s="26" t="str">
        <f t="shared" si="5"/>
        <v>R</v>
      </c>
      <c r="W53" s="28">
        <v>18.0</v>
      </c>
      <c r="X53" s="26" t="str">
        <f t="shared" si="6"/>
        <v>R</v>
      </c>
      <c r="Y53" s="28">
        <v>21.0</v>
      </c>
      <c r="Z53" s="26" t="str">
        <f t="shared" si="7"/>
        <v>S</v>
      </c>
      <c r="AA53" s="32" t="s">
        <v>299</v>
      </c>
      <c r="AB53" s="65">
        <v>6.0</v>
      </c>
      <c r="AC53" s="33" t="str">
        <f t="shared" si="8"/>
        <v>R</v>
      </c>
      <c r="AD53" s="65">
        <v>17.0</v>
      </c>
      <c r="AE53" s="33" t="str">
        <f t="shared" si="9"/>
        <v>R</v>
      </c>
      <c r="AF53" s="65">
        <v>6.0</v>
      </c>
      <c r="AG53" s="33" t="str">
        <f t="shared" si="10"/>
        <v>R</v>
      </c>
      <c r="AH53" s="65">
        <v>20.0</v>
      </c>
      <c r="AI53" s="33" t="str">
        <f t="shared" si="11"/>
        <v>S</v>
      </c>
      <c r="AJ53" s="65">
        <v>15.0</v>
      </c>
      <c r="AK53" s="33" t="str">
        <f t="shared" si="12"/>
        <v>R</v>
      </c>
      <c r="AL53" s="65" t="s">
        <v>299</v>
      </c>
      <c r="AM53" s="66">
        <v>6.0</v>
      </c>
      <c r="AN53" s="36" t="str">
        <f t="shared" si="13"/>
        <v>R</v>
      </c>
      <c r="AO53" s="66">
        <v>6.0</v>
      </c>
      <c r="AP53" s="36" t="str">
        <f t="shared" si="14"/>
        <v>R</v>
      </c>
      <c r="AQ53" s="66">
        <v>6.0</v>
      </c>
      <c r="AR53" s="36" t="str">
        <f t="shared" si="15"/>
        <v>R</v>
      </c>
      <c r="AS53" s="66" t="s">
        <v>299</v>
      </c>
      <c r="AT53" s="67">
        <v>6.0</v>
      </c>
      <c r="AU53" s="37" t="str">
        <f t="shared" si="16"/>
        <v>R</v>
      </c>
      <c r="AV53" s="65">
        <v>18.0</v>
      </c>
      <c r="AW53" s="33" t="str">
        <f t="shared" si="17"/>
        <v>S</v>
      </c>
      <c r="AX53" s="65">
        <v>17.0</v>
      </c>
      <c r="AY53" s="33" t="str">
        <f t="shared" si="18"/>
        <v>S</v>
      </c>
      <c r="AZ53" s="33" t="s">
        <v>300</v>
      </c>
      <c r="BA53" s="28">
        <v>6.0</v>
      </c>
      <c r="BB53" s="26" t="str">
        <f t="shared" si="19"/>
        <v>R</v>
      </c>
      <c r="BC53" s="67">
        <v>15.0</v>
      </c>
      <c r="BD53" s="37" t="str">
        <f t="shared" si="20"/>
        <v>R</v>
      </c>
      <c r="BE53" s="66">
        <v>25.0</v>
      </c>
      <c r="BF53" s="36" t="str">
        <f t="shared" si="21"/>
        <v>S</v>
      </c>
      <c r="BG53" s="39" t="s">
        <v>357</v>
      </c>
      <c r="BH53" s="39" t="s">
        <v>357</v>
      </c>
      <c r="BI53" s="66">
        <v>25.0</v>
      </c>
      <c r="BJ53" s="36" t="str">
        <f t="shared" si="22"/>
        <v>S</v>
      </c>
      <c r="BK53" s="68">
        <v>18.0</v>
      </c>
      <c r="BL53" s="41" t="str">
        <f t="shared" si="23"/>
        <v>S</v>
      </c>
      <c r="BM53" s="41"/>
    </row>
    <row r="54">
      <c r="A54" s="18" t="s">
        <v>1040</v>
      </c>
      <c r="B54" s="19">
        <v>258.0</v>
      </c>
      <c r="C54" s="18" t="s">
        <v>1229</v>
      </c>
      <c r="D54" s="69" t="s">
        <v>190</v>
      </c>
      <c r="E54" s="18" t="s">
        <v>190</v>
      </c>
      <c r="F54" s="18" t="s">
        <v>192</v>
      </c>
      <c r="G54" s="63" t="s">
        <v>1230</v>
      </c>
      <c r="H54" s="22" t="s">
        <v>198</v>
      </c>
      <c r="I54" s="75" t="s">
        <v>37</v>
      </c>
      <c r="J54" s="71" t="s">
        <v>205</v>
      </c>
      <c r="K54" s="71" t="s">
        <v>205</v>
      </c>
      <c r="L54" s="70" t="s">
        <v>208</v>
      </c>
      <c r="M54" s="28">
        <v>6.0</v>
      </c>
      <c r="N54" s="26" t="str">
        <f t="shared" si="1"/>
        <v>R</v>
      </c>
      <c r="O54" s="28">
        <v>19.0</v>
      </c>
      <c r="P54" s="26" t="str">
        <f t="shared" si="2"/>
        <v>S</v>
      </c>
      <c r="Q54" s="28">
        <v>6.0</v>
      </c>
      <c r="R54" s="26" t="str">
        <f t="shared" si="3"/>
        <v>R</v>
      </c>
      <c r="S54" s="28">
        <v>28.0</v>
      </c>
      <c r="T54" s="26" t="str">
        <f t="shared" si="4"/>
        <v>S</v>
      </c>
      <c r="U54" s="28">
        <v>6.0</v>
      </c>
      <c r="V54" s="26" t="str">
        <f t="shared" si="5"/>
        <v>R</v>
      </c>
      <c r="W54" s="28">
        <v>18.0</v>
      </c>
      <c r="X54" s="26" t="str">
        <f t="shared" si="6"/>
        <v>R</v>
      </c>
      <c r="Y54" s="28">
        <v>14.0</v>
      </c>
      <c r="Z54" s="26" t="str">
        <f t="shared" si="7"/>
        <v>R</v>
      </c>
      <c r="AA54" s="32" t="s">
        <v>299</v>
      </c>
      <c r="AB54" s="65">
        <v>11.0</v>
      </c>
      <c r="AC54" s="33" t="str">
        <f t="shared" si="8"/>
        <v>R</v>
      </c>
      <c r="AD54" s="65">
        <v>19.0</v>
      </c>
      <c r="AE54" s="33" t="str">
        <f t="shared" si="9"/>
        <v>S</v>
      </c>
      <c r="AF54" s="65">
        <v>15.0</v>
      </c>
      <c r="AG54" s="33" t="str">
        <f t="shared" si="10"/>
        <v>R</v>
      </c>
      <c r="AH54" s="65">
        <v>14.0</v>
      </c>
      <c r="AI54" s="33" t="str">
        <f t="shared" si="11"/>
        <v>S</v>
      </c>
      <c r="AJ54" s="65">
        <v>14.0</v>
      </c>
      <c r="AK54" s="33" t="str">
        <f t="shared" si="12"/>
        <v>R</v>
      </c>
      <c r="AL54" s="65" t="s">
        <v>299</v>
      </c>
      <c r="AM54" s="66">
        <v>17.0</v>
      </c>
      <c r="AN54" s="36" t="str">
        <f t="shared" si="13"/>
        <v>R</v>
      </c>
      <c r="AO54" s="66">
        <v>17.0</v>
      </c>
      <c r="AP54" s="36" t="str">
        <f t="shared" si="14"/>
        <v>R</v>
      </c>
      <c r="AQ54" s="66">
        <v>15.0</v>
      </c>
      <c r="AR54" s="36" t="str">
        <f t="shared" si="15"/>
        <v>S</v>
      </c>
      <c r="AS54" s="66" t="s">
        <v>299</v>
      </c>
      <c r="AT54" s="67">
        <v>6.0</v>
      </c>
      <c r="AU54" s="37" t="str">
        <f t="shared" si="16"/>
        <v>R</v>
      </c>
      <c r="AV54" s="65">
        <v>16.0</v>
      </c>
      <c r="AW54" s="33" t="str">
        <f t="shared" si="17"/>
        <v>R</v>
      </c>
      <c r="AX54" s="65">
        <v>15.0</v>
      </c>
      <c r="AY54" s="33" t="str">
        <f t="shared" si="18"/>
        <v>R</v>
      </c>
      <c r="AZ54" s="65" t="s">
        <v>299</v>
      </c>
      <c r="BA54" s="28">
        <v>8.0</v>
      </c>
      <c r="BB54" s="26" t="str">
        <f t="shared" si="19"/>
        <v>R</v>
      </c>
      <c r="BC54" s="67">
        <v>12.0</v>
      </c>
      <c r="BD54" s="37" t="str">
        <f t="shared" si="20"/>
        <v>R</v>
      </c>
      <c r="BE54" s="66">
        <v>22.0</v>
      </c>
      <c r="BF54" s="36" t="str">
        <f t="shared" si="21"/>
        <v>R</v>
      </c>
      <c r="BG54" s="39" t="s">
        <v>357</v>
      </c>
      <c r="BH54" s="39" t="s">
        <v>357</v>
      </c>
      <c r="BI54" s="66">
        <v>24.0</v>
      </c>
      <c r="BJ54" s="36" t="str">
        <f t="shared" si="22"/>
        <v>S</v>
      </c>
      <c r="BK54" s="68">
        <v>16.0</v>
      </c>
      <c r="BL54" s="41" t="str">
        <f t="shared" si="23"/>
        <v>R</v>
      </c>
      <c r="BM54" s="41"/>
    </row>
    <row r="55">
      <c r="A55" s="18" t="s">
        <v>1040</v>
      </c>
      <c r="B55" s="19">
        <v>259.0</v>
      </c>
      <c r="C55" s="18" t="s">
        <v>1231</v>
      </c>
      <c r="D55" s="69" t="s">
        <v>190</v>
      </c>
      <c r="E55" s="18" t="s">
        <v>190</v>
      </c>
      <c r="F55" s="18" t="s">
        <v>192</v>
      </c>
      <c r="G55" s="63" t="s">
        <v>1232</v>
      </c>
      <c r="H55" s="22" t="s">
        <v>198</v>
      </c>
      <c r="I55" s="75" t="s">
        <v>41</v>
      </c>
      <c r="J55" s="70" t="s">
        <v>205</v>
      </c>
      <c r="K55" s="71" t="s">
        <v>208</v>
      </c>
      <c r="L55" s="71" t="s">
        <v>205</v>
      </c>
      <c r="M55" s="28">
        <v>6.0</v>
      </c>
      <c r="N55" s="26" t="str">
        <f t="shared" si="1"/>
        <v>R</v>
      </c>
      <c r="O55" s="28">
        <v>18.0</v>
      </c>
      <c r="P55" s="26" t="str">
        <f t="shared" si="2"/>
        <v>R</v>
      </c>
      <c r="Q55" s="28">
        <v>6.0</v>
      </c>
      <c r="R55" s="26" t="str">
        <f t="shared" si="3"/>
        <v>R</v>
      </c>
      <c r="S55" s="28">
        <v>20.0</v>
      </c>
      <c r="T55" s="26" t="str">
        <f t="shared" si="4"/>
        <v>I</v>
      </c>
      <c r="U55" s="28">
        <v>6.0</v>
      </c>
      <c r="V55" s="26" t="str">
        <f t="shared" si="5"/>
        <v>R</v>
      </c>
      <c r="W55" s="28">
        <v>20.0</v>
      </c>
      <c r="X55" s="26" t="str">
        <f t="shared" si="6"/>
        <v>S</v>
      </c>
      <c r="Y55" s="28">
        <v>12.0</v>
      </c>
      <c r="Z55" s="26" t="str">
        <f t="shared" si="7"/>
        <v>R</v>
      </c>
      <c r="AA55" s="32" t="s">
        <v>299</v>
      </c>
      <c r="AB55" s="65">
        <v>6.0</v>
      </c>
      <c r="AC55" s="33" t="str">
        <f t="shared" si="8"/>
        <v>R</v>
      </c>
      <c r="AD55" s="65">
        <v>17.0</v>
      </c>
      <c r="AE55" s="33" t="str">
        <f t="shared" si="9"/>
        <v>R</v>
      </c>
      <c r="AF55" s="65">
        <v>6.0</v>
      </c>
      <c r="AG55" s="33" t="str">
        <f t="shared" si="10"/>
        <v>R</v>
      </c>
      <c r="AH55" s="65">
        <v>22.0</v>
      </c>
      <c r="AI55" s="33" t="str">
        <f t="shared" si="11"/>
        <v>S</v>
      </c>
      <c r="AJ55" s="65">
        <v>10.0</v>
      </c>
      <c r="AK55" s="33" t="str">
        <f t="shared" si="12"/>
        <v>R</v>
      </c>
      <c r="AL55" s="65" t="s">
        <v>299</v>
      </c>
      <c r="AM55" s="66">
        <v>16.0</v>
      </c>
      <c r="AN55" s="36" t="str">
        <f t="shared" si="13"/>
        <v>R</v>
      </c>
      <c r="AO55" s="66">
        <v>18.0</v>
      </c>
      <c r="AP55" s="36" t="str">
        <f t="shared" si="14"/>
        <v>R</v>
      </c>
      <c r="AQ55" s="66">
        <v>11.0</v>
      </c>
      <c r="AR55" s="36" t="str">
        <f t="shared" si="15"/>
        <v>R</v>
      </c>
      <c r="AS55" s="66" t="s">
        <v>299</v>
      </c>
      <c r="AT55" s="67">
        <v>12.0</v>
      </c>
      <c r="AU55" s="37" t="str">
        <f t="shared" si="16"/>
        <v>I</v>
      </c>
      <c r="AV55" s="65">
        <v>18.0</v>
      </c>
      <c r="AW55" s="33" t="str">
        <f t="shared" si="17"/>
        <v>S</v>
      </c>
      <c r="AX55" s="65">
        <v>17.0</v>
      </c>
      <c r="AY55" s="33" t="str">
        <f t="shared" si="18"/>
        <v>S</v>
      </c>
      <c r="AZ55" s="33" t="s">
        <v>300</v>
      </c>
      <c r="BA55" s="28">
        <v>21.0</v>
      </c>
      <c r="BB55" s="26" t="str">
        <f t="shared" si="19"/>
        <v>S</v>
      </c>
      <c r="BC55" s="67">
        <v>11.0</v>
      </c>
      <c r="BD55" s="37" t="str">
        <f t="shared" si="20"/>
        <v>R</v>
      </c>
      <c r="BE55" s="66">
        <v>20.0</v>
      </c>
      <c r="BF55" s="36" t="str">
        <f t="shared" si="21"/>
        <v>R</v>
      </c>
      <c r="BG55" s="39" t="s">
        <v>357</v>
      </c>
      <c r="BH55" s="39" t="s">
        <v>357</v>
      </c>
      <c r="BI55" s="66">
        <v>18.0</v>
      </c>
      <c r="BJ55" s="36" t="str">
        <f t="shared" si="22"/>
        <v>R</v>
      </c>
      <c r="BK55" s="68">
        <v>15.0</v>
      </c>
      <c r="BL55" s="41" t="str">
        <f t="shared" si="23"/>
        <v>R</v>
      </c>
      <c r="BM55" s="41"/>
    </row>
    <row r="56">
      <c r="A56" s="18" t="s">
        <v>1050</v>
      </c>
      <c r="B56" s="19">
        <v>263.0</v>
      </c>
      <c r="C56" s="18" t="s">
        <v>1234</v>
      </c>
      <c r="D56" s="69" t="s">
        <v>190</v>
      </c>
      <c r="E56" s="18" t="s">
        <v>190</v>
      </c>
      <c r="F56" s="18" t="s">
        <v>192</v>
      </c>
      <c r="G56" s="63" t="s">
        <v>1235</v>
      </c>
      <c r="H56" s="22" t="s">
        <v>198</v>
      </c>
      <c r="I56" s="75" t="s">
        <v>816</v>
      </c>
      <c r="J56" s="71" t="s">
        <v>205</v>
      </c>
      <c r="K56" s="71" t="s">
        <v>205</v>
      </c>
      <c r="L56" s="71" t="s">
        <v>205</v>
      </c>
      <c r="M56" s="28">
        <v>6.0</v>
      </c>
      <c r="N56" s="26" t="str">
        <f t="shared" si="1"/>
        <v>R</v>
      </c>
      <c r="O56" s="28">
        <v>18.0</v>
      </c>
      <c r="P56" s="26" t="str">
        <f t="shared" si="2"/>
        <v>R</v>
      </c>
      <c r="Q56" s="28">
        <v>6.0</v>
      </c>
      <c r="R56" s="26" t="str">
        <f t="shared" si="3"/>
        <v>R</v>
      </c>
      <c r="S56" s="28">
        <v>21.0</v>
      </c>
      <c r="T56" s="26" t="str">
        <f t="shared" si="4"/>
        <v>I</v>
      </c>
      <c r="U56" s="28">
        <v>6.0</v>
      </c>
      <c r="V56" s="26" t="str">
        <f t="shared" si="5"/>
        <v>R</v>
      </c>
      <c r="W56" s="28">
        <v>21.0</v>
      </c>
      <c r="X56" s="26" t="str">
        <f t="shared" si="6"/>
        <v>S</v>
      </c>
      <c r="Y56" s="28">
        <v>21.0</v>
      </c>
      <c r="Z56" s="26" t="str">
        <f t="shared" si="7"/>
        <v>S</v>
      </c>
      <c r="AA56" s="32" t="s">
        <v>299</v>
      </c>
      <c r="AB56" s="65">
        <v>6.0</v>
      </c>
      <c r="AC56" s="33" t="str">
        <f t="shared" si="8"/>
        <v>R</v>
      </c>
      <c r="AD56" s="65">
        <v>22.0</v>
      </c>
      <c r="AE56" s="33" t="str">
        <f t="shared" si="9"/>
        <v>S</v>
      </c>
      <c r="AF56" s="65">
        <v>12.0</v>
      </c>
      <c r="AG56" s="33" t="str">
        <f t="shared" si="10"/>
        <v>R</v>
      </c>
      <c r="AH56" s="65">
        <v>22.0</v>
      </c>
      <c r="AI56" s="33" t="str">
        <f t="shared" si="11"/>
        <v>S</v>
      </c>
      <c r="AJ56" s="65">
        <v>13.0</v>
      </c>
      <c r="AK56" s="33" t="str">
        <f t="shared" si="12"/>
        <v>R</v>
      </c>
      <c r="AL56" s="65" t="s">
        <v>299</v>
      </c>
      <c r="AM56" s="66">
        <v>22.0</v>
      </c>
      <c r="AN56" s="36" t="str">
        <f t="shared" si="13"/>
        <v>I</v>
      </c>
      <c r="AO56" s="66">
        <v>14.0</v>
      </c>
      <c r="AP56" s="36" t="str">
        <f t="shared" si="14"/>
        <v>R</v>
      </c>
      <c r="AQ56" s="66">
        <v>11.0</v>
      </c>
      <c r="AR56" s="36" t="str">
        <f t="shared" si="15"/>
        <v>R</v>
      </c>
      <c r="AS56" s="66" t="s">
        <v>299</v>
      </c>
      <c r="AT56" s="67">
        <v>14.0</v>
      </c>
      <c r="AU56" s="37" t="str">
        <f t="shared" si="16"/>
        <v>S</v>
      </c>
      <c r="AV56" s="65">
        <v>18.0</v>
      </c>
      <c r="AW56" s="33" t="str">
        <f t="shared" si="17"/>
        <v>S</v>
      </c>
      <c r="AX56" s="65">
        <v>17.0</v>
      </c>
      <c r="AY56" s="33" t="str">
        <f t="shared" si="18"/>
        <v>S</v>
      </c>
      <c r="AZ56" s="33" t="s">
        <v>300</v>
      </c>
      <c r="BA56" s="28">
        <v>15.0</v>
      </c>
      <c r="BB56" s="26" t="str">
        <f t="shared" si="19"/>
        <v>R</v>
      </c>
      <c r="BC56" s="67">
        <v>12.0</v>
      </c>
      <c r="BD56" s="37" t="str">
        <f t="shared" si="20"/>
        <v>R</v>
      </c>
      <c r="BE56" s="66">
        <v>14.0</v>
      </c>
      <c r="BF56" s="36" t="str">
        <f t="shared" si="21"/>
        <v>R</v>
      </c>
      <c r="BG56" s="39" t="s">
        <v>357</v>
      </c>
      <c r="BH56" s="39" t="s">
        <v>357</v>
      </c>
      <c r="BI56" s="66">
        <v>16.0</v>
      </c>
      <c r="BJ56" s="36" t="str">
        <f t="shared" si="22"/>
        <v>R</v>
      </c>
      <c r="BK56" s="68">
        <v>20.0</v>
      </c>
      <c r="BL56" s="41" t="str">
        <f t="shared" si="23"/>
        <v>S</v>
      </c>
      <c r="BM56" s="41"/>
    </row>
    <row r="57">
      <c r="A57" s="18" t="s">
        <v>1050</v>
      </c>
      <c r="B57" s="19">
        <v>264.0</v>
      </c>
      <c r="C57" s="18" t="s">
        <v>1236</v>
      </c>
      <c r="D57" s="69" t="s">
        <v>190</v>
      </c>
      <c r="E57" s="18" t="s">
        <v>190</v>
      </c>
      <c r="F57" s="18" t="s">
        <v>192</v>
      </c>
      <c r="G57" s="63" t="s">
        <v>1237</v>
      </c>
      <c r="H57" s="22" t="s">
        <v>198</v>
      </c>
      <c r="I57" s="75" t="s">
        <v>481</v>
      </c>
      <c r="J57" s="70" t="s">
        <v>205</v>
      </c>
      <c r="K57" s="70" t="s">
        <v>208</v>
      </c>
      <c r="L57" s="70" t="s">
        <v>208</v>
      </c>
      <c r="M57" s="28">
        <v>6.0</v>
      </c>
      <c r="N57" s="26" t="str">
        <f t="shared" si="1"/>
        <v>R</v>
      </c>
      <c r="O57" s="28">
        <v>6.0</v>
      </c>
      <c r="P57" s="26" t="str">
        <f t="shared" si="2"/>
        <v>R</v>
      </c>
      <c r="Q57" s="28">
        <v>6.0</v>
      </c>
      <c r="R57" s="26" t="str">
        <f t="shared" si="3"/>
        <v>R</v>
      </c>
      <c r="S57" s="28">
        <v>28.0</v>
      </c>
      <c r="T57" s="26" t="str">
        <f t="shared" si="4"/>
        <v>S</v>
      </c>
      <c r="U57" s="28">
        <v>6.0</v>
      </c>
      <c r="V57" s="26" t="str">
        <f t="shared" si="5"/>
        <v>R</v>
      </c>
      <c r="W57" s="28">
        <v>21.0</v>
      </c>
      <c r="X57" s="26" t="str">
        <f t="shared" si="6"/>
        <v>S</v>
      </c>
      <c r="Y57" s="28">
        <v>21.0</v>
      </c>
      <c r="Z57" s="26" t="str">
        <f t="shared" si="7"/>
        <v>S</v>
      </c>
      <c r="AA57" s="32" t="s">
        <v>299</v>
      </c>
      <c r="AB57" s="65">
        <v>6.0</v>
      </c>
      <c r="AC57" s="33" t="str">
        <f t="shared" si="8"/>
        <v>R</v>
      </c>
      <c r="AD57" s="65">
        <v>6.0</v>
      </c>
      <c r="AE57" s="33" t="str">
        <f t="shared" si="9"/>
        <v>R</v>
      </c>
      <c r="AF57" s="65">
        <v>6.0</v>
      </c>
      <c r="AG57" s="33" t="str">
        <f t="shared" si="10"/>
        <v>R</v>
      </c>
      <c r="AH57" s="65">
        <v>23.0</v>
      </c>
      <c r="AI57" s="33" t="str">
        <f t="shared" si="11"/>
        <v>S</v>
      </c>
      <c r="AJ57" s="65">
        <v>18.0</v>
      </c>
      <c r="AK57" s="33" t="str">
        <f t="shared" si="12"/>
        <v>R</v>
      </c>
      <c r="AL57" s="65" t="s">
        <v>299</v>
      </c>
      <c r="AM57" s="66">
        <v>6.0</v>
      </c>
      <c r="AN57" s="36" t="str">
        <f t="shared" si="13"/>
        <v>R</v>
      </c>
      <c r="AO57" s="66">
        <v>6.0</v>
      </c>
      <c r="AP57" s="36" t="str">
        <f t="shared" si="14"/>
        <v>R</v>
      </c>
      <c r="AQ57" s="66">
        <v>6.0</v>
      </c>
      <c r="AR57" s="36" t="str">
        <f t="shared" si="15"/>
        <v>R</v>
      </c>
      <c r="AS57" s="66" t="s">
        <v>299</v>
      </c>
      <c r="AT57" s="67">
        <v>6.0</v>
      </c>
      <c r="AU57" s="37" t="str">
        <f t="shared" si="16"/>
        <v>R</v>
      </c>
      <c r="AV57" s="65">
        <v>20.0</v>
      </c>
      <c r="AW57" s="33" t="str">
        <f t="shared" si="17"/>
        <v>S</v>
      </c>
      <c r="AX57" s="65">
        <v>20.0</v>
      </c>
      <c r="AY57" s="33" t="str">
        <f t="shared" si="18"/>
        <v>S</v>
      </c>
      <c r="AZ57" s="33" t="s">
        <v>300</v>
      </c>
      <c r="BA57" s="28">
        <v>6.0</v>
      </c>
      <c r="BB57" s="26" t="str">
        <f t="shared" si="19"/>
        <v>R</v>
      </c>
      <c r="BC57" s="67">
        <v>13.0</v>
      </c>
      <c r="BD57" s="37" t="str">
        <f t="shared" si="20"/>
        <v>R</v>
      </c>
      <c r="BE57" s="66">
        <v>26.0</v>
      </c>
      <c r="BF57" s="36" t="str">
        <f t="shared" si="21"/>
        <v>S</v>
      </c>
      <c r="BG57" s="39" t="s">
        <v>357</v>
      </c>
      <c r="BH57" s="39" t="s">
        <v>357</v>
      </c>
      <c r="BI57" s="66">
        <v>20.0</v>
      </c>
      <c r="BJ57" s="36" t="str">
        <f t="shared" si="22"/>
        <v>I</v>
      </c>
      <c r="BK57" s="68">
        <v>20.0</v>
      </c>
      <c r="BL57" s="41" t="str">
        <f t="shared" si="23"/>
        <v>S</v>
      </c>
      <c r="BM57" s="41"/>
    </row>
    <row r="58">
      <c r="A58" s="18" t="s">
        <v>1050</v>
      </c>
      <c r="B58" s="19">
        <v>265.0</v>
      </c>
      <c r="C58" s="18" t="s">
        <v>1238</v>
      </c>
      <c r="D58" s="69" t="s">
        <v>571</v>
      </c>
      <c r="E58" s="18" t="s">
        <v>572</v>
      </c>
      <c r="F58" s="18" t="s">
        <v>192</v>
      </c>
      <c r="G58" s="63" t="s">
        <v>1239</v>
      </c>
      <c r="H58" s="22" t="s">
        <v>198</v>
      </c>
      <c r="I58" s="75" t="s">
        <v>37</v>
      </c>
      <c r="J58" s="71" t="s">
        <v>205</v>
      </c>
      <c r="K58" s="71" t="s">
        <v>205</v>
      </c>
      <c r="L58" s="70" t="s">
        <v>208</v>
      </c>
      <c r="M58" s="28">
        <v>6.0</v>
      </c>
      <c r="N58" s="26" t="str">
        <f t="shared" si="1"/>
        <v>R</v>
      </c>
      <c r="O58" s="28">
        <v>16.0</v>
      </c>
      <c r="P58" s="26" t="str">
        <f t="shared" si="2"/>
        <v>R</v>
      </c>
      <c r="Q58" s="28">
        <v>6.0</v>
      </c>
      <c r="R58" s="26" t="str">
        <f t="shared" si="3"/>
        <v>R</v>
      </c>
      <c r="S58" s="28">
        <v>21.0</v>
      </c>
      <c r="T58" s="26" t="str">
        <f t="shared" si="4"/>
        <v>I</v>
      </c>
      <c r="U58" s="28">
        <v>9.0</v>
      </c>
      <c r="V58" s="26" t="str">
        <f t="shared" si="5"/>
        <v>R</v>
      </c>
      <c r="W58" s="28">
        <v>19.0</v>
      </c>
      <c r="X58" s="26" t="str">
        <f t="shared" si="6"/>
        <v>R</v>
      </c>
      <c r="Y58" s="28">
        <v>19.0</v>
      </c>
      <c r="Z58" s="26" t="str">
        <f t="shared" si="7"/>
        <v>I</v>
      </c>
      <c r="AA58" s="32" t="s">
        <v>299</v>
      </c>
      <c r="AB58" s="65">
        <v>6.0</v>
      </c>
      <c r="AC58" s="33" t="str">
        <f t="shared" si="8"/>
        <v>R</v>
      </c>
      <c r="AD58" s="65">
        <v>20.0</v>
      </c>
      <c r="AE58" s="33" t="str">
        <f t="shared" si="9"/>
        <v>S</v>
      </c>
      <c r="AF58" s="65">
        <v>9.0</v>
      </c>
      <c r="AG58" s="33" t="str">
        <f t="shared" si="10"/>
        <v>R</v>
      </c>
      <c r="AH58" s="65">
        <v>18.0</v>
      </c>
      <c r="AI58" s="33" t="str">
        <f t="shared" si="11"/>
        <v>S</v>
      </c>
      <c r="AJ58" s="65">
        <v>6.0</v>
      </c>
      <c r="AK58" s="33" t="str">
        <f t="shared" si="12"/>
        <v>R</v>
      </c>
      <c r="AL58" s="65" t="s">
        <v>299</v>
      </c>
      <c r="AM58" s="66">
        <v>6.0</v>
      </c>
      <c r="AN58" s="36" t="str">
        <f t="shared" si="13"/>
        <v>R</v>
      </c>
      <c r="AO58" s="66">
        <v>6.0</v>
      </c>
      <c r="AP58" s="36" t="str">
        <f t="shared" si="14"/>
        <v>R</v>
      </c>
      <c r="AQ58" s="66">
        <v>6.0</v>
      </c>
      <c r="AR58" s="36" t="str">
        <f t="shared" si="15"/>
        <v>R</v>
      </c>
      <c r="AS58" s="66" t="s">
        <v>299</v>
      </c>
      <c r="AT58" s="67">
        <v>6.0</v>
      </c>
      <c r="AU58" s="37" t="str">
        <f t="shared" si="16"/>
        <v>R</v>
      </c>
      <c r="AV58" s="65">
        <v>16.0</v>
      </c>
      <c r="AW58" s="33" t="str">
        <f t="shared" si="17"/>
        <v>R</v>
      </c>
      <c r="AX58" s="65">
        <v>16.0</v>
      </c>
      <c r="AY58" s="33" t="str">
        <f t="shared" si="18"/>
        <v>S</v>
      </c>
      <c r="AZ58" s="65" t="s">
        <v>299</v>
      </c>
      <c r="BA58" s="28">
        <v>6.0</v>
      </c>
      <c r="BB58" s="26" t="str">
        <f t="shared" si="19"/>
        <v>R</v>
      </c>
      <c r="BC58" s="67">
        <v>16.0</v>
      </c>
      <c r="BD58" s="37" t="str">
        <f t="shared" si="20"/>
        <v>R</v>
      </c>
      <c r="BE58" s="66">
        <v>23.0</v>
      </c>
      <c r="BF58" s="36" t="str">
        <f t="shared" si="21"/>
        <v>S</v>
      </c>
      <c r="BG58" s="39" t="s">
        <v>357</v>
      </c>
      <c r="BH58" s="39" t="s">
        <v>357</v>
      </c>
      <c r="BI58" s="66">
        <v>28.0</v>
      </c>
      <c r="BJ58" s="36" t="str">
        <f t="shared" si="22"/>
        <v>S</v>
      </c>
      <c r="BK58" s="68">
        <v>21.0</v>
      </c>
      <c r="BL58" s="41" t="str">
        <f t="shared" si="23"/>
        <v>S</v>
      </c>
      <c r="BM58" s="41"/>
    </row>
    <row r="59">
      <c r="A59" s="18" t="s">
        <v>1156</v>
      </c>
      <c r="B59" s="19">
        <v>296.0</v>
      </c>
      <c r="C59" s="18" t="s">
        <v>1240</v>
      </c>
      <c r="D59" s="69" t="s">
        <v>190</v>
      </c>
      <c r="E59" s="18" t="s">
        <v>190</v>
      </c>
      <c r="F59" s="18" t="s">
        <v>192</v>
      </c>
      <c r="G59" s="63" t="s">
        <v>1241</v>
      </c>
      <c r="H59" s="22" t="s">
        <v>198</v>
      </c>
      <c r="I59" s="75" t="s">
        <v>41</v>
      </c>
      <c r="J59" s="70" t="s">
        <v>205</v>
      </c>
      <c r="K59" s="71" t="s">
        <v>208</v>
      </c>
      <c r="L59" s="71" t="s">
        <v>205</v>
      </c>
      <c r="M59" s="28">
        <v>6.0</v>
      </c>
      <c r="N59" s="26" t="str">
        <f t="shared" si="1"/>
        <v>R</v>
      </c>
      <c r="O59" s="28">
        <v>14.0</v>
      </c>
      <c r="P59" s="26" t="str">
        <f t="shared" si="2"/>
        <v>R</v>
      </c>
      <c r="Q59" s="28">
        <v>6.0</v>
      </c>
      <c r="R59" s="26" t="str">
        <f t="shared" si="3"/>
        <v>R</v>
      </c>
      <c r="S59" s="28">
        <v>22.0</v>
      </c>
      <c r="T59" s="26" t="str">
        <f t="shared" si="4"/>
        <v>I</v>
      </c>
      <c r="U59" s="28">
        <v>6.0</v>
      </c>
      <c r="V59" s="26" t="str">
        <f t="shared" si="5"/>
        <v>R</v>
      </c>
      <c r="W59" s="28">
        <v>11.0</v>
      </c>
      <c r="X59" s="26" t="str">
        <f t="shared" si="6"/>
        <v>R</v>
      </c>
      <c r="Y59" s="28">
        <v>16.0</v>
      </c>
      <c r="Z59" s="26" t="str">
        <f t="shared" si="7"/>
        <v>R</v>
      </c>
      <c r="AA59" s="32" t="s">
        <v>299</v>
      </c>
      <c r="AB59" s="65">
        <v>6.0</v>
      </c>
      <c r="AC59" s="33" t="str">
        <f t="shared" si="8"/>
        <v>R</v>
      </c>
      <c r="AD59" s="65">
        <v>10.0</v>
      </c>
      <c r="AE59" s="33" t="str">
        <f t="shared" si="9"/>
        <v>R</v>
      </c>
      <c r="AF59" s="65">
        <v>6.0</v>
      </c>
      <c r="AG59" s="33" t="str">
        <f t="shared" si="10"/>
        <v>R</v>
      </c>
      <c r="AH59" s="65">
        <v>20.0</v>
      </c>
      <c r="AI59" s="33" t="str">
        <f t="shared" si="11"/>
        <v>S</v>
      </c>
      <c r="AJ59" s="65">
        <v>11.0</v>
      </c>
      <c r="AK59" s="33" t="str">
        <f t="shared" si="12"/>
        <v>R</v>
      </c>
      <c r="AL59" s="65" t="s">
        <v>299</v>
      </c>
      <c r="AM59" s="66">
        <v>20.0</v>
      </c>
      <c r="AN59" s="36" t="str">
        <f t="shared" si="13"/>
        <v>R</v>
      </c>
      <c r="AO59" s="66">
        <v>14.0</v>
      </c>
      <c r="AP59" s="36" t="str">
        <f t="shared" si="14"/>
        <v>R</v>
      </c>
      <c r="AQ59" s="66">
        <v>11.0</v>
      </c>
      <c r="AR59" s="36" t="str">
        <f t="shared" si="15"/>
        <v>R</v>
      </c>
      <c r="AS59" s="66" t="s">
        <v>299</v>
      </c>
      <c r="AT59" s="67">
        <v>6.0</v>
      </c>
      <c r="AU59" s="37" t="str">
        <f t="shared" si="16"/>
        <v>R</v>
      </c>
      <c r="AV59" s="65">
        <v>20.0</v>
      </c>
      <c r="AW59" s="33" t="str">
        <f t="shared" si="17"/>
        <v>S</v>
      </c>
      <c r="AX59" s="65">
        <v>20.0</v>
      </c>
      <c r="AY59" s="33" t="str">
        <f t="shared" si="18"/>
        <v>S</v>
      </c>
      <c r="AZ59" s="33" t="s">
        <v>300</v>
      </c>
      <c r="BA59" s="28">
        <v>6.0</v>
      </c>
      <c r="BB59" s="26" t="str">
        <f t="shared" si="19"/>
        <v>R</v>
      </c>
      <c r="BC59" s="67">
        <v>6.0</v>
      </c>
      <c r="BD59" s="37" t="str">
        <f t="shared" si="20"/>
        <v>R</v>
      </c>
      <c r="BE59" s="66">
        <v>14.0</v>
      </c>
      <c r="BF59" s="36" t="str">
        <f t="shared" si="21"/>
        <v>R</v>
      </c>
      <c r="BG59" s="39" t="s">
        <v>357</v>
      </c>
      <c r="BH59" s="39" t="s">
        <v>357</v>
      </c>
      <c r="BI59" s="66">
        <v>16.0</v>
      </c>
      <c r="BJ59" s="36" t="str">
        <f t="shared" si="22"/>
        <v>R</v>
      </c>
      <c r="BK59" s="68">
        <v>14.0</v>
      </c>
      <c r="BL59" s="41" t="str">
        <f t="shared" si="23"/>
        <v>R</v>
      </c>
      <c r="BM59" s="41"/>
    </row>
    <row r="60">
      <c r="A60" s="18" t="s">
        <v>1156</v>
      </c>
      <c r="B60" s="19">
        <v>297.0</v>
      </c>
      <c r="C60" s="18" t="s">
        <v>1243</v>
      </c>
      <c r="D60" s="69" t="s">
        <v>190</v>
      </c>
      <c r="E60" s="18" t="s">
        <v>190</v>
      </c>
      <c r="F60" s="18" t="s">
        <v>192</v>
      </c>
      <c r="G60" s="63" t="s">
        <v>1244</v>
      </c>
      <c r="H60" s="22" t="s">
        <v>198</v>
      </c>
      <c r="I60" s="75" t="s">
        <v>481</v>
      </c>
      <c r="J60" s="70" t="s">
        <v>205</v>
      </c>
      <c r="K60" s="70" t="s">
        <v>208</v>
      </c>
      <c r="L60" s="70" t="s">
        <v>208</v>
      </c>
      <c r="M60" s="28">
        <v>21.0</v>
      </c>
      <c r="N60" s="26" t="str">
        <f t="shared" si="1"/>
        <v>S</v>
      </c>
      <c r="O60" s="28">
        <v>22.0</v>
      </c>
      <c r="P60" s="26" t="str">
        <f t="shared" si="2"/>
        <v>S</v>
      </c>
      <c r="Q60" s="28">
        <v>6.0</v>
      </c>
      <c r="R60" s="26" t="str">
        <f t="shared" si="3"/>
        <v>R</v>
      </c>
      <c r="S60" s="28">
        <v>35.0</v>
      </c>
      <c r="T60" s="26" t="str">
        <f t="shared" si="4"/>
        <v>S</v>
      </c>
      <c r="U60" s="28">
        <v>6.0</v>
      </c>
      <c r="V60" s="26" t="str">
        <f t="shared" si="5"/>
        <v>R</v>
      </c>
      <c r="W60" s="28">
        <v>21.0</v>
      </c>
      <c r="X60" s="26" t="str">
        <f t="shared" si="6"/>
        <v>S</v>
      </c>
      <c r="Y60" s="28">
        <v>25.0</v>
      </c>
      <c r="Z60" s="26" t="str">
        <f t="shared" si="7"/>
        <v>S</v>
      </c>
      <c r="AA60" s="32" t="s">
        <v>299</v>
      </c>
      <c r="AB60" s="65">
        <v>19.0</v>
      </c>
      <c r="AC60" s="33" t="str">
        <f t="shared" si="8"/>
        <v>I</v>
      </c>
      <c r="AD60" s="65">
        <v>18.0</v>
      </c>
      <c r="AE60" s="33" t="str">
        <f t="shared" si="9"/>
        <v>S</v>
      </c>
      <c r="AF60" s="65">
        <v>22.0</v>
      </c>
      <c r="AG60" s="33" t="str">
        <f t="shared" si="10"/>
        <v>S</v>
      </c>
      <c r="AH60" s="65">
        <v>29.0</v>
      </c>
      <c r="AI60" s="33" t="str">
        <f t="shared" si="11"/>
        <v>S</v>
      </c>
      <c r="AJ60" s="65">
        <v>20.0</v>
      </c>
      <c r="AK60" s="33" t="str">
        <f t="shared" si="12"/>
        <v>R</v>
      </c>
      <c r="AL60" s="65" t="s">
        <v>299</v>
      </c>
      <c r="AM60" s="66">
        <v>21.0</v>
      </c>
      <c r="AN60" s="36" t="str">
        <f t="shared" si="13"/>
        <v>R</v>
      </c>
      <c r="AO60" s="66">
        <v>21.0</v>
      </c>
      <c r="AP60" s="36" t="str">
        <f t="shared" si="14"/>
        <v>I</v>
      </c>
      <c r="AQ60" s="66">
        <v>22.0</v>
      </c>
      <c r="AR60" s="36" t="str">
        <f t="shared" si="15"/>
        <v>S</v>
      </c>
      <c r="AS60" s="66" t="s">
        <v>299</v>
      </c>
      <c r="AT60" s="67">
        <v>6.0</v>
      </c>
      <c r="AU60" s="37" t="str">
        <f t="shared" si="16"/>
        <v>R</v>
      </c>
      <c r="AV60" s="65">
        <v>15.0</v>
      </c>
      <c r="AW60" s="33" t="str">
        <f t="shared" si="17"/>
        <v>R</v>
      </c>
      <c r="AX60" s="65">
        <v>28.0</v>
      </c>
      <c r="AY60" s="33" t="str">
        <f t="shared" si="18"/>
        <v>S</v>
      </c>
      <c r="AZ60" s="65" t="s">
        <v>299</v>
      </c>
      <c r="BA60" s="28">
        <v>21.0</v>
      </c>
      <c r="BB60" s="26" t="str">
        <f t="shared" si="19"/>
        <v>S</v>
      </c>
      <c r="BC60" s="67">
        <v>18.0</v>
      </c>
      <c r="BD60" s="37" t="str">
        <f t="shared" si="20"/>
        <v>R</v>
      </c>
      <c r="BE60" s="66">
        <v>25.0</v>
      </c>
      <c r="BF60" s="36" t="str">
        <f t="shared" si="21"/>
        <v>S</v>
      </c>
      <c r="BG60" s="39" t="s">
        <v>357</v>
      </c>
      <c r="BH60" s="39" t="s">
        <v>357</v>
      </c>
      <c r="BI60" s="66">
        <v>26.0</v>
      </c>
      <c r="BJ60" s="36" t="str">
        <f t="shared" si="22"/>
        <v>S</v>
      </c>
      <c r="BK60" s="68">
        <v>13.0</v>
      </c>
      <c r="BL60" s="41" t="str">
        <f t="shared" si="23"/>
        <v>R</v>
      </c>
      <c r="BM60" s="41"/>
    </row>
    <row r="61">
      <c r="A61" s="18" t="s">
        <v>1156</v>
      </c>
      <c r="B61" s="19">
        <v>298.0</v>
      </c>
      <c r="C61" s="18" t="s">
        <v>1246</v>
      </c>
      <c r="D61" s="69" t="s">
        <v>190</v>
      </c>
      <c r="E61" s="18" t="s">
        <v>190</v>
      </c>
      <c r="F61" s="18" t="s">
        <v>192</v>
      </c>
      <c r="G61" s="63" t="s">
        <v>1247</v>
      </c>
      <c r="H61" s="22" t="s">
        <v>198</v>
      </c>
      <c r="I61" s="75" t="s">
        <v>481</v>
      </c>
      <c r="J61" s="70" t="s">
        <v>205</v>
      </c>
      <c r="K61" s="70" t="s">
        <v>208</v>
      </c>
      <c r="L61" s="70" t="s">
        <v>208</v>
      </c>
      <c r="M61" s="28">
        <v>6.0</v>
      </c>
      <c r="N61" s="26" t="str">
        <f t="shared" si="1"/>
        <v>R</v>
      </c>
      <c r="O61" s="28">
        <v>24.0</v>
      </c>
      <c r="P61" s="26" t="str">
        <f t="shared" si="2"/>
        <v>S</v>
      </c>
      <c r="Q61" s="28">
        <v>6.0</v>
      </c>
      <c r="R61" s="26" t="str">
        <f t="shared" si="3"/>
        <v>R</v>
      </c>
      <c r="S61" s="28">
        <v>24.0</v>
      </c>
      <c r="T61" s="26" t="str">
        <f t="shared" si="4"/>
        <v>S</v>
      </c>
      <c r="U61" s="28">
        <v>6.0</v>
      </c>
      <c r="V61" s="26" t="str">
        <f t="shared" si="5"/>
        <v>R</v>
      </c>
      <c r="W61" s="28">
        <v>20.0</v>
      </c>
      <c r="X61" s="26" t="str">
        <f t="shared" si="6"/>
        <v>S</v>
      </c>
      <c r="Y61" s="28">
        <v>18.0</v>
      </c>
      <c r="Z61" s="26" t="str">
        <f t="shared" si="7"/>
        <v>I</v>
      </c>
      <c r="AA61" s="32" t="s">
        <v>299</v>
      </c>
      <c r="AB61" s="65">
        <v>12.0</v>
      </c>
      <c r="AC61" s="33" t="str">
        <f t="shared" si="8"/>
        <v>R</v>
      </c>
      <c r="AD61" s="65">
        <v>21.0</v>
      </c>
      <c r="AE61" s="33" t="str">
        <f t="shared" si="9"/>
        <v>S</v>
      </c>
      <c r="AF61" s="65">
        <v>19.0</v>
      </c>
      <c r="AG61" s="33" t="str">
        <f t="shared" si="10"/>
        <v>I</v>
      </c>
      <c r="AH61" s="65">
        <v>18.0</v>
      </c>
      <c r="AI61" s="33" t="str">
        <f t="shared" si="11"/>
        <v>S</v>
      </c>
      <c r="AJ61" s="65">
        <v>17.0</v>
      </c>
      <c r="AK61" s="33" t="str">
        <f t="shared" si="12"/>
        <v>R</v>
      </c>
      <c r="AL61" s="65" t="s">
        <v>299</v>
      </c>
      <c r="AM61" s="66">
        <v>21.0</v>
      </c>
      <c r="AN61" s="36" t="str">
        <f t="shared" si="13"/>
        <v>R</v>
      </c>
      <c r="AO61" s="66">
        <v>21.0</v>
      </c>
      <c r="AP61" s="36" t="str">
        <f t="shared" si="14"/>
        <v>I</v>
      </c>
      <c r="AQ61" s="66">
        <v>22.0</v>
      </c>
      <c r="AR61" s="36" t="str">
        <f t="shared" si="15"/>
        <v>S</v>
      </c>
      <c r="AS61" s="66" t="s">
        <v>299</v>
      </c>
      <c r="AT61" s="67">
        <v>6.0</v>
      </c>
      <c r="AU61" s="37" t="str">
        <f t="shared" si="16"/>
        <v>R</v>
      </c>
      <c r="AV61" s="65">
        <v>15.0</v>
      </c>
      <c r="AW61" s="33" t="str">
        <f t="shared" si="17"/>
        <v>R</v>
      </c>
      <c r="AX61" s="65">
        <v>22.0</v>
      </c>
      <c r="AY61" s="33" t="str">
        <f t="shared" si="18"/>
        <v>S</v>
      </c>
      <c r="AZ61" s="65" t="s">
        <v>299</v>
      </c>
      <c r="BA61" s="28">
        <v>23.0</v>
      </c>
      <c r="BB61" s="26" t="str">
        <f t="shared" si="19"/>
        <v>S</v>
      </c>
      <c r="BC61" s="67">
        <v>14.0</v>
      </c>
      <c r="BD61" s="37" t="str">
        <f t="shared" si="20"/>
        <v>R</v>
      </c>
      <c r="BE61" s="66">
        <v>23.0</v>
      </c>
      <c r="BF61" s="36" t="str">
        <f t="shared" si="21"/>
        <v>S</v>
      </c>
      <c r="BG61" s="39" t="s">
        <v>357</v>
      </c>
      <c r="BH61" s="39" t="s">
        <v>357</v>
      </c>
      <c r="BI61" s="66">
        <v>22.0</v>
      </c>
      <c r="BJ61" s="36" t="str">
        <f t="shared" si="22"/>
        <v>S</v>
      </c>
      <c r="BK61" s="68">
        <v>15.0</v>
      </c>
      <c r="BL61" s="41" t="str">
        <f t="shared" si="23"/>
        <v>R</v>
      </c>
      <c r="BM61" s="41"/>
    </row>
    <row r="62">
      <c r="A62" s="18" t="s">
        <v>1156</v>
      </c>
      <c r="B62" s="19">
        <v>299.0</v>
      </c>
      <c r="C62" s="18" t="s">
        <v>1249</v>
      </c>
      <c r="D62" s="69" t="s">
        <v>571</v>
      </c>
      <c r="E62" s="18" t="s">
        <v>572</v>
      </c>
      <c r="F62" s="18" t="s">
        <v>192</v>
      </c>
      <c r="G62" s="63" t="s">
        <v>1250</v>
      </c>
      <c r="H62" s="22" t="s">
        <v>198</v>
      </c>
      <c r="I62" s="75" t="s">
        <v>37</v>
      </c>
      <c r="J62" s="71" t="s">
        <v>205</v>
      </c>
      <c r="K62" s="71" t="s">
        <v>205</v>
      </c>
      <c r="L62" s="70" t="s">
        <v>208</v>
      </c>
      <c r="M62" s="28">
        <v>6.0</v>
      </c>
      <c r="N62" s="26" t="str">
        <f t="shared" si="1"/>
        <v>R</v>
      </c>
      <c r="O62" s="28">
        <v>6.0</v>
      </c>
      <c r="P62" s="26" t="str">
        <f t="shared" si="2"/>
        <v>R</v>
      </c>
      <c r="Q62" s="28">
        <v>6.0</v>
      </c>
      <c r="R62" s="26" t="str">
        <f t="shared" si="3"/>
        <v>R</v>
      </c>
      <c r="S62" s="28">
        <v>26.0</v>
      </c>
      <c r="T62" s="26" t="str">
        <f t="shared" si="4"/>
        <v>S</v>
      </c>
      <c r="U62" s="28">
        <v>12.0</v>
      </c>
      <c r="V62" s="26" t="str">
        <f t="shared" si="5"/>
        <v>R</v>
      </c>
      <c r="W62" s="28">
        <v>11.0</v>
      </c>
      <c r="X62" s="26" t="str">
        <f t="shared" si="6"/>
        <v>R</v>
      </c>
      <c r="Y62" s="28">
        <v>19.0</v>
      </c>
      <c r="Z62" s="26" t="str">
        <f t="shared" si="7"/>
        <v>I</v>
      </c>
      <c r="AA62" s="32" t="s">
        <v>299</v>
      </c>
      <c r="AB62" s="65">
        <v>6.0</v>
      </c>
      <c r="AC62" s="33" t="str">
        <f t="shared" si="8"/>
        <v>R</v>
      </c>
      <c r="AD62" s="65">
        <v>18.0</v>
      </c>
      <c r="AE62" s="33" t="str">
        <f t="shared" si="9"/>
        <v>S</v>
      </c>
      <c r="AF62" s="65">
        <v>6.0</v>
      </c>
      <c r="AG62" s="33" t="str">
        <f t="shared" si="10"/>
        <v>R</v>
      </c>
      <c r="AH62" s="65">
        <v>16.0</v>
      </c>
      <c r="AI62" s="33" t="str">
        <f t="shared" si="11"/>
        <v>S</v>
      </c>
      <c r="AJ62" s="65">
        <v>6.0</v>
      </c>
      <c r="AK62" s="33" t="str">
        <f t="shared" si="12"/>
        <v>R</v>
      </c>
      <c r="AL62" s="65" t="s">
        <v>299</v>
      </c>
      <c r="AM62" s="66">
        <v>23.0</v>
      </c>
      <c r="AN62" s="36" t="str">
        <f t="shared" si="13"/>
        <v>I</v>
      </c>
      <c r="AO62" s="66">
        <v>23.0</v>
      </c>
      <c r="AP62" s="36" t="str">
        <f t="shared" si="14"/>
        <v>S</v>
      </c>
      <c r="AQ62" s="66">
        <v>23.0</v>
      </c>
      <c r="AR62" s="36" t="str">
        <f t="shared" si="15"/>
        <v>S</v>
      </c>
      <c r="AS62" s="66" t="s">
        <v>299</v>
      </c>
      <c r="AT62" s="67">
        <v>6.0</v>
      </c>
      <c r="AU62" s="37" t="str">
        <f t="shared" si="16"/>
        <v>R</v>
      </c>
      <c r="AV62" s="65">
        <v>18.0</v>
      </c>
      <c r="AW62" s="33" t="str">
        <f t="shared" si="17"/>
        <v>S</v>
      </c>
      <c r="AX62" s="65">
        <v>13.0</v>
      </c>
      <c r="AY62" s="33" t="str">
        <f t="shared" si="18"/>
        <v>R</v>
      </c>
      <c r="AZ62" s="65" t="s">
        <v>299</v>
      </c>
      <c r="BA62" s="28">
        <v>20.0</v>
      </c>
      <c r="BB62" s="26" t="str">
        <f t="shared" si="19"/>
        <v>S</v>
      </c>
      <c r="BC62" s="67">
        <v>6.0</v>
      </c>
      <c r="BD62" s="37" t="str">
        <f t="shared" si="20"/>
        <v>R</v>
      </c>
      <c r="BE62" s="66">
        <v>16.0</v>
      </c>
      <c r="BF62" s="36" t="str">
        <f t="shared" si="21"/>
        <v>R</v>
      </c>
      <c r="BG62" s="39" t="s">
        <v>357</v>
      </c>
      <c r="BH62" s="39" t="s">
        <v>357</v>
      </c>
      <c r="BI62" s="66">
        <v>15.0</v>
      </c>
      <c r="BJ62" s="36" t="str">
        <f t="shared" si="22"/>
        <v>R</v>
      </c>
      <c r="BK62" s="68">
        <v>16.0</v>
      </c>
      <c r="BL62" s="41" t="str">
        <f t="shared" si="23"/>
        <v>R</v>
      </c>
      <c r="BM62" s="41"/>
    </row>
    <row r="63">
      <c r="A63" s="18" t="s">
        <v>1156</v>
      </c>
      <c r="B63" s="19">
        <v>300.0</v>
      </c>
      <c r="C63" s="18" t="s">
        <v>1252</v>
      </c>
      <c r="D63" s="69" t="s">
        <v>555</v>
      </c>
      <c r="E63" s="18" t="s">
        <v>103</v>
      </c>
      <c r="F63" s="18" t="s">
        <v>192</v>
      </c>
      <c r="G63" s="63" t="s">
        <v>1253</v>
      </c>
      <c r="H63" s="22" t="s">
        <v>198</v>
      </c>
      <c r="I63" s="75" t="s">
        <v>41</v>
      </c>
      <c r="J63" s="70" t="s">
        <v>205</v>
      </c>
      <c r="K63" s="71" t="s">
        <v>208</v>
      </c>
      <c r="L63" s="71" t="s">
        <v>205</v>
      </c>
      <c r="M63" s="28">
        <v>6.0</v>
      </c>
      <c r="N63" s="26" t="str">
        <f t="shared" si="1"/>
        <v>R</v>
      </c>
      <c r="O63" s="28">
        <v>18.0</v>
      </c>
      <c r="P63" s="26" t="str">
        <f t="shared" si="2"/>
        <v>R</v>
      </c>
      <c r="Q63" s="28">
        <v>6.0</v>
      </c>
      <c r="R63" s="26" t="str">
        <f t="shared" si="3"/>
        <v>R</v>
      </c>
      <c r="S63" s="28">
        <v>20.0</v>
      </c>
      <c r="T63" s="26" t="str">
        <f t="shared" si="4"/>
        <v>I</v>
      </c>
      <c r="U63" s="28">
        <v>6.0</v>
      </c>
      <c r="V63" s="26" t="str">
        <f t="shared" si="5"/>
        <v>R</v>
      </c>
      <c r="W63" s="28">
        <v>20.0</v>
      </c>
      <c r="X63" s="26" t="str">
        <f t="shared" si="6"/>
        <v>S</v>
      </c>
      <c r="Y63" s="28">
        <v>12.0</v>
      </c>
      <c r="Z63" s="26" t="str">
        <f t="shared" si="7"/>
        <v>R</v>
      </c>
      <c r="AA63" s="32" t="s">
        <v>299</v>
      </c>
      <c r="AB63" s="65">
        <v>6.0</v>
      </c>
      <c r="AC63" s="33" t="str">
        <f t="shared" si="8"/>
        <v>R</v>
      </c>
      <c r="AD63" s="65">
        <v>17.0</v>
      </c>
      <c r="AE63" s="33" t="str">
        <f t="shared" si="9"/>
        <v>R</v>
      </c>
      <c r="AF63" s="65">
        <v>6.0</v>
      </c>
      <c r="AG63" s="33" t="str">
        <f t="shared" si="10"/>
        <v>R</v>
      </c>
      <c r="AH63" s="65">
        <v>22.0</v>
      </c>
      <c r="AI63" s="33" t="str">
        <f t="shared" si="11"/>
        <v>S</v>
      </c>
      <c r="AJ63" s="65">
        <v>10.0</v>
      </c>
      <c r="AK63" s="33" t="str">
        <f t="shared" si="12"/>
        <v>R</v>
      </c>
      <c r="AL63" s="65" t="s">
        <v>299</v>
      </c>
      <c r="AM63" s="66">
        <v>16.0</v>
      </c>
      <c r="AN63" s="36" t="str">
        <f t="shared" si="13"/>
        <v>R</v>
      </c>
      <c r="AO63" s="66">
        <v>18.0</v>
      </c>
      <c r="AP63" s="36" t="str">
        <f t="shared" si="14"/>
        <v>R</v>
      </c>
      <c r="AQ63" s="66">
        <v>11.0</v>
      </c>
      <c r="AR63" s="36" t="str">
        <f t="shared" si="15"/>
        <v>R</v>
      </c>
      <c r="AS63" s="66" t="s">
        <v>299</v>
      </c>
      <c r="AT63" s="67">
        <v>12.0</v>
      </c>
      <c r="AU63" s="37" t="str">
        <f t="shared" si="16"/>
        <v>I</v>
      </c>
      <c r="AV63" s="65">
        <v>18.0</v>
      </c>
      <c r="AW63" s="33" t="str">
        <f t="shared" si="17"/>
        <v>S</v>
      </c>
      <c r="AX63" s="65">
        <v>17.0</v>
      </c>
      <c r="AY63" s="33" t="str">
        <f t="shared" si="18"/>
        <v>S</v>
      </c>
      <c r="AZ63" s="33" t="s">
        <v>300</v>
      </c>
      <c r="BA63" s="28">
        <v>21.0</v>
      </c>
      <c r="BB63" s="26" t="str">
        <f t="shared" si="19"/>
        <v>S</v>
      </c>
      <c r="BC63" s="67">
        <v>11.0</v>
      </c>
      <c r="BD63" s="37" t="str">
        <f t="shared" si="20"/>
        <v>R</v>
      </c>
      <c r="BE63" s="66">
        <v>20.0</v>
      </c>
      <c r="BF63" s="36" t="str">
        <f t="shared" si="21"/>
        <v>R</v>
      </c>
      <c r="BG63" s="39" t="s">
        <v>357</v>
      </c>
      <c r="BH63" s="39" t="s">
        <v>357</v>
      </c>
      <c r="BI63" s="66">
        <v>18.0</v>
      </c>
      <c r="BJ63" s="36" t="str">
        <f t="shared" si="22"/>
        <v>R</v>
      </c>
      <c r="BK63" s="68">
        <v>15.0</v>
      </c>
      <c r="BL63" s="41" t="str">
        <f t="shared" si="23"/>
        <v>R</v>
      </c>
      <c r="BM63" s="41"/>
    </row>
    <row r="64">
      <c r="A64" s="18" t="s">
        <v>1166</v>
      </c>
      <c r="B64" s="19">
        <v>301.0</v>
      </c>
      <c r="C64" s="18" t="s">
        <v>1255</v>
      </c>
      <c r="D64" s="69" t="s">
        <v>190</v>
      </c>
      <c r="E64" s="18" t="s">
        <v>190</v>
      </c>
      <c r="F64" s="18" t="s">
        <v>192</v>
      </c>
      <c r="G64" s="63" t="s">
        <v>1256</v>
      </c>
      <c r="H64" s="22" t="s">
        <v>198</v>
      </c>
      <c r="I64" s="75" t="s">
        <v>37</v>
      </c>
      <c r="J64" s="71" t="s">
        <v>205</v>
      </c>
      <c r="K64" s="71" t="s">
        <v>205</v>
      </c>
      <c r="L64" s="70" t="s">
        <v>208</v>
      </c>
      <c r="M64" s="28">
        <v>6.0</v>
      </c>
      <c r="N64" s="26" t="str">
        <f t="shared" si="1"/>
        <v>R</v>
      </c>
      <c r="O64" s="28">
        <v>17.0</v>
      </c>
      <c r="P64" s="26" t="str">
        <f t="shared" si="2"/>
        <v>R</v>
      </c>
      <c r="Q64" s="28">
        <v>6.0</v>
      </c>
      <c r="R64" s="26" t="str">
        <f t="shared" si="3"/>
        <v>R</v>
      </c>
      <c r="S64" s="28">
        <v>18.0</v>
      </c>
      <c r="T64" s="26" t="str">
        <f t="shared" si="4"/>
        <v>R</v>
      </c>
      <c r="U64" s="28">
        <v>6.0</v>
      </c>
      <c r="V64" s="26" t="str">
        <f t="shared" si="5"/>
        <v>R</v>
      </c>
      <c r="W64" s="28">
        <v>14.0</v>
      </c>
      <c r="X64" s="26" t="str">
        <f t="shared" si="6"/>
        <v>R</v>
      </c>
      <c r="Y64" s="28">
        <v>19.0</v>
      </c>
      <c r="Z64" s="26" t="str">
        <f t="shared" si="7"/>
        <v>I</v>
      </c>
      <c r="AA64" s="32" t="s">
        <v>299</v>
      </c>
      <c r="AB64" s="65">
        <v>10.0</v>
      </c>
      <c r="AC64" s="33" t="str">
        <f t="shared" si="8"/>
        <v>R</v>
      </c>
      <c r="AD64" s="65">
        <v>20.0</v>
      </c>
      <c r="AE64" s="33" t="str">
        <f t="shared" si="9"/>
        <v>S</v>
      </c>
      <c r="AF64" s="65">
        <v>8.0</v>
      </c>
      <c r="AG64" s="33" t="str">
        <f t="shared" si="10"/>
        <v>R</v>
      </c>
      <c r="AH64" s="65">
        <v>23.0</v>
      </c>
      <c r="AI64" s="33" t="str">
        <f t="shared" si="11"/>
        <v>S</v>
      </c>
      <c r="AJ64" s="65">
        <v>14.0</v>
      </c>
      <c r="AK64" s="33" t="str">
        <f t="shared" si="12"/>
        <v>R</v>
      </c>
      <c r="AL64" s="65" t="s">
        <v>299</v>
      </c>
      <c r="AM64" s="66">
        <v>6.0</v>
      </c>
      <c r="AN64" s="36" t="str">
        <f t="shared" si="13"/>
        <v>R</v>
      </c>
      <c r="AO64" s="66">
        <v>9.0</v>
      </c>
      <c r="AP64" s="36" t="str">
        <f t="shared" si="14"/>
        <v>R</v>
      </c>
      <c r="AQ64" s="66">
        <v>6.0</v>
      </c>
      <c r="AR64" s="36" t="str">
        <f t="shared" si="15"/>
        <v>R</v>
      </c>
      <c r="AS64" s="66" t="s">
        <v>299</v>
      </c>
      <c r="AT64" s="67">
        <v>6.0</v>
      </c>
      <c r="AU64" s="37" t="str">
        <f t="shared" si="16"/>
        <v>R</v>
      </c>
      <c r="AV64" s="65">
        <v>18.0</v>
      </c>
      <c r="AW64" s="33" t="str">
        <f t="shared" si="17"/>
        <v>S</v>
      </c>
      <c r="AX64" s="65">
        <v>6.0</v>
      </c>
      <c r="AY64" s="33" t="str">
        <f t="shared" si="18"/>
        <v>R</v>
      </c>
      <c r="AZ64" s="65" t="s">
        <v>299</v>
      </c>
      <c r="BA64" s="28">
        <v>6.0</v>
      </c>
      <c r="BB64" s="26" t="str">
        <f t="shared" si="19"/>
        <v>R</v>
      </c>
      <c r="BC64" s="67">
        <v>14.0</v>
      </c>
      <c r="BD64" s="37" t="str">
        <f t="shared" si="20"/>
        <v>R</v>
      </c>
      <c r="BE64" s="66">
        <v>26.0</v>
      </c>
      <c r="BF64" s="36" t="str">
        <f t="shared" si="21"/>
        <v>S</v>
      </c>
      <c r="BG64" s="39" t="s">
        <v>357</v>
      </c>
      <c r="BH64" s="39" t="s">
        <v>357</v>
      </c>
      <c r="BI64" s="66">
        <v>29.0</v>
      </c>
      <c r="BJ64" s="36" t="str">
        <f t="shared" si="22"/>
        <v>S</v>
      </c>
      <c r="BK64" s="68">
        <v>20.0</v>
      </c>
      <c r="BL64" s="41" t="str">
        <f t="shared" si="23"/>
        <v>S</v>
      </c>
      <c r="BM64" s="41"/>
    </row>
    <row r="65">
      <c r="A65" s="18" t="s">
        <v>1166</v>
      </c>
      <c r="B65" s="19">
        <v>302.0</v>
      </c>
      <c r="C65" s="18" t="s">
        <v>1257</v>
      </c>
      <c r="D65" s="69" t="s">
        <v>190</v>
      </c>
      <c r="E65" s="18" t="s">
        <v>190</v>
      </c>
      <c r="F65" s="18" t="s">
        <v>192</v>
      </c>
      <c r="G65" s="63" t="s">
        <v>1258</v>
      </c>
      <c r="H65" s="42" t="s">
        <v>479</v>
      </c>
      <c r="I65" s="75" t="s">
        <v>481</v>
      </c>
      <c r="J65" s="70" t="s">
        <v>205</v>
      </c>
      <c r="K65" s="70" t="s">
        <v>208</v>
      </c>
      <c r="L65" s="70" t="s">
        <v>208</v>
      </c>
      <c r="M65" s="28">
        <v>6.0</v>
      </c>
      <c r="N65" s="26" t="str">
        <f t="shared" si="1"/>
        <v>R</v>
      </c>
      <c r="O65" s="28">
        <v>19.0</v>
      </c>
      <c r="P65" s="26" t="str">
        <f t="shared" si="2"/>
        <v>S</v>
      </c>
      <c r="Q65" s="28">
        <v>6.0</v>
      </c>
      <c r="R65" s="26" t="str">
        <f t="shared" si="3"/>
        <v>R</v>
      </c>
      <c r="S65" s="28">
        <v>21.0</v>
      </c>
      <c r="T65" s="26" t="str">
        <f t="shared" si="4"/>
        <v>I</v>
      </c>
      <c r="U65" s="28">
        <v>11.0</v>
      </c>
      <c r="V65" s="26" t="str">
        <f t="shared" si="5"/>
        <v>R</v>
      </c>
      <c r="W65" s="28">
        <v>23.0</v>
      </c>
      <c r="X65" s="26" t="str">
        <f t="shared" si="6"/>
        <v>S</v>
      </c>
      <c r="Y65" s="28">
        <v>20.0</v>
      </c>
      <c r="Z65" s="26" t="str">
        <f t="shared" si="7"/>
        <v>S</v>
      </c>
      <c r="AA65" s="32" t="s">
        <v>299</v>
      </c>
      <c r="AB65" s="65">
        <v>17.0</v>
      </c>
      <c r="AC65" s="33" t="str">
        <f t="shared" si="8"/>
        <v>I</v>
      </c>
      <c r="AD65" s="65">
        <v>24.0</v>
      </c>
      <c r="AE65" s="33" t="str">
        <f t="shared" si="9"/>
        <v>S</v>
      </c>
      <c r="AF65" s="65">
        <v>21.0</v>
      </c>
      <c r="AG65" s="33" t="str">
        <f t="shared" si="10"/>
        <v>I</v>
      </c>
      <c r="AH65" s="65">
        <v>24.0</v>
      </c>
      <c r="AI65" s="33" t="str">
        <f t="shared" si="11"/>
        <v>S</v>
      </c>
      <c r="AJ65" s="65">
        <v>23.0</v>
      </c>
      <c r="AK65" s="33" t="str">
        <f t="shared" si="12"/>
        <v>R</v>
      </c>
      <c r="AL65" s="65" t="s">
        <v>299</v>
      </c>
      <c r="AM65" s="66">
        <v>32.0</v>
      </c>
      <c r="AN65" s="36" t="str">
        <f t="shared" si="13"/>
        <v>S</v>
      </c>
      <c r="AO65" s="66">
        <v>26.0</v>
      </c>
      <c r="AP65" s="36" t="str">
        <f t="shared" si="14"/>
        <v>S</v>
      </c>
      <c r="AQ65" s="66">
        <v>26.0</v>
      </c>
      <c r="AR65" s="36" t="str">
        <f t="shared" si="15"/>
        <v>S</v>
      </c>
      <c r="AS65" s="36" t="s">
        <v>300</v>
      </c>
      <c r="AT65" s="67">
        <v>6.0</v>
      </c>
      <c r="AU65" s="37" t="str">
        <f t="shared" si="16"/>
        <v>R</v>
      </c>
      <c r="AV65" s="65">
        <v>24.0</v>
      </c>
      <c r="AW65" s="33" t="str">
        <f t="shared" si="17"/>
        <v>S</v>
      </c>
      <c r="AX65" s="65">
        <v>24.0</v>
      </c>
      <c r="AY65" s="33" t="str">
        <f t="shared" si="18"/>
        <v>S</v>
      </c>
      <c r="AZ65" s="33" t="s">
        <v>300</v>
      </c>
      <c r="BA65" s="28">
        <v>6.0</v>
      </c>
      <c r="BB65" s="26" t="str">
        <f t="shared" si="19"/>
        <v>R</v>
      </c>
      <c r="BC65" s="67">
        <v>26.0</v>
      </c>
      <c r="BD65" s="37" t="str">
        <f t="shared" si="20"/>
        <v>S</v>
      </c>
      <c r="BE65" s="66">
        <v>34.0</v>
      </c>
      <c r="BF65" s="36" t="str">
        <f t="shared" si="21"/>
        <v>S</v>
      </c>
      <c r="BG65" s="39" t="s">
        <v>357</v>
      </c>
      <c r="BH65" s="39" t="s">
        <v>357</v>
      </c>
      <c r="BI65" s="66">
        <v>27.0</v>
      </c>
      <c r="BJ65" s="36" t="str">
        <f t="shared" si="22"/>
        <v>S</v>
      </c>
      <c r="BK65" s="68">
        <v>23.0</v>
      </c>
      <c r="BL65" s="41" t="str">
        <f t="shared" si="23"/>
        <v>S</v>
      </c>
      <c r="BM65" s="41"/>
    </row>
    <row r="66">
      <c r="A66" s="18" t="s">
        <v>1166</v>
      </c>
      <c r="B66" s="19">
        <v>303.0</v>
      </c>
      <c r="C66" s="18" t="s">
        <v>1260</v>
      </c>
      <c r="D66" s="69" t="s">
        <v>571</v>
      </c>
      <c r="E66" s="18" t="s">
        <v>572</v>
      </c>
      <c r="F66" s="18" t="s">
        <v>192</v>
      </c>
      <c r="G66" s="63" t="s">
        <v>1261</v>
      </c>
      <c r="H66" s="42" t="s">
        <v>479</v>
      </c>
      <c r="I66" s="75" t="s">
        <v>481</v>
      </c>
      <c r="J66" s="70" t="s">
        <v>205</v>
      </c>
      <c r="K66" s="70" t="s">
        <v>208</v>
      </c>
      <c r="L66" s="70" t="s">
        <v>208</v>
      </c>
      <c r="M66" s="28">
        <v>15.0</v>
      </c>
      <c r="N66" s="26" t="str">
        <f t="shared" si="1"/>
        <v>R</v>
      </c>
      <c r="O66" s="28">
        <v>18.0</v>
      </c>
      <c r="P66" s="26" t="str">
        <f t="shared" si="2"/>
        <v>R</v>
      </c>
      <c r="Q66" s="28">
        <v>17.0</v>
      </c>
      <c r="R66" s="26" t="str">
        <f t="shared" si="3"/>
        <v>R</v>
      </c>
      <c r="S66" s="28">
        <v>14.0</v>
      </c>
      <c r="T66" s="26" t="str">
        <f t="shared" si="4"/>
        <v>R</v>
      </c>
      <c r="U66" s="28">
        <v>16.0</v>
      </c>
      <c r="V66" s="26" t="str">
        <f t="shared" si="5"/>
        <v>R</v>
      </c>
      <c r="W66" s="28">
        <v>17.0</v>
      </c>
      <c r="X66" s="26" t="str">
        <f t="shared" si="6"/>
        <v>R</v>
      </c>
      <c r="Y66" s="28">
        <v>6.0</v>
      </c>
      <c r="Z66" s="26" t="str">
        <f t="shared" si="7"/>
        <v>R</v>
      </c>
      <c r="AA66" s="32" t="s">
        <v>299</v>
      </c>
      <c r="AB66" s="65">
        <v>6.0</v>
      </c>
      <c r="AC66" s="33" t="str">
        <f t="shared" si="8"/>
        <v>R</v>
      </c>
      <c r="AD66" s="65">
        <v>6.0</v>
      </c>
      <c r="AE66" s="33" t="str">
        <f t="shared" si="9"/>
        <v>R</v>
      </c>
      <c r="AF66" s="65">
        <v>6.0</v>
      </c>
      <c r="AG66" s="33" t="str">
        <f t="shared" si="10"/>
        <v>R</v>
      </c>
      <c r="AH66" s="65">
        <v>6.0</v>
      </c>
      <c r="AI66" s="33" t="str">
        <f t="shared" si="11"/>
        <v>R</v>
      </c>
      <c r="AJ66" s="65">
        <v>6.0</v>
      </c>
      <c r="AK66" s="33" t="str">
        <f t="shared" si="12"/>
        <v>R</v>
      </c>
      <c r="AL66" s="65" t="s">
        <v>299</v>
      </c>
      <c r="AM66" s="66">
        <v>6.0</v>
      </c>
      <c r="AN66" s="36" t="str">
        <f t="shared" si="13"/>
        <v>R</v>
      </c>
      <c r="AO66" s="66">
        <v>12.0</v>
      </c>
      <c r="AP66" s="36" t="str">
        <f t="shared" si="14"/>
        <v>R</v>
      </c>
      <c r="AQ66" s="66">
        <v>6.0</v>
      </c>
      <c r="AR66" s="36" t="str">
        <f t="shared" si="15"/>
        <v>R</v>
      </c>
      <c r="AS66" s="66" t="s">
        <v>299</v>
      </c>
      <c r="AT66" s="67">
        <v>6.0</v>
      </c>
      <c r="AU66" s="37" t="str">
        <f t="shared" si="16"/>
        <v>R</v>
      </c>
      <c r="AV66" s="65">
        <v>6.0</v>
      </c>
      <c r="AW66" s="33" t="str">
        <f t="shared" si="17"/>
        <v>R</v>
      </c>
      <c r="AX66" s="65">
        <v>6.0</v>
      </c>
      <c r="AY66" s="33" t="str">
        <f t="shared" si="18"/>
        <v>R</v>
      </c>
      <c r="AZ66" s="65" t="s">
        <v>299</v>
      </c>
      <c r="BA66" s="28">
        <v>15.0</v>
      </c>
      <c r="BB66" s="26" t="str">
        <f t="shared" si="19"/>
        <v>R</v>
      </c>
      <c r="BC66" s="67">
        <v>6.0</v>
      </c>
      <c r="BD66" s="37" t="str">
        <f t="shared" si="20"/>
        <v>R</v>
      </c>
      <c r="BE66" s="66">
        <v>12.0</v>
      </c>
      <c r="BF66" s="36" t="str">
        <f t="shared" si="21"/>
        <v>R</v>
      </c>
      <c r="BG66" s="39" t="s">
        <v>357</v>
      </c>
      <c r="BH66" s="39" t="s">
        <v>357</v>
      </c>
      <c r="BI66" s="66">
        <v>20.0</v>
      </c>
      <c r="BJ66" s="36" t="str">
        <f t="shared" si="22"/>
        <v>I</v>
      </c>
      <c r="BK66" s="68">
        <v>11.0</v>
      </c>
      <c r="BL66" s="41" t="str">
        <f t="shared" si="23"/>
        <v>R</v>
      </c>
      <c r="BM66" s="4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  <col customWidth="1" min="7" max="7" width="18.63"/>
    <col customWidth="1" min="8" max="8" width="21.75"/>
    <col customWidth="1" min="9" max="9" width="24.25"/>
    <col customWidth="1" min="13" max="13" width="16.25"/>
    <col customWidth="1" min="14" max="14" width="26.5"/>
    <col customWidth="1" min="15" max="15" width="16.38"/>
    <col customWidth="1" min="16" max="16" width="29.88"/>
    <col customWidth="1" min="18" max="18" width="27.38"/>
    <col customWidth="1" min="19" max="19" width="22.38"/>
    <col customWidth="1" min="20" max="20" width="33.13"/>
    <col customWidth="1" min="21" max="21" width="18.38"/>
    <col customWidth="1" min="22" max="22" width="28.38"/>
    <col customWidth="1" min="23" max="23" width="31.25"/>
    <col customWidth="1" min="24" max="24" width="42.88"/>
    <col customWidth="1" min="25" max="25" width="16.63"/>
    <col customWidth="1" min="26" max="26" width="27.5"/>
    <col customWidth="1" min="28" max="28" width="18.0"/>
    <col customWidth="1" min="29" max="29" width="27.5"/>
    <col customWidth="1" min="30" max="30" width="16.38"/>
    <col customWidth="1" min="31" max="31" width="27.13"/>
    <col customWidth="1" min="32" max="32" width="17.25"/>
    <col customWidth="1" min="33" max="33" width="26.75"/>
    <col customWidth="1" min="34" max="34" width="28.25"/>
    <col customWidth="1" min="35" max="35" width="36.5"/>
    <col customWidth="1" min="36" max="36" width="16.38"/>
    <col customWidth="1" min="37" max="37" width="27.88"/>
    <col customWidth="1" min="38" max="38" width="18.88"/>
    <col customWidth="1" min="39" max="39" width="20.75"/>
    <col customWidth="1" min="40" max="40" width="31.38"/>
    <col customWidth="1" min="41" max="41" width="19.63"/>
    <col customWidth="1" min="42" max="42" width="31.13"/>
    <col customWidth="1" min="43" max="43" width="24.88"/>
    <col customWidth="1" min="44" max="44" width="32.5"/>
    <col customWidth="1" min="45" max="46" width="18.75"/>
    <col customWidth="1" min="47" max="47" width="30.38"/>
    <col customWidth="1" min="49" max="49" width="25.63"/>
    <col customWidth="1" min="50" max="50" width="18.0"/>
    <col customWidth="1" min="51" max="51" width="28.13"/>
    <col customWidth="1" min="53" max="53" width="16.25"/>
    <col customWidth="1" min="54" max="54" width="26.13"/>
    <col customWidth="1" min="55" max="55" width="18.0"/>
    <col customWidth="1" min="56" max="56" width="26.38"/>
    <col customWidth="1" min="57" max="57" width="16.0"/>
    <col customWidth="1" min="58" max="58" width="26.13"/>
    <col customWidth="1" min="60" max="60" width="24.13"/>
    <col customWidth="1" min="61" max="61" width="17.0"/>
    <col customWidth="1" min="62" max="62" width="27.25"/>
    <col customWidth="1" min="63" max="63" width="18.25"/>
    <col customWidth="1" min="64" max="64" width="27.38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4" t="s">
        <v>11</v>
      </c>
      <c r="G1" s="5" t="s">
        <v>17</v>
      </c>
      <c r="H1" s="6" t="s">
        <v>22</v>
      </c>
      <c r="I1" s="9" t="s">
        <v>29</v>
      </c>
      <c r="J1" s="4" t="s">
        <v>34</v>
      </c>
      <c r="K1" s="4" t="s">
        <v>37</v>
      </c>
      <c r="L1" s="4" t="s">
        <v>41</v>
      </c>
      <c r="M1" s="8" t="s">
        <v>26</v>
      </c>
      <c r="N1" s="8" t="s">
        <v>33</v>
      </c>
      <c r="O1" s="8" t="s">
        <v>38</v>
      </c>
      <c r="P1" s="8" t="s">
        <v>43</v>
      </c>
      <c r="Q1" s="8" t="s">
        <v>46</v>
      </c>
      <c r="R1" s="8" t="s">
        <v>49</v>
      </c>
      <c r="S1" s="8" t="s">
        <v>53</v>
      </c>
      <c r="T1" s="8" t="s">
        <v>56</v>
      </c>
      <c r="U1" s="8" t="s">
        <v>59</v>
      </c>
      <c r="V1" s="8" t="s">
        <v>63</v>
      </c>
      <c r="W1" s="8" t="s">
        <v>65</v>
      </c>
      <c r="X1" s="8" t="s">
        <v>69</v>
      </c>
      <c r="Y1" s="8" t="s">
        <v>72</v>
      </c>
      <c r="Z1" s="8" t="s">
        <v>77</v>
      </c>
      <c r="AA1" s="10" t="s">
        <v>80</v>
      </c>
      <c r="AB1" s="11" t="s">
        <v>90</v>
      </c>
      <c r="AC1" s="11" t="s">
        <v>92</v>
      </c>
      <c r="AD1" s="11" t="s">
        <v>93</v>
      </c>
      <c r="AE1" s="11" t="s">
        <v>95</v>
      </c>
      <c r="AF1" s="11" t="s">
        <v>97</v>
      </c>
      <c r="AG1" s="11" t="s">
        <v>99</v>
      </c>
      <c r="AH1" s="11" t="s">
        <v>100</v>
      </c>
      <c r="AI1" s="11" t="s">
        <v>102</v>
      </c>
      <c r="AJ1" s="11" t="s">
        <v>104</v>
      </c>
      <c r="AK1" s="11" t="s">
        <v>106</v>
      </c>
      <c r="AL1" s="13" t="s">
        <v>109</v>
      </c>
      <c r="AM1" s="14" t="s">
        <v>114</v>
      </c>
      <c r="AN1" s="14" t="s">
        <v>119</v>
      </c>
      <c r="AO1" s="14" t="s">
        <v>121</v>
      </c>
      <c r="AP1" s="14" t="s">
        <v>123</v>
      </c>
      <c r="AQ1" s="14" t="s">
        <v>126</v>
      </c>
      <c r="AR1" s="14" t="s">
        <v>128</v>
      </c>
      <c r="AS1" s="13" t="s">
        <v>130</v>
      </c>
      <c r="AT1" s="15" t="s">
        <v>132</v>
      </c>
      <c r="AU1" s="15" t="s">
        <v>136</v>
      </c>
      <c r="AV1" s="11" t="s">
        <v>138</v>
      </c>
      <c r="AW1" s="11" t="s">
        <v>141</v>
      </c>
      <c r="AX1" s="11" t="s">
        <v>143</v>
      </c>
      <c r="AY1" s="11" t="s">
        <v>146</v>
      </c>
      <c r="AZ1" s="16" t="s">
        <v>149</v>
      </c>
      <c r="BA1" s="8" t="s">
        <v>151</v>
      </c>
      <c r="BB1" s="8" t="s">
        <v>155</v>
      </c>
      <c r="BC1" s="15" t="s">
        <v>158</v>
      </c>
      <c r="BD1" s="15" t="s">
        <v>161</v>
      </c>
      <c r="BE1" s="14" t="s">
        <v>163</v>
      </c>
      <c r="BF1" s="14" t="s">
        <v>166</v>
      </c>
      <c r="BG1" s="14" t="s">
        <v>168</v>
      </c>
      <c r="BH1" s="14" t="s">
        <v>170</v>
      </c>
      <c r="BI1" s="14" t="s">
        <v>171</v>
      </c>
      <c r="BJ1" s="14" t="s">
        <v>172</v>
      </c>
      <c r="BK1" s="17" t="s">
        <v>173</v>
      </c>
      <c r="BL1" s="17" t="s">
        <v>175</v>
      </c>
      <c r="BM1" s="17"/>
    </row>
    <row r="2">
      <c r="A2" s="18" t="s">
        <v>455</v>
      </c>
      <c r="B2" s="19">
        <v>11.0</v>
      </c>
      <c r="C2" s="18" t="s">
        <v>628</v>
      </c>
      <c r="D2" s="18" t="s">
        <v>190</v>
      </c>
      <c r="E2" s="18" t="s">
        <v>190</v>
      </c>
      <c r="F2" s="18" t="s">
        <v>192</v>
      </c>
      <c r="G2" s="20" t="s">
        <v>747</v>
      </c>
      <c r="H2" s="22" t="s">
        <v>198</v>
      </c>
      <c r="I2" s="80" t="s">
        <v>481</v>
      </c>
      <c r="J2" s="81" t="s">
        <v>205</v>
      </c>
      <c r="K2" s="82" t="s">
        <v>208</v>
      </c>
      <c r="L2" s="82" t="s">
        <v>208</v>
      </c>
      <c r="M2" s="26">
        <v>6.0</v>
      </c>
      <c r="N2" s="26" t="str">
        <f t="shared" ref="N2:N3" si="1">IF((M2&gt;=19),"S",IF(AND(M2&lt;19),"R", "NA"))</f>
        <v>R</v>
      </c>
      <c r="O2" s="26">
        <v>22.0</v>
      </c>
      <c r="P2" s="26" t="str">
        <f t="shared" ref="P2:P3" si="2">IF((O2&gt;=19),"S",IF(AND(O2&lt;19),"R", "NA"))</f>
        <v>S</v>
      </c>
      <c r="Q2" s="26">
        <v>6.0</v>
      </c>
      <c r="R2" s="26" t="str">
        <f t="shared" ref="R2:R3" si="3">IF((Q2&gt;=23),"S",IF(AND(Q2&lt;23),"R","NA"))</f>
        <v>R</v>
      </c>
      <c r="S2" s="32" t="s">
        <v>357</v>
      </c>
      <c r="T2" s="32" t="s">
        <v>357</v>
      </c>
      <c r="U2" s="26">
        <v>16.0</v>
      </c>
      <c r="V2" s="26" t="str">
        <f t="shared" ref="V2:V3" si="4">IF((U2&gt;=20),"S",IF(AND(U2&lt;20),"R", "NA"))</f>
        <v>R</v>
      </c>
      <c r="W2" s="26">
        <v>27.0</v>
      </c>
      <c r="X2" s="26" t="str">
        <f t="shared" ref="X2:X3" si="5">IF((W2&gt;=20),"S",IF(AND(W2&lt;20),"R", "NA"))</f>
        <v>S</v>
      </c>
      <c r="Y2" s="26">
        <v>26.0</v>
      </c>
      <c r="Z2" s="26" t="str">
        <f t="shared" ref="Z2:Z3" si="6">IF((Y2&gt;=20),"S",IF(AND(Y2&lt;20,Y2&gt;=17),"I",IF(AND(Y2&lt;17),"R","NA")))</f>
        <v>S</v>
      </c>
      <c r="AA2" s="32" t="s">
        <v>299</v>
      </c>
      <c r="AB2" s="33">
        <v>8.0</v>
      </c>
      <c r="AC2" s="33" t="str">
        <f t="shared" ref="AC2:AC3" si="7">IF((AB2&gt;=20),"S",IF(AND(AB2&lt;20,AB2&gt;=17),"I",IF(AND(AB2&lt;17),"R","NA")))</f>
        <v>R</v>
      </c>
      <c r="AD2" s="33">
        <v>23.0</v>
      </c>
      <c r="AE2" s="33" t="str">
        <f t="shared" ref="AE2:AE3" si="8">IF((AD2&gt;=18),"S",IF(AND(AD2&lt;18),"R", "NA"))</f>
        <v>S</v>
      </c>
      <c r="AF2" s="33">
        <v>24.0</v>
      </c>
      <c r="AG2" s="33" t="str">
        <f t="shared" ref="AG2:AG3" si="9">IF((AF2&gt;=22),"S",IF(AND(AF2&lt;22,AF2&gt;=19),"I",IF(AND(AF2&lt;19),"R","NA")))</f>
        <v>S</v>
      </c>
      <c r="AH2" s="33">
        <v>30.0</v>
      </c>
      <c r="AI2" s="33" t="str">
        <f t="shared" ref="AI2:AI3" si="10">IF((AH2&gt;=13),"S",IF(AND(AH2&lt;13),"R", "NA"))</f>
        <v>S</v>
      </c>
      <c r="AJ2" s="33">
        <v>25.0</v>
      </c>
      <c r="AK2" s="33" t="str">
        <f t="shared" ref="AK2:AK3" si="11">IF((AJ2&gt;=27),"S",IF(AND(AJ2&lt;27,AJ2&gt;=24),"I",IF(AND(AJ2&lt;24),"R","NA")))</f>
        <v>I</v>
      </c>
      <c r="AL2" s="33" t="s">
        <v>299</v>
      </c>
      <c r="AM2" s="36">
        <v>15.0</v>
      </c>
      <c r="AN2" s="36" t="str">
        <f t="shared" ref="AN2:AN3" si="12">IF((AM2&gt;=25),"S",IF(AND(AM2&lt;25,AM2&gt;=22),"I",IF(AND(AM2&lt;22),"R","NA")))</f>
        <v>R</v>
      </c>
      <c r="AO2" s="36">
        <v>24.0</v>
      </c>
      <c r="AP2" s="36" t="str">
        <f t="shared" ref="AP2:AP3" si="13">IF((AO2&gt;=23),"S",IF(AND(AO2&lt;23,AO2&gt;=19),"I",IF(AND(AO2&lt;19),"R","NA")))</f>
        <v>S</v>
      </c>
      <c r="AQ2" s="36">
        <v>20.0</v>
      </c>
      <c r="AR2" s="36" t="str">
        <f t="shared" ref="AR2:AR3" si="14">IF((AQ2&gt;=14),"S",IF(AND(AQ2&lt;14),"R","NA"))</f>
        <v>S</v>
      </c>
      <c r="AS2" s="36" t="s">
        <v>299</v>
      </c>
      <c r="AT2" s="37">
        <v>6.0</v>
      </c>
      <c r="AU2" s="37" t="str">
        <f t="shared" ref="AU2:AU3" si="15">IF((AT2&gt;=14),"S",IF(AND(AT2&lt;14,AT2&gt;=11),"I",IF(AND(AT2&lt;11),"R","NA")))</f>
        <v>R</v>
      </c>
      <c r="AV2" s="33">
        <v>19.0</v>
      </c>
      <c r="AW2" s="33" t="str">
        <f t="shared" ref="AW2:AW3" si="16">IF((AV2&gt;=18),"S",IF(AND(AV2&lt;18),"R", "NA"))</f>
        <v>S</v>
      </c>
      <c r="AX2" s="33">
        <v>21.0</v>
      </c>
      <c r="AY2" s="33" t="str">
        <f t="shared" ref="AY2:AY3" si="17">IF((AX2&gt;=16),"S",IF(AND(AX2&lt;16),"R", "NA"))</f>
        <v>S</v>
      </c>
      <c r="AZ2" s="33" t="s">
        <v>300</v>
      </c>
      <c r="BA2" s="26">
        <v>21.0</v>
      </c>
      <c r="BB2" s="26" t="str">
        <f t="shared" ref="BB2:BB3" si="18">IF((BA2&gt;=20),"S",IF(AND(BA2&lt;20),"R", "NA"))</f>
        <v>S</v>
      </c>
      <c r="BC2" s="37">
        <v>23.0</v>
      </c>
      <c r="BD2" s="37" t="str">
        <f t="shared" ref="BD2:BD3" si="19">IF((BC2&gt;=26),"S",IF(AND(BC2&lt;26,BC2&gt;=21),"I",IF(AND(BC2&lt;21),"R","NA")))</f>
        <v>I</v>
      </c>
      <c r="BE2" s="36">
        <v>28.0</v>
      </c>
      <c r="BF2" s="36" t="str">
        <f t="shared" ref="BF2:BF3" si="20">IF((BE2&gt;=23),"S",IF(AND(BE2&lt;23),"R","NA"))</f>
        <v>S</v>
      </c>
      <c r="BG2" s="39" t="s">
        <v>357</v>
      </c>
      <c r="BH2" s="39" t="s">
        <v>357</v>
      </c>
      <c r="BI2" s="36">
        <v>25.0</v>
      </c>
      <c r="BJ2" s="36" t="str">
        <f t="shared" ref="BJ2:BJ3" si="21">IF((BI2&gt;=22),"S",IF(AND(BI2&lt;22,BI2&gt;=19),"I",IF(AND(BI2&lt;19),"R","NA")))</f>
        <v>S</v>
      </c>
      <c r="BK2" s="40">
        <v>12.0</v>
      </c>
      <c r="BL2" s="41" t="str">
        <f t="shared" ref="BL2:BL3" si="22">IF((BK2&gt;=17),"S",IF(AND(BK2&lt;17),"R", "NA"))</f>
        <v>R</v>
      </c>
      <c r="BM2" s="41"/>
    </row>
    <row r="3">
      <c r="A3" s="18" t="s">
        <v>455</v>
      </c>
      <c r="B3" s="18" t="s">
        <v>444</v>
      </c>
      <c r="C3" s="18" t="s">
        <v>640</v>
      </c>
      <c r="D3" s="18" t="s">
        <v>190</v>
      </c>
      <c r="E3" s="18" t="s">
        <v>190</v>
      </c>
      <c r="F3" s="18" t="s">
        <v>192</v>
      </c>
      <c r="G3" s="20" t="s">
        <v>752</v>
      </c>
      <c r="H3" s="55" t="s">
        <v>753</v>
      </c>
      <c r="I3" s="80" t="s">
        <v>481</v>
      </c>
      <c r="J3" s="81" t="s">
        <v>205</v>
      </c>
      <c r="K3" s="82" t="s">
        <v>208</v>
      </c>
      <c r="L3" s="82" t="s">
        <v>208</v>
      </c>
      <c r="M3" s="26">
        <v>6.0</v>
      </c>
      <c r="N3" s="26" t="str">
        <f t="shared" si="1"/>
        <v>R</v>
      </c>
      <c r="O3" s="26">
        <v>6.0</v>
      </c>
      <c r="P3" s="26" t="str">
        <f t="shared" si="2"/>
        <v>R</v>
      </c>
      <c r="Q3" s="26">
        <v>6.0</v>
      </c>
      <c r="R3" s="26" t="str">
        <f t="shared" si="3"/>
        <v>R</v>
      </c>
      <c r="S3" s="32" t="s">
        <v>357</v>
      </c>
      <c r="T3" s="32" t="s">
        <v>357</v>
      </c>
      <c r="U3" s="26">
        <v>17.0</v>
      </c>
      <c r="V3" s="26" t="str">
        <f t="shared" si="4"/>
        <v>R</v>
      </c>
      <c r="W3" s="26">
        <v>29.0</v>
      </c>
      <c r="X3" s="26" t="str">
        <f t="shared" si="5"/>
        <v>S</v>
      </c>
      <c r="Y3" s="26">
        <v>26.0</v>
      </c>
      <c r="Z3" s="26" t="str">
        <f t="shared" si="6"/>
        <v>S</v>
      </c>
      <c r="AA3" s="32" t="s">
        <v>299</v>
      </c>
      <c r="AB3" s="33">
        <v>6.0</v>
      </c>
      <c r="AC3" s="33" t="str">
        <f t="shared" si="7"/>
        <v>R</v>
      </c>
      <c r="AD3" s="33">
        <v>17.0</v>
      </c>
      <c r="AE3" s="33" t="str">
        <f t="shared" si="8"/>
        <v>R</v>
      </c>
      <c r="AF3" s="33">
        <v>28.0</v>
      </c>
      <c r="AG3" s="33" t="str">
        <f t="shared" si="9"/>
        <v>S</v>
      </c>
      <c r="AH3" s="33">
        <v>32.0</v>
      </c>
      <c r="AI3" s="33" t="str">
        <f t="shared" si="10"/>
        <v>S</v>
      </c>
      <c r="AJ3" s="33">
        <v>30.0</v>
      </c>
      <c r="AK3" s="33" t="str">
        <f t="shared" si="11"/>
        <v>S</v>
      </c>
      <c r="AL3" s="33" t="s">
        <v>299</v>
      </c>
      <c r="AM3" s="36">
        <v>15.0</v>
      </c>
      <c r="AN3" s="36" t="str">
        <f t="shared" si="12"/>
        <v>R</v>
      </c>
      <c r="AO3" s="36">
        <v>17.0</v>
      </c>
      <c r="AP3" s="36" t="str">
        <f t="shared" si="13"/>
        <v>R</v>
      </c>
      <c r="AQ3" s="36">
        <v>6.0</v>
      </c>
      <c r="AR3" s="36" t="str">
        <f t="shared" si="14"/>
        <v>R</v>
      </c>
      <c r="AS3" s="36" t="s">
        <v>299</v>
      </c>
      <c r="AT3" s="37">
        <v>6.0</v>
      </c>
      <c r="AU3" s="37" t="str">
        <f t="shared" si="15"/>
        <v>R</v>
      </c>
      <c r="AV3" s="33">
        <v>26.0</v>
      </c>
      <c r="AW3" s="33" t="str">
        <f t="shared" si="16"/>
        <v>S</v>
      </c>
      <c r="AX3" s="33">
        <v>20.0</v>
      </c>
      <c r="AY3" s="33" t="str">
        <f t="shared" si="17"/>
        <v>S</v>
      </c>
      <c r="AZ3" s="33" t="s">
        <v>300</v>
      </c>
      <c r="BA3" s="26">
        <v>16.0</v>
      </c>
      <c r="BB3" s="26" t="str">
        <f t="shared" si="18"/>
        <v>R</v>
      </c>
      <c r="BC3" s="37">
        <v>28.0</v>
      </c>
      <c r="BD3" s="37" t="str">
        <f t="shared" si="19"/>
        <v>S</v>
      </c>
      <c r="BE3" s="36">
        <v>27.0</v>
      </c>
      <c r="BF3" s="36" t="str">
        <f t="shared" si="20"/>
        <v>S</v>
      </c>
      <c r="BG3" s="39" t="s">
        <v>357</v>
      </c>
      <c r="BH3" s="39" t="s">
        <v>357</v>
      </c>
      <c r="BI3" s="36">
        <v>22.0</v>
      </c>
      <c r="BJ3" s="36" t="str">
        <f t="shared" si="21"/>
        <v>S</v>
      </c>
      <c r="BK3" s="40">
        <v>13.0</v>
      </c>
      <c r="BL3" s="41" t="str">
        <f t="shared" si="22"/>
        <v>R</v>
      </c>
      <c r="BM3" s="41"/>
    </row>
    <row r="4">
      <c r="A4" s="18" t="s">
        <v>455</v>
      </c>
      <c r="B4" s="19">
        <v>12.0</v>
      </c>
      <c r="C4" s="18" t="s">
        <v>654</v>
      </c>
      <c r="D4" s="18" t="s">
        <v>571</v>
      </c>
      <c r="E4" s="18" t="s">
        <v>572</v>
      </c>
      <c r="F4" s="18" t="s">
        <v>573</v>
      </c>
      <c r="G4" s="20" t="s">
        <v>357</v>
      </c>
      <c r="H4" s="47" t="s">
        <v>357</v>
      </c>
      <c r="I4" s="83" t="s">
        <v>357</v>
      </c>
      <c r="J4" s="82" t="s">
        <v>208</v>
      </c>
      <c r="K4" s="82" t="s">
        <v>208</v>
      </c>
      <c r="L4" s="82" t="s">
        <v>208</v>
      </c>
      <c r="M4" s="32" t="s">
        <v>357</v>
      </c>
      <c r="N4" s="32" t="s">
        <v>357</v>
      </c>
      <c r="O4" s="32" t="s">
        <v>357</v>
      </c>
      <c r="P4" s="32" t="s">
        <v>357</v>
      </c>
      <c r="Q4" s="32" t="s">
        <v>357</v>
      </c>
      <c r="R4" s="32" t="s">
        <v>357</v>
      </c>
      <c r="S4" s="32" t="s">
        <v>357</v>
      </c>
      <c r="T4" s="32" t="s">
        <v>357</v>
      </c>
      <c r="U4" s="32" t="s">
        <v>357</v>
      </c>
      <c r="V4" s="32" t="s">
        <v>357</v>
      </c>
      <c r="W4" s="32" t="s">
        <v>357</v>
      </c>
      <c r="X4" s="32" t="s">
        <v>357</v>
      </c>
      <c r="Y4" s="32" t="s">
        <v>357</v>
      </c>
      <c r="Z4" s="32" t="s">
        <v>357</v>
      </c>
      <c r="AA4" s="32" t="s">
        <v>357</v>
      </c>
      <c r="AB4" s="49" t="s">
        <v>357</v>
      </c>
      <c r="AC4" s="49" t="s">
        <v>357</v>
      </c>
      <c r="AD4" s="49" t="s">
        <v>357</v>
      </c>
      <c r="AE4" s="49" t="s">
        <v>357</v>
      </c>
      <c r="AF4" s="49" t="s">
        <v>357</v>
      </c>
      <c r="AG4" s="49" t="s">
        <v>357</v>
      </c>
      <c r="AH4" s="49" t="s">
        <v>357</v>
      </c>
      <c r="AI4" s="49" t="s">
        <v>357</v>
      </c>
      <c r="AJ4" s="49" t="s">
        <v>357</v>
      </c>
      <c r="AK4" s="49" t="s">
        <v>357</v>
      </c>
      <c r="AL4" s="49" t="s">
        <v>357</v>
      </c>
      <c r="AM4" s="39" t="s">
        <v>357</v>
      </c>
      <c r="AN4" s="39" t="s">
        <v>357</v>
      </c>
      <c r="AO4" s="39" t="s">
        <v>357</v>
      </c>
      <c r="AP4" s="39" t="s">
        <v>357</v>
      </c>
      <c r="AQ4" s="39" t="s">
        <v>357</v>
      </c>
      <c r="AR4" s="39" t="s">
        <v>357</v>
      </c>
      <c r="AS4" s="39" t="s">
        <v>357</v>
      </c>
      <c r="AT4" s="50" t="s">
        <v>357</v>
      </c>
      <c r="AU4" s="50" t="s">
        <v>357</v>
      </c>
      <c r="AV4" s="49" t="s">
        <v>357</v>
      </c>
      <c r="AW4" s="49" t="s">
        <v>357</v>
      </c>
      <c r="AX4" s="49" t="s">
        <v>357</v>
      </c>
      <c r="AY4" s="49" t="s">
        <v>357</v>
      </c>
      <c r="AZ4" s="49" t="s">
        <v>357</v>
      </c>
      <c r="BA4" s="32" t="s">
        <v>357</v>
      </c>
      <c r="BB4" s="32" t="s">
        <v>357</v>
      </c>
      <c r="BC4" s="50" t="s">
        <v>357</v>
      </c>
      <c r="BD4" s="50" t="s">
        <v>357</v>
      </c>
      <c r="BE4" s="39" t="s">
        <v>357</v>
      </c>
      <c r="BF4" s="39" t="s">
        <v>357</v>
      </c>
      <c r="BG4" s="39" t="s">
        <v>357</v>
      </c>
      <c r="BH4" s="39" t="s">
        <v>357</v>
      </c>
      <c r="BI4" s="39" t="s">
        <v>357</v>
      </c>
      <c r="BJ4" s="39" t="s">
        <v>357</v>
      </c>
      <c r="BK4" s="41" t="s">
        <v>357</v>
      </c>
      <c r="BL4" s="41" t="s">
        <v>357</v>
      </c>
      <c r="BM4" s="41"/>
    </row>
    <row r="5">
      <c r="A5" s="18" t="s">
        <v>455</v>
      </c>
      <c r="B5" s="19">
        <v>13.0</v>
      </c>
      <c r="C5" s="18" t="s">
        <v>678</v>
      </c>
      <c r="D5" s="18" t="s">
        <v>705</v>
      </c>
      <c r="E5" s="18" t="s">
        <v>572</v>
      </c>
      <c r="F5" s="18" t="s">
        <v>573</v>
      </c>
      <c r="G5" s="20" t="s">
        <v>357</v>
      </c>
      <c r="H5" s="47" t="s">
        <v>357</v>
      </c>
      <c r="I5" s="83" t="s">
        <v>357</v>
      </c>
      <c r="J5" s="82" t="s">
        <v>208</v>
      </c>
      <c r="K5" s="82" t="s">
        <v>208</v>
      </c>
      <c r="L5" s="82" t="s">
        <v>208</v>
      </c>
      <c r="M5" s="32" t="s">
        <v>357</v>
      </c>
      <c r="N5" s="32" t="s">
        <v>357</v>
      </c>
      <c r="O5" s="32" t="s">
        <v>357</v>
      </c>
      <c r="P5" s="32" t="s">
        <v>357</v>
      </c>
      <c r="Q5" s="32" t="s">
        <v>357</v>
      </c>
      <c r="R5" s="32" t="s">
        <v>357</v>
      </c>
      <c r="S5" s="32" t="s">
        <v>357</v>
      </c>
      <c r="T5" s="32" t="s">
        <v>357</v>
      </c>
      <c r="U5" s="32" t="s">
        <v>357</v>
      </c>
      <c r="V5" s="32" t="s">
        <v>357</v>
      </c>
      <c r="W5" s="32" t="s">
        <v>357</v>
      </c>
      <c r="X5" s="32" t="s">
        <v>357</v>
      </c>
      <c r="Y5" s="32" t="s">
        <v>357</v>
      </c>
      <c r="Z5" s="32" t="s">
        <v>357</v>
      </c>
      <c r="AA5" s="32" t="s">
        <v>357</v>
      </c>
      <c r="AB5" s="49" t="s">
        <v>357</v>
      </c>
      <c r="AC5" s="49" t="s">
        <v>357</v>
      </c>
      <c r="AD5" s="49" t="s">
        <v>357</v>
      </c>
      <c r="AE5" s="49" t="s">
        <v>357</v>
      </c>
      <c r="AF5" s="49" t="s">
        <v>357</v>
      </c>
      <c r="AG5" s="49" t="s">
        <v>357</v>
      </c>
      <c r="AH5" s="49" t="s">
        <v>357</v>
      </c>
      <c r="AI5" s="49" t="s">
        <v>357</v>
      </c>
      <c r="AJ5" s="49" t="s">
        <v>357</v>
      </c>
      <c r="AK5" s="49" t="s">
        <v>357</v>
      </c>
      <c r="AL5" s="49" t="s">
        <v>357</v>
      </c>
      <c r="AM5" s="39" t="s">
        <v>357</v>
      </c>
      <c r="AN5" s="39" t="s">
        <v>357</v>
      </c>
      <c r="AO5" s="39" t="s">
        <v>357</v>
      </c>
      <c r="AP5" s="39" t="s">
        <v>357</v>
      </c>
      <c r="AQ5" s="39" t="s">
        <v>357</v>
      </c>
      <c r="AR5" s="39" t="s">
        <v>357</v>
      </c>
      <c r="AS5" s="39" t="s">
        <v>357</v>
      </c>
      <c r="AT5" s="50" t="s">
        <v>357</v>
      </c>
      <c r="AU5" s="50" t="s">
        <v>357</v>
      </c>
      <c r="AV5" s="49" t="s">
        <v>357</v>
      </c>
      <c r="AW5" s="49" t="s">
        <v>357</v>
      </c>
      <c r="AX5" s="49" t="s">
        <v>357</v>
      </c>
      <c r="AY5" s="49" t="s">
        <v>357</v>
      </c>
      <c r="AZ5" s="49" t="s">
        <v>357</v>
      </c>
      <c r="BA5" s="32" t="s">
        <v>357</v>
      </c>
      <c r="BB5" s="32" t="s">
        <v>357</v>
      </c>
      <c r="BC5" s="50" t="s">
        <v>357</v>
      </c>
      <c r="BD5" s="50" t="s">
        <v>357</v>
      </c>
      <c r="BE5" s="39" t="s">
        <v>357</v>
      </c>
      <c r="BF5" s="39" t="s">
        <v>357</v>
      </c>
      <c r="BG5" s="39" t="s">
        <v>357</v>
      </c>
      <c r="BH5" s="39" t="s">
        <v>357</v>
      </c>
      <c r="BI5" s="39" t="s">
        <v>357</v>
      </c>
      <c r="BJ5" s="39" t="s">
        <v>357</v>
      </c>
      <c r="BK5" s="41" t="s">
        <v>357</v>
      </c>
      <c r="BL5" s="41" t="s">
        <v>357</v>
      </c>
      <c r="BM5" s="41"/>
    </row>
    <row r="6">
      <c r="A6" s="18" t="s">
        <v>433</v>
      </c>
      <c r="B6" s="19">
        <v>14.0</v>
      </c>
      <c r="C6" s="18" t="s">
        <v>690</v>
      </c>
      <c r="D6" s="18" t="s">
        <v>190</v>
      </c>
      <c r="E6" s="18" t="s">
        <v>190</v>
      </c>
      <c r="F6" s="18" t="s">
        <v>573</v>
      </c>
      <c r="G6" s="20" t="s">
        <v>357</v>
      </c>
      <c r="H6" s="47" t="s">
        <v>357</v>
      </c>
      <c r="I6" s="83" t="s">
        <v>357</v>
      </c>
      <c r="J6" s="82" t="s">
        <v>208</v>
      </c>
      <c r="K6" s="82" t="s">
        <v>208</v>
      </c>
      <c r="L6" s="82" t="s">
        <v>208</v>
      </c>
      <c r="M6" s="32" t="s">
        <v>357</v>
      </c>
      <c r="N6" s="32" t="s">
        <v>357</v>
      </c>
      <c r="O6" s="32" t="s">
        <v>357</v>
      </c>
      <c r="P6" s="32" t="s">
        <v>357</v>
      </c>
      <c r="Q6" s="32" t="s">
        <v>357</v>
      </c>
      <c r="R6" s="32" t="s">
        <v>357</v>
      </c>
      <c r="S6" s="32" t="s">
        <v>357</v>
      </c>
      <c r="T6" s="32" t="s">
        <v>357</v>
      </c>
      <c r="U6" s="32" t="s">
        <v>357</v>
      </c>
      <c r="V6" s="32" t="s">
        <v>357</v>
      </c>
      <c r="W6" s="32" t="s">
        <v>357</v>
      </c>
      <c r="X6" s="32" t="s">
        <v>357</v>
      </c>
      <c r="Y6" s="32" t="s">
        <v>357</v>
      </c>
      <c r="Z6" s="32" t="s">
        <v>357</v>
      </c>
      <c r="AA6" s="32" t="s">
        <v>357</v>
      </c>
      <c r="AB6" s="49" t="s">
        <v>357</v>
      </c>
      <c r="AC6" s="49" t="s">
        <v>357</v>
      </c>
      <c r="AD6" s="49" t="s">
        <v>357</v>
      </c>
      <c r="AE6" s="49" t="s">
        <v>357</v>
      </c>
      <c r="AF6" s="49" t="s">
        <v>357</v>
      </c>
      <c r="AG6" s="49" t="s">
        <v>357</v>
      </c>
      <c r="AH6" s="49" t="s">
        <v>357</v>
      </c>
      <c r="AI6" s="49" t="s">
        <v>357</v>
      </c>
      <c r="AJ6" s="49" t="s">
        <v>357</v>
      </c>
      <c r="AK6" s="49" t="s">
        <v>357</v>
      </c>
      <c r="AL6" s="49" t="s">
        <v>357</v>
      </c>
      <c r="AM6" s="39" t="s">
        <v>357</v>
      </c>
      <c r="AN6" s="39" t="s">
        <v>357</v>
      </c>
      <c r="AO6" s="39" t="s">
        <v>357</v>
      </c>
      <c r="AP6" s="39" t="s">
        <v>357</v>
      </c>
      <c r="AQ6" s="39" t="s">
        <v>357</v>
      </c>
      <c r="AR6" s="39" t="s">
        <v>357</v>
      </c>
      <c r="AS6" s="39" t="s">
        <v>357</v>
      </c>
      <c r="AT6" s="50" t="s">
        <v>357</v>
      </c>
      <c r="AU6" s="50" t="s">
        <v>357</v>
      </c>
      <c r="AV6" s="49" t="s">
        <v>357</v>
      </c>
      <c r="AW6" s="49" t="s">
        <v>357</v>
      </c>
      <c r="AX6" s="49" t="s">
        <v>357</v>
      </c>
      <c r="AY6" s="49" t="s">
        <v>357</v>
      </c>
      <c r="AZ6" s="49" t="s">
        <v>357</v>
      </c>
      <c r="BA6" s="32" t="s">
        <v>357</v>
      </c>
      <c r="BB6" s="32" t="s">
        <v>357</v>
      </c>
      <c r="BC6" s="50" t="s">
        <v>357</v>
      </c>
      <c r="BD6" s="50" t="s">
        <v>357</v>
      </c>
      <c r="BE6" s="39" t="s">
        <v>357</v>
      </c>
      <c r="BF6" s="39" t="s">
        <v>357</v>
      </c>
      <c r="BG6" s="39" t="s">
        <v>357</v>
      </c>
      <c r="BH6" s="39" t="s">
        <v>357</v>
      </c>
      <c r="BI6" s="39" t="s">
        <v>357</v>
      </c>
      <c r="BJ6" s="39" t="s">
        <v>357</v>
      </c>
      <c r="BK6" s="41" t="s">
        <v>357</v>
      </c>
      <c r="BL6" s="41" t="s">
        <v>357</v>
      </c>
      <c r="BM6" s="41"/>
    </row>
    <row r="7">
      <c r="A7" s="18" t="s">
        <v>433</v>
      </c>
      <c r="B7" s="19">
        <v>15.0</v>
      </c>
      <c r="C7" s="18" t="s">
        <v>702</v>
      </c>
      <c r="D7" s="18" t="s">
        <v>571</v>
      </c>
      <c r="E7" s="18" t="s">
        <v>572</v>
      </c>
      <c r="F7" s="18" t="s">
        <v>192</v>
      </c>
      <c r="G7" s="20" t="s">
        <v>761</v>
      </c>
      <c r="H7" s="56" t="s">
        <v>762</v>
      </c>
      <c r="I7" s="84" t="s">
        <v>37</v>
      </c>
      <c r="J7" s="81" t="s">
        <v>205</v>
      </c>
      <c r="K7" s="81" t="s">
        <v>205</v>
      </c>
      <c r="L7" s="81" t="s">
        <v>208</v>
      </c>
      <c r="M7" s="26">
        <v>6.0</v>
      </c>
      <c r="N7" s="26" t="str">
        <f t="shared" ref="N7:N10" si="23">IF((M7&gt;=19),"S",IF(AND(M7&lt;19),"R", "NA"))</f>
        <v>R</v>
      </c>
      <c r="O7" s="26">
        <v>22.0</v>
      </c>
      <c r="P7" s="26" t="str">
        <f t="shared" ref="P7:P10" si="24">IF((O7&gt;=19),"S",IF(AND(O7&lt;19),"R", "NA"))</f>
        <v>S</v>
      </c>
      <c r="Q7" s="26">
        <v>6.0</v>
      </c>
      <c r="R7" s="26" t="str">
        <f t="shared" ref="R7:R10" si="25">IF((Q7&gt;=23),"S",IF(AND(Q7&lt;23),"R","NA"))</f>
        <v>R</v>
      </c>
      <c r="S7" s="32" t="s">
        <v>357</v>
      </c>
      <c r="T7" s="32" t="s">
        <v>357</v>
      </c>
      <c r="U7" s="26">
        <v>10.0</v>
      </c>
      <c r="V7" s="26" t="str">
        <f t="shared" ref="V7:V10" si="26">IF((U7&gt;=20),"S",IF(AND(U7&lt;20),"R", "NA"))</f>
        <v>R</v>
      </c>
      <c r="W7" s="26">
        <v>26.0</v>
      </c>
      <c r="X7" s="26" t="str">
        <f t="shared" ref="X7:X10" si="27">IF((W7&gt;=20),"S",IF(AND(W7&lt;20),"R", "NA"))</f>
        <v>S</v>
      </c>
      <c r="Y7" s="26">
        <v>27.0</v>
      </c>
      <c r="Z7" s="26" t="str">
        <f t="shared" ref="Z7:Z10" si="28">IF((Y7&gt;=20),"S",IF(AND(Y7&lt;20,Y7&gt;=17),"I",IF(AND(Y7&lt;17),"R","NA")))</f>
        <v>S</v>
      </c>
      <c r="AA7" s="32" t="s">
        <v>299</v>
      </c>
      <c r="AB7" s="33">
        <v>6.0</v>
      </c>
      <c r="AC7" s="33" t="str">
        <f t="shared" ref="AC7:AC10" si="29">IF((AB7&gt;=20),"S",IF(AND(AB7&lt;20,AB7&gt;=17),"I",IF(AND(AB7&lt;17),"R","NA")))</f>
        <v>R</v>
      </c>
      <c r="AD7" s="33">
        <v>29.0</v>
      </c>
      <c r="AE7" s="33" t="str">
        <f t="shared" ref="AE7:AE10" si="30">IF((AD7&gt;=18),"S",IF(AND(AD7&lt;18),"R", "NA"))</f>
        <v>S</v>
      </c>
      <c r="AF7" s="33">
        <v>17.0</v>
      </c>
      <c r="AG7" s="33" t="str">
        <f t="shared" ref="AG7:AG10" si="31">IF((AF7&gt;=22),"S",IF(AND(AF7&lt;22,AF7&gt;=19),"I",IF(AND(AF7&lt;19),"R","NA")))</f>
        <v>R</v>
      </c>
      <c r="AH7" s="33">
        <v>33.0</v>
      </c>
      <c r="AI7" s="33" t="str">
        <f t="shared" ref="AI7:AI10" si="32">IF((AH7&gt;=13),"S",IF(AND(AH7&lt;13),"R", "NA"))</f>
        <v>S</v>
      </c>
      <c r="AJ7" s="33">
        <v>20.0</v>
      </c>
      <c r="AK7" s="33" t="str">
        <f t="shared" ref="AK7:AK10" si="33">IF((AJ7&gt;=27),"S",IF(AND(AJ7&lt;27,AJ7&gt;=24),"I",IF(AND(AJ7&lt;24),"R","NA")))</f>
        <v>R</v>
      </c>
      <c r="AL7" s="33" t="s">
        <v>299</v>
      </c>
      <c r="AM7" s="36">
        <v>30.0</v>
      </c>
      <c r="AN7" s="36" t="str">
        <f t="shared" ref="AN7:AN10" si="34">IF((AM7&gt;=25),"S",IF(AND(AM7&lt;25,AM7&gt;=22),"I",IF(AND(AM7&lt;22),"R","NA")))</f>
        <v>S</v>
      </c>
      <c r="AO7" s="36">
        <v>29.0</v>
      </c>
      <c r="AP7" s="36" t="str">
        <f t="shared" ref="AP7:AP10" si="35">IF((AO7&gt;=23),"S",IF(AND(AO7&lt;23,AO7&gt;=19),"I",IF(AND(AO7&lt;19),"R","NA")))</f>
        <v>S</v>
      </c>
      <c r="AQ7" s="36">
        <v>26.0</v>
      </c>
      <c r="AR7" s="36" t="str">
        <f t="shared" ref="AR7:AR10" si="36">IF((AQ7&gt;=14),"S",IF(AND(AQ7&lt;14),"R","NA"))</f>
        <v>S</v>
      </c>
      <c r="AS7" s="36" t="s">
        <v>300</v>
      </c>
      <c r="AT7" s="37">
        <v>6.0</v>
      </c>
      <c r="AU7" s="37" t="str">
        <f t="shared" ref="AU7:AU10" si="37">IF((AT7&gt;=14),"S",IF(AND(AT7&lt;14,AT7&gt;=11),"I",IF(AND(AT7&lt;11),"R","NA")))</f>
        <v>R</v>
      </c>
      <c r="AV7" s="33">
        <v>25.0</v>
      </c>
      <c r="AW7" s="33" t="str">
        <f t="shared" ref="AW7:AW10" si="38">IF((AV7&gt;=18),"S",IF(AND(AV7&lt;18),"R", "NA"))</f>
        <v>S</v>
      </c>
      <c r="AX7" s="33">
        <v>26.0</v>
      </c>
      <c r="AY7" s="33" t="str">
        <f t="shared" ref="AY7:AY10" si="39">IF((AX7&gt;=16),"S",IF(AND(AX7&lt;16),"R", "NA"))</f>
        <v>S</v>
      </c>
      <c r="AZ7" s="33" t="s">
        <v>300</v>
      </c>
      <c r="BA7" s="26">
        <v>25.0</v>
      </c>
      <c r="BB7" s="26" t="str">
        <f t="shared" ref="BB7:BB10" si="40">IF((BA7&gt;=20),"S",IF(AND(BA7&lt;20),"R", "NA"))</f>
        <v>S</v>
      </c>
      <c r="BC7" s="37">
        <v>19.0</v>
      </c>
      <c r="BD7" s="37" t="str">
        <f t="shared" ref="BD7:BD10" si="41">IF((BC7&gt;=26),"S",IF(AND(BC7&lt;26,BC7&gt;=21),"I",IF(AND(BC7&lt;21),"R","NA")))</f>
        <v>R</v>
      </c>
      <c r="BE7" s="36">
        <v>29.0</v>
      </c>
      <c r="BF7" s="36" t="str">
        <f t="shared" ref="BF7:BF10" si="42">IF((BE7&gt;=23),"S",IF(AND(BE7&lt;23),"R","NA"))</f>
        <v>S</v>
      </c>
      <c r="BG7" s="39" t="s">
        <v>357</v>
      </c>
      <c r="BH7" s="39" t="s">
        <v>357</v>
      </c>
      <c r="BI7" s="36">
        <v>31.0</v>
      </c>
      <c r="BJ7" s="36" t="str">
        <f t="shared" ref="BJ7:BJ10" si="43">IF((BI7&gt;=22),"S",IF(AND(BI7&lt;22,BI7&gt;=19),"I",IF(AND(BI7&lt;19),"R","NA")))</f>
        <v>S</v>
      </c>
      <c r="BK7" s="40">
        <v>24.0</v>
      </c>
      <c r="BL7" s="41" t="str">
        <f t="shared" ref="BL7:BL10" si="44">IF((BK7&gt;=17),"S",IF(AND(BK7&lt;17),"R", "NA"))</f>
        <v>S</v>
      </c>
      <c r="BM7" s="41"/>
    </row>
    <row r="8">
      <c r="A8" s="18" t="s">
        <v>433</v>
      </c>
      <c r="B8" s="18" t="s">
        <v>444</v>
      </c>
      <c r="C8" s="18" t="s">
        <v>711</v>
      </c>
      <c r="D8" s="18" t="s">
        <v>571</v>
      </c>
      <c r="E8" s="18" t="s">
        <v>572</v>
      </c>
      <c r="F8" s="18" t="s">
        <v>192</v>
      </c>
      <c r="G8" s="20" t="s">
        <v>791</v>
      </c>
      <c r="H8" s="56" t="s">
        <v>762</v>
      </c>
      <c r="I8" s="80" t="s">
        <v>481</v>
      </c>
      <c r="J8" s="82" t="s">
        <v>205</v>
      </c>
      <c r="K8" s="82" t="s">
        <v>208</v>
      </c>
      <c r="L8" s="81" t="s">
        <v>208</v>
      </c>
      <c r="M8" s="26">
        <v>6.0</v>
      </c>
      <c r="N8" s="26" t="str">
        <f t="shared" si="23"/>
        <v>R</v>
      </c>
      <c r="O8" s="26">
        <v>29.0</v>
      </c>
      <c r="P8" s="26" t="str">
        <f t="shared" si="24"/>
        <v>S</v>
      </c>
      <c r="Q8" s="26">
        <v>6.0</v>
      </c>
      <c r="R8" s="26" t="str">
        <f t="shared" si="25"/>
        <v>R</v>
      </c>
      <c r="S8" s="32" t="s">
        <v>357</v>
      </c>
      <c r="T8" s="32" t="s">
        <v>357</v>
      </c>
      <c r="U8" s="26">
        <v>11.0</v>
      </c>
      <c r="V8" s="26" t="str">
        <f t="shared" si="26"/>
        <v>R</v>
      </c>
      <c r="W8" s="26">
        <v>27.0</v>
      </c>
      <c r="X8" s="26" t="str">
        <f t="shared" si="27"/>
        <v>S</v>
      </c>
      <c r="Y8" s="26">
        <v>27.0</v>
      </c>
      <c r="Z8" s="26" t="str">
        <f t="shared" si="28"/>
        <v>S</v>
      </c>
      <c r="AA8" s="32" t="s">
        <v>299</v>
      </c>
      <c r="AB8" s="33">
        <v>6.0</v>
      </c>
      <c r="AC8" s="33" t="str">
        <f t="shared" si="29"/>
        <v>R</v>
      </c>
      <c r="AD8" s="33">
        <v>27.0</v>
      </c>
      <c r="AE8" s="33" t="str">
        <f t="shared" si="30"/>
        <v>S</v>
      </c>
      <c r="AF8" s="33">
        <v>17.0</v>
      </c>
      <c r="AG8" s="33" t="str">
        <f t="shared" si="31"/>
        <v>R</v>
      </c>
      <c r="AH8" s="33">
        <v>31.0</v>
      </c>
      <c r="AI8" s="33" t="str">
        <f t="shared" si="32"/>
        <v>S</v>
      </c>
      <c r="AJ8" s="33">
        <v>24.0</v>
      </c>
      <c r="AK8" s="33" t="str">
        <f t="shared" si="33"/>
        <v>I</v>
      </c>
      <c r="AL8" s="33" t="s">
        <v>299</v>
      </c>
      <c r="AM8" s="36">
        <v>31.0</v>
      </c>
      <c r="AN8" s="36" t="str">
        <f t="shared" si="34"/>
        <v>S</v>
      </c>
      <c r="AO8" s="36">
        <v>28.0</v>
      </c>
      <c r="AP8" s="36" t="str">
        <f t="shared" si="35"/>
        <v>S</v>
      </c>
      <c r="AQ8" s="36">
        <v>25.0</v>
      </c>
      <c r="AR8" s="36" t="str">
        <f t="shared" si="36"/>
        <v>S</v>
      </c>
      <c r="AS8" s="36" t="s">
        <v>300</v>
      </c>
      <c r="AT8" s="37">
        <v>6.0</v>
      </c>
      <c r="AU8" s="37" t="str">
        <f t="shared" si="37"/>
        <v>R</v>
      </c>
      <c r="AV8" s="33">
        <v>28.0</v>
      </c>
      <c r="AW8" s="33" t="str">
        <f t="shared" si="38"/>
        <v>S</v>
      </c>
      <c r="AX8" s="33">
        <v>25.0</v>
      </c>
      <c r="AY8" s="33" t="str">
        <f t="shared" si="39"/>
        <v>S</v>
      </c>
      <c r="AZ8" s="33" t="s">
        <v>300</v>
      </c>
      <c r="BA8" s="26">
        <v>18.0</v>
      </c>
      <c r="BB8" s="26" t="str">
        <f t="shared" si="40"/>
        <v>R</v>
      </c>
      <c r="BC8" s="37">
        <v>23.0</v>
      </c>
      <c r="BD8" s="37" t="str">
        <f t="shared" si="41"/>
        <v>I</v>
      </c>
      <c r="BE8" s="36">
        <v>29.0</v>
      </c>
      <c r="BF8" s="36" t="str">
        <f t="shared" si="42"/>
        <v>S</v>
      </c>
      <c r="BG8" s="39" t="s">
        <v>357</v>
      </c>
      <c r="BH8" s="39" t="s">
        <v>357</v>
      </c>
      <c r="BI8" s="36">
        <v>32.0</v>
      </c>
      <c r="BJ8" s="36" t="str">
        <f t="shared" si="43"/>
        <v>S</v>
      </c>
      <c r="BK8" s="40">
        <v>24.0</v>
      </c>
      <c r="BL8" s="41" t="str">
        <f t="shared" si="44"/>
        <v>S</v>
      </c>
      <c r="BM8" s="41"/>
    </row>
    <row r="9">
      <c r="A9" s="18" t="s">
        <v>433</v>
      </c>
      <c r="B9" s="19">
        <v>16.0</v>
      </c>
      <c r="C9" s="18" t="s">
        <v>716</v>
      </c>
      <c r="D9" s="18" t="s">
        <v>555</v>
      </c>
      <c r="E9" s="18" t="s">
        <v>103</v>
      </c>
      <c r="F9" s="18" t="s">
        <v>192</v>
      </c>
      <c r="G9" s="20" t="s">
        <v>799</v>
      </c>
      <c r="H9" s="22" t="s">
        <v>198</v>
      </c>
      <c r="I9" s="84" t="s">
        <v>37</v>
      </c>
      <c r="J9" s="81" t="s">
        <v>205</v>
      </c>
      <c r="K9" s="81" t="s">
        <v>205</v>
      </c>
      <c r="L9" s="81" t="s">
        <v>208</v>
      </c>
      <c r="M9" s="26">
        <v>6.0</v>
      </c>
      <c r="N9" s="26" t="str">
        <f t="shared" si="23"/>
        <v>R</v>
      </c>
      <c r="O9" s="26">
        <v>24.0</v>
      </c>
      <c r="P9" s="26" t="str">
        <f t="shared" si="24"/>
        <v>S</v>
      </c>
      <c r="Q9" s="26">
        <v>6.0</v>
      </c>
      <c r="R9" s="26" t="str">
        <f t="shared" si="25"/>
        <v>R</v>
      </c>
      <c r="S9" s="32" t="s">
        <v>357</v>
      </c>
      <c r="T9" s="32" t="s">
        <v>357</v>
      </c>
      <c r="U9" s="26">
        <v>12.0</v>
      </c>
      <c r="V9" s="26" t="str">
        <f t="shared" si="26"/>
        <v>R</v>
      </c>
      <c r="W9" s="26">
        <v>26.0</v>
      </c>
      <c r="X9" s="26" t="str">
        <f t="shared" si="27"/>
        <v>S</v>
      </c>
      <c r="Y9" s="26">
        <v>22.0</v>
      </c>
      <c r="Z9" s="26" t="str">
        <f t="shared" si="28"/>
        <v>S</v>
      </c>
      <c r="AA9" s="32" t="s">
        <v>299</v>
      </c>
      <c r="AB9" s="33">
        <v>6.0</v>
      </c>
      <c r="AC9" s="33" t="str">
        <f t="shared" si="29"/>
        <v>R</v>
      </c>
      <c r="AD9" s="33">
        <v>27.0</v>
      </c>
      <c r="AE9" s="33" t="str">
        <f t="shared" si="30"/>
        <v>S</v>
      </c>
      <c r="AF9" s="33">
        <v>17.0</v>
      </c>
      <c r="AG9" s="33" t="str">
        <f t="shared" si="31"/>
        <v>R</v>
      </c>
      <c r="AH9" s="33">
        <v>29.0</v>
      </c>
      <c r="AI9" s="33" t="str">
        <f t="shared" si="32"/>
        <v>S</v>
      </c>
      <c r="AJ9" s="33">
        <v>21.0</v>
      </c>
      <c r="AK9" s="33" t="str">
        <f t="shared" si="33"/>
        <v>R</v>
      </c>
      <c r="AL9" s="33" t="s">
        <v>299</v>
      </c>
      <c r="AM9" s="36">
        <v>6.0</v>
      </c>
      <c r="AN9" s="36" t="str">
        <f t="shared" si="34"/>
        <v>R</v>
      </c>
      <c r="AO9" s="36">
        <v>8.0</v>
      </c>
      <c r="AP9" s="36" t="str">
        <f t="shared" si="35"/>
        <v>R</v>
      </c>
      <c r="AQ9" s="36">
        <v>6.0</v>
      </c>
      <c r="AR9" s="36" t="str">
        <f t="shared" si="36"/>
        <v>R</v>
      </c>
      <c r="AS9" s="36" t="s">
        <v>299</v>
      </c>
      <c r="AT9" s="37">
        <v>6.0</v>
      </c>
      <c r="AU9" s="37" t="str">
        <f t="shared" si="37"/>
        <v>R</v>
      </c>
      <c r="AV9" s="33">
        <v>20.0</v>
      </c>
      <c r="AW9" s="33" t="str">
        <f t="shared" si="38"/>
        <v>S</v>
      </c>
      <c r="AX9" s="33">
        <v>20.0</v>
      </c>
      <c r="AY9" s="33" t="str">
        <f t="shared" si="39"/>
        <v>S</v>
      </c>
      <c r="AZ9" s="33" t="s">
        <v>300</v>
      </c>
      <c r="BA9" s="26">
        <v>24.0</v>
      </c>
      <c r="BB9" s="26" t="str">
        <f t="shared" si="40"/>
        <v>S</v>
      </c>
      <c r="BC9" s="37">
        <v>17.0</v>
      </c>
      <c r="BD9" s="37" t="str">
        <f t="shared" si="41"/>
        <v>R</v>
      </c>
      <c r="BE9" s="36">
        <v>27.0</v>
      </c>
      <c r="BF9" s="36" t="str">
        <f t="shared" si="42"/>
        <v>S</v>
      </c>
      <c r="BG9" s="39" t="s">
        <v>357</v>
      </c>
      <c r="BH9" s="39" t="s">
        <v>357</v>
      </c>
      <c r="BI9" s="36">
        <v>31.0</v>
      </c>
      <c r="BJ9" s="36" t="str">
        <f t="shared" si="43"/>
        <v>S</v>
      </c>
      <c r="BK9" s="40">
        <v>19.0</v>
      </c>
      <c r="BL9" s="41" t="str">
        <f t="shared" si="44"/>
        <v>S</v>
      </c>
      <c r="BM9" s="41"/>
    </row>
    <row r="10">
      <c r="A10" s="18" t="s">
        <v>433</v>
      </c>
      <c r="B10" s="18" t="s">
        <v>444</v>
      </c>
      <c r="C10" s="18" t="s">
        <v>726</v>
      </c>
      <c r="D10" s="18" t="s">
        <v>555</v>
      </c>
      <c r="E10" s="18" t="s">
        <v>103</v>
      </c>
      <c r="F10" s="18" t="s">
        <v>192</v>
      </c>
      <c r="G10" s="20" t="s">
        <v>806</v>
      </c>
      <c r="H10" s="42" t="s">
        <v>479</v>
      </c>
      <c r="I10" s="84" t="s">
        <v>37</v>
      </c>
      <c r="J10" s="81" t="s">
        <v>205</v>
      </c>
      <c r="K10" s="81" t="s">
        <v>205</v>
      </c>
      <c r="L10" s="81" t="s">
        <v>208</v>
      </c>
      <c r="M10" s="26">
        <v>6.0</v>
      </c>
      <c r="N10" s="26" t="str">
        <f t="shared" si="23"/>
        <v>R</v>
      </c>
      <c r="O10" s="26">
        <v>18.0</v>
      </c>
      <c r="P10" s="26" t="str">
        <f t="shared" si="24"/>
        <v>R</v>
      </c>
      <c r="Q10" s="26">
        <v>6.0</v>
      </c>
      <c r="R10" s="26" t="str">
        <f t="shared" si="25"/>
        <v>R</v>
      </c>
      <c r="S10" s="32" t="s">
        <v>357</v>
      </c>
      <c r="T10" s="32" t="s">
        <v>357</v>
      </c>
      <c r="U10" s="26">
        <v>8.0</v>
      </c>
      <c r="V10" s="26" t="str">
        <f t="shared" si="26"/>
        <v>R</v>
      </c>
      <c r="W10" s="26">
        <v>23.0</v>
      </c>
      <c r="X10" s="26" t="str">
        <f t="shared" si="27"/>
        <v>S</v>
      </c>
      <c r="Y10" s="26">
        <v>22.0</v>
      </c>
      <c r="Z10" s="26" t="str">
        <f t="shared" si="28"/>
        <v>S</v>
      </c>
      <c r="AA10" s="32" t="s">
        <v>299</v>
      </c>
      <c r="AB10" s="33">
        <v>6.0</v>
      </c>
      <c r="AC10" s="33" t="str">
        <f t="shared" si="29"/>
        <v>R</v>
      </c>
      <c r="AD10" s="33">
        <v>23.0</v>
      </c>
      <c r="AE10" s="33" t="str">
        <f t="shared" si="30"/>
        <v>S</v>
      </c>
      <c r="AF10" s="33">
        <v>15.0</v>
      </c>
      <c r="AG10" s="33" t="str">
        <f t="shared" si="31"/>
        <v>R</v>
      </c>
      <c r="AH10" s="33">
        <v>26.0</v>
      </c>
      <c r="AI10" s="33" t="str">
        <f t="shared" si="32"/>
        <v>S</v>
      </c>
      <c r="AJ10" s="33">
        <v>21.0</v>
      </c>
      <c r="AK10" s="33" t="str">
        <f t="shared" si="33"/>
        <v>R</v>
      </c>
      <c r="AL10" s="33" t="s">
        <v>299</v>
      </c>
      <c r="AM10" s="36">
        <v>18.0</v>
      </c>
      <c r="AN10" s="36" t="str">
        <f t="shared" si="34"/>
        <v>R</v>
      </c>
      <c r="AO10" s="36">
        <v>17.0</v>
      </c>
      <c r="AP10" s="36" t="str">
        <f t="shared" si="35"/>
        <v>R</v>
      </c>
      <c r="AQ10" s="36">
        <v>17.0</v>
      </c>
      <c r="AR10" s="36" t="str">
        <f t="shared" si="36"/>
        <v>S</v>
      </c>
      <c r="AS10" s="36" t="s">
        <v>299</v>
      </c>
      <c r="AT10" s="37">
        <v>19.0</v>
      </c>
      <c r="AU10" s="37" t="str">
        <f t="shared" si="37"/>
        <v>S</v>
      </c>
      <c r="AV10" s="33">
        <v>21.0</v>
      </c>
      <c r="AW10" s="33" t="str">
        <f t="shared" si="38"/>
        <v>S</v>
      </c>
      <c r="AX10" s="33">
        <v>22.0</v>
      </c>
      <c r="AY10" s="33" t="str">
        <f t="shared" si="39"/>
        <v>S</v>
      </c>
      <c r="AZ10" s="33" t="s">
        <v>300</v>
      </c>
      <c r="BA10" s="26">
        <v>17.0</v>
      </c>
      <c r="BB10" s="26" t="str">
        <f t="shared" si="40"/>
        <v>R</v>
      </c>
      <c r="BC10" s="37">
        <v>16.0</v>
      </c>
      <c r="BD10" s="37" t="str">
        <f t="shared" si="41"/>
        <v>R</v>
      </c>
      <c r="BE10" s="36">
        <v>26.0</v>
      </c>
      <c r="BF10" s="36" t="str">
        <f t="shared" si="42"/>
        <v>S</v>
      </c>
      <c r="BG10" s="39" t="s">
        <v>357</v>
      </c>
      <c r="BH10" s="39" t="s">
        <v>357</v>
      </c>
      <c r="BI10" s="36">
        <v>30.0</v>
      </c>
      <c r="BJ10" s="36" t="str">
        <f t="shared" si="43"/>
        <v>S</v>
      </c>
      <c r="BK10" s="40">
        <v>20.0</v>
      </c>
      <c r="BL10" s="41" t="str">
        <f t="shared" si="44"/>
        <v>S</v>
      </c>
      <c r="BM10" s="41"/>
    </row>
    <row r="11">
      <c r="A11" s="18" t="s">
        <v>489</v>
      </c>
      <c r="B11" s="19">
        <v>26.0</v>
      </c>
      <c r="C11" s="18" t="s">
        <v>825</v>
      </c>
      <c r="D11" s="18" t="s">
        <v>190</v>
      </c>
      <c r="E11" s="18" t="s">
        <v>190</v>
      </c>
      <c r="F11" s="18" t="s">
        <v>573</v>
      </c>
      <c r="G11" s="20" t="s">
        <v>357</v>
      </c>
      <c r="H11" s="47" t="s">
        <v>357</v>
      </c>
      <c r="I11" s="83" t="s">
        <v>357</v>
      </c>
      <c r="J11" s="82" t="s">
        <v>208</v>
      </c>
      <c r="K11" s="82" t="s">
        <v>208</v>
      </c>
      <c r="L11" s="82" t="s">
        <v>208</v>
      </c>
      <c r="M11" s="32" t="s">
        <v>357</v>
      </c>
      <c r="N11" s="32" t="s">
        <v>357</v>
      </c>
      <c r="O11" s="32" t="s">
        <v>357</v>
      </c>
      <c r="P11" s="32" t="s">
        <v>357</v>
      </c>
      <c r="Q11" s="32" t="s">
        <v>357</v>
      </c>
      <c r="R11" s="32" t="s">
        <v>357</v>
      </c>
      <c r="S11" s="32" t="s">
        <v>357</v>
      </c>
      <c r="T11" s="32" t="s">
        <v>357</v>
      </c>
      <c r="U11" s="32" t="s">
        <v>357</v>
      </c>
      <c r="V11" s="32" t="s">
        <v>357</v>
      </c>
      <c r="W11" s="32" t="s">
        <v>357</v>
      </c>
      <c r="X11" s="32" t="s">
        <v>357</v>
      </c>
      <c r="Y11" s="32" t="s">
        <v>357</v>
      </c>
      <c r="Z11" s="32" t="s">
        <v>357</v>
      </c>
      <c r="AA11" s="32" t="s">
        <v>357</v>
      </c>
      <c r="AB11" s="49" t="s">
        <v>357</v>
      </c>
      <c r="AC11" s="49" t="s">
        <v>357</v>
      </c>
      <c r="AD11" s="49" t="s">
        <v>357</v>
      </c>
      <c r="AE11" s="49" t="s">
        <v>357</v>
      </c>
      <c r="AF11" s="49" t="s">
        <v>357</v>
      </c>
      <c r="AG11" s="49" t="s">
        <v>357</v>
      </c>
      <c r="AH11" s="49" t="s">
        <v>357</v>
      </c>
      <c r="AI11" s="49" t="s">
        <v>357</v>
      </c>
      <c r="AJ11" s="49" t="s">
        <v>357</v>
      </c>
      <c r="AK11" s="49" t="s">
        <v>357</v>
      </c>
      <c r="AL11" s="49" t="s">
        <v>357</v>
      </c>
      <c r="AM11" s="39" t="s">
        <v>357</v>
      </c>
      <c r="AN11" s="39" t="s">
        <v>357</v>
      </c>
      <c r="AO11" s="39" t="s">
        <v>357</v>
      </c>
      <c r="AP11" s="39" t="s">
        <v>357</v>
      </c>
      <c r="AQ11" s="39" t="s">
        <v>357</v>
      </c>
      <c r="AR11" s="39" t="s">
        <v>357</v>
      </c>
      <c r="AS11" s="39" t="s">
        <v>357</v>
      </c>
      <c r="AT11" s="50" t="s">
        <v>357</v>
      </c>
      <c r="AU11" s="50" t="s">
        <v>357</v>
      </c>
      <c r="AV11" s="49" t="s">
        <v>357</v>
      </c>
      <c r="AW11" s="49" t="s">
        <v>357</v>
      </c>
      <c r="AX11" s="49" t="s">
        <v>357</v>
      </c>
      <c r="AY11" s="49" t="s">
        <v>357</v>
      </c>
      <c r="AZ11" s="49" t="s">
        <v>357</v>
      </c>
      <c r="BA11" s="32" t="s">
        <v>357</v>
      </c>
      <c r="BB11" s="32" t="s">
        <v>357</v>
      </c>
      <c r="BC11" s="50" t="s">
        <v>357</v>
      </c>
      <c r="BD11" s="50" t="s">
        <v>357</v>
      </c>
      <c r="BE11" s="39" t="s">
        <v>357</v>
      </c>
      <c r="BF11" s="39" t="s">
        <v>357</v>
      </c>
      <c r="BG11" s="39" t="s">
        <v>357</v>
      </c>
      <c r="BH11" s="39" t="s">
        <v>357</v>
      </c>
      <c r="BI11" s="39" t="s">
        <v>357</v>
      </c>
      <c r="BJ11" s="39" t="s">
        <v>357</v>
      </c>
      <c r="BK11" s="41" t="s">
        <v>357</v>
      </c>
      <c r="BL11" s="41" t="s">
        <v>357</v>
      </c>
      <c r="BM11" s="41"/>
    </row>
    <row r="12">
      <c r="A12" s="18" t="s">
        <v>489</v>
      </c>
      <c r="B12" s="19">
        <v>27.0</v>
      </c>
      <c r="C12" s="18" t="s">
        <v>833</v>
      </c>
      <c r="D12" s="18" t="s">
        <v>571</v>
      </c>
      <c r="E12" s="18" t="s">
        <v>572</v>
      </c>
      <c r="F12" s="18" t="s">
        <v>573</v>
      </c>
      <c r="G12" s="20" t="s">
        <v>357</v>
      </c>
      <c r="H12" s="47" t="s">
        <v>357</v>
      </c>
      <c r="I12" s="83" t="s">
        <v>357</v>
      </c>
      <c r="J12" s="82" t="s">
        <v>208</v>
      </c>
      <c r="K12" s="82" t="s">
        <v>208</v>
      </c>
      <c r="L12" s="82" t="s">
        <v>208</v>
      </c>
      <c r="M12" s="32" t="s">
        <v>357</v>
      </c>
      <c r="N12" s="32" t="s">
        <v>357</v>
      </c>
      <c r="O12" s="32" t="s">
        <v>357</v>
      </c>
      <c r="P12" s="32" t="s">
        <v>357</v>
      </c>
      <c r="Q12" s="32" t="s">
        <v>357</v>
      </c>
      <c r="R12" s="32" t="s">
        <v>357</v>
      </c>
      <c r="S12" s="32" t="s">
        <v>357</v>
      </c>
      <c r="T12" s="32" t="s">
        <v>357</v>
      </c>
      <c r="U12" s="32" t="s">
        <v>357</v>
      </c>
      <c r="V12" s="32" t="s">
        <v>357</v>
      </c>
      <c r="W12" s="32" t="s">
        <v>357</v>
      </c>
      <c r="X12" s="32" t="s">
        <v>357</v>
      </c>
      <c r="Y12" s="32" t="s">
        <v>357</v>
      </c>
      <c r="Z12" s="32" t="s">
        <v>357</v>
      </c>
      <c r="AA12" s="32" t="s">
        <v>357</v>
      </c>
      <c r="AB12" s="49" t="s">
        <v>357</v>
      </c>
      <c r="AC12" s="49" t="s">
        <v>357</v>
      </c>
      <c r="AD12" s="49" t="s">
        <v>357</v>
      </c>
      <c r="AE12" s="49" t="s">
        <v>357</v>
      </c>
      <c r="AF12" s="49" t="s">
        <v>357</v>
      </c>
      <c r="AG12" s="49" t="s">
        <v>357</v>
      </c>
      <c r="AH12" s="49" t="s">
        <v>357</v>
      </c>
      <c r="AI12" s="49" t="s">
        <v>357</v>
      </c>
      <c r="AJ12" s="49" t="s">
        <v>357</v>
      </c>
      <c r="AK12" s="49" t="s">
        <v>357</v>
      </c>
      <c r="AL12" s="49" t="s">
        <v>357</v>
      </c>
      <c r="AM12" s="39" t="s">
        <v>357</v>
      </c>
      <c r="AN12" s="39" t="s">
        <v>357</v>
      </c>
      <c r="AO12" s="39" t="s">
        <v>357</v>
      </c>
      <c r="AP12" s="39" t="s">
        <v>357</v>
      </c>
      <c r="AQ12" s="39" t="s">
        <v>357</v>
      </c>
      <c r="AR12" s="39" t="s">
        <v>357</v>
      </c>
      <c r="AS12" s="39" t="s">
        <v>357</v>
      </c>
      <c r="AT12" s="50" t="s">
        <v>357</v>
      </c>
      <c r="AU12" s="50" t="s">
        <v>357</v>
      </c>
      <c r="AV12" s="49" t="s">
        <v>357</v>
      </c>
      <c r="AW12" s="49" t="s">
        <v>357</v>
      </c>
      <c r="AX12" s="49" t="s">
        <v>357</v>
      </c>
      <c r="AY12" s="49" t="s">
        <v>357</v>
      </c>
      <c r="AZ12" s="49" t="s">
        <v>357</v>
      </c>
      <c r="BA12" s="32" t="s">
        <v>357</v>
      </c>
      <c r="BB12" s="32" t="s">
        <v>357</v>
      </c>
      <c r="BC12" s="50" t="s">
        <v>357</v>
      </c>
      <c r="BD12" s="50" t="s">
        <v>357</v>
      </c>
      <c r="BE12" s="39" t="s">
        <v>357</v>
      </c>
      <c r="BF12" s="39" t="s">
        <v>357</v>
      </c>
      <c r="BG12" s="39" t="s">
        <v>357</v>
      </c>
      <c r="BH12" s="39" t="s">
        <v>357</v>
      </c>
      <c r="BI12" s="39" t="s">
        <v>357</v>
      </c>
      <c r="BJ12" s="39" t="s">
        <v>357</v>
      </c>
      <c r="BK12" s="41" t="s">
        <v>357</v>
      </c>
      <c r="BL12" s="41" t="s">
        <v>357</v>
      </c>
      <c r="BM12" s="41"/>
    </row>
    <row r="13">
      <c r="A13" s="18" t="s">
        <v>489</v>
      </c>
      <c r="B13" s="19">
        <v>28.0</v>
      </c>
      <c r="C13" s="18" t="s">
        <v>836</v>
      </c>
      <c r="D13" s="18" t="s">
        <v>705</v>
      </c>
      <c r="E13" s="18" t="s">
        <v>572</v>
      </c>
      <c r="F13" s="18" t="s">
        <v>573</v>
      </c>
      <c r="G13" s="20" t="s">
        <v>357</v>
      </c>
      <c r="H13" s="47" t="s">
        <v>357</v>
      </c>
      <c r="I13" s="83" t="s">
        <v>357</v>
      </c>
      <c r="J13" s="82" t="s">
        <v>208</v>
      </c>
      <c r="K13" s="82" t="s">
        <v>208</v>
      </c>
      <c r="L13" s="82" t="s">
        <v>208</v>
      </c>
      <c r="M13" s="32" t="s">
        <v>357</v>
      </c>
      <c r="N13" s="32" t="s">
        <v>357</v>
      </c>
      <c r="O13" s="32" t="s">
        <v>357</v>
      </c>
      <c r="P13" s="32" t="s">
        <v>357</v>
      </c>
      <c r="Q13" s="32" t="s">
        <v>357</v>
      </c>
      <c r="R13" s="32" t="s">
        <v>357</v>
      </c>
      <c r="S13" s="32" t="s">
        <v>357</v>
      </c>
      <c r="T13" s="32" t="s">
        <v>357</v>
      </c>
      <c r="U13" s="32" t="s">
        <v>357</v>
      </c>
      <c r="V13" s="32" t="s">
        <v>357</v>
      </c>
      <c r="W13" s="32" t="s">
        <v>357</v>
      </c>
      <c r="X13" s="32" t="s">
        <v>357</v>
      </c>
      <c r="Y13" s="32" t="s">
        <v>357</v>
      </c>
      <c r="Z13" s="32" t="s">
        <v>357</v>
      </c>
      <c r="AA13" s="32" t="s">
        <v>357</v>
      </c>
      <c r="AB13" s="49" t="s">
        <v>357</v>
      </c>
      <c r="AC13" s="49" t="s">
        <v>357</v>
      </c>
      <c r="AD13" s="49" t="s">
        <v>357</v>
      </c>
      <c r="AE13" s="49" t="s">
        <v>357</v>
      </c>
      <c r="AF13" s="49" t="s">
        <v>357</v>
      </c>
      <c r="AG13" s="49" t="s">
        <v>357</v>
      </c>
      <c r="AH13" s="49" t="s">
        <v>357</v>
      </c>
      <c r="AI13" s="49" t="s">
        <v>357</v>
      </c>
      <c r="AJ13" s="49" t="s">
        <v>357</v>
      </c>
      <c r="AK13" s="49" t="s">
        <v>357</v>
      </c>
      <c r="AL13" s="49" t="s">
        <v>357</v>
      </c>
      <c r="AM13" s="39" t="s">
        <v>357</v>
      </c>
      <c r="AN13" s="39" t="s">
        <v>357</v>
      </c>
      <c r="AO13" s="39" t="s">
        <v>357</v>
      </c>
      <c r="AP13" s="39" t="s">
        <v>357</v>
      </c>
      <c r="AQ13" s="39" t="s">
        <v>357</v>
      </c>
      <c r="AR13" s="39" t="s">
        <v>357</v>
      </c>
      <c r="AS13" s="39" t="s">
        <v>357</v>
      </c>
      <c r="AT13" s="50" t="s">
        <v>357</v>
      </c>
      <c r="AU13" s="50" t="s">
        <v>357</v>
      </c>
      <c r="AV13" s="49" t="s">
        <v>357</v>
      </c>
      <c r="AW13" s="49" t="s">
        <v>357</v>
      </c>
      <c r="AX13" s="49" t="s">
        <v>357</v>
      </c>
      <c r="AY13" s="49" t="s">
        <v>357</v>
      </c>
      <c r="AZ13" s="49" t="s">
        <v>357</v>
      </c>
      <c r="BA13" s="32" t="s">
        <v>357</v>
      </c>
      <c r="BB13" s="32" t="s">
        <v>357</v>
      </c>
      <c r="BC13" s="50" t="s">
        <v>357</v>
      </c>
      <c r="BD13" s="50" t="s">
        <v>357</v>
      </c>
      <c r="BE13" s="39" t="s">
        <v>357</v>
      </c>
      <c r="BF13" s="39" t="s">
        <v>357</v>
      </c>
      <c r="BG13" s="39" t="s">
        <v>357</v>
      </c>
      <c r="BH13" s="39" t="s">
        <v>357</v>
      </c>
      <c r="BI13" s="39" t="s">
        <v>357</v>
      </c>
      <c r="BJ13" s="39" t="s">
        <v>357</v>
      </c>
      <c r="BK13" s="41" t="s">
        <v>357</v>
      </c>
      <c r="BL13" s="41" t="s">
        <v>357</v>
      </c>
      <c r="BM13" s="41"/>
    </row>
    <row r="14">
      <c r="A14" s="18" t="s">
        <v>536</v>
      </c>
      <c r="B14" s="19">
        <v>17.0</v>
      </c>
      <c r="C14" s="18" t="s">
        <v>732</v>
      </c>
      <c r="D14" s="18" t="s">
        <v>190</v>
      </c>
      <c r="E14" s="18" t="s">
        <v>190</v>
      </c>
      <c r="F14" s="18" t="s">
        <v>192</v>
      </c>
      <c r="G14" s="20" t="s">
        <v>809</v>
      </c>
      <c r="H14" s="22" t="s">
        <v>198</v>
      </c>
      <c r="I14" s="84" t="s">
        <v>37</v>
      </c>
      <c r="J14" s="81" t="s">
        <v>205</v>
      </c>
      <c r="K14" s="81" t="s">
        <v>205</v>
      </c>
      <c r="L14" s="82" t="s">
        <v>208</v>
      </c>
      <c r="M14" s="26">
        <v>6.0</v>
      </c>
      <c r="N14" s="26" t="str">
        <f>IF((M14&gt;=19),"S",IF(AND(M14&lt;19),"R", "NA"))</f>
        <v>R</v>
      </c>
      <c r="O14" s="26">
        <v>23.0</v>
      </c>
      <c r="P14" s="26" t="str">
        <f>IF((O14&gt;=19),"S",IF(AND(O14&lt;19),"R", "NA"))</f>
        <v>S</v>
      </c>
      <c r="Q14" s="26">
        <v>6.0</v>
      </c>
      <c r="R14" s="26" t="str">
        <f>IF((Q14&gt;=23),"S",IF(AND(Q14&lt;23),"R","NA"))</f>
        <v>R</v>
      </c>
      <c r="S14" s="32" t="s">
        <v>357</v>
      </c>
      <c r="T14" s="32" t="s">
        <v>357</v>
      </c>
      <c r="U14" s="26">
        <v>11.0</v>
      </c>
      <c r="V14" s="26" t="str">
        <f>IF((U14&gt;=20),"S",IF(AND(U14&lt;20),"R", "NA"))</f>
        <v>R</v>
      </c>
      <c r="W14" s="26">
        <v>25.0</v>
      </c>
      <c r="X14" s="26" t="str">
        <f>IF((W14&gt;=20),"S",IF(AND(W14&lt;20),"R", "NA"))</f>
        <v>S</v>
      </c>
      <c r="Y14" s="26">
        <v>21.0</v>
      </c>
      <c r="Z14" s="26" t="str">
        <f>IF((Y14&gt;=20),"S",IF(AND(Y14&lt;20,Y14&gt;=17),"I",IF(AND(Y14&lt;17),"R","NA")))</f>
        <v>S</v>
      </c>
      <c r="AA14" s="32" t="s">
        <v>299</v>
      </c>
      <c r="AB14" s="33">
        <v>6.0</v>
      </c>
      <c r="AC14" s="33" t="str">
        <f>IF((AB14&gt;=20),"S",IF(AND(AB14&lt;20,AB14&gt;=17),"I",IF(AND(AB14&lt;17),"R","NA")))</f>
        <v>R</v>
      </c>
      <c r="AD14" s="33">
        <v>26.0</v>
      </c>
      <c r="AE14" s="33" t="str">
        <f>IF((AD14&gt;=18),"S",IF(AND(AD14&lt;18),"R", "NA"))</f>
        <v>S</v>
      </c>
      <c r="AF14" s="33">
        <v>19.0</v>
      </c>
      <c r="AG14" s="33" t="str">
        <f>IF((AF14&gt;=22),"S",IF(AND(AF14&lt;22,AF14&gt;=19),"I",IF(AND(AF14&lt;19),"R","NA")))</f>
        <v>I</v>
      </c>
      <c r="AH14" s="33">
        <v>27.0</v>
      </c>
      <c r="AI14" s="33" t="str">
        <f>IF((AH14&gt;=13),"S",IF(AND(AH14&lt;13),"R", "NA"))</f>
        <v>S</v>
      </c>
      <c r="AJ14" s="33">
        <v>22.0</v>
      </c>
      <c r="AK14" s="33" t="str">
        <f>IF((AJ14&gt;=27),"S",IF(AND(AJ14&lt;27,AJ14&gt;=24),"I",IF(AND(AJ14&lt;24),"R","NA")))</f>
        <v>R</v>
      </c>
      <c r="AL14" s="33" t="s">
        <v>299</v>
      </c>
      <c r="AM14" s="36">
        <v>24.0</v>
      </c>
      <c r="AN14" s="36" t="str">
        <f>IF((AM14&gt;=25),"S",IF(AND(AM14&lt;25,AM14&gt;=22),"I",IF(AND(AM14&lt;22),"R","NA")))</f>
        <v>I</v>
      </c>
      <c r="AO14" s="36">
        <v>22.0</v>
      </c>
      <c r="AP14" s="36" t="str">
        <f>IF((AO14&gt;=23),"S",IF(AND(AO14&lt;23,AO14&gt;=19),"I",IF(AND(AO14&lt;19),"R","NA")))</f>
        <v>I</v>
      </c>
      <c r="AQ14" s="36">
        <v>22.0</v>
      </c>
      <c r="AR14" s="36" t="str">
        <f>IF((AQ14&gt;=14),"S",IF(AND(AQ14&lt;14),"R","NA"))</f>
        <v>S</v>
      </c>
      <c r="AS14" s="36" t="s">
        <v>300</v>
      </c>
      <c r="AT14" s="37">
        <v>32.0</v>
      </c>
      <c r="AU14" s="37" t="str">
        <f>IF((AT14&gt;=14),"S",IF(AND(AT14&lt;14,AT14&gt;=11),"I",IF(AND(AT14&lt;11),"R","NA")))</f>
        <v>S</v>
      </c>
      <c r="AV14" s="33">
        <v>19.0</v>
      </c>
      <c r="AW14" s="33" t="str">
        <f>IF((AV14&gt;=18),"S",IF(AND(AV14&lt;18),"R", "NA"))</f>
        <v>S</v>
      </c>
      <c r="AX14" s="33">
        <v>20.0</v>
      </c>
      <c r="AY14" s="33" t="str">
        <f>IF((AX14&gt;=16),"S",IF(AND(AX14&lt;16),"R", "NA"))</f>
        <v>S</v>
      </c>
      <c r="AZ14" s="33" t="s">
        <v>300</v>
      </c>
      <c r="BA14" s="26">
        <v>23.0</v>
      </c>
      <c r="BB14" s="26" t="str">
        <f>IF((BA14&gt;=20),"S",IF(AND(BA14&lt;20),"R", "NA"))</f>
        <v>S</v>
      </c>
      <c r="BC14" s="37">
        <v>16.0</v>
      </c>
      <c r="BD14" s="37" t="str">
        <f>IF((BC14&gt;=26),"S",IF(AND(BC14&lt;26,BC14&gt;=21),"I",IF(AND(BC14&lt;21),"R","NA")))</f>
        <v>R</v>
      </c>
      <c r="BE14" s="36">
        <v>29.0</v>
      </c>
      <c r="BF14" s="36" t="str">
        <f>IF((BE14&gt;=23),"S",IF(AND(BE14&lt;23),"R","NA"))</f>
        <v>S</v>
      </c>
      <c r="BG14" s="39" t="s">
        <v>357</v>
      </c>
      <c r="BH14" s="39" t="s">
        <v>357</v>
      </c>
      <c r="BI14" s="36">
        <v>29.0</v>
      </c>
      <c r="BJ14" s="36" t="str">
        <f>IF((BI14&gt;=22),"S",IF(AND(BI14&lt;22,BI14&gt;=19),"I",IF(AND(BI14&lt;19),"R","NA")))</f>
        <v>S</v>
      </c>
      <c r="BK14" s="40">
        <v>19.0</v>
      </c>
      <c r="BL14" s="41" t="str">
        <f>IF((BK14&gt;=17),"S",IF(AND(BK14&lt;17),"R", "NA"))</f>
        <v>S</v>
      </c>
      <c r="BM14" s="41"/>
    </row>
    <row r="15">
      <c r="A15" s="18" t="s">
        <v>536</v>
      </c>
      <c r="B15" s="19">
        <v>18.0</v>
      </c>
      <c r="C15" s="18" t="s">
        <v>740</v>
      </c>
      <c r="D15" s="18" t="s">
        <v>190</v>
      </c>
      <c r="E15" s="18" t="s">
        <v>190</v>
      </c>
      <c r="F15" s="18" t="s">
        <v>573</v>
      </c>
      <c r="G15" s="20" t="s">
        <v>357</v>
      </c>
      <c r="H15" s="47" t="s">
        <v>357</v>
      </c>
      <c r="I15" s="83" t="s">
        <v>357</v>
      </c>
      <c r="J15" s="82" t="s">
        <v>208</v>
      </c>
      <c r="K15" s="82" t="s">
        <v>208</v>
      </c>
      <c r="L15" s="82" t="s">
        <v>208</v>
      </c>
      <c r="M15" s="32" t="s">
        <v>357</v>
      </c>
      <c r="N15" s="32" t="s">
        <v>357</v>
      </c>
      <c r="O15" s="32" t="s">
        <v>357</v>
      </c>
      <c r="P15" s="32" t="s">
        <v>357</v>
      </c>
      <c r="Q15" s="32" t="s">
        <v>357</v>
      </c>
      <c r="R15" s="32" t="s">
        <v>357</v>
      </c>
      <c r="S15" s="32" t="s">
        <v>357</v>
      </c>
      <c r="T15" s="32" t="s">
        <v>357</v>
      </c>
      <c r="U15" s="32" t="s">
        <v>357</v>
      </c>
      <c r="V15" s="32" t="s">
        <v>357</v>
      </c>
      <c r="W15" s="32" t="s">
        <v>357</v>
      </c>
      <c r="X15" s="32" t="s">
        <v>357</v>
      </c>
      <c r="Y15" s="32" t="s">
        <v>357</v>
      </c>
      <c r="Z15" s="32" t="s">
        <v>357</v>
      </c>
      <c r="AA15" s="32" t="s">
        <v>357</v>
      </c>
      <c r="AB15" s="49" t="s">
        <v>357</v>
      </c>
      <c r="AC15" s="49" t="s">
        <v>357</v>
      </c>
      <c r="AD15" s="49" t="s">
        <v>357</v>
      </c>
      <c r="AE15" s="49" t="s">
        <v>357</v>
      </c>
      <c r="AF15" s="49" t="s">
        <v>357</v>
      </c>
      <c r="AG15" s="49" t="s">
        <v>357</v>
      </c>
      <c r="AH15" s="49" t="s">
        <v>357</v>
      </c>
      <c r="AI15" s="49" t="s">
        <v>357</v>
      </c>
      <c r="AJ15" s="49" t="s">
        <v>357</v>
      </c>
      <c r="AK15" s="49" t="s">
        <v>357</v>
      </c>
      <c r="AL15" s="49" t="s">
        <v>357</v>
      </c>
      <c r="AM15" s="39" t="s">
        <v>357</v>
      </c>
      <c r="AN15" s="39" t="s">
        <v>357</v>
      </c>
      <c r="AO15" s="39" t="s">
        <v>357</v>
      </c>
      <c r="AP15" s="39" t="s">
        <v>357</v>
      </c>
      <c r="AQ15" s="39" t="s">
        <v>357</v>
      </c>
      <c r="AR15" s="39" t="s">
        <v>357</v>
      </c>
      <c r="AS15" s="39" t="s">
        <v>357</v>
      </c>
      <c r="AT15" s="50" t="s">
        <v>357</v>
      </c>
      <c r="AU15" s="50" t="s">
        <v>357</v>
      </c>
      <c r="AV15" s="49" t="s">
        <v>357</v>
      </c>
      <c r="AW15" s="49" t="s">
        <v>357</v>
      </c>
      <c r="AX15" s="49" t="s">
        <v>357</v>
      </c>
      <c r="AY15" s="49" t="s">
        <v>357</v>
      </c>
      <c r="AZ15" s="49" t="s">
        <v>357</v>
      </c>
      <c r="BA15" s="32" t="s">
        <v>357</v>
      </c>
      <c r="BB15" s="32" t="s">
        <v>357</v>
      </c>
      <c r="BC15" s="50" t="s">
        <v>357</v>
      </c>
      <c r="BD15" s="50" t="s">
        <v>357</v>
      </c>
      <c r="BE15" s="39" t="s">
        <v>357</v>
      </c>
      <c r="BF15" s="39" t="s">
        <v>357</v>
      </c>
      <c r="BG15" s="39" t="s">
        <v>357</v>
      </c>
      <c r="BH15" s="39" t="s">
        <v>357</v>
      </c>
      <c r="BI15" s="39" t="s">
        <v>357</v>
      </c>
      <c r="BJ15" s="39" t="s">
        <v>357</v>
      </c>
      <c r="BK15" s="41" t="s">
        <v>357</v>
      </c>
      <c r="BL15" s="41" t="s">
        <v>357</v>
      </c>
      <c r="BM15" s="41"/>
    </row>
    <row r="16">
      <c r="A16" s="18" t="s">
        <v>536</v>
      </c>
      <c r="B16" s="19">
        <v>19.0</v>
      </c>
      <c r="C16" s="18" t="s">
        <v>751</v>
      </c>
      <c r="D16" s="18" t="s">
        <v>190</v>
      </c>
      <c r="E16" s="18" t="s">
        <v>190</v>
      </c>
      <c r="F16" s="18" t="s">
        <v>573</v>
      </c>
      <c r="G16" s="20" t="s">
        <v>357</v>
      </c>
      <c r="H16" s="47" t="s">
        <v>357</v>
      </c>
      <c r="I16" s="83" t="s">
        <v>357</v>
      </c>
      <c r="J16" s="82" t="s">
        <v>208</v>
      </c>
      <c r="K16" s="82" t="s">
        <v>208</v>
      </c>
      <c r="L16" s="82" t="s">
        <v>208</v>
      </c>
      <c r="M16" s="32" t="s">
        <v>357</v>
      </c>
      <c r="N16" s="32" t="s">
        <v>357</v>
      </c>
      <c r="O16" s="32" t="s">
        <v>357</v>
      </c>
      <c r="P16" s="32" t="s">
        <v>357</v>
      </c>
      <c r="Q16" s="32" t="s">
        <v>357</v>
      </c>
      <c r="R16" s="32" t="s">
        <v>357</v>
      </c>
      <c r="S16" s="32" t="s">
        <v>357</v>
      </c>
      <c r="T16" s="32" t="s">
        <v>357</v>
      </c>
      <c r="U16" s="32" t="s">
        <v>357</v>
      </c>
      <c r="V16" s="32" t="s">
        <v>357</v>
      </c>
      <c r="W16" s="32" t="s">
        <v>357</v>
      </c>
      <c r="X16" s="32" t="s">
        <v>357</v>
      </c>
      <c r="Y16" s="32" t="s">
        <v>357</v>
      </c>
      <c r="Z16" s="32" t="s">
        <v>357</v>
      </c>
      <c r="AA16" s="32" t="s">
        <v>357</v>
      </c>
      <c r="AB16" s="49" t="s">
        <v>357</v>
      </c>
      <c r="AC16" s="49" t="s">
        <v>357</v>
      </c>
      <c r="AD16" s="49" t="s">
        <v>357</v>
      </c>
      <c r="AE16" s="49" t="s">
        <v>357</v>
      </c>
      <c r="AF16" s="49" t="s">
        <v>357</v>
      </c>
      <c r="AG16" s="49" t="s">
        <v>357</v>
      </c>
      <c r="AH16" s="49" t="s">
        <v>357</v>
      </c>
      <c r="AI16" s="49" t="s">
        <v>357</v>
      </c>
      <c r="AJ16" s="49" t="s">
        <v>357</v>
      </c>
      <c r="AK16" s="49" t="s">
        <v>357</v>
      </c>
      <c r="AL16" s="49" t="s">
        <v>357</v>
      </c>
      <c r="AM16" s="39" t="s">
        <v>357</v>
      </c>
      <c r="AN16" s="39" t="s">
        <v>357</v>
      </c>
      <c r="AO16" s="39" t="s">
        <v>357</v>
      </c>
      <c r="AP16" s="39" t="s">
        <v>357</v>
      </c>
      <c r="AQ16" s="39" t="s">
        <v>357</v>
      </c>
      <c r="AR16" s="39" t="s">
        <v>357</v>
      </c>
      <c r="AS16" s="39" t="s">
        <v>357</v>
      </c>
      <c r="AT16" s="50" t="s">
        <v>357</v>
      </c>
      <c r="AU16" s="50" t="s">
        <v>357</v>
      </c>
      <c r="AV16" s="49" t="s">
        <v>357</v>
      </c>
      <c r="AW16" s="49" t="s">
        <v>357</v>
      </c>
      <c r="AX16" s="49" t="s">
        <v>357</v>
      </c>
      <c r="AY16" s="49" t="s">
        <v>357</v>
      </c>
      <c r="AZ16" s="49" t="s">
        <v>357</v>
      </c>
      <c r="BA16" s="32" t="s">
        <v>357</v>
      </c>
      <c r="BB16" s="32" t="s">
        <v>357</v>
      </c>
      <c r="BC16" s="50" t="s">
        <v>357</v>
      </c>
      <c r="BD16" s="50" t="s">
        <v>357</v>
      </c>
      <c r="BE16" s="39" t="s">
        <v>357</v>
      </c>
      <c r="BF16" s="39" t="s">
        <v>357</v>
      </c>
      <c r="BG16" s="39" t="s">
        <v>357</v>
      </c>
      <c r="BH16" s="39" t="s">
        <v>357</v>
      </c>
      <c r="BI16" s="39" t="s">
        <v>357</v>
      </c>
      <c r="BJ16" s="39" t="s">
        <v>357</v>
      </c>
      <c r="BK16" s="41" t="s">
        <v>357</v>
      </c>
      <c r="BL16" s="41" t="s">
        <v>357</v>
      </c>
      <c r="BM16" s="41"/>
    </row>
    <row r="17">
      <c r="A17" s="18" t="s">
        <v>536</v>
      </c>
      <c r="B17" s="19">
        <v>20.0</v>
      </c>
      <c r="C17" s="18" t="s">
        <v>404</v>
      </c>
      <c r="D17" s="18" t="s">
        <v>571</v>
      </c>
      <c r="E17" s="18" t="s">
        <v>572</v>
      </c>
      <c r="F17" s="18" t="s">
        <v>573</v>
      </c>
      <c r="G17" s="20" t="s">
        <v>357</v>
      </c>
      <c r="H17" s="47" t="s">
        <v>357</v>
      </c>
      <c r="I17" s="83" t="s">
        <v>357</v>
      </c>
      <c r="J17" s="82" t="s">
        <v>208</v>
      </c>
      <c r="K17" s="82" t="s">
        <v>208</v>
      </c>
      <c r="L17" s="82" t="s">
        <v>208</v>
      </c>
      <c r="M17" s="32" t="s">
        <v>357</v>
      </c>
      <c r="N17" s="32" t="s">
        <v>357</v>
      </c>
      <c r="O17" s="32" t="s">
        <v>357</v>
      </c>
      <c r="P17" s="32" t="s">
        <v>357</v>
      </c>
      <c r="Q17" s="32" t="s">
        <v>357</v>
      </c>
      <c r="R17" s="32" t="s">
        <v>357</v>
      </c>
      <c r="S17" s="32" t="s">
        <v>357</v>
      </c>
      <c r="T17" s="32" t="s">
        <v>357</v>
      </c>
      <c r="U17" s="32" t="s">
        <v>357</v>
      </c>
      <c r="V17" s="32" t="s">
        <v>357</v>
      </c>
      <c r="W17" s="32" t="s">
        <v>357</v>
      </c>
      <c r="X17" s="32" t="s">
        <v>357</v>
      </c>
      <c r="Y17" s="32" t="s">
        <v>357</v>
      </c>
      <c r="Z17" s="32" t="s">
        <v>357</v>
      </c>
      <c r="AA17" s="32" t="s">
        <v>357</v>
      </c>
      <c r="AB17" s="49" t="s">
        <v>357</v>
      </c>
      <c r="AC17" s="49" t="s">
        <v>357</v>
      </c>
      <c r="AD17" s="49" t="s">
        <v>357</v>
      </c>
      <c r="AE17" s="49" t="s">
        <v>357</v>
      </c>
      <c r="AF17" s="49" t="s">
        <v>357</v>
      </c>
      <c r="AG17" s="49" t="s">
        <v>357</v>
      </c>
      <c r="AH17" s="49" t="s">
        <v>357</v>
      </c>
      <c r="AI17" s="49" t="s">
        <v>357</v>
      </c>
      <c r="AJ17" s="49" t="s">
        <v>357</v>
      </c>
      <c r="AK17" s="49" t="s">
        <v>357</v>
      </c>
      <c r="AL17" s="49" t="s">
        <v>357</v>
      </c>
      <c r="AM17" s="39" t="s">
        <v>357</v>
      </c>
      <c r="AN17" s="39" t="s">
        <v>357</v>
      </c>
      <c r="AO17" s="39" t="s">
        <v>357</v>
      </c>
      <c r="AP17" s="39" t="s">
        <v>357</v>
      </c>
      <c r="AQ17" s="39" t="s">
        <v>357</v>
      </c>
      <c r="AR17" s="39" t="s">
        <v>357</v>
      </c>
      <c r="AS17" s="39" t="s">
        <v>357</v>
      </c>
      <c r="AT17" s="50" t="s">
        <v>357</v>
      </c>
      <c r="AU17" s="50" t="s">
        <v>357</v>
      </c>
      <c r="AV17" s="49" t="s">
        <v>357</v>
      </c>
      <c r="AW17" s="49" t="s">
        <v>357</v>
      </c>
      <c r="AX17" s="49" t="s">
        <v>357</v>
      </c>
      <c r="AY17" s="49" t="s">
        <v>357</v>
      </c>
      <c r="AZ17" s="49" t="s">
        <v>357</v>
      </c>
      <c r="BA17" s="32" t="s">
        <v>357</v>
      </c>
      <c r="BB17" s="32" t="s">
        <v>357</v>
      </c>
      <c r="BC17" s="50" t="s">
        <v>357</v>
      </c>
      <c r="BD17" s="50" t="s">
        <v>357</v>
      </c>
      <c r="BE17" s="39" t="s">
        <v>357</v>
      </c>
      <c r="BF17" s="39" t="s">
        <v>357</v>
      </c>
      <c r="BG17" s="39" t="s">
        <v>357</v>
      </c>
      <c r="BH17" s="39" t="s">
        <v>357</v>
      </c>
      <c r="BI17" s="39" t="s">
        <v>357</v>
      </c>
      <c r="BJ17" s="39" t="s">
        <v>357</v>
      </c>
      <c r="BK17" s="41" t="s">
        <v>357</v>
      </c>
      <c r="BL17" s="41" t="s">
        <v>357</v>
      </c>
      <c r="BM17" s="41"/>
    </row>
    <row r="18">
      <c r="A18" s="18" t="s">
        <v>536</v>
      </c>
      <c r="B18" s="19">
        <v>21.0</v>
      </c>
      <c r="C18" s="18" t="s">
        <v>445</v>
      </c>
      <c r="D18" s="18" t="s">
        <v>827</v>
      </c>
      <c r="E18" s="18" t="s">
        <v>572</v>
      </c>
      <c r="F18" s="18" t="s">
        <v>192</v>
      </c>
      <c r="G18" s="20" t="s">
        <v>828</v>
      </c>
      <c r="H18" s="52" t="s">
        <v>829</v>
      </c>
      <c r="I18" s="80" t="s">
        <v>1011</v>
      </c>
      <c r="J18" s="82" t="s">
        <v>208</v>
      </c>
      <c r="K18" s="82" t="s">
        <v>208</v>
      </c>
      <c r="L18" s="81" t="s">
        <v>208</v>
      </c>
      <c r="M18" s="26">
        <v>6.0</v>
      </c>
      <c r="N18" s="26" t="str">
        <f>IF((M18&gt;=19),"S",IF(AND(M18&lt;19),"R", "NA"))</f>
        <v>R</v>
      </c>
      <c r="O18" s="26">
        <v>18.0</v>
      </c>
      <c r="P18" s="26" t="str">
        <f>IF((O18&gt;=19),"S",IF(AND(O18&lt;19),"R", "NA"))</f>
        <v>R</v>
      </c>
      <c r="Q18" s="26">
        <v>6.0</v>
      </c>
      <c r="R18" s="26" t="str">
        <f>IF((Q18&gt;=23),"S",IF(AND(Q18&lt;23),"R","NA"))</f>
        <v>R</v>
      </c>
      <c r="S18" s="32" t="s">
        <v>357</v>
      </c>
      <c r="T18" s="32" t="s">
        <v>357</v>
      </c>
      <c r="U18" s="26">
        <v>26.0</v>
      </c>
      <c r="V18" s="26" t="str">
        <f>IF((U18&gt;=20),"S",IF(AND(U18&lt;20),"R", "NA"))</f>
        <v>S</v>
      </c>
      <c r="W18" s="26">
        <v>30.0</v>
      </c>
      <c r="X18" s="26" t="str">
        <f>IF((W18&gt;=20),"S",IF(AND(W18&lt;20),"R", "NA"))</f>
        <v>S</v>
      </c>
      <c r="Y18" s="26">
        <v>30.0</v>
      </c>
      <c r="Z18" s="26" t="str">
        <f>IF((Y18&gt;=20),"S",IF(AND(Y18&lt;20,Y18&gt;=17),"I",IF(AND(Y18&lt;17),"R","NA")))</f>
        <v>S</v>
      </c>
      <c r="AA18" s="32" t="s">
        <v>299</v>
      </c>
      <c r="AB18" s="33">
        <v>26.0</v>
      </c>
      <c r="AC18" s="33" t="str">
        <f>IF((AB18&gt;=20),"S",IF(AND(AB18&lt;20,AB18&gt;=17),"I",IF(AND(AB18&lt;17),"R","NA")))</f>
        <v>S</v>
      </c>
      <c r="AD18" s="33">
        <v>25.0</v>
      </c>
      <c r="AE18" s="33" t="str">
        <f>IF((AD18&gt;=18),"S",IF(AND(AD18&lt;18),"R", "NA"))</f>
        <v>S</v>
      </c>
      <c r="AF18" s="33">
        <v>32.0</v>
      </c>
      <c r="AG18" s="33" t="str">
        <f>IF((AF18&gt;=22),"S",IF(AND(AF18&lt;22,AF18&gt;=19),"I",IF(AND(AF18&lt;19),"R","NA")))</f>
        <v>S</v>
      </c>
      <c r="AH18" s="33">
        <v>31.0</v>
      </c>
      <c r="AI18" s="33" t="str">
        <f>IF((AH18&gt;=13),"S",IF(AND(AH18&lt;13),"R", "NA"))</f>
        <v>S</v>
      </c>
      <c r="AJ18" s="33">
        <v>40.0</v>
      </c>
      <c r="AK18" s="33" t="str">
        <f>IF((AJ18&gt;=27),"S",IF(AND(AJ18&lt;27,AJ18&gt;=24),"I",IF(AND(AJ18&lt;24),"R","NA")))</f>
        <v>S</v>
      </c>
      <c r="AL18" s="33" t="s">
        <v>300</v>
      </c>
      <c r="AM18" s="36">
        <v>33.0</v>
      </c>
      <c r="AN18" s="36" t="str">
        <f>IF((AM18&gt;=25),"S",IF(AND(AM18&lt;25,AM18&gt;=22),"I",IF(AND(AM18&lt;22),"R","NA")))</f>
        <v>S</v>
      </c>
      <c r="AO18" s="36">
        <v>30.0</v>
      </c>
      <c r="AP18" s="36" t="str">
        <f>IF((AO18&gt;=23),"S",IF(AND(AO18&lt;23,AO18&gt;=19),"I",IF(AND(AO18&lt;19),"R","NA")))</f>
        <v>S</v>
      </c>
      <c r="AQ18" s="36">
        <v>25.0</v>
      </c>
      <c r="AR18" s="36" t="str">
        <f>IF((AQ18&gt;=14),"S",IF(AND(AQ18&lt;14),"R","NA"))</f>
        <v>S</v>
      </c>
      <c r="AS18" s="36" t="s">
        <v>300</v>
      </c>
      <c r="AT18" s="37">
        <v>34.0</v>
      </c>
      <c r="AU18" s="37" t="str">
        <f>IF((AT18&gt;=14),"S",IF(AND(AT18&lt;14,AT18&gt;=11),"I",IF(AND(AT18&lt;11),"R","NA")))</f>
        <v>S</v>
      </c>
      <c r="AV18" s="33">
        <v>23.0</v>
      </c>
      <c r="AW18" s="33" t="str">
        <f>IF((AV18&gt;=18),"S",IF(AND(AV18&lt;18),"R", "NA"))</f>
        <v>S</v>
      </c>
      <c r="AX18" s="33">
        <v>22.0</v>
      </c>
      <c r="AY18" s="33" t="str">
        <f>IF((AX18&gt;=16),"S",IF(AND(AX18&lt;16),"R", "NA"))</f>
        <v>S</v>
      </c>
      <c r="AZ18" s="33" t="s">
        <v>300</v>
      </c>
      <c r="BA18" s="26">
        <v>18.0</v>
      </c>
      <c r="BB18" s="26" t="str">
        <f>IF((BA18&gt;=20),"S",IF(AND(BA18&lt;20),"R", "NA"))</f>
        <v>R</v>
      </c>
      <c r="BC18" s="37">
        <v>27.0</v>
      </c>
      <c r="BD18" s="37" t="str">
        <f>IF((BC18&gt;=26),"S",IF(AND(BC18&lt;26,BC18&gt;=21),"I",IF(AND(BC18&lt;21),"R","NA")))</f>
        <v>S</v>
      </c>
      <c r="BE18" s="36">
        <v>36.0</v>
      </c>
      <c r="BF18" s="36" t="str">
        <f>IF((BE18&gt;=23),"S",IF(AND(BE18&lt;23),"R","NA"))</f>
        <v>S</v>
      </c>
      <c r="BG18" s="39" t="s">
        <v>357</v>
      </c>
      <c r="BH18" s="39" t="s">
        <v>357</v>
      </c>
      <c r="BI18" s="36">
        <v>32.0</v>
      </c>
      <c r="BJ18" s="36" t="str">
        <f>IF((BI18&gt;=22),"S",IF(AND(BI18&lt;22,BI18&gt;=19),"I",IF(AND(BI18&lt;19),"R","NA")))</f>
        <v>S</v>
      </c>
      <c r="BK18" s="40">
        <v>23.0</v>
      </c>
      <c r="BL18" s="41" t="str">
        <f>IF((BK18&gt;=17),"S",IF(AND(BK18&lt;17),"R", "NA"))</f>
        <v>S</v>
      </c>
      <c r="BM18" s="41"/>
    </row>
    <row r="19">
      <c r="A19" s="18" t="s">
        <v>536</v>
      </c>
      <c r="B19" s="19">
        <v>22.0</v>
      </c>
      <c r="C19" s="18" t="s">
        <v>779</v>
      </c>
      <c r="D19" s="18" t="s">
        <v>705</v>
      </c>
      <c r="E19" s="18" t="s">
        <v>572</v>
      </c>
      <c r="F19" s="18" t="s">
        <v>573</v>
      </c>
      <c r="G19" s="20" t="s">
        <v>357</v>
      </c>
      <c r="H19" s="47" t="s">
        <v>357</v>
      </c>
      <c r="I19" s="83" t="s">
        <v>357</v>
      </c>
      <c r="J19" s="82" t="s">
        <v>208</v>
      </c>
      <c r="K19" s="82" t="s">
        <v>208</v>
      </c>
      <c r="L19" s="82" t="s">
        <v>208</v>
      </c>
      <c r="M19" s="32" t="s">
        <v>357</v>
      </c>
      <c r="N19" s="32" t="s">
        <v>357</v>
      </c>
      <c r="O19" s="32" t="s">
        <v>357</v>
      </c>
      <c r="P19" s="32" t="s">
        <v>357</v>
      </c>
      <c r="Q19" s="32" t="s">
        <v>357</v>
      </c>
      <c r="R19" s="32" t="s">
        <v>357</v>
      </c>
      <c r="S19" s="32" t="s">
        <v>357</v>
      </c>
      <c r="T19" s="32" t="s">
        <v>357</v>
      </c>
      <c r="U19" s="32" t="s">
        <v>357</v>
      </c>
      <c r="V19" s="32" t="s">
        <v>357</v>
      </c>
      <c r="W19" s="32" t="s">
        <v>357</v>
      </c>
      <c r="X19" s="32" t="s">
        <v>357</v>
      </c>
      <c r="Y19" s="32" t="s">
        <v>357</v>
      </c>
      <c r="Z19" s="32" t="s">
        <v>357</v>
      </c>
      <c r="AA19" s="32" t="s">
        <v>357</v>
      </c>
      <c r="AB19" s="49" t="s">
        <v>357</v>
      </c>
      <c r="AC19" s="49" t="s">
        <v>357</v>
      </c>
      <c r="AD19" s="49" t="s">
        <v>357</v>
      </c>
      <c r="AE19" s="49" t="s">
        <v>357</v>
      </c>
      <c r="AF19" s="49" t="s">
        <v>357</v>
      </c>
      <c r="AG19" s="49" t="s">
        <v>357</v>
      </c>
      <c r="AH19" s="49" t="s">
        <v>357</v>
      </c>
      <c r="AI19" s="49" t="s">
        <v>357</v>
      </c>
      <c r="AJ19" s="49" t="s">
        <v>357</v>
      </c>
      <c r="AK19" s="49" t="s">
        <v>357</v>
      </c>
      <c r="AL19" s="49" t="s">
        <v>357</v>
      </c>
      <c r="AM19" s="39" t="s">
        <v>357</v>
      </c>
      <c r="AN19" s="39" t="s">
        <v>357</v>
      </c>
      <c r="AO19" s="39" t="s">
        <v>357</v>
      </c>
      <c r="AP19" s="39" t="s">
        <v>357</v>
      </c>
      <c r="AQ19" s="39" t="s">
        <v>357</v>
      </c>
      <c r="AR19" s="39" t="s">
        <v>357</v>
      </c>
      <c r="AS19" s="39" t="s">
        <v>357</v>
      </c>
      <c r="AT19" s="50" t="s">
        <v>357</v>
      </c>
      <c r="AU19" s="50" t="s">
        <v>357</v>
      </c>
      <c r="AV19" s="49" t="s">
        <v>357</v>
      </c>
      <c r="AW19" s="49" t="s">
        <v>357</v>
      </c>
      <c r="AX19" s="49" t="s">
        <v>357</v>
      </c>
      <c r="AY19" s="49" t="s">
        <v>357</v>
      </c>
      <c r="AZ19" s="49" t="s">
        <v>357</v>
      </c>
      <c r="BA19" s="32" t="s">
        <v>357</v>
      </c>
      <c r="BB19" s="32" t="s">
        <v>357</v>
      </c>
      <c r="BC19" s="50" t="s">
        <v>357</v>
      </c>
      <c r="BD19" s="50" t="s">
        <v>357</v>
      </c>
      <c r="BE19" s="39" t="s">
        <v>357</v>
      </c>
      <c r="BF19" s="39" t="s">
        <v>357</v>
      </c>
      <c r="BG19" s="39" t="s">
        <v>357</v>
      </c>
      <c r="BH19" s="39" t="s">
        <v>357</v>
      </c>
      <c r="BI19" s="39" t="s">
        <v>357</v>
      </c>
      <c r="BJ19" s="39" t="s">
        <v>357</v>
      </c>
      <c r="BK19" s="41" t="s">
        <v>357</v>
      </c>
      <c r="BL19" s="41" t="s">
        <v>357</v>
      </c>
      <c r="BM19" s="41"/>
    </row>
    <row r="20">
      <c r="A20" s="18" t="s">
        <v>536</v>
      </c>
      <c r="B20" s="19">
        <v>23.0</v>
      </c>
      <c r="C20" s="18" t="s">
        <v>787</v>
      </c>
      <c r="D20" s="18" t="s">
        <v>853</v>
      </c>
      <c r="E20" s="18" t="s">
        <v>103</v>
      </c>
      <c r="F20" s="18" t="s">
        <v>192</v>
      </c>
      <c r="G20" s="20" t="s">
        <v>854</v>
      </c>
      <c r="H20" s="22" t="s">
        <v>198</v>
      </c>
      <c r="I20" s="80" t="s">
        <v>481</v>
      </c>
      <c r="J20" s="81" t="s">
        <v>205</v>
      </c>
      <c r="K20" s="82" t="s">
        <v>208</v>
      </c>
      <c r="L20" s="81" t="s">
        <v>208</v>
      </c>
      <c r="M20" s="26">
        <v>6.0</v>
      </c>
      <c r="N20" s="26" t="str">
        <f t="shared" ref="N20:N28" si="45">IF((M20&gt;=19),"S",IF(AND(M20&lt;19),"R", "NA"))</f>
        <v>R</v>
      </c>
      <c r="O20" s="26">
        <v>23.0</v>
      </c>
      <c r="P20" s="26" t="str">
        <f t="shared" ref="P20:P28" si="46">IF((O20&gt;=19),"S",IF(AND(O20&lt;19),"R", "NA"))</f>
        <v>S</v>
      </c>
      <c r="Q20" s="26">
        <v>6.0</v>
      </c>
      <c r="R20" s="26" t="str">
        <f t="shared" ref="R20:R28" si="47">IF((Q20&gt;=23),"S",IF(AND(Q20&lt;23),"R","NA"))</f>
        <v>R</v>
      </c>
      <c r="S20" s="32" t="s">
        <v>357</v>
      </c>
      <c r="T20" s="32" t="s">
        <v>357</v>
      </c>
      <c r="U20" s="26">
        <v>22.0</v>
      </c>
      <c r="V20" s="26" t="str">
        <f t="shared" ref="V20:V28" si="48">IF((U20&gt;=20),"S",IF(AND(U20&lt;20),"R", "NA"))</f>
        <v>S</v>
      </c>
      <c r="W20" s="26">
        <v>24.0</v>
      </c>
      <c r="X20" s="26" t="str">
        <f t="shared" ref="X20:X28" si="49">IF((W20&gt;=20),"S",IF(AND(W20&lt;20),"R", "NA"))</f>
        <v>S</v>
      </c>
      <c r="Y20" s="26">
        <v>25.0</v>
      </c>
      <c r="Z20" s="26" t="str">
        <f t="shared" ref="Z20:Z28" si="50">IF((Y20&gt;=20),"S",IF(AND(Y20&lt;20,Y20&gt;=17),"I",IF(AND(Y20&lt;17),"R","NA")))</f>
        <v>S</v>
      </c>
      <c r="AA20" s="32" t="s">
        <v>299</v>
      </c>
      <c r="AB20" s="33">
        <v>18.0</v>
      </c>
      <c r="AC20" s="33" t="str">
        <f t="shared" ref="AC20:AC28" si="51">IF((AB20&gt;=20),"S",IF(AND(AB20&lt;20,AB20&gt;=17),"I",IF(AND(AB20&lt;17),"R","NA")))</f>
        <v>I</v>
      </c>
      <c r="AD20" s="33">
        <v>28.0</v>
      </c>
      <c r="AE20" s="33" t="str">
        <f t="shared" ref="AE20:AE28" si="52">IF((AD20&gt;=18),"S",IF(AND(AD20&lt;18),"R", "NA"))</f>
        <v>S</v>
      </c>
      <c r="AF20" s="33">
        <v>18.0</v>
      </c>
      <c r="AG20" s="33" t="str">
        <f t="shared" ref="AG20:AG28" si="53">IF((AF20&gt;=22),"S",IF(AND(AF20&lt;22,AF20&gt;=19),"I",IF(AND(AF20&lt;19),"R","NA")))</f>
        <v>R</v>
      </c>
      <c r="AH20" s="33">
        <v>28.0</v>
      </c>
      <c r="AI20" s="33" t="str">
        <f t="shared" ref="AI20:AI28" si="54">IF((AH20&gt;=13),"S",IF(AND(AH20&lt;13),"R", "NA"))</f>
        <v>S</v>
      </c>
      <c r="AJ20" s="33">
        <v>30.0</v>
      </c>
      <c r="AK20" s="33" t="str">
        <f t="shared" ref="AK20:AK28" si="55">IF((AJ20&gt;=27),"S",IF(AND(AJ20&lt;27,AJ20&gt;=24),"I",IF(AND(AJ20&lt;24),"R","NA")))</f>
        <v>S</v>
      </c>
      <c r="AL20" s="33" t="s">
        <v>299</v>
      </c>
      <c r="AM20" s="36">
        <v>23.0</v>
      </c>
      <c r="AN20" s="36" t="str">
        <f t="shared" ref="AN20:AN28" si="56">IF((AM20&gt;=25),"S",IF(AND(AM20&lt;25,AM20&gt;=22),"I",IF(AND(AM20&lt;22),"R","NA")))</f>
        <v>I</v>
      </c>
      <c r="AO20" s="36">
        <v>22.0</v>
      </c>
      <c r="AP20" s="36" t="str">
        <f t="shared" ref="AP20:AP28" si="57">IF((AO20&gt;=23),"S",IF(AND(AO20&lt;23,AO20&gt;=19),"I",IF(AND(AO20&lt;19),"R","NA")))</f>
        <v>I</v>
      </c>
      <c r="AQ20" s="36">
        <v>23.0</v>
      </c>
      <c r="AR20" s="36" t="str">
        <f t="shared" ref="AR20:AR28" si="58">IF((AQ20&gt;=14),"S",IF(AND(AQ20&lt;14),"R","NA"))</f>
        <v>S</v>
      </c>
      <c r="AS20" s="36" t="s">
        <v>300</v>
      </c>
      <c r="AT20" s="37">
        <v>6.0</v>
      </c>
      <c r="AU20" s="37" t="str">
        <f t="shared" ref="AU20:AU28" si="59">IF((AT20&gt;=14),"S",IF(AND(AT20&lt;14,AT20&gt;=11),"I",IF(AND(AT20&lt;11),"R","NA")))</f>
        <v>R</v>
      </c>
      <c r="AV20" s="33">
        <v>19.0</v>
      </c>
      <c r="AW20" s="33" t="str">
        <f t="shared" ref="AW20:AW28" si="60">IF((AV20&gt;=18),"S",IF(AND(AV20&lt;18),"R", "NA"))</f>
        <v>S</v>
      </c>
      <c r="AX20" s="33">
        <v>20.0</v>
      </c>
      <c r="AY20" s="33" t="str">
        <f t="shared" ref="AY20:AY28" si="61">IF((AX20&gt;=16),"S",IF(AND(AX20&lt;16),"R", "NA"))</f>
        <v>S</v>
      </c>
      <c r="AZ20" s="33" t="s">
        <v>300</v>
      </c>
      <c r="BA20" s="26">
        <v>19.0</v>
      </c>
      <c r="BB20" s="26" t="str">
        <f t="shared" ref="BB20:BB28" si="62">IF((BA20&gt;=20),"S",IF(AND(BA20&lt;20),"R", "NA"))</f>
        <v>R</v>
      </c>
      <c r="BC20" s="37">
        <v>19.0</v>
      </c>
      <c r="BD20" s="37" t="str">
        <f t="shared" ref="BD20:BD28" si="63">IF((BC20&gt;=26),"S",IF(AND(BC20&lt;26,BC20&gt;=21),"I",IF(AND(BC20&lt;21),"R","NA")))</f>
        <v>R</v>
      </c>
      <c r="BE20" s="36">
        <v>34.0</v>
      </c>
      <c r="BF20" s="36" t="str">
        <f t="shared" ref="BF20:BF28" si="64">IF((BE20&gt;=23),"S",IF(AND(BE20&lt;23),"R","NA"))</f>
        <v>S</v>
      </c>
      <c r="BG20" s="39" t="s">
        <v>357</v>
      </c>
      <c r="BH20" s="39" t="s">
        <v>357</v>
      </c>
      <c r="BI20" s="36">
        <v>28.0</v>
      </c>
      <c r="BJ20" s="36" t="str">
        <f t="shared" ref="BJ20:BJ28" si="65">IF((BI20&gt;=22),"S",IF(AND(BI20&lt;22,BI20&gt;=19),"I",IF(AND(BI20&lt;19),"R","NA")))</f>
        <v>S</v>
      </c>
      <c r="BK20" s="40">
        <v>19.0</v>
      </c>
      <c r="BL20" s="41" t="str">
        <f t="shared" ref="BL20:BL28" si="66">IF((BK20&gt;=17),"S",IF(AND(BK20&lt;17),"R", "NA"))</f>
        <v>S</v>
      </c>
      <c r="BM20" s="41"/>
    </row>
    <row r="21">
      <c r="A21" s="18" t="s">
        <v>536</v>
      </c>
      <c r="B21" s="18" t="s">
        <v>444</v>
      </c>
      <c r="C21" s="18" t="s">
        <v>468</v>
      </c>
      <c r="D21" s="18" t="s">
        <v>853</v>
      </c>
      <c r="E21" s="18" t="s">
        <v>103</v>
      </c>
      <c r="F21" s="18" t="s">
        <v>192</v>
      </c>
      <c r="G21" s="20" t="s">
        <v>873</v>
      </c>
      <c r="H21" s="22" t="s">
        <v>198</v>
      </c>
      <c r="I21" s="80" t="s">
        <v>481</v>
      </c>
      <c r="J21" s="82" t="s">
        <v>205</v>
      </c>
      <c r="K21" s="82" t="s">
        <v>208</v>
      </c>
      <c r="L21" s="81" t="s">
        <v>208</v>
      </c>
      <c r="M21" s="26">
        <v>6.0</v>
      </c>
      <c r="N21" s="26" t="str">
        <f t="shared" si="45"/>
        <v>R</v>
      </c>
      <c r="O21" s="26">
        <v>23.0</v>
      </c>
      <c r="P21" s="26" t="str">
        <f t="shared" si="46"/>
        <v>S</v>
      </c>
      <c r="Q21" s="26">
        <v>6.0</v>
      </c>
      <c r="R21" s="26" t="str">
        <f t="shared" si="47"/>
        <v>R</v>
      </c>
      <c r="S21" s="32" t="s">
        <v>357</v>
      </c>
      <c r="T21" s="32" t="s">
        <v>357</v>
      </c>
      <c r="U21" s="26">
        <v>16.0</v>
      </c>
      <c r="V21" s="26" t="str">
        <f t="shared" si="48"/>
        <v>R</v>
      </c>
      <c r="W21" s="26">
        <v>25.0</v>
      </c>
      <c r="X21" s="26" t="str">
        <f t="shared" si="49"/>
        <v>S</v>
      </c>
      <c r="Y21" s="26">
        <v>25.0</v>
      </c>
      <c r="Z21" s="26" t="str">
        <f t="shared" si="50"/>
        <v>S</v>
      </c>
      <c r="AA21" s="32" t="s">
        <v>299</v>
      </c>
      <c r="AB21" s="33">
        <v>19.0</v>
      </c>
      <c r="AC21" s="33" t="str">
        <f t="shared" si="51"/>
        <v>I</v>
      </c>
      <c r="AD21" s="33">
        <v>29.0</v>
      </c>
      <c r="AE21" s="33" t="str">
        <f t="shared" si="52"/>
        <v>S</v>
      </c>
      <c r="AF21" s="33">
        <v>20.0</v>
      </c>
      <c r="AG21" s="33" t="str">
        <f t="shared" si="53"/>
        <v>I</v>
      </c>
      <c r="AH21" s="33">
        <v>26.0</v>
      </c>
      <c r="AI21" s="33" t="str">
        <f t="shared" si="54"/>
        <v>S</v>
      </c>
      <c r="AJ21" s="33">
        <v>31.0</v>
      </c>
      <c r="AK21" s="33" t="str">
        <f t="shared" si="55"/>
        <v>S</v>
      </c>
      <c r="AL21" s="33" t="s">
        <v>300</v>
      </c>
      <c r="AM21" s="36">
        <v>23.0</v>
      </c>
      <c r="AN21" s="36" t="str">
        <f t="shared" si="56"/>
        <v>I</v>
      </c>
      <c r="AO21" s="36">
        <v>20.0</v>
      </c>
      <c r="AP21" s="36" t="str">
        <f t="shared" si="57"/>
        <v>I</v>
      </c>
      <c r="AQ21" s="36">
        <v>19.0</v>
      </c>
      <c r="AR21" s="36" t="str">
        <f t="shared" si="58"/>
        <v>S</v>
      </c>
      <c r="AS21" s="36" t="s">
        <v>300</v>
      </c>
      <c r="AT21" s="37">
        <v>6.0</v>
      </c>
      <c r="AU21" s="37" t="str">
        <f t="shared" si="59"/>
        <v>R</v>
      </c>
      <c r="AV21" s="33">
        <v>19.0</v>
      </c>
      <c r="AW21" s="33" t="str">
        <f t="shared" si="60"/>
        <v>S</v>
      </c>
      <c r="AX21" s="33">
        <v>19.0</v>
      </c>
      <c r="AY21" s="33" t="str">
        <f t="shared" si="61"/>
        <v>S</v>
      </c>
      <c r="AZ21" s="33" t="s">
        <v>300</v>
      </c>
      <c r="BA21" s="26">
        <v>17.0</v>
      </c>
      <c r="BB21" s="26" t="str">
        <f t="shared" si="62"/>
        <v>R</v>
      </c>
      <c r="BC21" s="37">
        <v>19.0</v>
      </c>
      <c r="BD21" s="37" t="str">
        <f t="shared" si="63"/>
        <v>R</v>
      </c>
      <c r="BE21" s="36">
        <v>32.0</v>
      </c>
      <c r="BF21" s="36" t="str">
        <f t="shared" si="64"/>
        <v>S</v>
      </c>
      <c r="BG21" s="39" t="s">
        <v>357</v>
      </c>
      <c r="BH21" s="39" t="s">
        <v>357</v>
      </c>
      <c r="BI21" s="36">
        <v>30.0</v>
      </c>
      <c r="BJ21" s="36" t="str">
        <f t="shared" si="65"/>
        <v>S</v>
      </c>
      <c r="BK21" s="40">
        <v>18.0</v>
      </c>
      <c r="BL21" s="41" t="str">
        <f t="shared" si="66"/>
        <v>S</v>
      </c>
      <c r="BM21" s="41"/>
    </row>
    <row r="22">
      <c r="A22" s="18" t="s">
        <v>536</v>
      </c>
      <c r="B22" s="19">
        <v>24.0</v>
      </c>
      <c r="C22" s="18" t="s">
        <v>795</v>
      </c>
      <c r="D22" s="18" t="s">
        <v>182</v>
      </c>
      <c r="E22" s="18" t="s">
        <v>103</v>
      </c>
      <c r="F22" s="18" t="s">
        <v>192</v>
      </c>
      <c r="G22" s="20" t="s">
        <v>876</v>
      </c>
      <c r="H22" s="22" t="s">
        <v>198</v>
      </c>
      <c r="I22" s="84" t="s">
        <v>37</v>
      </c>
      <c r="J22" s="81" t="s">
        <v>205</v>
      </c>
      <c r="K22" s="81" t="s">
        <v>205</v>
      </c>
      <c r="L22" s="81" t="s">
        <v>208</v>
      </c>
      <c r="M22" s="26">
        <v>6.0</v>
      </c>
      <c r="N22" s="26" t="str">
        <f t="shared" si="45"/>
        <v>R</v>
      </c>
      <c r="O22" s="26">
        <v>18.0</v>
      </c>
      <c r="P22" s="26" t="str">
        <f t="shared" si="46"/>
        <v>R</v>
      </c>
      <c r="Q22" s="26">
        <v>6.0</v>
      </c>
      <c r="R22" s="26" t="str">
        <f t="shared" si="47"/>
        <v>R</v>
      </c>
      <c r="S22" s="32" t="s">
        <v>357</v>
      </c>
      <c r="T22" s="32" t="s">
        <v>357</v>
      </c>
      <c r="U22" s="26">
        <v>12.0</v>
      </c>
      <c r="V22" s="26" t="str">
        <f t="shared" si="48"/>
        <v>R</v>
      </c>
      <c r="W22" s="26">
        <v>23.0</v>
      </c>
      <c r="X22" s="26" t="str">
        <f t="shared" si="49"/>
        <v>S</v>
      </c>
      <c r="Y22" s="26">
        <v>22.0</v>
      </c>
      <c r="Z22" s="26" t="str">
        <f t="shared" si="50"/>
        <v>S</v>
      </c>
      <c r="AA22" s="32" t="s">
        <v>299</v>
      </c>
      <c r="AB22" s="33">
        <v>6.0</v>
      </c>
      <c r="AC22" s="33" t="str">
        <f t="shared" si="51"/>
        <v>R</v>
      </c>
      <c r="AD22" s="33">
        <v>23.0</v>
      </c>
      <c r="AE22" s="33" t="str">
        <f t="shared" si="52"/>
        <v>S</v>
      </c>
      <c r="AF22" s="33">
        <v>17.0</v>
      </c>
      <c r="AG22" s="33" t="str">
        <f t="shared" si="53"/>
        <v>R</v>
      </c>
      <c r="AH22" s="33">
        <v>28.0</v>
      </c>
      <c r="AI22" s="33" t="str">
        <f t="shared" si="54"/>
        <v>S</v>
      </c>
      <c r="AJ22" s="33">
        <v>22.0</v>
      </c>
      <c r="AK22" s="33" t="str">
        <f t="shared" si="55"/>
        <v>R</v>
      </c>
      <c r="AL22" s="33" t="s">
        <v>299</v>
      </c>
      <c r="AM22" s="36">
        <v>18.0</v>
      </c>
      <c r="AN22" s="36" t="str">
        <f t="shared" si="56"/>
        <v>R</v>
      </c>
      <c r="AO22" s="36">
        <v>16.0</v>
      </c>
      <c r="AP22" s="36" t="str">
        <f t="shared" si="57"/>
        <v>R</v>
      </c>
      <c r="AQ22" s="36">
        <v>10.0</v>
      </c>
      <c r="AR22" s="36" t="str">
        <f t="shared" si="58"/>
        <v>R</v>
      </c>
      <c r="AS22" s="36" t="s">
        <v>299</v>
      </c>
      <c r="AT22" s="37">
        <v>6.0</v>
      </c>
      <c r="AU22" s="37" t="str">
        <f t="shared" si="59"/>
        <v>R</v>
      </c>
      <c r="AV22" s="33">
        <v>21.0</v>
      </c>
      <c r="AW22" s="33" t="str">
        <f t="shared" si="60"/>
        <v>S</v>
      </c>
      <c r="AX22" s="33">
        <v>21.0</v>
      </c>
      <c r="AY22" s="33" t="str">
        <f t="shared" si="61"/>
        <v>S</v>
      </c>
      <c r="AZ22" s="33" t="s">
        <v>300</v>
      </c>
      <c r="BA22" s="26">
        <v>15.0</v>
      </c>
      <c r="BB22" s="26" t="str">
        <f t="shared" si="62"/>
        <v>R</v>
      </c>
      <c r="BC22" s="37">
        <v>18.0</v>
      </c>
      <c r="BD22" s="37" t="str">
        <f t="shared" si="63"/>
        <v>R</v>
      </c>
      <c r="BE22" s="36">
        <v>30.0</v>
      </c>
      <c r="BF22" s="36" t="str">
        <f t="shared" si="64"/>
        <v>S</v>
      </c>
      <c r="BG22" s="39" t="s">
        <v>357</v>
      </c>
      <c r="BH22" s="39" t="s">
        <v>357</v>
      </c>
      <c r="BI22" s="36">
        <v>32.0</v>
      </c>
      <c r="BJ22" s="36" t="str">
        <f t="shared" si="65"/>
        <v>S</v>
      </c>
      <c r="BK22" s="40">
        <v>21.0</v>
      </c>
      <c r="BL22" s="41" t="str">
        <f t="shared" si="66"/>
        <v>S</v>
      </c>
      <c r="BM22" s="41"/>
    </row>
    <row r="23">
      <c r="A23" s="18" t="s">
        <v>536</v>
      </c>
      <c r="B23" s="18" t="s">
        <v>444</v>
      </c>
      <c r="C23" s="18" t="s">
        <v>801</v>
      </c>
      <c r="D23" s="18" t="s">
        <v>182</v>
      </c>
      <c r="E23" s="18" t="s">
        <v>103</v>
      </c>
      <c r="F23" s="18" t="s">
        <v>192</v>
      </c>
      <c r="G23" s="20" t="s">
        <v>880</v>
      </c>
      <c r="H23" s="42" t="s">
        <v>479</v>
      </c>
      <c r="I23" s="84" t="s">
        <v>37</v>
      </c>
      <c r="J23" s="81" t="s">
        <v>205</v>
      </c>
      <c r="K23" s="81" t="s">
        <v>205</v>
      </c>
      <c r="L23" s="81" t="s">
        <v>208</v>
      </c>
      <c r="M23" s="26">
        <v>6.0</v>
      </c>
      <c r="N23" s="26" t="str">
        <f t="shared" si="45"/>
        <v>R</v>
      </c>
      <c r="O23" s="26">
        <v>21.0</v>
      </c>
      <c r="P23" s="26" t="str">
        <f t="shared" si="46"/>
        <v>S</v>
      </c>
      <c r="Q23" s="26">
        <v>6.0</v>
      </c>
      <c r="R23" s="26" t="str">
        <f t="shared" si="47"/>
        <v>R</v>
      </c>
      <c r="S23" s="32" t="s">
        <v>357</v>
      </c>
      <c r="T23" s="32" t="s">
        <v>357</v>
      </c>
      <c r="U23" s="26">
        <v>11.0</v>
      </c>
      <c r="V23" s="26" t="str">
        <f t="shared" si="48"/>
        <v>R</v>
      </c>
      <c r="W23" s="26">
        <v>23.0</v>
      </c>
      <c r="X23" s="26" t="str">
        <f t="shared" si="49"/>
        <v>S</v>
      </c>
      <c r="Y23" s="26">
        <v>26.0</v>
      </c>
      <c r="Z23" s="26" t="str">
        <f t="shared" si="50"/>
        <v>S</v>
      </c>
      <c r="AA23" s="32" t="s">
        <v>299</v>
      </c>
      <c r="AB23" s="33">
        <v>6.0</v>
      </c>
      <c r="AC23" s="33" t="str">
        <f t="shared" si="51"/>
        <v>R</v>
      </c>
      <c r="AD23" s="33">
        <v>25.0</v>
      </c>
      <c r="AE23" s="33" t="str">
        <f t="shared" si="52"/>
        <v>S</v>
      </c>
      <c r="AF23" s="33">
        <v>21.0</v>
      </c>
      <c r="AG23" s="33" t="str">
        <f t="shared" si="53"/>
        <v>I</v>
      </c>
      <c r="AH23" s="33">
        <v>29.0</v>
      </c>
      <c r="AI23" s="33" t="str">
        <f t="shared" si="54"/>
        <v>S</v>
      </c>
      <c r="AJ23" s="33">
        <v>23.0</v>
      </c>
      <c r="AK23" s="33" t="str">
        <f t="shared" si="55"/>
        <v>R</v>
      </c>
      <c r="AL23" s="33" t="s">
        <v>299</v>
      </c>
      <c r="AM23" s="36">
        <v>21.0</v>
      </c>
      <c r="AN23" s="36" t="str">
        <f t="shared" si="56"/>
        <v>R</v>
      </c>
      <c r="AO23" s="36">
        <v>21.0</v>
      </c>
      <c r="AP23" s="36" t="str">
        <f t="shared" si="57"/>
        <v>I</v>
      </c>
      <c r="AQ23" s="36">
        <v>19.0</v>
      </c>
      <c r="AR23" s="36" t="str">
        <f t="shared" si="58"/>
        <v>S</v>
      </c>
      <c r="AS23" s="36" t="s">
        <v>299</v>
      </c>
      <c r="AT23" s="37">
        <v>6.0</v>
      </c>
      <c r="AU23" s="37" t="str">
        <f t="shared" si="59"/>
        <v>R</v>
      </c>
      <c r="AV23" s="33">
        <v>21.0</v>
      </c>
      <c r="AW23" s="33" t="str">
        <f t="shared" si="60"/>
        <v>S</v>
      </c>
      <c r="AX23" s="33">
        <v>22.0</v>
      </c>
      <c r="AY23" s="33" t="str">
        <f t="shared" si="61"/>
        <v>S</v>
      </c>
      <c r="AZ23" s="33" t="s">
        <v>300</v>
      </c>
      <c r="BA23" s="26">
        <v>19.0</v>
      </c>
      <c r="BB23" s="26" t="str">
        <f t="shared" si="62"/>
        <v>R</v>
      </c>
      <c r="BC23" s="37">
        <v>21.0</v>
      </c>
      <c r="BD23" s="37" t="str">
        <f t="shared" si="63"/>
        <v>I</v>
      </c>
      <c r="BE23" s="36">
        <v>29.0</v>
      </c>
      <c r="BF23" s="36" t="str">
        <f t="shared" si="64"/>
        <v>S</v>
      </c>
      <c r="BG23" s="39" t="s">
        <v>357</v>
      </c>
      <c r="BH23" s="39" t="s">
        <v>357</v>
      </c>
      <c r="BI23" s="36">
        <v>30.0</v>
      </c>
      <c r="BJ23" s="36" t="str">
        <f t="shared" si="65"/>
        <v>S</v>
      </c>
      <c r="BK23" s="40">
        <v>21.0</v>
      </c>
      <c r="BL23" s="41" t="str">
        <f t="shared" si="66"/>
        <v>S</v>
      </c>
      <c r="BM23" s="41"/>
    </row>
    <row r="24">
      <c r="A24" s="18" t="s">
        <v>536</v>
      </c>
      <c r="B24" s="18" t="s">
        <v>444</v>
      </c>
      <c r="C24" s="18" t="s">
        <v>496</v>
      </c>
      <c r="D24" s="18" t="s">
        <v>182</v>
      </c>
      <c r="E24" s="18" t="s">
        <v>103</v>
      </c>
      <c r="F24" s="18" t="s">
        <v>192</v>
      </c>
      <c r="G24" s="20" t="s">
        <v>887</v>
      </c>
      <c r="H24" s="22" t="s">
        <v>198</v>
      </c>
      <c r="I24" s="80" t="s">
        <v>816</v>
      </c>
      <c r="J24" s="81" t="s">
        <v>205</v>
      </c>
      <c r="K24" s="81" t="s">
        <v>205</v>
      </c>
      <c r="L24" s="81" t="s">
        <v>205</v>
      </c>
      <c r="M24" s="26">
        <v>6.0</v>
      </c>
      <c r="N24" s="26" t="str">
        <f t="shared" si="45"/>
        <v>R</v>
      </c>
      <c r="O24" s="26">
        <v>11.0</v>
      </c>
      <c r="P24" s="26" t="str">
        <f t="shared" si="46"/>
        <v>R</v>
      </c>
      <c r="Q24" s="26">
        <v>6.0</v>
      </c>
      <c r="R24" s="26" t="str">
        <f t="shared" si="47"/>
        <v>R</v>
      </c>
      <c r="S24" s="32" t="s">
        <v>357</v>
      </c>
      <c r="T24" s="32" t="s">
        <v>357</v>
      </c>
      <c r="U24" s="26">
        <v>6.0</v>
      </c>
      <c r="V24" s="26" t="str">
        <f t="shared" si="48"/>
        <v>R</v>
      </c>
      <c r="W24" s="26">
        <v>6.0</v>
      </c>
      <c r="X24" s="26" t="str">
        <f t="shared" si="49"/>
        <v>R</v>
      </c>
      <c r="Y24" s="26">
        <v>11.0</v>
      </c>
      <c r="Z24" s="26" t="str">
        <f t="shared" si="50"/>
        <v>R</v>
      </c>
      <c r="AA24" s="32" t="s">
        <v>299</v>
      </c>
      <c r="AB24" s="33">
        <v>6.0</v>
      </c>
      <c r="AC24" s="33" t="str">
        <f t="shared" si="51"/>
        <v>R</v>
      </c>
      <c r="AD24" s="33">
        <v>6.0</v>
      </c>
      <c r="AE24" s="33" t="str">
        <f t="shared" si="52"/>
        <v>R</v>
      </c>
      <c r="AF24" s="33">
        <v>6.0</v>
      </c>
      <c r="AG24" s="33" t="str">
        <f t="shared" si="53"/>
        <v>R</v>
      </c>
      <c r="AH24" s="33">
        <v>9.0</v>
      </c>
      <c r="AI24" s="33" t="str">
        <f t="shared" si="54"/>
        <v>R</v>
      </c>
      <c r="AJ24" s="33">
        <v>6.0</v>
      </c>
      <c r="AK24" s="33" t="str">
        <f t="shared" si="55"/>
        <v>R</v>
      </c>
      <c r="AL24" s="33" t="s">
        <v>299</v>
      </c>
      <c r="AM24" s="36">
        <v>6.0</v>
      </c>
      <c r="AN24" s="36" t="str">
        <f t="shared" si="56"/>
        <v>R</v>
      </c>
      <c r="AO24" s="36">
        <v>6.0</v>
      </c>
      <c r="AP24" s="36" t="str">
        <f t="shared" si="57"/>
        <v>R</v>
      </c>
      <c r="AQ24" s="36">
        <v>6.0</v>
      </c>
      <c r="AR24" s="36" t="str">
        <f t="shared" si="58"/>
        <v>R</v>
      </c>
      <c r="AS24" s="36" t="s">
        <v>299</v>
      </c>
      <c r="AT24" s="37">
        <v>6.0</v>
      </c>
      <c r="AU24" s="37" t="str">
        <f t="shared" si="59"/>
        <v>R</v>
      </c>
      <c r="AV24" s="33">
        <v>19.0</v>
      </c>
      <c r="AW24" s="33" t="str">
        <f t="shared" si="60"/>
        <v>S</v>
      </c>
      <c r="AX24" s="33">
        <v>21.0</v>
      </c>
      <c r="AY24" s="33" t="str">
        <f t="shared" si="61"/>
        <v>S</v>
      </c>
      <c r="AZ24" s="33" t="s">
        <v>300</v>
      </c>
      <c r="BA24" s="26">
        <v>18.0</v>
      </c>
      <c r="BB24" s="26" t="str">
        <f t="shared" si="62"/>
        <v>R</v>
      </c>
      <c r="BC24" s="37">
        <v>6.0</v>
      </c>
      <c r="BD24" s="37" t="str">
        <f t="shared" si="63"/>
        <v>R</v>
      </c>
      <c r="BE24" s="36">
        <v>13.0</v>
      </c>
      <c r="BF24" s="36" t="str">
        <f t="shared" si="64"/>
        <v>R</v>
      </c>
      <c r="BG24" s="36">
        <v>1.0</v>
      </c>
      <c r="BH24" s="36" t="str">
        <f>IF((BG24&lt;=0.5),"S",IF(AND(BG24&gt;0.5),"R", "NA"))</f>
        <v>R</v>
      </c>
      <c r="BI24" s="36">
        <v>20.0</v>
      </c>
      <c r="BJ24" s="36" t="str">
        <f t="shared" si="65"/>
        <v>I</v>
      </c>
      <c r="BK24" s="40">
        <v>19.0</v>
      </c>
      <c r="BL24" s="41" t="str">
        <f t="shared" si="66"/>
        <v>S</v>
      </c>
      <c r="BM24" s="41"/>
    </row>
    <row r="25">
      <c r="A25" s="18" t="s">
        <v>536</v>
      </c>
      <c r="B25" s="19">
        <v>25.0</v>
      </c>
      <c r="C25" s="18" t="s">
        <v>811</v>
      </c>
      <c r="D25" s="18" t="s">
        <v>555</v>
      </c>
      <c r="E25" s="18" t="s">
        <v>103</v>
      </c>
      <c r="F25" s="18" t="s">
        <v>192</v>
      </c>
      <c r="G25" s="20" t="s">
        <v>893</v>
      </c>
      <c r="H25" s="22" t="s">
        <v>198</v>
      </c>
      <c r="I25" s="84" t="s">
        <v>37</v>
      </c>
      <c r="J25" s="81" t="s">
        <v>205</v>
      </c>
      <c r="K25" s="81" t="s">
        <v>205</v>
      </c>
      <c r="L25" s="81" t="s">
        <v>208</v>
      </c>
      <c r="M25" s="26">
        <v>6.0</v>
      </c>
      <c r="N25" s="26" t="str">
        <f t="shared" si="45"/>
        <v>R</v>
      </c>
      <c r="O25" s="26">
        <v>26.0</v>
      </c>
      <c r="P25" s="26" t="str">
        <f t="shared" si="46"/>
        <v>S</v>
      </c>
      <c r="Q25" s="26">
        <v>6.0</v>
      </c>
      <c r="R25" s="26" t="str">
        <f t="shared" si="47"/>
        <v>R</v>
      </c>
      <c r="S25" s="32" t="s">
        <v>357</v>
      </c>
      <c r="T25" s="32" t="s">
        <v>357</v>
      </c>
      <c r="U25" s="26">
        <v>14.0</v>
      </c>
      <c r="V25" s="26" t="str">
        <f t="shared" si="48"/>
        <v>R</v>
      </c>
      <c r="W25" s="26">
        <v>29.0</v>
      </c>
      <c r="X25" s="26" t="str">
        <f t="shared" si="49"/>
        <v>S</v>
      </c>
      <c r="Y25" s="26">
        <v>26.0</v>
      </c>
      <c r="Z25" s="26" t="str">
        <f t="shared" si="50"/>
        <v>S</v>
      </c>
      <c r="AA25" s="32" t="s">
        <v>299</v>
      </c>
      <c r="AB25" s="33">
        <v>6.0</v>
      </c>
      <c r="AC25" s="33" t="str">
        <f t="shared" si="51"/>
        <v>R</v>
      </c>
      <c r="AD25" s="33">
        <v>29.0</v>
      </c>
      <c r="AE25" s="33" t="str">
        <f t="shared" si="52"/>
        <v>S</v>
      </c>
      <c r="AF25" s="33">
        <v>21.0</v>
      </c>
      <c r="AG25" s="33" t="str">
        <f t="shared" si="53"/>
        <v>I</v>
      </c>
      <c r="AH25" s="33">
        <v>28.0</v>
      </c>
      <c r="AI25" s="33" t="str">
        <f t="shared" si="54"/>
        <v>S</v>
      </c>
      <c r="AJ25" s="33">
        <v>23.0</v>
      </c>
      <c r="AK25" s="33" t="str">
        <f t="shared" si="55"/>
        <v>R</v>
      </c>
      <c r="AL25" s="33" t="s">
        <v>299</v>
      </c>
      <c r="AM25" s="36">
        <v>25.0</v>
      </c>
      <c r="AN25" s="36" t="str">
        <f t="shared" si="56"/>
        <v>S</v>
      </c>
      <c r="AO25" s="36">
        <v>21.0</v>
      </c>
      <c r="AP25" s="36" t="str">
        <f t="shared" si="57"/>
        <v>I</v>
      </c>
      <c r="AQ25" s="36">
        <v>24.0</v>
      </c>
      <c r="AR25" s="36" t="str">
        <f t="shared" si="58"/>
        <v>S</v>
      </c>
      <c r="AS25" s="36" t="s">
        <v>300</v>
      </c>
      <c r="AT25" s="37">
        <v>32.0</v>
      </c>
      <c r="AU25" s="37" t="str">
        <f t="shared" si="59"/>
        <v>S</v>
      </c>
      <c r="AV25" s="33">
        <v>19.0</v>
      </c>
      <c r="AW25" s="33" t="str">
        <f t="shared" si="60"/>
        <v>S</v>
      </c>
      <c r="AX25" s="33">
        <v>19.0</v>
      </c>
      <c r="AY25" s="33" t="str">
        <f t="shared" si="61"/>
        <v>S</v>
      </c>
      <c r="AZ25" s="33" t="s">
        <v>300</v>
      </c>
      <c r="BA25" s="26">
        <v>22.0</v>
      </c>
      <c r="BB25" s="26" t="str">
        <f t="shared" si="62"/>
        <v>S</v>
      </c>
      <c r="BC25" s="37">
        <v>19.0</v>
      </c>
      <c r="BD25" s="37" t="str">
        <f t="shared" si="63"/>
        <v>R</v>
      </c>
      <c r="BE25" s="36">
        <v>31.0</v>
      </c>
      <c r="BF25" s="36" t="str">
        <f t="shared" si="64"/>
        <v>S</v>
      </c>
      <c r="BG25" s="39" t="s">
        <v>357</v>
      </c>
      <c r="BH25" s="39" t="s">
        <v>357</v>
      </c>
      <c r="BI25" s="36">
        <v>30.0</v>
      </c>
      <c r="BJ25" s="36" t="str">
        <f t="shared" si="65"/>
        <v>S</v>
      </c>
      <c r="BK25" s="40">
        <v>19.0</v>
      </c>
      <c r="BL25" s="41" t="str">
        <f t="shared" si="66"/>
        <v>S</v>
      </c>
      <c r="BM25" s="41"/>
    </row>
    <row r="26">
      <c r="A26" s="18" t="s">
        <v>536</v>
      </c>
      <c r="B26" s="18" t="s">
        <v>444</v>
      </c>
      <c r="C26" s="18" t="s">
        <v>820</v>
      </c>
      <c r="D26" s="18" t="s">
        <v>555</v>
      </c>
      <c r="E26" s="18" t="s">
        <v>103</v>
      </c>
      <c r="F26" s="18" t="s">
        <v>192</v>
      </c>
      <c r="G26" s="20" t="s">
        <v>899</v>
      </c>
      <c r="H26" s="61" t="s">
        <v>900</v>
      </c>
      <c r="I26" s="80" t="s">
        <v>481</v>
      </c>
      <c r="J26" s="82" t="s">
        <v>205</v>
      </c>
      <c r="K26" s="82" t="s">
        <v>208</v>
      </c>
      <c r="L26" s="81" t="s">
        <v>208</v>
      </c>
      <c r="M26" s="26">
        <v>6.0</v>
      </c>
      <c r="N26" s="26" t="str">
        <f t="shared" si="45"/>
        <v>R</v>
      </c>
      <c r="O26" s="26">
        <v>24.0</v>
      </c>
      <c r="P26" s="26" t="str">
        <f t="shared" si="46"/>
        <v>S</v>
      </c>
      <c r="Q26" s="26">
        <v>6.0</v>
      </c>
      <c r="R26" s="26" t="str">
        <f t="shared" si="47"/>
        <v>R</v>
      </c>
      <c r="S26" s="32" t="s">
        <v>357</v>
      </c>
      <c r="T26" s="32" t="s">
        <v>357</v>
      </c>
      <c r="U26" s="26">
        <v>15.0</v>
      </c>
      <c r="V26" s="26" t="str">
        <f t="shared" si="48"/>
        <v>R</v>
      </c>
      <c r="W26" s="26">
        <v>28.0</v>
      </c>
      <c r="X26" s="26" t="str">
        <f t="shared" si="49"/>
        <v>S</v>
      </c>
      <c r="Y26" s="26">
        <v>31.0</v>
      </c>
      <c r="Z26" s="26" t="str">
        <f t="shared" si="50"/>
        <v>S</v>
      </c>
      <c r="AA26" s="32" t="s">
        <v>299</v>
      </c>
      <c r="AB26" s="33">
        <v>10.0</v>
      </c>
      <c r="AC26" s="33" t="str">
        <f t="shared" si="51"/>
        <v>R</v>
      </c>
      <c r="AD26" s="33">
        <v>30.0</v>
      </c>
      <c r="AE26" s="33" t="str">
        <f t="shared" si="52"/>
        <v>S</v>
      </c>
      <c r="AF26" s="33">
        <v>29.0</v>
      </c>
      <c r="AG26" s="33" t="str">
        <f t="shared" si="53"/>
        <v>S</v>
      </c>
      <c r="AH26" s="33">
        <v>32.0</v>
      </c>
      <c r="AI26" s="33" t="str">
        <f t="shared" si="54"/>
        <v>S</v>
      </c>
      <c r="AJ26" s="33">
        <v>28.0</v>
      </c>
      <c r="AK26" s="33" t="str">
        <f t="shared" si="55"/>
        <v>S</v>
      </c>
      <c r="AL26" s="33" t="s">
        <v>299</v>
      </c>
      <c r="AM26" s="36">
        <v>27.0</v>
      </c>
      <c r="AN26" s="36" t="str">
        <f t="shared" si="56"/>
        <v>S</v>
      </c>
      <c r="AO26" s="36">
        <v>27.0</v>
      </c>
      <c r="AP26" s="36" t="str">
        <f t="shared" si="57"/>
        <v>S</v>
      </c>
      <c r="AQ26" s="36">
        <v>25.0</v>
      </c>
      <c r="AR26" s="36" t="str">
        <f t="shared" si="58"/>
        <v>S</v>
      </c>
      <c r="AS26" s="36" t="s">
        <v>300</v>
      </c>
      <c r="AT26" s="37">
        <v>6.0</v>
      </c>
      <c r="AU26" s="37" t="str">
        <f t="shared" si="59"/>
        <v>R</v>
      </c>
      <c r="AV26" s="33">
        <v>20.0</v>
      </c>
      <c r="AW26" s="33" t="str">
        <f t="shared" si="60"/>
        <v>S</v>
      </c>
      <c r="AX26" s="33">
        <v>14.0</v>
      </c>
      <c r="AY26" s="33" t="str">
        <f t="shared" si="61"/>
        <v>R</v>
      </c>
      <c r="AZ26" s="33" t="s">
        <v>299</v>
      </c>
      <c r="BA26" s="26">
        <v>22.0</v>
      </c>
      <c r="BB26" s="26" t="str">
        <f t="shared" si="62"/>
        <v>S</v>
      </c>
      <c r="BC26" s="37">
        <v>28.0</v>
      </c>
      <c r="BD26" s="37" t="str">
        <f t="shared" si="63"/>
        <v>S</v>
      </c>
      <c r="BE26" s="36">
        <v>32.0</v>
      </c>
      <c r="BF26" s="36" t="str">
        <f t="shared" si="64"/>
        <v>S</v>
      </c>
      <c r="BG26" s="39" t="s">
        <v>357</v>
      </c>
      <c r="BH26" s="39" t="s">
        <v>357</v>
      </c>
      <c r="BI26" s="36">
        <v>32.0</v>
      </c>
      <c r="BJ26" s="36" t="str">
        <f t="shared" si="65"/>
        <v>S</v>
      </c>
      <c r="BK26" s="40">
        <v>8.0</v>
      </c>
      <c r="BL26" s="41" t="str">
        <f t="shared" si="66"/>
        <v>R</v>
      </c>
      <c r="BM26" s="41"/>
    </row>
    <row r="27">
      <c r="A27" s="18" t="s">
        <v>582</v>
      </c>
      <c r="B27" s="19">
        <v>29.0</v>
      </c>
      <c r="C27" s="18" t="s">
        <v>847</v>
      </c>
      <c r="D27" s="18" t="s">
        <v>190</v>
      </c>
      <c r="E27" s="18" t="s">
        <v>190</v>
      </c>
      <c r="F27" s="18" t="s">
        <v>192</v>
      </c>
      <c r="G27" s="20" t="s">
        <v>918</v>
      </c>
      <c r="H27" s="22" t="s">
        <v>198</v>
      </c>
      <c r="I27" s="84" t="s">
        <v>37</v>
      </c>
      <c r="J27" s="81" t="s">
        <v>205</v>
      </c>
      <c r="K27" s="81" t="s">
        <v>205</v>
      </c>
      <c r="L27" s="81" t="s">
        <v>208</v>
      </c>
      <c r="M27" s="26">
        <v>6.0</v>
      </c>
      <c r="N27" s="26" t="str">
        <f t="shared" si="45"/>
        <v>R</v>
      </c>
      <c r="O27" s="26">
        <v>15.0</v>
      </c>
      <c r="P27" s="26" t="str">
        <f t="shared" si="46"/>
        <v>R</v>
      </c>
      <c r="Q27" s="26">
        <v>6.0</v>
      </c>
      <c r="R27" s="26" t="str">
        <f t="shared" si="47"/>
        <v>R</v>
      </c>
      <c r="S27" s="32" t="s">
        <v>357</v>
      </c>
      <c r="T27" s="32" t="s">
        <v>357</v>
      </c>
      <c r="U27" s="26">
        <v>6.0</v>
      </c>
      <c r="V27" s="26" t="str">
        <f t="shared" si="48"/>
        <v>R</v>
      </c>
      <c r="W27" s="26">
        <v>16.0</v>
      </c>
      <c r="X27" s="26" t="str">
        <f t="shared" si="49"/>
        <v>R</v>
      </c>
      <c r="Y27" s="26">
        <v>20.0</v>
      </c>
      <c r="Z27" s="26" t="str">
        <f t="shared" si="50"/>
        <v>S</v>
      </c>
      <c r="AA27" s="32" t="s">
        <v>299</v>
      </c>
      <c r="AB27" s="33">
        <v>6.0</v>
      </c>
      <c r="AC27" s="33" t="str">
        <f t="shared" si="51"/>
        <v>R</v>
      </c>
      <c r="AD27" s="33">
        <v>24.0</v>
      </c>
      <c r="AE27" s="33" t="str">
        <f t="shared" si="52"/>
        <v>S</v>
      </c>
      <c r="AF27" s="33">
        <v>16.0</v>
      </c>
      <c r="AG27" s="33" t="str">
        <f t="shared" si="53"/>
        <v>R</v>
      </c>
      <c r="AH27" s="33">
        <v>25.0</v>
      </c>
      <c r="AI27" s="33" t="str">
        <f t="shared" si="54"/>
        <v>S</v>
      </c>
      <c r="AJ27" s="33">
        <v>18.0</v>
      </c>
      <c r="AK27" s="33" t="str">
        <f t="shared" si="55"/>
        <v>R</v>
      </c>
      <c r="AL27" s="33" t="s">
        <v>299</v>
      </c>
      <c r="AM27" s="36">
        <v>6.0</v>
      </c>
      <c r="AN27" s="36" t="str">
        <f t="shared" si="56"/>
        <v>R</v>
      </c>
      <c r="AO27" s="36">
        <v>6.0</v>
      </c>
      <c r="AP27" s="36" t="str">
        <f t="shared" si="57"/>
        <v>R</v>
      </c>
      <c r="AQ27" s="36">
        <v>6.0</v>
      </c>
      <c r="AR27" s="36" t="str">
        <f t="shared" si="58"/>
        <v>R</v>
      </c>
      <c r="AS27" s="36" t="s">
        <v>299</v>
      </c>
      <c r="AT27" s="37">
        <v>6.0</v>
      </c>
      <c r="AU27" s="37" t="str">
        <f t="shared" si="59"/>
        <v>R</v>
      </c>
      <c r="AV27" s="33">
        <v>20.0</v>
      </c>
      <c r="AW27" s="33" t="str">
        <f t="shared" si="60"/>
        <v>S</v>
      </c>
      <c r="AX27" s="33">
        <v>20.0</v>
      </c>
      <c r="AY27" s="33" t="str">
        <f t="shared" si="61"/>
        <v>S</v>
      </c>
      <c r="AZ27" s="33" t="s">
        <v>300</v>
      </c>
      <c r="BA27" s="26">
        <v>8.0</v>
      </c>
      <c r="BB27" s="26" t="str">
        <f t="shared" si="62"/>
        <v>R</v>
      </c>
      <c r="BC27" s="37">
        <v>12.0</v>
      </c>
      <c r="BD27" s="37" t="str">
        <f t="shared" si="63"/>
        <v>R</v>
      </c>
      <c r="BE27" s="36">
        <v>28.0</v>
      </c>
      <c r="BF27" s="36" t="str">
        <f t="shared" si="64"/>
        <v>S</v>
      </c>
      <c r="BG27" s="39" t="s">
        <v>357</v>
      </c>
      <c r="BH27" s="39" t="s">
        <v>357</v>
      </c>
      <c r="BI27" s="36">
        <v>30.0</v>
      </c>
      <c r="BJ27" s="36" t="str">
        <f t="shared" si="65"/>
        <v>S</v>
      </c>
      <c r="BK27" s="40">
        <v>19.0</v>
      </c>
      <c r="BL27" s="41" t="str">
        <f t="shared" si="66"/>
        <v>S</v>
      </c>
      <c r="BM27" s="41"/>
    </row>
    <row r="28">
      <c r="A28" s="18" t="s">
        <v>582</v>
      </c>
      <c r="B28" s="18" t="s">
        <v>444</v>
      </c>
      <c r="C28" s="18" t="s">
        <v>850</v>
      </c>
      <c r="D28" s="18" t="s">
        <v>190</v>
      </c>
      <c r="E28" s="18" t="s">
        <v>190</v>
      </c>
      <c r="F28" s="18" t="s">
        <v>192</v>
      </c>
      <c r="G28" s="20" t="s">
        <v>940</v>
      </c>
      <c r="H28" s="52" t="s">
        <v>581</v>
      </c>
      <c r="I28" s="80" t="s">
        <v>481</v>
      </c>
      <c r="J28" s="81" t="s">
        <v>205</v>
      </c>
      <c r="K28" s="82" t="s">
        <v>208</v>
      </c>
      <c r="L28" s="81" t="s">
        <v>208</v>
      </c>
      <c r="M28" s="26">
        <v>6.0</v>
      </c>
      <c r="N28" s="26" t="str">
        <f t="shared" si="45"/>
        <v>R</v>
      </c>
      <c r="O28" s="26">
        <v>8.0</v>
      </c>
      <c r="P28" s="26" t="str">
        <f t="shared" si="46"/>
        <v>R</v>
      </c>
      <c r="Q28" s="26">
        <v>6.0</v>
      </c>
      <c r="R28" s="26" t="str">
        <f t="shared" si="47"/>
        <v>R</v>
      </c>
      <c r="S28" s="32" t="s">
        <v>357</v>
      </c>
      <c r="T28" s="32" t="s">
        <v>357</v>
      </c>
      <c r="U28" s="26">
        <v>20.0</v>
      </c>
      <c r="V28" s="26" t="str">
        <f t="shared" si="48"/>
        <v>S</v>
      </c>
      <c r="W28" s="26">
        <v>20.0</v>
      </c>
      <c r="X28" s="26" t="str">
        <f t="shared" si="49"/>
        <v>S</v>
      </c>
      <c r="Y28" s="26">
        <v>25.0</v>
      </c>
      <c r="Z28" s="26" t="str">
        <f t="shared" si="50"/>
        <v>S</v>
      </c>
      <c r="AA28" s="32" t="s">
        <v>299</v>
      </c>
      <c r="AB28" s="33">
        <v>16.0</v>
      </c>
      <c r="AC28" s="33" t="str">
        <f t="shared" si="51"/>
        <v>R</v>
      </c>
      <c r="AD28" s="33">
        <v>6.0</v>
      </c>
      <c r="AE28" s="33" t="str">
        <f t="shared" si="52"/>
        <v>R</v>
      </c>
      <c r="AF28" s="33">
        <v>19.0</v>
      </c>
      <c r="AG28" s="33" t="str">
        <f t="shared" si="53"/>
        <v>I</v>
      </c>
      <c r="AH28" s="33">
        <v>27.0</v>
      </c>
      <c r="AI28" s="33" t="str">
        <f t="shared" si="54"/>
        <v>S</v>
      </c>
      <c r="AJ28" s="33">
        <v>30.0</v>
      </c>
      <c r="AK28" s="33" t="str">
        <f t="shared" si="55"/>
        <v>S</v>
      </c>
      <c r="AL28" s="33" t="s">
        <v>299</v>
      </c>
      <c r="AM28" s="36">
        <v>6.0</v>
      </c>
      <c r="AN28" s="36" t="str">
        <f t="shared" si="56"/>
        <v>R</v>
      </c>
      <c r="AO28" s="36">
        <v>12.0</v>
      </c>
      <c r="AP28" s="36" t="str">
        <f t="shared" si="57"/>
        <v>R</v>
      </c>
      <c r="AQ28" s="36">
        <v>6.0</v>
      </c>
      <c r="AR28" s="36" t="str">
        <f t="shared" si="58"/>
        <v>R</v>
      </c>
      <c r="AS28" s="36" t="s">
        <v>299</v>
      </c>
      <c r="AT28" s="37">
        <v>6.0</v>
      </c>
      <c r="AU28" s="37" t="str">
        <f t="shared" si="59"/>
        <v>R</v>
      </c>
      <c r="AV28" s="33">
        <v>20.0</v>
      </c>
      <c r="AW28" s="33" t="str">
        <f t="shared" si="60"/>
        <v>S</v>
      </c>
      <c r="AX28" s="33">
        <v>15.0</v>
      </c>
      <c r="AY28" s="33" t="str">
        <f t="shared" si="61"/>
        <v>R</v>
      </c>
      <c r="AZ28" s="33" t="s">
        <v>299</v>
      </c>
      <c r="BA28" s="26">
        <v>16.0</v>
      </c>
      <c r="BB28" s="26" t="str">
        <f t="shared" si="62"/>
        <v>R</v>
      </c>
      <c r="BC28" s="37">
        <v>30.0</v>
      </c>
      <c r="BD28" s="37" t="str">
        <f t="shared" si="63"/>
        <v>S</v>
      </c>
      <c r="BE28" s="36">
        <v>26.0</v>
      </c>
      <c r="BF28" s="36" t="str">
        <f t="shared" si="64"/>
        <v>S</v>
      </c>
      <c r="BG28" s="39" t="s">
        <v>357</v>
      </c>
      <c r="BH28" s="39" t="s">
        <v>357</v>
      </c>
      <c r="BI28" s="36">
        <v>24.0</v>
      </c>
      <c r="BJ28" s="36" t="str">
        <f t="shared" si="65"/>
        <v>S</v>
      </c>
      <c r="BK28" s="40">
        <v>20.0</v>
      </c>
      <c r="BL28" s="41" t="str">
        <f t="shared" si="66"/>
        <v>S</v>
      </c>
      <c r="BM28" s="41"/>
    </row>
    <row r="29">
      <c r="A29" s="18" t="s">
        <v>582</v>
      </c>
      <c r="B29" s="19">
        <v>30.0</v>
      </c>
      <c r="C29" s="18" t="s">
        <v>523</v>
      </c>
      <c r="D29" s="18" t="s">
        <v>571</v>
      </c>
      <c r="E29" s="18" t="s">
        <v>572</v>
      </c>
      <c r="F29" s="18" t="s">
        <v>573</v>
      </c>
      <c r="G29" s="20" t="s">
        <v>357</v>
      </c>
      <c r="H29" s="47" t="s">
        <v>357</v>
      </c>
      <c r="I29" s="83" t="s">
        <v>357</v>
      </c>
      <c r="J29" s="82" t="s">
        <v>208</v>
      </c>
      <c r="K29" s="82" t="s">
        <v>208</v>
      </c>
      <c r="L29" s="82" t="s">
        <v>208</v>
      </c>
      <c r="M29" s="32" t="s">
        <v>357</v>
      </c>
      <c r="N29" s="32" t="s">
        <v>357</v>
      </c>
      <c r="O29" s="32" t="s">
        <v>357</v>
      </c>
      <c r="P29" s="32" t="s">
        <v>357</v>
      </c>
      <c r="Q29" s="32" t="s">
        <v>357</v>
      </c>
      <c r="R29" s="32" t="s">
        <v>357</v>
      </c>
      <c r="S29" s="32" t="s">
        <v>357</v>
      </c>
      <c r="T29" s="32" t="s">
        <v>357</v>
      </c>
      <c r="U29" s="32" t="s">
        <v>357</v>
      </c>
      <c r="V29" s="32" t="s">
        <v>357</v>
      </c>
      <c r="W29" s="32" t="s">
        <v>357</v>
      </c>
      <c r="X29" s="32" t="s">
        <v>357</v>
      </c>
      <c r="Y29" s="32" t="s">
        <v>357</v>
      </c>
      <c r="Z29" s="32" t="s">
        <v>357</v>
      </c>
      <c r="AA29" s="32" t="s">
        <v>357</v>
      </c>
      <c r="AB29" s="49" t="s">
        <v>357</v>
      </c>
      <c r="AC29" s="49" t="s">
        <v>357</v>
      </c>
      <c r="AD29" s="49" t="s">
        <v>357</v>
      </c>
      <c r="AE29" s="49" t="s">
        <v>357</v>
      </c>
      <c r="AF29" s="49" t="s">
        <v>357</v>
      </c>
      <c r="AG29" s="49" t="s">
        <v>357</v>
      </c>
      <c r="AH29" s="49" t="s">
        <v>357</v>
      </c>
      <c r="AI29" s="49" t="s">
        <v>357</v>
      </c>
      <c r="AJ29" s="49" t="s">
        <v>357</v>
      </c>
      <c r="AK29" s="49" t="s">
        <v>357</v>
      </c>
      <c r="AL29" s="49" t="s">
        <v>357</v>
      </c>
      <c r="AM29" s="39" t="s">
        <v>357</v>
      </c>
      <c r="AN29" s="39" t="s">
        <v>357</v>
      </c>
      <c r="AO29" s="39" t="s">
        <v>357</v>
      </c>
      <c r="AP29" s="39" t="s">
        <v>357</v>
      </c>
      <c r="AQ29" s="39" t="s">
        <v>357</v>
      </c>
      <c r="AR29" s="39" t="s">
        <v>357</v>
      </c>
      <c r="AS29" s="39" t="s">
        <v>357</v>
      </c>
      <c r="AT29" s="50" t="s">
        <v>357</v>
      </c>
      <c r="AU29" s="50" t="s">
        <v>357</v>
      </c>
      <c r="AV29" s="49" t="s">
        <v>357</v>
      </c>
      <c r="AW29" s="49" t="s">
        <v>357</v>
      </c>
      <c r="AX29" s="49" t="s">
        <v>357</v>
      </c>
      <c r="AY29" s="49" t="s">
        <v>357</v>
      </c>
      <c r="AZ29" s="49" t="s">
        <v>357</v>
      </c>
      <c r="BA29" s="32" t="s">
        <v>357</v>
      </c>
      <c r="BB29" s="32" t="s">
        <v>357</v>
      </c>
      <c r="BC29" s="50" t="s">
        <v>357</v>
      </c>
      <c r="BD29" s="50" t="s">
        <v>357</v>
      </c>
      <c r="BE29" s="39" t="s">
        <v>357</v>
      </c>
      <c r="BF29" s="39" t="s">
        <v>357</v>
      </c>
      <c r="BG29" s="39" t="s">
        <v>357</v>
      </c>
      <c r="BH29" s="39" t="s">
        <v>357</v>
      </c>
      <c r="BI29" s="39" t="s">
        <v>357</v>
      </c>
      <c r="BJ29" s="39" t="s">
        <v>357</v>
      </c>
      <c r="BK29" s="41" t="s">
        <v>357</v>
      </c>
      <c r="BL29" s="41" t="s">
        <v>357</v>
      </c>
      <c r="BM29" s="41"/>
    </row>
    <row r="30">
      <c r="A30" s="18" t="s">
        <v>582</v>
      </c>
      <c r="B30" s="19">
        <v>31.0</v>
      </c>
      <c r="C30" s="18" t="s">
        <v>546</v>
      </c>
      <c r="D30" s="18" t="s">
        <v>705</v>
      </c>
      <c r="E30" s="18" t="s">
        <v>572</v>
      </c>
      <c r="F30" s="18" t="s">
        <v>192</v>
      </c>
      <c r="G30" s="20" t="s">
        <v>947</v>
      </c>
      <c r="H30" s="59" t="s">
        <v>785</v>
      </c>
      <c r="I30" s="80" t="s">
        <v>481</v>
      </c>
      <c r="J30" s="81" t="s">
        <v>205</v>
      </c>
      <c r="K30" s="82" t="s">
        <v>208</v>
      </c>
      <c r="L30" s="81" t="s">
        <v>208</v>
      </c>
      <c r="M30" s="26">
        <v>6.0</v>
      </c>
      <c r="N30" s="26" t="str">
        <f t="shared" ref="N30:N31" si="67">IF((M30&gt;=19),"S",IF(AND(M30&lt;19),"R", "NA"))</f>
        <v>R</v>
      </c>
      <c r="O30" s="26">
        <v>10.0</v>
      </c>
      <c r="P30" s="26" t="str">
        <f t="shared" ref="P30:P31" si="68">IF((O30&gt;=19),"S",IF(AND(O30&lt;19),"R", "NA"))</f>
        <v>R</v>
      </c>
      <c r="Q30" s="26">
        <v>12.0</v>
      </c>
      <c r="R30" s="26" t="str">
        <f t="shared" ref="R30:R31" si="69">IF((Q30&gt;=23),"S",IF(AND(Q30&lt;23),"R","NA"))</f>
        <v>R</v>
      </c>
      <c r="S30" s="32" t="s">
        <v>357</v>
      </c>
      <c r="T30" s="32" t="s">
        <v>357</v>
      </c>
      <c r="U30" s="26">
        <v>28.0</v>
      </c>
      <c r="V30" s="26" t="str">
        <f t="shared" ref="V30:V31" si="70">IF((U30&gt;=20),"S",IF(AND(U30&lt;20),"R", "NA"))</f>
        <v>S</v>
      </c>
      <c r="W30" s="26">
        <v>22.0</v>
      </c>
      <c r="X30" s="26" t="str">
        <f t="shared" ref="X30:X31" si="71">IF((W30&gt;=20),"S",IF(AND(W30&lt;20),"R", "NA"))</f>
        <v>S</v>
      </c>
      <c r="Y30" s="26">
        <v>26.0</v>
      </c>
      <c r="Z30" s="26" t="str">
        <f t="shared" ref="Z30:Z31" si="72">IF((Y30&gt;=20),"S",IF(AND(Y30&lt;20,Y30&gt;=17),"I",IF(AND(Y30&lt;17),"R","NA")))</f>
        <v>S</v>
      </c>
      <c r="AA30" s="32" t="s">
        <v>299</v>
      </c>
      <c r="AB30" s="33">
        <v>18.0</v>
      </c>
      <c r="AC30" s="33" t="str">
        <f t="shared" ref="AC30:AC31" si="73">IF((AB30&gt;=20),"S",IF(AND(AB30&lt;20,AB30&gt;=17),"I",IF(AND(AB30&lt;17),"R","NA")))</f>
        <v>I</v>
      </c>
      <c r="AD30" s="33">
        <v>6.0</v>
      </c>
      <c r="AE30" s="33" t="str">
        <f t="shared" ref="AE30:AE31" si="74">IF((AD30&gt;=18),"S",IF(AND(AD30&lt;18),"R", "NA"))</f>
        <v>R</v>
      </c>
      <c r="AF30" s="33">
        <v>23.0</v>
      </c>
      <c r="AG30" s="33" t="str">
        <f t="shared" ref="AG30:AG31" si="75">IF((AF30&gt;=22),"S",IF(AND(AF30&lt;22,AF30&gt;=19),"I",IF(AND(AF30&lt;19),"R","NA")))</f>
        <v>S</v>
      </c>
      <c r="AH30" s="33">
        <v>28.0</v>
      </c>
      <c r="AI30" s="33" t="str">
        <f t="shared" ref="AI30:AI31" si="76">IF((AH30&gt;=13),"S",IF(AND(AH30&lt;13),"R", "NA"))</f>
        <v>S</v>
      </c>
      <c r="AJ30" s="33">
        <v>31.0</v>
      </c>
      <c r="AK30" s="33" t="str">
        <f t="shared" ref="AK30:AK31" si="77">IF((AJ30&gt;=27),"S",IF(AND(AJ30&lt;27,AJ30&gt;=24),"I",IF(AND(AJ30&lt;24),"R","NA")))</f>
        <v>S</v>
      </c>
      <c r="AL30" s="33" t="s">
        <v>299</v>
      </c>
      <c r="AM30" s="36">
        <v>32.0</v>
      </c>
      <c r="AN30" s="36" t="str">
        <f t="shared" ref="AN30:AN31" si="78">IF((AM30&gt;=25),"S",IF(AND(AM30&lt;25,AM30&gt;=22),"I",IF(AND(AM30&lt;22),"R","NA")))</f>
        <v>S</v>
      </c>
      <c r="AO30" s="36">
        <v>32.0</v>
      </c>
      <c r="AP30" s="36" t="str">
        <f t="shared" ref="AP30:AP31" si="79">IF((AO30&gt;=23),"S",IF(AND(AO30&lt;23,AO30&gt;=19),"I",IF(AND(AO30&lt;19),"R","NA")))</f>
        <v>S</v>
      </c>
      <c r="AQ30" s="36">
        <v>26.0</v>
      </c>
      <c r="AR30" s="36" t="str">
        <f t="shared" ref="AR30:AR31" si="80">IF((AQ30&gt;=14),"S",IF(AND(AQ30&lt;14),"R","NA"))</f>
        <v>S</v>
      </c>
      <c r="AS30" s="36" t="s">
        <v>300</v>
      </c>
      <c r="AT30" s="37">
        <v>27.0</v>
      </c>
      <c r="AU30" s="37" t="str">
        <f t="shared" ref="AU30:AU31" si="81">IF((AT30&gt;=14),"S",IF(AND(AT30&lt;14,AT30&gt;=11),"I",IF(AND(AT30&lt;11),"R","NA")))</f>
        <v>S</v>
      </c>
      <c r="AV30" s="33">
        <v>21.0</v>
      </c>
      <c r="AW30" s="33" t="str">
        <f t="shared" ref="AW30:AW31" si="82">IF((AV30&gt;=18),"S",IF(AND(AV30&lt;18),"R", "NA"))</f>
        <v>S</v>
      </c>
      <c r="AX30" s="33">
        <v>22.0</v>
      </c>
      <c r="AY30" s="33" t="str">
        <f t="shared" ref="AY30:AY31" si="83">IF((AX30&gt;=16),"S",IF(AND(AX30&lt;16),"R", "NA"))</f>
        <v>S</v>
      </c>
      <c r="AZ30" s="33" t="s">
        <v>300</v>
      </c>
      <c r="BA30" s="26">
        <v>17.0</v>
      </c>
      <c r="BB30" s="26" t="str">
        <f t="shared" ref="BB30:BB31" si="84">IF((BA30&gt;=20),"S",IF(AND(BA30&lt;20),"R", "NA"))</f>
        <v>R</v>
      </c>
      <c r="BC30" s="37">
        <v>30.0</v>
      </c>
      <c r="BD30" s="37" t="str">
        <f t="shared" ref="BD30:BD31" si="85">IF((BC30&gt;=26),"S",IF(AND(BC30&lt;26,BC30&gt;=21),"I",IF(AND(BC30&lt;21),"R","NA")))</f>
        <v>S</v>
      </c>
      <c r="BE30" s="36">
        <v>18.0</v>
      </c>
      <c r="BF30" s="36" t="str">
        <f t="shared" ref="BF30:BF31" si="86">IF((BE30&gt;=23),"S",IF(AND(BE30&lt;23),"R","NA"))</f>
        <v>R</v>
      </c>
      <c r="BG30" s="36">
        <v>0.19</v>
      </c>
      <c r="BH30" s="36" t="str">
        <f>IF((BG30&lt;=0.5),"S",IF(AND(BG30&gt;0.5),"R", "NA"))</f>
        <v>S</v>
      </c>
      <c r="BI30" s="36">
        <v>25.0</v>
      </c>
      <c r="BJ30" s="36" t="str">
        <f t="shared" ref="BJ30:BJ31" si="87">IF((BI30&gt;=22),"S",IF(AND(BI30&lt;22,BI30&gt;=19),"I",IF(AND(BI30&lt;19),"R","NA")))</f>
        <v>S</v>
      </c>
      <c r="BK30" s="40">
        <v>21.0</v>
      </c>
      <c r="BL30" s="41" t="str">
        <f t="shared" ref="BL30:BL31" si="88">IF((BK30&gt;=17),"S",IF(AND(BK30&lt;17),"R", "NA"))</f>
        <v>S</v>
      </c>
      <c r="BM30" s="41"/>
    </row>
    <row r="31">
      <c r="A31" s="18" t="s">
        <v>582</v>
      </c>
      <c r="B31" s="18" t="s">
        <v>444</v>
      </c>
      <c r="C31" s="18" t="s">
        <v>856</v>
      </c>
      <c r="D31" s="18" t="s">
        <v>705</v>
      </c>
      <c r="E31" s="18" t="s">
        <v>572</v>
      </c>
      <c r="F31" s="18" t="s">
        <v>192</v>
      </c>
      <c r="G31" s="20" t="s">
        <v>972</v>
      </c>
      <c r="H31" s="59" t="s">
        <v>785</v>
      </c>
      <c r="I31" s="80" t="s">
        <v>481</v>
      </c>
      <c r="J31" s="81" t="s">
        <v>205</v>
      </c>
      <c r="K31" s="82" t="s">
        <v>208</v>
      </c>
      <c r="L31" s="81" t="s">
        <v>208</v>
      </c>
      <c r="M31" s="26">
        <v>6.0</v>
      </c>
      <c r="N31" s="26" t="str">
        <f t="shared" si="67"/>
        <v>R</v>
      </c>
      <c r="O31" s="26">
        <v>9.0</v>
      </c>
      <c r="P31" s="26" t="str">
        <f t="shared" si="68"/>
        <v>R</v>
      </c>
      <c r="Q31" s="26">
        <v>24.0</v>
      </c>
      <c r="R31" s="26" t="str">
        <f t="shared" si="69"/>
        <v>S</v>
      </c>
      <c r="S31" s="32" t="s">
        <v>357</v>
      </c>
      <c r="T31" s="32" t="s">
        <v>357</v>
      </c>
      <c r="U31" s="26">
        <v>27.0</v>
      </c>
      <c r="V31" s="26" t="str">
        <f t="shared" si="70"/>
        <v>S</v>
      </c>
      <c r="W31" s="26">
        <v>25.0</v>
      </c>
      <c r="X31" s="26" t="str">
        <f t="shared" si="71"/>
        <v>S</v>
      </c>
      <c r="Y31" s="26">
        <v>27.0</v>
      </c>
      <c r="Z31" s="26" t="str">
        <f t="shared" si="72"/>
        <v>S</v>
      </c>
      <c r="AA31" s="32" t="s">
        <v>299</v>
      </c>
      <c r="AB31" s="33">
        <v>26.0</v>
      </c>
      <c r="AC31" s="33" t="str">
        <f t="shared" si="73"/>
        <v>S</v>
      </c>
      <c r="AD31" s="33">
        <v>6.0</v>
      </c>
      <c r="AE31" s="33" t="str">
        <f t="shared" si="74"/>
        <v>R</v>
      </c>
      <c r="AF31" s="33">
        <v>26.0</v>
      </c>
      <c r="AG31" s="33" t="str">
        <f t="shared" si="75"/>
        <v>S</v>
      </c>
      <c r="AH31" s="33">
        <v>27.0</v>
      </c>
      <c r="AI31" s="33" t="str">
        <f t="shared" si="76"/>
        <v>S</v>
      </c>
      <c r="AJ31" s="33">
        <v>33.0</v>
      </c>
      <c r="AK31" s="33" t="str">
        <f t="shared" si="77"/>
        <v>S</v>
      </c>
      <c r="AL31" s="33" t="s">
        <v>299</v>
      </c>
      <c r="AM31" s="36">
        <v>32.0</v>
      </c>
      <c r="AN31" s="36" t="str">
        <f t="shared" si="78"/>
        <v>S</v>
      </c>
      <c r="AO31" s="36">
        <v>32.0</v>
      </c>
      <c r="AP31" s="36" t="str">
        <f t="shared" si="79"/>
        <v>S</v>
      </c>
      <c r="AQ31" s="36">
        <v>25.0</v>
      </c>
      <c r="AR31" s="36" t="str">
        <f t="shared" si="80"/>
        <v>S</v>
      </c>
      <c r="AS31" s="36" t="s">
        <v>300</v>
      </c>
      <c r="AT31" s="37">
        <v>28.0</v>
      </c>
      <c r="AU31" s="37" t="str">
        <f t="shared" si="81"/>
        <v>S</v>
      </c>
      <c r="AV31" s="33">
        <v>21.0</v>
      </c>
      <c r="AW31" s="33" t="str">
        <f t="shared" si="82"/>
        <v>S</v>
      </c>
      <c r="AX31" s="33">
        <v>22.0</v>
      </c>
      <c r="AY31" s="33" t="str">
        <f t="shared" si="83"/>
        <v>S</v>
      </c>
      <c r="AZ31" s="33" t="s">
        <v>300</v>
      </c>
      <c r="BA31" s="26">
        <v>17.0</v>
      </c>
      <c r="BB31" s="26" t="str">
        <f t="shared" si="84"/>
        <v>R</v>
      </c>
      <c r="BC31" s="37">
        <v>36.0</v>
      </c>
      <c r="BD31" s="37" t="str">
        <f t="shared" si="85"/>
        <v>S</v>
      </c>
      <c r="BE31" s="36">
        <v>25.0</v>
      </c>
      <c r="BF31" s="36" t="str">
        <f t="shared" si="86"/>
        <v>S</v>
      </c>
      <c r="BG31" s="39" t="s">
        <v>357</v>
      </c>
      <c r="BH31" s="39" t="s">
        <v>357</v>
      </c>
      <c r="BI31" s="36">
        <v>23.0</v>
      </c>
      <c r="BJ31" s="36" t="str">
        <f t="shared" si="87"/>
        <v>S</v>
      </c>
      <c r="BK31" s="40">
        <v>21.0</v>
      </c>
      <c r="BL31" s="41" t="str">
        <f t="shared" si="88"/>
        <v>S</v>
      </c>
      <c r="BM31" s="41"/>
    </row>
    <row r="32">
      <c r="A32" s="18" t="s">
        <v>598</v>
      </c>
      <c r="B32" s="19">
        <v>37.0</v>
      </c>
      <c r="C32" s="18" t="s">
        <v>916</v>
      </c>
      <c r="D32" s="18" t="s">
        <v>190</v>
      </c>
      <c r="E32" s="18" t="s">
        <v>190</v>
      </c>
      <c r="F32" s="18" t="s">
        <v>573</v>
      </c>
      <c r="G32" s="20" t="s">
        <v>357</v>
      </c>
      <c r="H32" s="47" t="s">
        <v>357</v>
      </c>
      <c r="I32" s="83" t="s">
        <v>357</v>
      </c>
      <c r="J32" s="82" t="s">
        <v>208</v>
      </c>
      <c r="K32" s="82" t="s">
        <v>208</v>
      </c>
      <c r="L32" s="82" t="s">
        <v>208</v>
      </c>
      <c r="M32" s="32" t="s">
        <v>357</v>
      </c>
      <c r="N32" s="32" t="s">
        <v>357</v>
      </c>
      <c r="O32" s="32" t="s">
        <v>357</v>
      </c>
      <c r="P32" s="32" t="s">
        <v>357</v>
      </c>
      <c r="Q32" s="32" t="s">
        <v>357</v>
      </c>
      <c r="R32" s="32" t="s">
        <v>357</v>
      </c>
      <c r="S32" s="32" t="s">
        <v>357</v>
      </c>
      <c r="T32" s="32" t="s">
        <v>357</v>
      </c>
      <c r="U32" s="32" t="s">
        <v>357</v>
      </c>
      <c r="V32" s="32" t="s">
        <v>357</v>
      </c>
      <c r="W32" s="32" t="s">
        <v>357</v>
      </c>
      <c r="X32" s="32" t="s">
        <v>357</v>
      </c>
      <c r="Y32" s="32" t="s">
        <v>357</v>
      </c>
      <c r="Z32" s="32" t="s">
        <v>357</v>
      </c>
      <c r="AA32" s="32" t="s">
        <v>357</v>
      </c>
      <c r="AB32" s="49" t="s">
        <v>357</v>
      </c>
      <c r="AC32" s="49" t="s">
        <v>357</v>
      </c>
      <c r="AD32" s="49" t="s">
        <v>357</v>
      </c>
      <c r="AE32" s="49" t="s">
        <v>357</v>
      </c>
      <c r="AF32" s="49" t="s">
        <v>357</v>
      </c>
      <c r="AG32" s="49" t="s">
        <v>357</v>
      </c>
      <c r="AH32" s="49" t="s">
        <v>357</v>
      </c>
      <c r="AI32" s="49" t="s">
        <v>357</v>
      </c>
      <c r="AJ32" s="49" t="s">
        <v>357</v>
      </c>
      <c r="AK32" s="49" t="s">
        <v>357</v>
      </c>
      <c r="AL32" s="49" t="s">
        <v>357</v>
      </c>
      <c r="AM32" s="39" t="s">
        <v>357</v>
      </c>
      <c r="AN32" s="39" t="s">
        <v>357</v>
      </c>
      <c r="AO32" s="39" t="s">
        <v>357</v>
      </c>
      <c r="AP32" s="39" t="s">
        <v>357</v>
      </c>
      <c r="AQ32" s="39" t="s">
        <v>357</v>
      </c>
      <c r="AR32" s="39" t="s">
        <v>357</v>
      </c>
      <c r="AS32" s="39" t="s">
        <v>357</v>
      </c>
      <c r="AT32" s="50" t="s">
        <v>357</v>
      </c>
      <c r="AU32" s="50" t="s">
        <v>357</v>
      </c>
      <c r="AV32" s="49" t="s">
        <v>357</v>
      </c>
      <c r="AW32" s="49" t="s">
        <v>357</v>
      </c>
      <c r="AX32" s="49" t="s">
        <v>357</v>
      </c>
      <c r="AY32" s="49" t="s">
        <v>357</v>
      </c>
      <c r="AZ32" s="49" t="s">
        <v>357</v>
      </c>
      <c r="BA32" s="32" t="s">
        <v>357</v>
      </c>
      <c r="BB32" s="32" t="s">
        <v>357</v>
      </c>
      <c r="BC32" s="50" t="s">
        <v>357</v>
      </c>
      <c r="BD32" s="50" t="s">
        <v>357</v>
      </c>
      <c r="BE32" s="39" t="s">
        <v>357</v>
      </c>
      <c r="BF32" s="39" t="s">
        <v>357</v>
      </c>
      <c r="BG32" s="39" t="s">
        <v>357</v>
      </c>
      <c r="BH32" s="39" t="s">
        <v>357</v>
      </c>
      <c r="BI32" s="39" t="s">
        <v>357</v>
      </c>
      <c r="BJ32" s="39" t="s">
        <v>357</v>
      </c>
      <c r="BK32" s="41" t="s">
        <v>357</v>
      </c>
      <c r="BL32" s="41" t="s">
        <v>357</v>
      </c>
      <c r="BM32" s="41"/>
    </row>
    <row r="33">
      <c r="A33" s="18" t="s">
        <v>598</v>
      </c>
      <c r="B33" s="19">
        <v>38.0</v>
      </c>
      <c r="C33" s="18" t="s">
        <v>923</v>
      </c>
      <c r="D33" s="18" t="s">
        <v>571</v>
      </c>
      <c r="E33" s="18" t="s">
        <v>572</v>
      </c>
      <c r="F33" s="18" t="s">
        <v>573</v>
      </c>
      <c r="G33" s="20" t="s">
        <v>357</v>
      </c>
      <c r="H33" s="47" t="s">
        <v>357</v>
      </c>
      <c r="I33" s="83" t="s">
        <v>357</v>
      </c>
      <c r="J33" s="82" t="s">
        <v>208</v>
      </c>
      <c r="K33" s="82" t="s">
        <v>208</v>
      </c>
      <c r="L33" s="82" t="s">
        <v>208</v>
      </c>
      <c r="M33" s="32" t="s">
        <v>357</v>
      </c>
      <c r="N33" s="32" t="s">
        <v>357</v>
      </c>
      <c r="O33" s="32" t="s">
        <v>357</v>
      </c>
      <c r="P33" s="32" t="s">
        <v>357</v>
      </c>
      <c r="Q33" s="32" t="s">
        <v>357</v>
      </c>
      <c r="R33" s="32" t="s">
        <v>357</v>
      </c>
      <c r="S33" s="32" t="s">
        <v>357</v>
      </c>
      <c r="T33" s="32" t="s">
        <v>357</v>
      </c>
      <c r="U33" s="32" t="s">
        <v>357</v>
      </c>
      <c r="V33" s="32" t="s">
        <v>357</v>
      </c>
      <c r="W33" s="32" t="s">
        <v>357</v>
      </c>
      <c r="X33" s="32" t="s">
        <v>357</v>
      </c>
      <c r="Y33" s="32" t="s">
        <v>357</v>
      </c>
      <c r="Z33" s="32" t="s">
        <v>357</v>
      </c>
      <c r="AA33" s="32" t="s">
        <v>357</v>
      </c>
      <c r="AB33" s="49" t="s">
        <v>357</v>
      </c>
      <c r="AC33" s="49" t="s">
        <v>357</v>
      </c>
      <c r="AD33" s="49" t="s">
        <v>357</v>
      </c>
      <c r="AE33" s="49" t="s">
        <v>357</v>
      </c>
      <c r="AF33" s="49" t="s">
        <v>357</v>
      </c>
      <c r="AG33" s="49" t="s">
        <v>357</v>
      </c>
      <c r="AH33" s="49" t="s">
        <v>357</v>
      </c>
      <c r="AI33" s="49" t="s">
        <v>357</v>
      </c>
      <c r="AJ33" s="49" t="s">
        <v>357</v>
      </c>
      <c r="AK33" s="49" t="s">
        <v>357</v>
      </c>
      <c r="AL33" s="49" t="s">
        <v>357</v>
      </c>
      <c r="AM33" s="39" t="s">
        <v>357</v>
      </c>
      <c r="AN33" s="39" t="s">
        <v>357</v>
      </c>
      <c r="AO33" s="39" t="s">
        <v>357</v>
      </c>
      <c r="AP33" s="39" t="s">
        <v>357</v>
      </c>
      <c r="AQ33" s="39" t="s">
        <v>357</v>
      </c>
      <c r="AR33" s="39" t="s">
        <v>357</v>
      </c>
      <c r="AS33" s="39" t="s">
        <v>357</v>
      </c>
      <c r="AT33" s="50" t="s">
        <v>357</v>
      </c>
      <c r="AU33" s="50" t="s">
        <v>357</v>
      </c>
      <c r="AV33" s="49" t="s">
        <v>357</v>
      </c>
      <c r="AW33" s="49" t="s">
        <v>357</v>
      </c>
      <c r="AX33" s="49" t="s">
        <v>357</v>
      </c>
      <c r="AY33" s="49" t="s">
        <v>357</v>
      </c>
      <c r="AZ33" s="49" t="s">
        <v>357</v>
      </c>
      <c r="BA33" s="32" t="s">
        <v>357</v>
      </c>
      <c r="BB33" s="32" t="s">
        <v>357</v>
      </c>
      <c r="BC33" s="50" t="s">
        <v>357</v>
      </c>
      <c r="BD33" s="50" t="s">
        <v>357</v>
      </c>
      <c r="BE33" s="39" t="s">
        <v>357</v>
      </c>
      <c r="BF33" s="39" t="s">
        <v>357</v>
      </c>
      <c r="BG33" s="39" t="s">
        <v>357</v>
      </c>
      <c r="BH33" s="39" t="s">
        <v>357</v>
      </c>
      <c r="BI33" s="39" t="s">
        <v>357</v>
      </c>
      <c r="BJ33" s="39" t="s">
        <v>357</v>
      </c>
      <c r="BK33" s="41" t="s">
        <v>357</v>
      </c>
      <c r="BL33" s="41" t="s">
        <v>357</v>
      </c>
      <c r="BM33" s="41"/>
    </row>
    <row r="34">
      <c r="A34" s="18" t="s">
        <v>598</v>
      </c>
      <c r="B34" s="19">
        <v>39.0</v>
      </c>
      <c r="C34" s="18" t="s">
        <v>925</v>
      </c>
      <c r="D34" s="18" t="s">
        <v>705</v>
      </c>
      <c r="E34" s="18" t="s">
        <v>572</v>
      </c>
      <c r="F34" s="18" t="s">
        <v>573</v>
      </c>
      <c r="G34" s="20" t="s">
        <v>357</v>
      </c>
      <c r="H34" s="47" t="s">
        <v>357</v>
      </c>
      <c r="I34" s="83" t="s">
        <v>357</v>
      </c>
      <c r="J34" s="82" t="s">
        <v>208</v>
      </c>
      <c r="K34" s="82" t="s">
        <v>208</v>
      </c>
      <c r="L34" s="82" t="s">
        <v>208</v>
      </c>
      <c r="M34" s="32" t="s">
        <v>357</v>
      </c>
      <c r="N34" s="32" t="s">
        <v>357</v>
      </c>
      <c r="O34" s="32" t="s">
        <v>357</v>
      </c>
      <c r="P34" s="32" t="s">
        <v>357</v>
      </c>
      <c r="Q34" s="32" t="s">
        <v>357</v>
      </c>
      <c r="R34" s="32" t="s">
        <v>357</v>
      </c>
      <c r="S34" s="32" t="s">
        <v>357</v>
      </c>
      <c r="T34" s="32" t="s">
        <v>357</v>
      </c>
      <c r="U34" s="32" t="s">
        <v>357</v>
      </c>
      <c r="V34" s="32" t="s">
        <v>357</v>
      </c>
      <c r="W34" s="32" t="s">
        <v>357</v>
      </c>
      <c r="X34" s="32" t="s">
        <v>357</v>
      </c>
      <c r="Y34" s="32" t="s">
        <v>357</v>
      </c>
      <c r="Z34" s="32" t="s">
        <v>357</v>
      </c>
      <c r="AA34" s="32" t="s">
        <v>357</v>
      </c>
      <c r="AB34" s="49" t="s">
        <v>357</v>
      </c>
      <c r="AC34" s="49" t="s">
        <v>357</v>
      </c>
      <c r="AD34" s="49" t="s">
        <v>357</v>
      </c>
      <c r="AE34" s="49" t="s">
        <v>357</v>
      </c>
      <c r="AF34" s="49" t="s">
        <v>357</v>
      </c>
      <c r="AG34" s="49" t="s">
        <v>357</v>
      </c>
      <c r="AH34" s="49" t="s">
        <v>357</v>
      </c>
      <c r="AI34" s="49" t="s">
        <v>357</v>
      </c>
      <c r="AJ34" s="49" t="s">
        <v>357</v>
      </c>
      <c r="AK34" s="49" t="s">
        <v>357</v>
      </c>
      <c r="AL34" s="49" t="s">
        <v>357</v>
      </c>
      <c r="AM34" s="39" t="s">
        <v>357</v>
      </c>
      <c r="AN34" s="39" t="s">
        <v>357</v>
      </c>
      <c r="AO34" s="39" t="s">
        <v>357</v>
      </c>
      <c r="AP34" s="39" t="s">
        <v>357</v>
      </c>
      <c r="AQ34" s="39" t="s">
        <v>357</v>
      </c>
      <c r="AR34" s="39" t="s">
        <v>357</v>
      </c>
      <c r="AS34" s="39" t="s">
        <v>357</v>
      </c>
      <c r="AT34" s="50" t="s">
        <v>357</v>
      </c>
      <c r="AU34" s="50" t="s">
        <v>357</v>
      </c>
      <c r="AV34" s="49" t="s">
        <v>357</v>
      </c>
      <c r="AW34" s="49" t="s">
        <v>357</v>
      </c>
      <c r="AX34" s="49" t="s">
        <v>357</v>
      </c>
      <c r="AY34" s="49" t="s">
        <v>357</v>
      </c>
      <c r="AZ34" s="49" t="s">
        <v>357</v>
      </c>
      <c r="BA34" s="32" t="s">
        <v>357</v>
      </c>
      <c r="BB34" s="32" t="s">
        <v>357</v>
      </c>
      <c r="BC34" s="50" t="s">
        <v>357</v>
      </c>
      <c r="BD34" s="50" t="s">
        <v>357</v>
      </c>
      <c r="BE34" s="39" t="s">
        <v>357</v>
      </c>
      <c r="BF34" s="39" t="s">
        <v>357</v>
      </c>
      <c r="BG34" s="39" t="s">
        <v>357</v>
      </c>
      <c r="BH34" s="39" t="s">
        <v>357</v>
      </c>
      <c r="BI34" s="39" t="s">
        <v>357</v>
      </c>
      <c r="BJ34" s="39" t="s">
        <v>357</v>
      </c>
      <c r="BK34" s="41" t="s">
        <v>357</v>
      </c>
      <c r="BL34" s="41" t="s">
        <v>357</v>
      </c>
      <c r="BM34" s="41"/>
    </row>
    <row r="35">
      <c r="A35" s="18" t="s">
        <v>639</v>
      </c>
      <c r="B35" s="19">
        <v>40.0</v>
      </c>
      <c r="C35" s="18" t="s">
        <v>927</v>
      </c>
      <c r="D35" s="18" t="s">
        <v>190</v>
      </c>
      <c r="E35" s="18" t="s">
        <v>190</v>
      </c>
      <c r="F35" s="18" t="s">
        <v>573</v>
      </c>
      <c r="G35" s="20" t="s">
        <v>357</v>
      </c>
      <c r="H35" s="47" t="s">
        <v>357</v>
      </c>
      <c r="I35" s="83" t="s">
        <v>357</v>
      </c>
      <c r="J35" s="82" t="s">
        <v>208</v>
      </c>
      <c r="K35" s="82" t="s">
        <v>208</v>
      </c>
      <c r="L35" s="82" t="s">
        <v>208</v>
      </c>
      <c r="M35" s="32" t="s">
        <v>357</v>
      </c>
      <c r="N35" s="32" t="s">
        <v>357</v>
      </c>
      <c r="O35" s="32" t="s">
        <v>357</v>
      </c>
      <c r="P35" s="32" t="s">
        <v>357</v>
      </c>
      <c r="Q35" s="32" t="s">
        <v>357</v>
      </c>
      <c r="R35" s="32" t="s">
        <v>357</v>
      </c>
      <c r="S35" s="32" t="s">
        <v>357</v>
      </c>
      <c r="T35" s="32" t="s">
        <v>357</v>
      </c>
      <c r="U35" s="32" t="s">
        <v>357</v>
      </c>
      <c r="V35" s="32" t="s">
        <v>357</v>
      </c>
      <c r="W35" s="32" t="s">
        <v>357</v>
      </c>
      <c r="X35" s="32" t="s">
        <v>357</v>
      </c>
      <c r="Y35" s="32" t="s">
        <v>357</v>
      </c>
      <c r="Z35" s="32" t="s">
        <v>357</v>
      </c>
      <c r="AA35" s="32" t="s">
        <v>357</v>
      </c>
      <c r="AB35" s="49" t="s">
        <v>357</v>
      </c>
      <c r="AC35" s="49" t="s">
        <v>357</v>
      </c>
      <c r="AD35" s="49" t="s">
        <v>357</v>
      </c>
      <c r="AE35" s="49" t="s">
        <v>357</v>
      </c>
      <c r="AF35" s="49" t="s">
        <v>357</v>
      </c>
      <c r="AG35" s="49" t="s">
        <v>357</v>
      </c>
      <c r="AH35" s="49" t="s">
        <v>357</v>
      </c>
      <c r="AI35" s="49" t="s">
        <v>357</v>
      </c>
      <c r="AJ35" s="49" t="s">
        <v>357</v>
      </c>
      <c r="AK35" s="49" t="s">
        <v>357</v>
      </c>
      <c r="AL35" s="49" t="s">
        <v>357</v>
      </c>
      <c r="AM35" s="39" t="s">
        <v>357</v>
      </c>
      <c r="AN35" s="39" t="s">
        <v>357</v>
      </c>
      <c r="AO35" s="39" t="s">
        <v>357</v>
      </c>
      <c r="AP35" s="39" t="s">
        <v>357</v>
      </c>
      <c r="AQ35" s="39" t="s">
        <v>357</v>
      </c>
      <c r="AR35" s="39" t="s">
        <v>357</v>
      </c>
      <c r="AS35" s="39" t="s">
        <v>357</v>
      </c>
      <c r="AT35" s="50" t="s">
        <v>357</v>
      </c>
      <c r="AU35" s="50" t="s">
        <v>357</v>
      </c>
      <c r="AV35" s="49" t="s">
        <v>357</v>
      </c>
      <c r="AW35" s="49" t="s">
        <v>357</v>
      </c>
      <c r="AX35" s="49" t="s">
        <v>357</v>
      </c>
      <c r="AY35" s="49" t="s">
        <v>357</v>
      </c>
      <c r="AZ35" s="49" t="s">
        <v>357</v>
      </c>
      <c r="BA35" s="32" t="s">
        <v>357</v>
      </c>
      <c r="BB35" s="32" t="s">
        <v>357</v>
      </c>
      <c r="BC35" s="50" t="s">
        <v>357</v>
      </c>
      <c r="BD35" s="50" t="s">
        <v>357</v>
      </c>
      <c r="BE35" s="39" t="s">
        <v>357</v>
      </c>
      <c r="BF35" s="39" t="s">
        <v>357</v>
      </c>
      <c r="BG35" s="39" t="s">
        <v>357</v>
      </c>
      <c r="BH35" s="39" t="s">
        <v>357</v>
      </c>
      <c r="BI35" s="39" t="s">
        <v>357</v>
      </c>
      <c r="BJ35" s="39" t="s">
        <v>357</v>
      </c>
      <c r="BK35" s="41" t="s">
        <v>357</v>
      </c>
      <c r="BL35" s="41" t="s">
        <v>357</v>
      </c>
      <c r="BM35" s="41"/>
    </row>
    <row r="36">
      <c r="A36" s="18" t="s">
        <v>639</v>
      </c>
      <c r="B36" s="19">
        <v>41.0</v>
      </c>
      <c r="C36" s="18" t="s">
        <v>577</v>
      </c>
      <c r="D36" s="18" t="s">
        <v>190</v>
      </c>
      <c r="E36" s="18" t="s">
        <v>190</v>
      </c>
      <c r="F36" s="18" t="s">
        <v>192</v>
      </c>
      <c r="G36" s="20" t="s">
        <v>1042</v>
      </c>
      <c r="H36" s="22" t="s">
        <v>198</v>
      </c>
      <c r="I36" s="84" t="s">
        <v>37</v>
      </c>
      <c r="J36" s="81" t="s">
        <v>205</v>
      </c>
      <c r="K36" s="81" t="s">
        <v>205</v>
      </c>
      <c r="L36" s="81" t="s">
        <v>208</v>
      </c>
      <c r="M36" s="26">
        <v>6.0</v>
      </c>
      <c r="N36" s="26" t="str">
        <f t="shared" ref="N36:N38" si="89">IF((M36&gt;=19),"S",IF(AND(M36&lt;19),"R", "NA"))</f>
        <v>R</v>
      </c>
      <c r="O36" s="26">
        <v>22.0</v>
      </c>
      <c r="P36" s="26" t="str">
        <f t="shared" ref="P36:P38" si="90">IF((O36&gt;=19),"S",IF(AND(O36&lt;19),"R", "NA"))</f>
        <v>S</v>
      </c>
      <c r="Q36" s="26">
        <v>6.0</v>
      </c>
      <c r="R36" s="26" t="str">
        <f t="shared" ref="R36:R38" si="91">IF((Q36&gt;=23),"S",IF(AND(Q36&lt;23),"R","NA"))</f>
        <v>R</v>
      </c>
      <c r="S36" s="32" t="s">
        <v>357</v>
      </c>
      <c r="T36" s="32" t="s">
        <v>357</v>
      </c>
      <c r="U36" s="26">
        <v>12.0</v>
      </c>
      <c r="V36" s="26" t="str">
        <f t="shared" ref="V36:V38" si="92">IF((U36&gt;=20),"S",IF(AND(U36&lt;20),"R", "NA"))</f>
        <v>R</v>
      </c>
      <c r="W36" s="26">
        <v>26.0</v>
      </c>
      <c r="X36" s="26" t="str">
        <f t="shared" ref="X36:X38" si="93">IF((W36&gt;=20),"S",IF(AND(W36&lt;20),"R", "NA"))</f>
        <v>S</v>
      </c>
      <c r="Y36" s="26">
        <v>25.0</v>
      </c>
      <c r="Z36" s="26" t="str">
        <f t="shared" ref="Z36:Z38" si="94">IF((Y36&gt;=20),"S",IF(AND(Y36&lt;20,Y36&gt;=17),"I",IF(AND(Y36&lt;17),"R","NA")))</f>
        <v>S</v>
      </c>
      <c r="AA36" s="32" t="s">
        <v>299</v>
      </c>
      <c r="AB36" s="33">
        <v>6.0</v>
      </c>
      <c r="AC36" s="33" t="str">
        <f t="shared" ref="AC36:AC38" si="95">IF((AB36&gt;=20),"S",IF(AND(AB36&lt;20,AB36&gt;=17),"I",IF(AND(AB36&lt;17),"R","NA")))</f>
        <v>R</v>
      </c>
      <c r="AD36" s="33">
        <v>27.0</v>
      </c>
      <c r="AE36" s="33" t="str">
        <f t="shared" ref="AE36:AE38" si="96">IF((AD36&gt;=18),"S",IF(AND(AD36&lt;18),"R", "NA"))</f>
        <v>S</v>
      </c>
      <c r="AF36" s="33">
        <v>20.0</v>
      </c>
      <c r="AG36" s="33" t="str">
        <f t="shared" ref="AG36:AG38" si="97">IF((AF36&gt;=22),"S",IF(AND(AF36&lt;22,AF36&gt;=19),"I",IF(AND(AF36&lt;19),"R","NA")))</f>
        <v>I</v>
      </c>
      <c r="AH36" s="33">
        <v>26.0</v>
      </c>
      <c r="AI36" s="33" t="str">
        <f t="shared" ref="AI36:AI38" si="98">IF((AH36&gt;=13),"S",IF(AND(AH36&lt;13),"R", "NA"))</f>
        <v>S</v>
      </c>
      <c r="AJ36" s="33">
        <v>23.0</v>
      </c>
      <c r="AK36" s="33" t="str">
        <f t="shared" ref="AK36:AK38" si="99">IF((AJ36&gt;=27),"S",IF(AND(AJ36&lt;27,AJ36&gt;=24),"I",IF(AND(AJ36&lt;24),"R","NA")))</f>
        <v>R</v>
      </c>
      <c r="AL36" s="33" t="s">
        <v>299</v>
      </c>
      <c r="AM36" s="36">
        <v>29.0</v>
      </c>
      <c r="AN36" s="36" t="str">
        <f t="shared" ref="AN36:AN38" si="100">IF((AM36&gt;=25),"S",IF(AND(AM36&lt;25,AM36&gt;=22),"I",IF(AND(AM36&lt;22),"R","NA")))</f>
        <v>S</v>
      </c>
      <c r="AO36" s="36">
        <v>26.0</v>
      </c>
      <c r="AP36" s="36" t="str">
        <f t="shared" ref="AP36:AP38" si="101">IF((AO36&gt;=23),"S",IF(AND(AO36&lt;23,AO36&gt;=19),"I",IF(AND(AO36&lt;19),"R","NA")))</f>
        <v>S</v>
      </c>
      <c r="AQ36" s="36">
        <v>9.0</v>
      </c>
      <c r="AR36" s="36" t="str">
        <f t="shared" ref="AR36:AR38" si="102">IF((AQ36&gt;=14),"S",IF(AND(AQ36&lt;14),"R","NA"))</f>
        <v>R</v>
      </c>
      <c r="AS36" s="36" t="s">
        <v>299</v>
      </c>
      <c r="AT36" s="37">
        <v>6.0</v>
      </c>
      <c r="AU36" s="37" t="str">
        <f t="shared" ref="AU36:AU38" si="103">IF((AT36&gt;=14),"S",IF(AND(AT36&lt;14,AT36&gt;=11),"I",IF(AND(AT36&lt;11),"R","NA")))</f>
        <v>R</v>
      </c>
      <c r="AV36" s="33">
        <v>22.0</v>
      </c>
      <c r="AW36" s="33" t="str">
        <f t="shared" ref="AW36:AW38" si="104">IF((AV36&gt;=18),"S",IF(AND(AV36&lt;18),"R", "NA"))</f>
        <v>S</v>
      </c>
      <c r="AX36" s="33">
        <v>21.0</v>
      </c>
      <c r="AY36" s="33" t="str">
        <f t="shared" ref="AY36:AY38" si="105">IF((AX36&gt;=16),"S",IF(AND(AX36&lt;16),"R", "NA"))</f>
        <v>S</v>
      </c>
      <c r="AZ36" s="33" t="s">
        <v>300</v>
      </c>
      <c r="BA36" s="26">
        <v>20.0</v>
      </c>
      <c r="BB36" s="26" t="str">
        <f t="shared" ref="BB36:BB38" si="106">IF((BA36&gt;=20),"S",IF(AND(BA36&lt;20),"R", "NA"))</f>
        <v>S</v>
      </c>
      <c r="BC36" s="37">
        <v>21.0</v>
      </c>
      <c r="BD36" s="37" t="str">
        <f t="shared" ref="BD36:BD38" si="107">IF((BC36&gt;=26),"S",IF(AND(BC36&lt;26,BC36&gt;=21),"I",IF(AND(BC36&lt;21),"R","NA")))</f>
        <v>I</v>
      </c>
      <c r="BE36" s="36">
        <v>29.0</v>
      </c>
      <c r="BF36" s="36" t="str">
        <f t="shared" ref="BF36:BF38" si="108">IF((BE36&gt;=23),"S",IF(AND(BE36&lt;23),"R","NA"))</f>
        <v>S</v>
      </c>
      <c r="BG36" s="39" t="s">
        <v>357</v>
      </c>
      <c r="BH36" s="39" t="s">
        <v>357</v>
      </c>
      <c r="BI36" s="36">
        <v>30.0</v>
      </c>
      <c r="BJ36" s="36" t="str">
        <f t="shared" ref="BJ36:BJ38" si="109">IF((BI36&gt;=22),"S",IF(AND(BI36&lt;22,BI36&gt;=19),"I",IF(AND(BI36&lt;19),"R","NA")))</f>
        <v>S</v>
      </c>
      <c r="BK36" s="40">
        <v>22.0</v>
      </c>
      <c r="BL36" s="41" t="str">
        <f t="shared" ref="BL36:BL38" si="110">IF((BK36&gt;=17),"S",IF(AND(BK36&lt;17),"R", "NA"))</f>
        <v>S</v>
      </c>
      <c r="BM36" s="41"/>
    </row>
    <row r="37">
      <c r="A37" s="18" t="s">
        <v>639</v>
      </c>
      <c r="B37" s="18" t="s">
        <v>444</v>
      </c>
      <c r="C37" s="18" t="s">
        <v>931</v>
      </c>
      <c r="D37" s="18" t="s">
        <v>190</v>
      </c>
      <c r="E37" s="18" t="s">
        <v>190</v>
      </c>
      <c r="F37" s="18" t="s">
        <v>192</v>
      </c>
      <c r="G37" s="20" t="s">
        <v>1077</v>
      </c>
      <c r="H37" s="22" t="s">
        <v>198</v>
      </c>
      <c r="I37" s="80" t="s">
        <v>481</v>
      </c>
      <c r="J37" s="81" t="s">
        <v>205</v>
      </c>
      <c r="K37" s="82" t="s">
        <v>208</v>
      </c>
      <c r="L37" s="82" t="s">
        <v>208</v>
      </c>
      <c r="M37" s="26">
        <v>6.0</v>
      </c>
      <c r="N37" s="26" t="str">
        <f t="shared" si="89"/>
        <v>R</v>
      </c>
      <c r="O37" s="26">
        <v>24.0</v>
      </c>
      <c r="P37" s="26" t="str">
        <f t="shared" si="90"/>
        <v>S</v>
      </c>
      <c r="Q37" s="26">
        <v>6.0</v>
      </c>
      <c r="R37" s="26" t="str">
        <f t="shared" si="91"/>
        <v>R</v>
      </c>
      <c r="S37" s="32" t="s">
        <v>357</v>
      </c>
      <c r="T37" s="32" t="s">
        <v>357</v>
      </c>
      <c r="U37" s="26">
        <v>11.0</v>
      </c>
      <c r="V37" s="26" t="str">
        <f t="shared" si="92"/>
        <v>R</v>
      </c>
      <c r="W37" s="26">
        <v>25.0</v>
      </c>
      <c r="X37" s="26" t="str">
        <f t="shared" si="93"/>
        <v>S</v>
      </c>
      <c r="Y37" s="26">
        <v>25.0</v>
      </c>
      <c r="Z37" s="26" t="str">
        <f t="shared" si="94"/>
        <v>S</v>
      </c>
      <c r="AA37" s="32" t="s">
        <v>299</v>
      </c>
      <c r="AB37" s="33">
        <v>8.0</v>
      </c>
      <c r="AC37" s="33" t="str">
        <f t="shared" si="95"/>
        <v>R</v>
      </c>
      <c r="AD37" s="33">
        <v>29.0</v>
      </c>
      <c r="AE37" s="33" t="str">
        <f t="shared" si="96"/>
        <v>S</v>
      </c>
      <c r="AF37" s="33">
        <v>22.0</v>
      </c>
      <c r="AG37" s="33" t="str">
        <f t="shared" si="97"/>
        <v>S</v>
      </c>
      <c r="AH37" s="33">
        <v>26.0</v>
      </c>
      <c r="AI37" s="33" t="str">
        <f t="shared" si="98"/>
        <v>S</v>
      </c>
      <c r="AJ37" s="33">
        <v>25.0</v>
      </c>
      <c r="AK37" s="33" t="str">
        <f t="shared" si="99"/>
        <v>I</v>
      </c>
      <c r="AL37" s="33" t="s">
        <v>299</v>
      </c>
      <c r="AM37" s="36">
        <v>28.0</v>
      </c>
      <c r="AN37" s="36" t="str">
        <f t="shared" si="100"/>
        <v>S</v>
      </c>
      <c r="AO37" s="36">
        <v>28.0</v>
      </c>
      <c r="AP37" s="36" t="str">
        <f t="shared" si="101"/>
        <v>S</v>
      </c>
      <c r="AQ37" s="36">
        <v>8.0</v>
      </c>
      <c r="AR37" s="36" t="str">
        <f t="shared" si="102"/>
        <v>R</v>
      </c>
      <c r="AS37" s="36" t="s">
        <v>299</v>
      </c>
      <c r="AT37" s="37">
        <v>6.0</v>
      </c>
      <c r="AU37" s="37" t="str">
        <f t="shared" si="103"/>
        <v>R</v>
      </c>
      <c r="AV37" s="33">
        <v>23.0</v>
      </c>
      <c r="AW37" s="33" t="str">
        <f t="shared" si="104"/>
        <v>S</v>
      </c>
      <c r="AX37" s="33">
        <v>18.0</v>
      </c>
      <c r="AY37" s="33" t="str">
        <f t="shared" si="105"/>
        <v>S</v>
      </c>
      <c r="AZ37" s="33" t="s">
        <v>300</v>
      </c>
      <c r="BA37" s="26">
        <v>20.0</v>
      </c>
      <c r="BB37" s="26" t="str">
        <f t="shared" si="106"/>
        <v>S</v>
      </c>
      <c r="BC37" s="37">
        <v>20.0</v>
      </c>
      <c r="BD37" s="37" t="str">
        <f t="shared" si="107"/>
        <v>R</v>
      </c>
      <c r="BE37" s="36">
        <v>32.0</v>
      </c>
      <c r="BF37" s="36" t="str">
        <f t="shared" si="108"/>
        <v>S</v>
      </c>
      <c r="BG37" s="39" t="s">
        <v>357</v>
      </c>
      <c r="BH37" s="39" t="s">
        <v>357</v>
      </c>
      <c r="BI37" s="36">
        <v>31.0</v>
      </c>
      <c r="BJ37" s="36" t="str">
        <f t="shared" si="109"/>
        <v>S</v>
      </c>
      <c r="BK37" s="40">
        <v>21.0</v>
      </c>
      <c r="BL37" s="41" t="str">
        <f t="shared" si="110"/>
        <v>S</v>
      </c>
      <c r="BM37" s="41"/>
    </row>
    <row r="38">
      <c r="A38" s="18" t="s">
        <v>639</v>
      </c>
      <c r="B38" s="19">
        <v>42.0</v>
      </c>
      <c r="C38" s="18" t="s">
        <v>936</v>
      </c>
      <c r="D38" s="18" t="s">
        <v>190</v>
      </c>
      <c r="E38" s="18" t="s">
        <v>190</v>
      </c>
      <c r="F38" s="18" t="s">
        <v>192</v>
      </c>
      <c r="G38" s="20" t="s">
        <v>1082</v>
      </c>
      <c r="H38" s="22" t="s">
        <v>198</v>
      </c>
      <c r="I38" s="84" t="s">
        <v>37</v>
      </c>
      <c r="J38" s="81" t="s">
        <v>205</v>
      </c>
      <c r="K38" s="81" t="s">
        <v>205</v>
      </c>
      <c r="L38" s="81" t="s">
        <v>208</v>
      </c>
      <c r="M38" s="26">
        <v>6.0</v>
      </c>
      <c r="N38" s="26" t="str">
        <f t="shared" si="89"/>
        <v>R</v>
      </c>
      <c r="O38" s="26">
        <v>23.0</v>
      </c>
      <c r="P38" s="26" t="str">
        <f t="shared" si="90"/>
        <v>S</v>
      </c>
      <c r="Q38" s="26">
        <v>6.0</v>
      </c>
      <c r="R38" s="26" t="str">
        <f t="shared" si="91"/>
        <v>R</v>
      </c>
      <c r="S38" s="32" t="s">
        <v>357</v>
      </c>
      <c r="T38" s="32" t="s">
        <v>357</v>
      </c>
      <c r="U38" s="26">
        <v>9.0</v>
      </c>
      <c r="V38" s="26" t="str">
        <f t="shared" si="92"/>
        <v>R</v>
      </c>
      <c r="W38" s="26">
        <v>25.0</v>
      </c>
      <c r="X38" s="26" t="str">
        <f t="shared" si="93"/>
        <v>S</v>
      </c>
      <c r="Y38" s="26">
        <v>23.0</v>
      </c>
      <c r="Z38" s="26" t="str">
        <f t="shared" si="94"/>
        <v>S</v>
      </c>
      <c r="AA38" s="32" t="s">
        <v>299</v>
      </c>
      <c r="AB38" s="33">
        <v>6.0</v>
      </c>
      <c r="AC38" s="33" t="str">
        <f t="shared" si="95"/>
        <v>R</v>
      </c>
      <c r="AD38" s="33">
        <v>25.0</v>
      </c>
      <c r="AE38" s="33" t="str">
        <f t="shared" si="96"/>
        <v>S</v>
      </c>
      <c r="AF38" s="33">
        <v>17.0</v>
      </c>
      <c r="AG38" s="33" t="str">
        <f t="shared" si="97"/>
        <v>R</v>
      </c>
      <c r="AH38" s="33">
        <v>25.0</v>
      </c>
      <c r="AI38" s="33" t="str">
        <f t="shared" si="98"/>
        <v>S</v>
      </c>
      <c r="AJ38" s="33">
        <v>17.0</v>
      </c>
      <c r="AK38" s="33" t="str">
        <f t="shared" si="99"/>
        <v>R</v>
      </c>
      <c r="AL38" s="33" t="s">
        <v>299</v>
      </c>
      <c r="AM38" s="36">
        <v>23.0</v>
      </c>
      <c r="AN38" s="36" t="str">
        <f t="shared" si="100"/>
        <v>I</v>
      </c>
      <c r="AO38" s="36">
        <v>25.0</v>
      </c>
      <c r="AP38" s="36" t="str">
        <f t="shared" si="101"/>
        <v>S</v>
      </c>
      <c r="AQ38" s="36">
        <v>25.0</v>
      </c>
      <c r="AR38" s="36" t="str">
        <f t="shared" si="102"/>
        <v>S</v>
      </c>
      <c r="AS38" s="36" t="s">
        <v>300</v>
      </c>
      <c r="AT38" s="37">
        <v>6.0</v>
      </c>
      <c r="AU38" s="37" t="str">
        <f t="shared" si="103"/>
        <v>R</v>
      </c>
      <c r="AV38" s="33">
        <v>20.0</v>
      </c>
      <c r="AW38" s="33" t="str">
        <f t="shared" si="104"/>
        <v>S</v>
      </c>
      <c r="AX38" s="33">
        <v>19.0</v>
      </c>
      <c r="AY38" s="33" t="str">
        <f t="shared" si="105"/>
        <v>S</v>
      </c>
      <c r="AZ38" s="33" t="s">
        <v>300</v>
      </c>
      <c r="BA38" s="26">
        <v>22.0</v>
      </c>
      <c r="BB38" s="26" t="str">
        <f t="shared" si="106"/>
        <v>S</v>
      </c>
      <c r="BC38" s="37">
        <v>11.0</v>
      </c>
      <c r="BD38" s="37" t="str">
        <f t="shared" si="107"/>
        <v>R</v>
      </c>
      <c r="BE38" s="36">
        <v>29.0</v>
      </c>
      <c r="BF38" s="36" t="str">
        <f t="shared" si="108"/>
        <v>S</v>
      </c>
      <c r="BG38" s="39" t="s">
        <v>357</v>
      </c>
      <c r="BH38" s="39" t="s">
        <v>357</v>
      </c>
      <c r="BI38" s="36">
        <v>31.0</v>
      </c>
      <c r="BJ38" s="36" t="str">
        <f t="shared" si="109"/>
        <v>S</v>
      </c>
      <c r="BK38" s="40">
        <v>19.0</v>
      </c>
      <c r="BL38" s="41" t="str">
        <f t="shared" si="110"/>
        <v>S</v>
      </c>
      <c r="BM38" s="41"/>
    </row>
    <row r="39">
      <c r="A39" s="18" t="s">
        <v>639</v>
      </c>
      <c r="B39" s="19">
        <v>43.0</v>
      </c>
      <c r="C39" s="18" t="s">
        <v>942</v>
      </c>
      <c r="D39" s="18" t="s">
        <v>571</v>
      </c>
      <c r="E39" s="18" t="s">
        <v>572</v>
      </c>
      <c r="F39" s="18" t="s">
        <v>573</v>
      </c>
      <c r="G39" s="20" t="s">
        <v>357</v>
      </c>
      <c r="H39" s="47" t="s">
        <v>357</v>
      </c>
      <c r="I39" s="83" t="s">
        <v>357</v>
      </c>
      <c r="J39" s="82" t="s">
        <v>208</v>
      </c>
      <c r="K39" s="82" t="s">
        <v>208</v>
      </c>
      <c r="L39" s="82" t="s">
        <v>208</v>
      </c>
      <c r="M39" s="32" t="s">
        <v>357</v>
      </c>
      <c r="N39" s="32" t="s">
        <v>357</v>
      </c>
      <c r="O39" s="32" t="s">
        <v>357</v>
      </c>
      <c r="P39" s="32" t="s">
        <v>357</v>
      </c>
      <c r="Q39" s="32" t="s">
        <v>357</v>
      </c>
      <c r="R39" s="32" t="s">
        <v>357</v>
      </c>
      <c r="S39" s="32" t="s">
        <v>357</v>
      </c>
      <c r="T39" s="32" t="s">
        <v>357</v>
      </c>
      <c r="U39" s="32" t="s">
        <v>357</v>
      </c>
      <c r="V39" s="32" t="s">
        <v>357</v>
      </c>
      <c r="W39" s="32" t="s">
        <v>357</v>
      </c>
      <c r="X39" s="32" t="s">
        <v>357</v>
      </c>
      <c r="Y39" s="32" t="s">
        <v>357</v>
      </c>
      <c r="Z39" s="32" t="s">
        <v>357</v>
      </c>
      <c r="AA39" s="32" t="s">
        <v>357</v>
      </c>
      <c r="AB39" s="49" t="s">
        <v>357</v>
      </c>
      <c r="AC39" s="49" t="s">
        <v>357</v>
      </c>
      <c r="AD39" s="49" t="s">
        <v>357</v>
      </c>
      <c r="AE39" s="49" t="s">
        <v>357</v>
      </c>
      <c r="AF39" s="49" t="s">
        <v>357</v>
      </c>
      <c r="AG39" s="49" t="s">
        <v>357</v>
      </c>
      <c r="AH39" s="49" t="s">
        <v>357</v>
      </c>
      <c r="AI39" s="49" t="s">
        <v>357</v>
      </c>
      <c r="AJ39" s="49" t="s">
        <v>357</v>
      </c>
      <c r="AK39" s="49" t="s">
        <v>357</v>
      </c>
      <c r="AL39" s="49" t="s">
        <v>357</v>
      </c>
      <c r="AM39" s="39" t="s">
        <v>357</v>
      </c>
      <c r="AN39" s="39" t="s">
        <v>357</v>
      </c>
      <c r="AO39" s="39" t="s">
        <v>357</v>
      </c>
      <c r="AP39" s="39" t="s">
        <v>357</v>
      </c>
      <c r="AQ39" s="39" t="s">
        <v>357</v>
      </c>
      <c r="AR39" s="39" t="s">
        <v>357</v>
      </c>
      <c r="AS39" s="39" t="s">
        <v>357</v>
      </c>
      <c r="AT39" s="50" t="s">
        <v>357</v>
      </c>
      <c r="AU39" s="50" t="s">
        <v>357</v>
      </c>
      <c r="AV39" s="49" t="s">
        <v>357</v>
      </c>
      <c r="AW39" s="49" t="s">
        <v>357</v>
      </c>
      <c r="AX39" s="49" t="s">
        <v>357</v>
      </c>
      <c r="AY39" s="49" t="s">
        <v>357</v>
      </c>
      <c r="AZ39" s="49" t="s">
        <v>357</v>
      </c>
      <c r="BA39" s="32" t="s">
        <v>357</v>
      </c>
      <c r="BB39" s="32" t="s">
        <v>357</v>
      </c>
      <c r="BC39" s="50" t="s">
        <v>357</v>
      </c>
      <c r="BD39" s="50" t="s">
        <v>357</v>
      </c>
      <c r="BE39" s="39" t="s">
        <v>357</v>
      </c>
      <c r="BF39" s="39" t="s">
        <v>357</v>
      </c>
      <c r="BG39" s="39" t="s">
        <v>357</v>
      </c>
      <c r="BH39" s="39" t="s">
        <v>357</v>
      </c>
      <c r="BI39" s="39" t="s">
        <v>357</v>
      </c>
      <c r="BJ39" s="39" t="s">
        <v>357</v>
      </c>
      <c r="BK39" s="41" t="s">
        <v>357</v>
      </c>
      <c r="BL39" s="41" t="s">
        <v>357</v>
      </c>
      <c r="BM39" s="41"/>
    </row>
    <row r="40">
      <c r="A40" s="18" t="s">
        <v>639</v>
      </c>
      <c r="B40" s="19">
        <v>44.0</v>
      </c>
      <c r="C40" s="18" t="s">
        <v>589</v>
      </c>
      <c r="D40" s="18" t="s">
        <v>705</v>
      </c>
      <c r="E40" s="18" t="s">
        <v>572</v>
      </c>
      <c r="F40" s="18" t="s">
        <v>192</v>
      </c>
      <c r="G40" s="20" t="s">
        <v>1090</v>
      </c>
      <c r="H40" s="59" t="s">
        <v>1092</v>
      </c>
      <c r="I40" s="80" t="s">
        <v>481</v>
      </c>
      <c r="J40" s="81" t="s">
        <v>205</v>
      </c>
      <c r="K40" s="82" t="s">
        <v>208</v>
      </c>
      <c r="L40" s="81" t="s">
        <v>208</v>
      </c>
      <c r="M40" s="26">
        <v>6.0</v>
      </c>
      <c r="N40" s="26" t="str">
        <f t="shared" ref="N40:N41" si="111">IF((M40&gt;=19),"S",IF(AND(M40&lt;19),"R", "NA"))</f>
        <v>R</v>
      </c>
      <c r="O40" s="26">
        <v>8.0</v>
      </c>
      <c r="P40" s="26" t="str">
        <f t="shared" ref="P40:P41" si="112">IF((O40&gt;=19),"S",IF(AND(O40&lt;19),"R", "NA"))</f>
        <v>R</v>
      </c>
      <c r="Q40" s="26">
        <v>28.0</v>
      </c>
      <c r="R40" s="26" t="str">
        <f t="shared" ref="R40:R41" si="113">IF((Q40&gt;=23),"S",IF(AND(Q40&lt;23),"R","NA"))</f>
        <v>S</v>
      </c>
      <c r="S40" s="32" t="s">
        <v>357</v>
      </c>
      <c r="T40" s="32" t="s">
        <v>357</v>
      </c>
      <c r="U40" s="26">
        <v>29.0</v>
      </c>
      <c r="V40" s="26" t="str">
        <f t="shared" ref="V40:V41" si="114">IF((U40&gt;=20),"S",IF(AND(U40&lt;20),"R", "NA"))</f>
        <v>S</v>
      </c>
      <c r="W40" s="26">
        <v>25.0</v>
      </c>
      <c r="X40" s="26" t="str">
        <f t="shared" ref="X40:X41" si="115">IF((W40&gt;=20),"S",IF(AND(W40&lt;20),"R", "NA"))</f>
        <v>S</v>
      </c>
      <c r="Y40" s="26">
        <v>25.0</v>
      </c>
      <c r="Z40" s="26" t="str">
        <f t="shared" ref="Z40:Z41" si="116">IF((Y40&gt;=20),"S",IF(AND(Y40&lt;20,Y40&gt;=17),"I",IF(AND(Y40&lt;17),"R","NA")))</f>
        <v>S</v>
      </c>
      <c r="AA40" s="32" t="s">
        <v>299</v>
      </c>
      <c r="AB40" s="33">
        <v>26.0</v>
      </c>
      <c r="AC40" s="33" t="str">
        <f t="shared" ref="AC40:AC41" si="117">IF((AB40&gt;=20),"S",IF(AND(AB40&lt;20,AB40&gt;=17),"I",IF(AND(AB40&lt;17),"R","NA")))</f>
        <v>S</v>
      </c>
      <c r="AD40" s="33">
        <v>6.0</v>
      </c>
      <c r="AE40" s="33" t="str">
        <f t="shared" ref="AE40:AE41" si="118">IF((AD40&gt;=18),"S",IF(AND(AD40&lt;18),"R", "NA"))</f>
        <v>R</v>
      </c>
      <c r="AF40" s="33">
        <v>28.0</v>
      </c>
      <c r="AG40" s="33" t="str">
        <f t="shared" ref="AG40:AG41" si="119">IF((AF40&gt;=22),"S",IF(AND(AF40&lt;22,AF40&gt;=19),"I",IF(AND(AF40&lt;19),"R","NA")))</f>
        <v>S</v>
      </c>
      <c r="AH40" s="33">
        <v>28.0</v>
      </c>
      <c r="AI40" s="33" t="str">
        <f t="shared" ref="AI40:AI41" si="120">IF((AH40&gt;=13),"S",IF(AND(AH40&lt;13),"R", "NA"))</f>
        <v>S</v>
      </c>
      <c r="AJ40" s="33">
        <v>35.0</v>
      </c>
      <c r="AK40" s="33" t="str">
        <f t="shared" ref="AK40:AK41" si="121">IF((AJ40&gt;=27),"S",IF(AND(AJ40&lt;27,AJ40&gt;=24),"I",IF(AND(AJ40&lt;24),"R","NA")))</f>
        <v>S</v>
      </c>
      <c r="AL40" s="33" t="s">
        <v>299</v>
      </c>
      <c r="AM40" s="36">
        <v>28.0</v>
      </c>
      <c r="AN40" s="36" t="str">
        <f t="shared" ref="AN40:AN41" si="122">IF((AM40&gt;=25),"S",IF(AND(AM40&lt;25,AM40&gt;=22),"I",IF(AND(AM40&lt;22),"R","NA")))</f>
        <v>S</v>
      </c>
      <c r="AO40" s="36">
        <v>25.0</v>
      </c>
      <c r="AP40" s="36" t="str">
        <f t="shared" ref="AP40:AP41" si="123">IF((AO40&gt;=23),"S",IF(AND(AO40&lt;23,AO40&gt;=19),"I",IF(AND(AO40&lt;19),"R","NA")))</f>
        <v>S</v>
      </c>
      <c r="AQ40" s="36">
        <v>23.0</v>
      </c>
      <c r="AR40" s="36" t="str">
        <f t="shared" ref="AR40:AR41" si="124">IF((AQ40&gt;=14),"S",IF(AND(AQ40&lt;14),"R","NA"))</f>
        <v>S</v>
      </c>
      <c r="AS40" s="36" t="s">
        <v>300</v>
      </c>
      <c r="AT40" s="37">
        <v>30.0</v>
      </c>
      <c r="AU40" s="37" t="str">
        <f t="shared" ref="AU40:AU41" si="125">IF((AT40&gt;=14),"S",IF(AND(AT40&lt;14,AT40&gt;=11),"I",IF(AND(AT40&lt;11),"R","NA")))</f>
        <v>S</v>
      </c>
      <c r="AV40" s="33">
        <v>22.0</v>
      </c>
      <c r="AW40" s="33" t="str">
        <f t="shared" ref="AW40:AW41" si="126">IF((AV40&gt;=18),"S",IF(AND(AV40&lt;18),"R", "NA"))</f>
        <v>S</v>
      </c>
      <c r="AX40" s="33">
        <v>22.0</v>
      </c>
      <c r="AY40" s="33" t="str">
        <f t="shared" ref="AY40:AY41" si="127">IF((AX40&gt;=16),"S",IF(AND(AX40&lt;16),"R", "NA"))</f>
        <v>S</v>
      </c>
      <c r="AZ40" s="33" t="s">
        <v>300</v>
      </c>
      <c r="BA40" s="26">
        <v>17.0</v>
      </c>
      <c r="BB40" s="26" t="str">
        <f t="shared" ref="BB40:BB41" si="128">IF((BA40&gt;=20),"S",IF(AND(BA40&lt;20),"R", "NA"))</f>
        <v>R</v>
      </c>
      <c r="BC40" s="37">
        <v>34.0</v>
      </c>
      <c r="BD40" s="37" t="str">
        <f t="shared" ref="BD40:BD41" si="129">IF((BC40&gt;=26),"S",IF(AND(BC40&lt;26,BC40&gt;=21),"I",IF(AND(BC40&lt;21),"R","NA")))</f>
        <v>S</v>
      </c>
      <c r="BE40" s="36">
        <v>31.0</v>
      </c>
      <c r="BF40" s="36" t="str">
        <f t="shared" ref="BF40:BF41" si="130">IF((BE40&gt;=23),"S",IF(AND(BE40&lt;23),"R","NA"))</f>
        <v>S</v>
      </c>
      <c r="BG40" s="39" t="s">
        <v>357</v>
      </c>
      <c r="BH40" s="39" t="s">
        <v>357</v>
      </c>
      <c r="BI40" s="36">
        <v>26.0</v>
      </c>
      <c r="BJ40" s="36" t="str">
        <f t="shared" ref="BJ40:BJ41" si="131">IF((BI40&gt;=22),"S",IF(AND(BI40&lt;22,BI40&gt;=19),"I",IF(AND(BI40&lt;19),"R","NA")))</f>
        <v>S</v>
      </c>
      <c r="BK40" s="40">
        <v>22.0</v>
      </c>
      <c r="BL40" s="41" t="str">
        <f t="shared" ref="BL40:BL41" si="132">IF((BK40&gt;=17),"S",IF(AND(BK40&lt;17),"R", "NA"))</f>
        <v>S</v>
      </c>
      <c r="BM40" s="41"/>
    </row>
    <row r="41">
      <c r="A41" s="18" t="s">
        <v>639</v>
      </c>
      <c r="B41" s="18" t="s">
        <v>444</v>
      </c>
      <c r="C41" s="18" t="s">
        <v>954</v>
      </c>
      <c r="D41" s="18" t="s">
        <v>705</v>
      </c>
      <c r="E41" s="18" t="s">
        <v>572</v>
      </c>
      <c r="F41" s="18" t="s">
        <v>192</v>
      </c>
      <c r="G41" s="20" t="s">
        <v>1125</v>
      </c>
      <c r="H41" s="59" t="s">
        <v>1126</v>
      </c>
      <c r="I41" s="80" t="s">
        <v>481</v>
      </c>
      <c r="J41" s="81" t="s">
        <v>205</v>
      </c>
      <c r="K41" s="82" t="s">
        <v>208</v>
      </c>
      <c r="L41" s="81" t="s">
        <v>208</v>
      </c>
      <c r="M41" s="26">
        <v>6.0</v>
      </c>
      <c r="N41" s="26" t="str">
        <f t="shared" si="111"/>
        <v>R</v>
      </c>
      <c r="O41" s="26">
        <v>6.0</v>
      </c>
      <c r="P41" s="26" t="str">
        <f t="shared" si="112"/>
        <v>R</v>
      </c>
      <c r="Q41" s="26">
        <v>24.0</v>
      </c>
      <c r="R41" s="26" t="str">
        <f t="shared" si="113"/>
        <v>S</v>
      </c>
      <c r="S41" s="32" t="s">
        <v>357</v>
      </c>
      <c r="T41" s="32" t="s">
        <v>357</v>
      </c>
      <c r="U41" s="26">
        <v>28.0</v>
      </c>
      <c r="V41" s="26" t="str">
        <f t="shared" si="114"/>
        <v>S</v>
      </c>
      <c r="W41" s="26">
        <v>24.0</v>
      </c>
      <c r="X41" s="26" t="str">
        <f t="shared" si="115"/>
        <v>S</v>
      </c>
      <c r="Y41" s="26">
        <v>25.0</v>
      </c>
      <c r="Z41" s="26" t="str">
        <f t="shared" si="116"/>
        <v>S</v>
      </c>
      <c r="AA41" s="32" t="s">
        <v>299</v>
      </c>
      <c r="AB41" s="33">
        <v>23.0</v>
      </c>
      <c r="AC41" s="33" t="str">
        <f t="shared" si="117"/>
        <v>S</v>
      </c>
      <c r="AD41" s="33">
        <v>6.0</v>
      </c>
      <c r="AE41" s="33" t="str">
        <f t="shared" si="118"/>
        <v>R</v>
      </c>
      <c r="AF41" s="33">
        <v>27.0</v>
      </c>
      <c r="AG41" s="33" t="str">
        <f t="shared" si="119"/>
        <v>S</v>
      </c>
      <c r="AH41" s="33">
        <v>25.0</v>
      </c>
      <c r="AI41" s="33" t="str">
        <f t="shared" si="120"/>
        <v>S</v>
      </c>
      <c r="AJ41" s="33">
        <v>38.0</v>
      </c>
      <c r="AK41" s="33" t="str">
        <f t="shared" si="121"/>
        <v>S</v>
      </c>
      <c r="AL41" s="33" t="s">
        <v>299</v>
      </c>
      <c r="AM41" s="36">
        <v>27.0</v>
      </c>
      <c r="AN41" s="36" t="str">
        <f t="shared" si="122"/>
        <v>S</v>
      </c>
      <c r="AO41" s="36">
        <v>24.0</v>
      </c>
      <c r="AP41" s="36" t="str">
        <f t="shared" si="123"/>
        <v>S</v>
      </c>
      <c r="AQ41" s="36">
        <v>24.0</v>
      </c>
      <c r="AR41" s="36" t="str">
        <f t="shared" si="124"/>
        <v>S</v>
      </c>
      <c r="AS41" s="36" t="s">
        <v>300</v>
      </c>
      <c r="AT41" s="37">
        <v>29.0</v>
      </c>
      <c r="AU41" s="37" t="str">
        <f t="shared" si="125"/>
        <v>S</v>
      </c>
      <c r="AV41" s="33">
        <v>24.0</v>
      </c>
      <c r="AW41" s="33" t="str">
        <f t="shared" si="126"/>
        <v>S</v>
      </c>
      <c r="AX41" s="33">
        <v>21.0</v>
      </c>
      <c r="AY41" s="33" t="str">
        <f t="shared" si="127"/>
        <v>S</v>
      </c>
      <c r="AZ41" s="33" t="s">
        <v>300</v>
      </c>
      <c r="BA41" s="26">
        <v>18.0</v>
      </c>
      <c r="BB41" s="26" t="str">
        <f t="shared" si="128"/>
        <v>R</v>
      </c>
      <c r="BC41" s="37">
        <v>34.0</v>
      </c>
      <c r="BD41" s="37" t="str">
        <f t="shared" si="129"/>
        <v>S</v>
      </c>
      <c r="BE41" s="36">
        <v>23.0</v>
      </c>
      <c r="BF41" s="36" t="str">
        <f t="shared" si="130"/>
        <v>S</v>
      </c>
      <c r="BG41" s="36">
        <v>0.25</v>
      </c>
      <c r="BH41" s="36" t="str">
        <f>IF((BG41&lt;=0.5),"S",IF(AND(BG41&gt;0.5),"R", "NA"))</f>
        <v>S</v>
      </c>
      <c r="BI41" s="36">
        <v>26.0</v>
      </c>
      <c r="BJ41" s="36" t="str">
        <f t="shared" si="131"/>
        <v>S</v>
      </c>
      <c r="BK41" s="40">
        <v>23.0</v>
      </c>
      <c r="BL41" s="41" t="str">
        <f t="shared" si="132"/>
        <v>S</v>
      </c>
      <c r="BM41" s="41"/>
    </row>
    <row r="42">
      <c r="A42" s="18" t="s">
        <v>639</v>
      </c>
      <c r="B42" s="19">
        <v>45.0</v>
      </c>
      <c r="C42" s="18" t="s">
        <v>963</v>
      </c>
      <c r="D42" s="18" t="s">
        <v>853</v>
      </c>
      <c r="E42" s="18" t="s">
        <v>103</v>
      </c>
      <c r="F42" s="18" t="s">
        <v>573</v>
      </c>
      <c r="G42" s="20" t="s">
        <v>357</v>
      </c>
      <c r="H42" s="47" t="s">
        <v>357</v>
      </c>
      <c r="I42" s="83" t="s">
        <v>357</v>
      </c>
      <c r="J42" s="82" t="s">
        <v>208</v>
      </c>
      <c r="K42" s="82" t="s">
        <v>208</v>
      </c>
      <c r="L42" s="82" t="s">
        <v>208</v>
      </c>
      <c r="M42" s="32" t="s">
        <v>357</v>
      </c>
      <c r="N42" s="32" t="s">
        <v>357</v>
      </c>
      <c r="O42" s="32" t="s">
        <v>357</v>
      </c>
      <c r="P42" s="32" t="s">
        <v>357</v>
      </c>
      <c r="Q42" s="32" t="s">
        <v>357</v>
      </c>
      <c r="R42" s="32" t="s">
        <v>357</v>
      </c>
      <c r="S42" s="32" t="s">
        <v>357</v>
      </c>
      <c r="T42" s="32" t="s">
        <v>357</v>
      </c>
      <c r="U42" s="32" t="s">
        <v>357</v>
      </c>
      <c r="V42" s="32" t="s">
        <v>357</v>
      </c>
      <c r="W42" s="32" t="s">
        <v>357</v>
      </c>
      <c r="X42" s="32" t="s">
        <v>357</v>
      </c>
      <c r="Y42" s="32" t="s">
        <v>357</v>
      </c>
      <c r="Z42" s="32" t="s">
        <v>357</v>
      </c>
      <c r="AA42" s="32" t="s">
        <v>357</v>
      </c>
      <c r="AB42" s="49" t="s">
        <v>357</v>
      </c>
      <c r="AC42" s="49" t="s">
        <v>357</v>
      </c>
      <c r="AD42" s="49" t="s">
        <v>357</v>
      </c>
      <c r="AE42" s="49" t="s">
        <v>357</v>
      </c>
      <c r="AF42" s="49" t="s">
        <v>357</v>
      </c>
      <c r="AG42" s="49" t="s">
        <v>357</v>
      </c>
      <c r="AH42" s="49" t="s">
        <v>357</v>
      </c>
      <c r="AI42" s="49" t="s">
        <v>357</v>
      </c>
      <c r="AJ42" s="49" t="s">
        <v>357</v>
      </c>
      <c r="AK42" s="49" t="s">
        <v>357</v>
      </c>
      <c r="AL42" s="49" t="s">
        <v>357</v>
      </c>
      <c r="AM42" s="39" t="s">
        <v>357</v>
      </c>
      <c r="AN42" s="39" t="s">
        <v>357</v>
      </c>
      <c r="AO42" s="39" t="s">
        <v>357</v>
      </c>
      <c r="AP42" s="39" t="s">
        <v>357</v>
      </c>
      <c r="AQ42" s="39" t="s">
        <v>357</v>
      </c>
      <c r="AR42" s="39" t="s">
        <v>357</v>
      </c>
      <c r="AS42" s="39" t="s">
        <v>357</v>
      </c>
      <c r="AT42" s="50" t="s">
        <v>357</v>
      </c>
      <c r="AU42" s="50" t="s">
        <v>357</v>
      </c>
      <c r="AV42" s="49" t="s">
        <v>357</v>
      </c>
      <c r="AW42" s="49" t="s">
        <v>357</v>
      </c>
      <c r="AX42" s="49" t="s">
        <v>357</v>
      </c>
      <c r="AY42" s="49" t="s">
        <v>357</v>
      </c>
      <c r="AZ42" s="49" t="s">
        <v>357</v>
      </c>
      <c r="BA42" s="32" t="s">
        <v>357</v>
      </c>
      <c r="BB42" s="32" t="s">
        <v>357</v>
      </c>
      <c r="BC42" s="50" t="s">
        <v>357</v>
      </c>
      <c r="BD42" s="50" t="s">
        <v>357</v>
      </c>
      <c r="BE42" s="39" t="s">
        <v>357</v>
      </c>
      <c r="BF42" s="39" t="s">
        <v>357</v>
      </c>
      <c r="BG42" s="39" t="s">
        <v>357</v>
      </c>
      <c r="BH42" s="39" t="s">
        <v>357</v>
      </c>
      <c r="BI42" s="39" t="s">
        <v>357</v>
      </c>
      <c r="BJ42" s="39" t="s">
        <v>357</v>
      </c>
      <c r="BK42" s="41" t="s">
        <v>357</v>
      </c>
      <c r="BL42" s="41" t="s">
        <v>357</v>
      </c>
      <c r="BM42" s="41"/>
    </row>
    <row r="43">
      <c r="A43" s="18" t="s">
        <v>611</v>
      </c>
      <c r="B43" s="19">
        <v>46.0</v>
      </c>
      <c r="C43" s="18" t="s">
        <v>967</v>
      </c>
      <c r="D43" s="18" t="s">
        <v>190</v>
      </c>
      <c r="E43" s="18" t="s">
        <v>190</v>
      </c>
      <c r="F43" s="18" t="s">
        <v>192</v>
      </c>
      <c r="G43" s="20" t="s">
        <v>1138</v>
      </c>
      <c r="H43" s="22" t="s">
        <v>198</v>
      </c>
      <c r="I43" s="84" t="s">
        <v>37</v>
      </c>
      <c r="J43" s="81" t="s">
        <v>205</v>
      </c>
      <c r="K43" s="81" t="s">
        <v>205</v>
      </c>
      <c r="L43" s="81" t="s">
        <v>208</v>
      </c>
      <c r="M43" s="26">
        <v>6.0</v>
      </c>
      <c r="N43" s="26" t="str">
        <f>IF((M43&gt;=19),"S",IF(AND(M43&lt;19),"R", "NA"))</f>
        <v>R</v>
      </c>
      <c r="O43" s="26">
        <v>18.0</v>
      </c>
      <c r="P43" s="26" t="str">
        <f>IF((O43&gt;=19),"S",IF(AND(O43&lt;19),"R", "NA"))</f>
        <v>R</v>
      </c>
      <c r="Q43" s="26">
        <v>6.0</v>
      </c>
      <c r="R43" s="26" t="str">
        <f>IF((Q43&gt;=23),"S",IF(AND(Q43&lt;23),"R","NA"))</f>
        <v>R</v>
      </c>
      <c r="S43" s="32" t="s">
        <v>357</v>
      </c>
      <c r="T43" s="32" t="s">
        <v>357</v>
      </c>
      <c r="U43" s="26">
        <v>12.0</v>
      </c>
      <c r="V43" s="26" t="str">
        <f>IF((U43&gt;=20),"S",IF(AND(U43&lt;20),"R", "NA"))</f>
        <v>R</v>
      </c>
      <c r="W43" s="26">
        <v>22.0</v>
      </c>
      <c r="X43" s="26" t="str">
        <f>IF((W43&gt;=20),"S",IF(AND(W43&lt;20),"R", "NA"))</f>
        <v>S</v>
      </c>
      <c r="Y43" s="32" t="s">
        <v>357</v>
      </c>
      <c r="Z43" s="26" t="s">
        <v>357</v>
      </c>
      <c r="AA43" s="32" t="s">
        <v>299</v>
      </c>
      <c r="AB43" s="33">
        <v>6.0</v>
      </c>
      <c r="AC43" s="33" t="str">
        <f>IF((AB43&gt;=20),"S",IF(AND(AB43&lt;20,AB43&gt;=17),"I",IF(AND(AB43&lt;17),"R","NA")))</f>
        <v>R</v>
      </c>
      <c r="AD43" s="33">
        <v>25.0</v>
      </c>
      <c r="AE43" s="33" t="str">
        <f>IF((AD43&gt;=18),"S",IF(AND(AD43&lt;18),"R", "NA"))</f>
        <v>S</v>
      </c>
      <c r="AF43" s="33">
        <v>18.0</v>
      </c>
      <c r="AG43" s="33" t="str">
        <f>IF((AF43&gt;=22),"S",IF(AND(AF43&lt;22,AF43&gt;=19),"I",IF(AND(AF43&lt;19),"R","NA")))</f>
        <v>R</v>
      </c>
      <c r="AH43" s="33">
        <v>26.0</v>
      </c>
      <c r="AI43" s="33" t="str">
        <f>IF((AH43&gt;=13),"S",IF(AND(AH43&lt;13),"R", "NA"))</f>
        <v>S</v>
      </c>
      <c r="AJ43" s="33">
        <v>20.0</v>
      </c>
      <c r="AK43" s="33" t="str">
        <f>IF((AJ43&gt;=27),"S",IF(AND(AJ43&lt;27,AJ43&gt;=24),"I",IF(AND(AJ43&lt;24),"R","NA")))</f>
        <v>R</v>
      </c>
      <c r="AL43" s="33" t="s">
        <v>299</v>
      </c>
      <c r="AM43" s="36">
        <v>6.0</v>
      </c>
      <c r="AN43" s="36" t="str">
        <f>IF((AM43&gt;=25),"S",IF(AND(AM43&lt;25,AM43&gt;=22),"I",IF(AND(AM43&lt;22),"R","NA")))</f>
        <v>R</v>
      </c>
      <c r="AO43" s="36">
        <v>8.0</v>
      </c>
      <c r="AP43" s="36" t="str">
        <f>IF((AO43&gt;=23),"S",IF(AND(AO43&lt;23,AO43&gt;=19),"I",IF(AND(AO43&lt;19),"R","NA")))</f>
        <v>R</v>
      </c>
      <c r="AQ43" s="36">
        <v>6.0</v>
      </c>
      <c r="AR43" s="36" t="str">
        <f>IF((AQ43&gt;=14),"S",IF(AND(AQ43&lt;14),"R","NA"))</f>
        <v>R</v>
      </c>
      <c r="AS43" s="36" t="s">
        <v>299</v>
      </c>
      <c r="AT43" s="37">
        <v>6.0</v>
      </c>
      <c r="AU43" s="37" t="str">
        <f>IF((AT43&gt;=14),"S",IF(AND(AT43&lt;14,AT43&gt;=11),"I",IF(AND(AT43&lt;11),"R","NA")))</f>
        <v>R</v>
      </c>
      <c r="AV43" s="33">
        <v>20.0</v>
      </c>
      <c r="AW43" s="33" t="str">
        <f>IF((AV43&gt;=18),"S",IF(AND(AV43&lt;18),"R", "NA"))</f>
        <v>S</v>
      </c>
      <c r="AX43" s="33">
        <v>12.0</v>
      </c>
      <c r="AY43" s="33" t="str">
        <f>IF((AX43&gt;=16),"S",IF(AND(AX43&lt;16),"R", "NA"))</f>
        <v>R</v>
      </c>
      <c r="AZ43" s="33" t="s">
        <v>299</v>
      </c>
      <c r="BA43" s="26">
        <v>8.0</v>
      </c>
      <c r="BB43" s="26" t="str">
        <f>IF((BA43&gt;=20),"S",IF(AND(BA43&lt;20),"R", "NA"))</f>
        <v>R</v>
      </c>
      <c r="BC43" s="37">
        <v>13.0</v>
      </c>
      <c r="BD43" s="37" t="str">
        <f>IF((BC43&gt;=26),"S",IF(AND(BC43&lt;26,BC43&gt;=21),"I",IF(AND(BC43&lt;21),"R","NA")))</f>
        <v>R</v>
      </c>
      <c r="BE43" s="36">
        <v>31.0</v>
      </c>
      <c r="BF43" s="36" t="str">
        <f>IF((BE43&gt;=23),"S",IF(AND(BE43&lt;23),"R","NA"))</f>
        <v>S</v>
      </c>
      <c r="BG43" s="39" t="s">
        <v>357</v>
      </c>
      <c r="BH43" s="39" t="s">
        <v>357</v>
      </c>
      <c r="BI43" s="36">
        <v>30.0</v>
      </c>
      <c r="BJ43" s="36" t="str">
        <f>IF((BI43&gt;=22),"S",IF(AND(BI43&lt;22,BI43&gt;=19),"I",IF(AND(BI43&lt;19),"R","NA")))</f>
        <v>S</v>
      </c>
      <c r="BK43" s="40">
        <v>20.0</v>
      </c>
      <c r="BL43" s="41" t="str">
        <f>IF((BK43&gt;=17),"S",IF(AND(BK43&lt;17),"R", "NA"))</f>
        <v>S</v>
      </c>
      <c r="BM43" s="41"/>
    </row>
    <row r="44">
      <c r="A44" s="18" t="s">
        <v>611</v>
      </c>
      <c r="B44" s="19">
        <v>47.0</v>
      </c>
      <c r="C44" s="18" t="s">
        <v>971</v>
      </c>
      <c r="D44" s="18" t="s">
        <v>571</v>
      </c>
      <c r="E44" s="18" t="s">
        <v>572</v>
      </c>
      <c r="F44" s="18" t="s">
        <v>573</v>
      </c>
      <c r="G44" s="20" t="s">
        <v>357</v>
      </c>
      <c r="H44" s="47" t="s">
        <v>357</v>
      </c>
      <c r="I44" s="83" t="s">
        <v>357</v>
      </c>
      <c r="J44" s="82" t="s">
        <v>208</v>
      </c>
      <c r="K44" s="82" t="s">
        <v>208</v>
      </c>
      <c r="L44" s="82" t="s">
        <v>208</v>
      </c>
      <c r="M44" s="32" t="s">
        <v>357</v>
      </c>
      <c r="N44" s="32" t="s">
        <v>357</v>
      </c>
      <c r="O44" s="32" t="s">
        <v>357</v>
      </c>
      <c r="P44" s="32" t="s">
        <v>357</v>
      </c>
      <c r="Q44" s="32" t="s">
        <v>357</v>
      </c>
      <c r="R44" s="32" t="s">
        <v>357</v>
      </c>
      <c r="S44" s="32" t="s">
        <v>357</v>
      </c>
      <c r="T44" s="32" t="s">
        <v>357</v>
      </c>
      <c r="U44" s="32" t="s">
        <v>357</v>
      </c>
      <c r="V44" s="32" t="s">
        <v>357</v>
      </c>
      <c r="W44" s="32" t="s">
        <v>357</v>
      </c>
      <c r="X44" s="32" t="s">
        <v>357</v>
      </c>
      <c r="Y44" s="32" t="s">
        <v>357</v>
      </c>
      <c r="Z44" s="32" t="s">
        <v>357</v>
      </c>
      <c r="AA44" s="32" t="s">
        <v>357</v>
      </c>
      <c r="AB44" s="49" t="s">
        <v>357</v>
      </c>
      <c r="AC44" s="49" t="s">
        <v>357</v>
      </c>
      <c r="AD44" s="49" t="s">
        <v>357</v>
      </c>
      <c r="AE44" s="49" t="s">
        <v>357</v>
      </c>
      <c r="AF44" s="49" t="s">
        <v>357</v>
      </c>
      <c r="AG44" s="49" t="s">
        <v>357</v>
      </c>
      <c r="AH44" s="49" t="s">
        <v>357</v>
      </c>
      <c r="AI44" s="49" t="s">
        <v>357</v>
      </c>
      <c r="AJ44" s="49" t="s">
        <v>357</v>
      </c>
      <c r="AK44" s="49" t="s">
        <v>357</v>
      </c>
      <c r="AL44" s="49" t="s">
        <v>357</v>
      </c>
      <c r="AM44" s="39" t="s">
        <v>357</v>
      </c>
      <c r="AN44" s="39" t="s">
        <v>357</v>
      </c>
      <c r="AO44" s="39" t="s">
        <v>357</v>
      </c>
      <c r="AP44" s="39" t="s">
        <v>357</v>
      </c>
      <c r="AQ44" s="39" t="s">
        <v>357</v>
      </c>
      <c r="AR44" s="39" t="s">
        <v>357</v>
      </c>
      <c r="AS44" s="39" t="s">
        <v>357</v>
      </c>
      <c r="AT44" s="50" t="s">
        <v>357</v>
      </c>
      <c r="AU44" s="50" t="s">
        <v>357</v>
      </c>
      <c r="AV44" s="49" t="s">
        <v>357</v>
      </c>
      <c r="AW44" s="49" t="s">
        <v>357</v>
      </c>
      <c r="AX44" s="49" t="s">
        <v>357</v>
      </c>
      <c r="AY44" s="49" t="s">
        <v>357</v>
      </c>
      <c r="AZ44" s="49" t="s">
        <v>357</v>
      </c>
      <c r="BA44" s="32" t="s">
        <v>357</v>
      </c>
      <c r="BB44" s="32" t="s">
        <v>357</v>
      </c>
      <c r="BC44" s="50" t="s">
        <v>357</v>
      </c>
      <c r="BD44" s="50" t="s">
        <v>357</v>
      </c>
      <c r="BE44" s="39" t="s">
        <v>357</v>
      </c>
      <c r="BF44" s="39" t="s">
        <v>357</v>
      </c>
      <c r="BG44" s="39" t="s">
        <v>357</v>
      </c>
      <c r="BH44" s="39" t="s">
        <v>357</v>
      </c>
      <c r="BI44" s="39" t="s">
        <v>357</v>
      </c>
      <c r="BJ44" s="39" t="s">
        <v>357</v>
      </c>
      <c r="BK44" s="41" t="s">
        <v>357</v>
      </c>
      <c r="BL44" s="41" t="s">
        <v>357</v>
      </c>
      <c r="BM44" s="41"/>
    </row>
    <row r="45">
      <c r="A45" s="18" t="s">
        <v>611</v>
      </c>
      <c r="B45" s="19">
        <v>48.0</v>
      </c>
      <c r="C45" s="18" t="s">
        <v>605</v>
      </c>
      <c r="D45" s="18" t="s">
        <v>705</v>
      </c>
      <c r="E45" s="18" t="s">
        <v>572</v>
      </c>
      <c r="F45" s="18" t="s">
        <v>573</v>
      </c>
      <c r="G45" s="20" t="s">
        <v>357</v>
      </c>
      <c r="H45" s="47" t="s">
        <v>357</v>
      </c>
      <c r="I45" s="83" t="s">
        <v>357</v>
      </c>
      <c r="J45" s="82" t="s">
        <v>208</v>
      </c>
      <c r="K45" s="82" t="s">
        <v>208</v>
      </c>
      <c r="L45" s="82" t="s">
        <v>208</v>
      </c>
      <c r="M45" s="32" t="s">
        <v>357</v>
      </c>
      <c r="N45" s="32" t="s">
        <v>357</v>
      </c>
      <c r="O45" s="32" t="s">
        <v>357</v>
      </c>
      <c r="P45" s="32" t="s">
        <v>357</v>
      </c>
      <c r="Q45" s="32" t="s">
        <v>357</v>
      </c>
      <c r="R45" s="32" t="s">
        <v>357</v>
      </c>
      <c r="S45" s="32" t="s">
        <v>357</v>
      </c>
      <c r="T45" s="32" t="s">
        <v>357</v>
      </c>
      <c r="U45" s="32" t="s">
        <v>357</v>
      </c>
      <c r="V45" s="32" t="s">
        <v>357</v>
      </c>
      <c r="W45" s="32" t="s">
        <v>357</v>
      </c>
      <c r="X45" s="32" t="s">
        <v>357</v>
      </c>
      <c r="Y45" s="32" t="s">
        <v>357</v>
      </c>
      <c r="Z45" s="32" t="s">
        <v>357</v>
      </c>
      <c r="AA45" s="32" t="s">
        <v>357</v>
      </c>
      <c r="AB45" s="49" t="s">
        <v>357</v>
      </c>
      <c r="AC45" s="49" t="s">
        <v>357</v>
      </c>
      <c r="AD45" s="49" t="s">
        <v>357</v>
      </c>
      <c r="AE45" s="49" t="s">
        <v>357</v>
      </c>
      <c r="AF45" s="49" t="s">
        <v>357</v>
      </c>
      <c r="AG45" s="49" t="s">
        <v>357</v>
      </c>
      <c r="AH45" s="49" t="s">
        <v>357</v>
      </c>
      <c r="AI45" s="49" t="s">
        <v>357</v>
      </c>
      <c r="AJ45" s="49" t="s">
        <v>357</v>
      </c>
      <c r="AK45" s="49" t="s">
        <v>357</v>
      </c>
      <c r="AL45" s="49" t="s">
        <v>357</v>
      </c>
      <c r="AM45" s="39" t="s">
        <v>357</v>
      </c>
      <c r="AN45" s="39" t="s">
        <v>357</v>
      </c>
      <c r="AO45" s="39" t="s">
        <v>357</v>
      </c>
      <c r="AP45" s="39" t="s">
        <v>357</v>
      </c>
      <c r="AQ45" s="39" t="s">
        <v>357</v>
      </c>
      <c r="AR45" s="39" t="s">
        <v>357</v>
      </c>
      <c r="AS45" s="39" t="s">
        <v>357</v>
      </c>
      <c r="AT45" s="50" t="s">
        <v>357</v>
      </c>
      <c r="AU45" s="50" t="s">
        <v>357</v>
      </c>
      <c r="AV45" s="49" t="s">
        <v>357</v>
      </c>
      <c r="AW45" s="49" t="s">
        <v>357</v>
      </c>
      <c r="AX45" s="49" t="s">
        <v>357</v>
      </c>
      <c r="AY45" s="49" t="s">
        <v>357</v>
      </c>
      <c r="AZ45" s="49" t="s">
        <v>357</v>
      </c>
      <c r="BA45" s="32" t="s">
        <v>357</v>
      </c>
      <c r="BB45" s="32" t="s">
        <v>357</v>
      </c>
      <c r="BC45" s="50" t="s">
        <v>357</v>
      </c>
      <c r="BD45" s="50" t="s">
        <v>357</v>
      </c>
      <c r="BE45" s="39" t="s">
        <v>357</v>
      </c>
      <c r="BF45" s="39" t="s">
        <v>357</v>
      </c>
      <c r="BG45" s="39" t="s">
        <v>357</v>
      </c>
      <c r="BH45" s="39" t="s">
        <v>357</v>
      </c>
      <c r="BI45" s="39" t="s">
        <v>357</v>
      </c>
      <c r="BJ45" s="39" t="s">
        <v>357</v>
      </c>
      <c r="BK45" s="41" t="s">
        <v>357</v>
      </c>
      <c r="BL45" s="41" t="s">
        <v>357</v>
      </c>
      <c r="BM45" s="41"/>
    </row>
    <row r="46">
      <c r="A46" s="18" t="s">
        <v>611</v>
      </c>
      <c r="B46" s="19">
        <v>49.0</v>
      </c>
      <c r="C46" s="18" t="s">
        <v>619</v>
      </c>
      <c r="D46" s="18" t="s">
        <v>708</v>
      </c>
      <c r="E46" s="18" t="s">
        <v>103</v>
      </c>
      <c r="F46" s="18" t="s">
        <v>573</v>
      </c>
      <c r="G46" s="20" t="s">
        <v>357</v>
      </c>
      <c r="H46" s="47" t="s">
        <v>357</v>
      </c>
      <c r="I46" s="83" t="s">
        <v>357</v>
      </c>
      <c r="J46" s="82" t="s">
        <v>208</v>
      </c>
      <c r="K46" s="82" t="s">
        <v>208</v>
      </c>
      <c r="L46" s="82" t="s">
        <v>208</v>
      </c>
      <c r="M46" s="32" t="s">
        <v>357</v>
      </c>
      <c r="N46" s="32" t="s">
        <v>357</v>
      </c>
      <c r="O46" s="32" t="s">
        <v>357</v>
      </c>
      <c r="P46" s="32" t="s">
        <v>357</v>
      </c>
      <c r="Q46" s="32" t="s">
        <v>357</v>
      </c>
      <c r="R46" s="32" t="s">
        <v>357</v>
      </c>
      <c r="S46" s="32" t="s">
        <v>357</v>
      </c>
      <c r="T46" s="32" t="s">
        <v>357</v>
      </c>
      <c r="U46" s="32" t="s">
        <v>357</v>
      </c>
      <c r="V46" s="32" t="s">
        <v>357</v>
      </c>
      <c r="W46" s="32" t="s">
        <v>357</v>
      </c>
      <c r="X46" s="32" t="s">
        <v>357</v>
      </c>
      <c r="Y46" s="32" t="s">
        <v>357</v>
      </c>
      <c r="Z46" s="32" t="s">
        <v>357</v>
      </c>
      <c r="AA46" s="32" t="s">
        <v>357</v>
      </c>
      <c r="AB46" s="49" t="s">
        <v>357</v>
      </c>
      <c r="AC46" s="49" t="s">
        <v>357</v>
      </c>
      <c r="AD46" s="49" t="s">
        <v>357</v>
      </c>
      <c r="AE46" s="49" t="s">
        <v>357</v>
      </c>
      <c r="AF46" s="49" t="s">
        <v>357</v>
      </c>
      <c r="AG46" s="49" t="s">
        <v>357</v>
      </c>
      <c r="AH46" s="49" t="s">
        <v>357</v>
      </c>
      <c r="AI46" s="49" t="s">
        <v>357</v>
      </c>
      <c r="AJ46" s="49" t="s">
        <v>357</v>
      </c>
      <c r="AK46" s="49" t="s">
        <v>357</v>
      </c>
      <c r="AL46" s="49" t="s">
        <v>357</v>
      </c>
      <c r="AM46" s="39" t="s">
        <v>357</v>
      </c>
      <c r="AN46" s="39" t="s">
        <v>357</v>
      </c>
      <c r="AO46" s="39" t="s">
        <v>357</v>
      </c>
      <c r="AP46" s="39" t="s">
        <v>357</v>
      </c>
      <c r="AQ46" s="39" t="s">
        <v>357</v>
      </c>
      <c r="AR46" s="39" t="s">
        <v>357</v>
      </c>
      <c r="AS46" s="39" t="s">
        <v>357</v>
      </c>
      <c r="AT46" s="50" t="s">
        <v>357</v>
      </c>
      <c r="AU46" s="50" t="s">
        <v>357</v>
      </c>
      <c r="AV46" s="49" t="s">
        <v>357</v>
      </c>
      <c r="AW46" s="49" t="s">
        <v>357</v>
      </c>
      <c r="AX46" s="49" t="s">
        <v>357</v>
      </c>
      <c r="AY46" s="49" t="s">
        <v>357</v>
      </c>
      <c r="AZ46" s="49" t="s">
        <v>357</v>
      </c>
      <c r="BA46" s="32" t="s">
        <v>357</v>
      </c>
      <c r="BB46" s="32" t="s">
        <v>357</v>
      </c>
      <c r="BC46" s="50" t="s">
        <v>357</v>
      </c>
      <c r="BD46" s="50" t="s">
        <v>357</v>
      </c>
      <c r="BE46" s="39" t="s">
        <v>357</v>
      </c>
      <c r="BF46" s="39" t="s">
        <v>357</v>
      </c>
      <c r="BG46" s="39" t="s">
        <v>357</v>
      </c>
      <c r="BH46" s="39" t="s">
        <v>357</v>
      </c>
      <c r="BI46" s="39" t="s">
        <v>357</v>
      </c>
      <c r="BJ46" s="39" t="s">
        <v>357</v>
      </c>
      <c r="BK46" s="41" t="s">
        <v>357</v>
      </c>
      <c r="BL46" s="41" t="s">
        <v>357</v>
      </c>
      <c r="BM46" s="41"/>
    </row>
    <row r="47">
      <c r="A47" s="18" t="s">
        <v>611</v>
      </c>
      <c r="B47" s="19">
        <v>50.0</v>
      </c>
      <c r="C47" s="18" t="s">
        <v>982</v>
      </c>
      <c r="D47" s="18" t="s">
        <v>853</v>
      </c>
      <c r="E47" s="18" t="s">
        <v>103</v>
      </c>
      <c r="F47" s="18" t="s">
        <v>573</v>
      </c>
      <c r="G47" s="20" t="s">
        <v>357</v>
      </c>
      <c r="H47" s="47" t="s">
        <v>357</v>
      </c>
      <c r="I47" s="83" t="s">
        <v>357</v>
      </c>
      <c r="J47" s="82" t="s">
        <v>208</v>
      </c>
      <c r="K47" s="82" t="s">
        <v>208</v>
      </c>
      <c r="L47" s="82" t="s">
        <v>208</v>
      </c>
      <c r="M47" s="32" t="s">
        <v>357</v>
      </c>
      <c r="N47" s="32" t="s">
        <v>357</v>
      </c>
      <c r="O47" s="32" t="s">
        <v>357</v>
      </c>
      <c r="P47" s="32" t="s">
        <v>357</v>
      </c>
      <c r="Q47" s="32" t="s">
        <v>357</v>
      </c>
      <c r="R47" s="32" t="s">
        <v>357</v>
      </c>
      <c r="S47" s="32" t="s">
        <v>357</v>
      </c>
      <c r="T47" s="32" t="s">
        <v>357</v>
      </c>
      <c r="U47" s="32" t="s">
        <v>357</v>
      </c>
      <c r="V47" s="32" t="s">
        <v>357</v>
      </c>
      <c r="W47" s="32" t="s">
        <v>357</v>
      </c>
      <c r="X47" s="32" t="s">
        <v>357</v>
      </c>
      <c r="Y47" s="32" t="s">
        <v>357</v>
      </c>
      <c r="Z47" s="32" t="s">
        <v>357</v>
      </c>
      <c r="AA47" s="32" t="s">
        <v>357</v>
      </c>
      <c r="AB47" s="49" t="s">
        <v>357</v>
      </c>
      <c r="AC47" s="49" t="s">
        <v>357</v>
      </c>
      <c r="AD47" s="49" t="s">
        <v>357</v>
      </c>
      <c r="AE47" s="49" t="s">
        <v>357</v>
      </c>
      <c r="AF47" s="49" t="s">
        <v>357</v>
      </c>
      <c r="AG47" s="49" t="s">
        <v>357</v>
      </c>
      <c r="AH47" s="49" t="s">
        <v>357</v>
      </c>
      <c r="AI47" s="49" t="s">
        <v>357</v>
      </c>
      <c r="AJ47" s="49" t="s">
        <v>357</v>
      </c>
      <c r="AK47" s="49" t="s">
        <v>357</v>
      </c>
      <c r="AL47" s="49" t="s">
        <v>357</v>
      </c>
      <c r="AM47" s="39" t="s">
        <v>357</v>
      </c>
      <c r="AN47" s="39" t="s">
        <v>357</v>
      </c>
      <c r="AO47" s="39" t="s">
        <v>357</v>
      </c>
      <c r="AP47" s="39" t="s">
        <v>357</v>
      </c>
      <c r="AQ47" s="39" t="s">
        <v>357</v>
      </c>
      <c r="AR47" s="39" t="s">
        <v>357</v>
      </c>
      <c r="AS47" s="39" t="s">
        <v>357</v>
      </c>
      <c r="AT47" s="50" t="s">
        <v>357</v>
      </c>
      <c r="AU47" s="50" t="s">
        <v>357</v>
      </c>
      <c r="AV47" s="49" t="s">
        <v>357</v>
      </c>
      <c r="AW47" s="49" t="s">
        <v>357</v>
      </c>
      <c r="AX47" s="49" t="s">
        <v>357</v>
      </c>
      <c r="AY47" s="49" t="s">
        <v>357</v>
      </c>
      <c r="AZ47" s="49" t="s">
        <v>357</v>
      </c>
      <c r="BA47" s="32" t="s">
        <v>357</v>
      </c>
      <c r="BB47" s="32" t="s">
        <v>357</v>
      </c>
      <c r="BC47" s="50" t="s">
        <v>357</v>
      </c>
      <c r="BD47" s="50" t="s">
        <v>357</v>
      </c>
      <c r="BE47" s="39" t="s">
        <v>357</v>
      </c>
      <c r="BF47" s="39" t="s">
        <v>357</v>
      </c>
      <c r="BG47" s="39" t="s">
        <v>357</v>
      </c>
      <c r="BH47" s="39" t="s">
        <v>357</v>
      </c>
      <c r="BI47" s="39" t="s">
        <v>357</v>
      </c>
      <c r="BJ47" s="39" t="s">
        <v>357</v>
      </c>
      <c r="BK47" s="41" t="s">
        <v>357</v>
      </c>
      <c r="BL47" s="41" t="s">
        <v>357</v>
      </c>
      <c r="BM47" s="41"/>
    </row>
    <row r="48">
      <c r="A48" s="18" t="s">
        <v>611</v>
      </c>
      <c r="B48" s="19">
        <v>51.0</v>
      </c>
      <c r="C48" s="18" t="s">
        <v>989</v>
      </c>
      <c r="D48" s="18" t="s">
        <v>575</v>
      </c>
      <c r="E48" s="18" t="s">
        <v>103</v>
      </c>
      <c r="F48" s="18" t="s">
        <v>573</v>
      </c>
      <c r="G48" s="20" t="s">
        <v>357</v>
      </c>
      <c r="H48" s="47" t="s">
        <v>357</v>
      </c>
      <c r="I48" s="83" t="s">
        <v>357</v>
      </c>
      <c r="J48" s="82" t="s">
        <v>208</v>
      </c>
      <c r="K48" s="82" t="s">
        <v>208</v>
      </c>
      <c r="L48" s="82" t="s">
        <v>208</v>
      </c>
      <c r="M48" s="32" t="s">
        <v>357</v>
      </c>
      <c r="N48" s="32" t="s">
        <v>357</v>
      </c>
      <c r="O48" s="32" t="s">
        <v>357</v>
      </c>
      <c r="P48" s="32" t="s">
        <v>357</v>
      </c>
      <c r="Q48" s="32" t="s">
        <v>357</v>
      </c>
      <c r="R48" s="32" t="s">
        <v>357</v>
      </c>
      <c r="S48" s="32" t="s">
        <v>357</v>
      </c>
      <c r="T48" s="32" t="s">
        <v>357</v>
      </c>
      <c r="U48" s="32" t="s">
        <v>357</v>
      </c>
      <c r="V48" s="32" t="s">
        <v>357</v>
      </c>
      <c r="W48" s="32" t="s">
        <v>357</v>
      </c>
      <c r="X48" s="32" t="s">
        <v>357</v>
      </c>
      <c r="Y48" s="32" t="s">
        <v>357</v>
      </c>
      <c r="Z48" s="32" t="s">
        <v>357</v>
      </c>
      <c r="AA48" s="32" t="s">
        <v>357</v>
      </c>
      <c r="AB48" s="49" t="s">
        <v>357</v>
      </c>
      <c r="AC48" s="49" t="s">
        <v>357</v>
      </c>
      <c r="AD48" s="49" t="s">
        <v>357</v>
      </c>
      <c r="AE48" s="49" t="s">
        <v>357</v>
      </c>
      <c r="AF48" s="49" t="s">
        <v>357</v>
      </c>
      <c r="AG48" s="49" t="s">
        <v>357</v>
      </c>
      <c r="AH48" s="49" t="s">
        <v>357</v>
      </c>
      <c r="AI48" s="49" t="s">
        <v>357</v>
      </c>
      <c r="AJ48" s="49" t="s">
        <v>357</v>
      </c>
      <c r="AK48" s="49" t="s">
        <v>357</v>
      </c>
      <c r="AL48" s="49" t="s">
        <v>357</v>
      </c>
      <c r="AM48" s="39" t="s">
        <v>357</v>
      </c>
      <c r="AN48" s="39" t="s">
        <v>357</v>
      </c>
      <c r="AO48" s="39" t="s">
        <v>357</v>
      </c>
      <c r="AP48" s="39" t="s">
        <v>357</v>
      </c>
      <c r="AQ48" s="39" t="s">
        <v>357</v>
      </c>
      <c r="AR48" s="39" t="s">
        <v>357</v>
      </c>
      <c r="AS48" s="39" t="s">
        <v>357</v>
      </c>
      <c r="AT48" s="50" t="s">
        <v>357</v>
      </c>
      <c r="AU48" s="50" t="s">
        <v>357</v>
      </c>
      <c r="AV48" s="49" t="s">
        <v>357</v>
      </c>
      <c r="AW48" s="49" t="s">
        <v>357</v>
      </c>
      <c r="AX48" s="49" t="s">
        <v>357</v>
      </c>
      <c r="AY48" s="49" t="s">
        <v>357</v>
      </c>
      <c r="AZ48" s="49" t="s">
        <v>357</v>
      </c>
      <c r="BA48" s="32" t="s">
        <v>357</v>
      </c>
      <c r="BB48" s="32" t="s">
        <v>357</v>
      </c>
      <c r="BC48" s="50" t="s">
        <v>357</v>
      </c>
      <c r="BD48" s="50" t="s">
        <v>357</v>
      </c>
      <c r="BE48" s="39" t="s">
        <v>357</v>
      </c>
      <c r="BF48" s="39" t="s">
        <v>357</v>
      </c>
      <c r="BG48" s="39" t="s">
        <v>357</v>
      </c>
      <c r="BH48" s="39" t="s">
        <v>357</v>
      </c>
      <c r="BI48" s="39" t="s">
        <v>357</v>
      </c>
      <c r="BJ48" s="39" t="s">
        <v>357</v>
      </c>
      <c r="BK48" s="41" t="s">
        <v>357</v>
      </c>
      <c r="BL48" s="41" t="s">
        <v>357</v>
      </c>
      <c r="BM48" s="41"/>
    </row>
    <row r="49">
      <c r="A49" s="18" t="s">
        <v>653</v>
      </c>
      <c r="B49" s="19">
        <v>52.0</v>
      </c>
      <c r="C49" s="18" t="s">
        <v>994</v>
      </c>
      <c r="D49" s="18" t="s">
        <v>190</v>
      </c>
      <c r="E49" s="18" t="s">
        <v>190</v>
      </c>
      <c r="F49" s="18" t="s">
        <v>192</v>
      </c>
      <c r="G49" s="20" t="s">
        <v>1170</v>
      </c>
      <c r="H49" s="22" t="s">
        <v>198</v>
      </c>
      <c r="I49" s="80" t="s">
        <v>481</v>
      </c>
      <c r="J49" s="81" t="s">
        <v>205</v>
      </c>
      <c r="K49" s="82" t="s">
        <v>208</v>
      </c>
      <c r="L49" s="82" t="s">
        <v>208</v>
      </c>
      <c r="M49" s="26">
        <v>6.0</v>
      </c>
      <c r="N49" s="26" t="str">
        <f t="shared" ref="N49:N51" si="133">IF((M49&gt;=19),"S",IF(AND(M49&lt;19),"R", "NA"))</f>
        <v>R</v>
      </c>
      <c r="O49" s="26">
        <v>21.0</v>
      </c>
      <c r="P49" s="26" t="str">
        <f t="shared" ref="P49:P51" si="134">IF((O49&gt;=19),"S",IF(AND(O49&lt;19),"R", "NA"))</f>
        <v>S</v>
      </c>
      <c r="Q49" s="26">
        <v>6.0</v>
      </c>
      <c r="R49" s="26" t="str">
        <f t="shared" ref="R49:R51" si="135">IF((Q49&gt;=23),"S",IF(AND(Q49&lt;23),"R","NA"))</f>
        <v>R</v>
      </c>
      <c r="S49" s="32" t="s">
        <v>357</v>
      </c>
      <c r="T49" s="32" t="s">
        <v>357</v>
      </c>
      <c r="U49" s="26">
        <v>14.0</v>
      </c>
      <c r="V49" s="26" t="str">
        <f t="shared" ref="V49:V51" si="136">IF((U49&gt;=20),"S",IF(AND(U49&lt;20),"R", "NA"))</f>
        <v>R</v>
      </c>
      <c r="W49" s="26">
        <v>24.0</v>
      </c>
      <c r="X49" s="26" t="str">
        <f t="shared" ref="X49:X51" si="137">IF((W49&gt;=20),"S",IF(AND(W49&lt;20),"R", "NA"))</f>
        <v>S</v>
      </c>
      <c r="Y49" s="26">
        <v>23.0</v>
      </c>
      <c r="Z49" s="26" t="str">
        <f t="shared" ref="Z49:Z51" si="138">IF((Y49&gt;=20),"S",IF(AND(Y49&lt;20,Y49&gt;=17),"I",IF(AND(Y49&lt;17),"R","NA")))</f>
        <v>S</v>
      </c>
      <c r="AA49" s="32" t="s">
        <v>299</v>
      </c>
      <c r="AB49" s="33">
        <v>9.0</v>
      </c>
      <c r="AC49" s="33" t="str">
        <f t="shared" ref="AC49:AC51" si="139">IF((AB49&gt;=20),"S",IF(AND(AB49&lt;20,AB49&gt;=17),"I",IF(AND(AB49&lt;17),"R","NA")))</f>
        <v>R</v>
      </c>
      <c r="AD49" s="33">
        <v>25.0</v>
      </c>
      <c r="AE49" s="33" t="str">
        <f t="shared" ref="AE49:AE51" si="140">IF((AD49&gt;=18),"S",IF(AND(AD49&lt;18),"R", "NA"))</f>
        <v>S</v>
      </c>
      <c r="AF49" s="33">
        <v>19.0</v>
      </c>
      <c r="AG49" s="33" t="str">
        <f t="shared" ref="AG49:AG51" si="141">IF((AF49&gt;=22),"S",IF(AND(AF49&lt;22,AF49&gt;=19),"I",IF(AND(AF49&lt;19),"R","NA")))</f>
        <v>I</v>
      </c>
      <c r="AH49" s="33">
        <v>26.0</v>
      </c>
      <c r="AI49" s="33" t="str">
        <f t="shared" ref="AI49:AI51" si="142">IF((AH49&gt;=13),"S",IF(AND(AH49&lt;13),"R", "NA"))</f>
        <v>S</v>
      </c>
      <c r="AJ49" s="33">
        <v>24.0</v>
      </c>
      <c r="AK49" s="33" t="str">
        <f t="shared" ref="AK49:AK51" si="143">IF((AJ49&gt;=27),"S",IF(AND(AJ49&lt;27,AJ49&gt;=24),"I",IF(AND(AJ49&lt;24),"R","NA")))</f>
        <v>I</v>
      </c>
      <c r="AL49" s="33" t="s">
        <v>299</v>
      </c>
      <c r="AM49" s="36">
        <v>9.0</v>
      </c>
      <c r="AN49" s="36" t="str">
        <f t="shared" ref="AN49:AN51" si="144">IF((AM49&gt;=25),"S",IF(AND(AM49&lt;25,AM49&gt;=22),"I",IF(AND(AM49&lt;22),"R","NA")))</f>
        <v>R</v>
      </c>
      <c r="AO49" s="36">
        <v>8.0</v>
      </c>
      <c r="AP49" s="36" t="str">
        <f t="shared" ref="AP49:AP51" si="145">IF((AO49&gt;=23),"S",IF(AND(AO49&lt;23,AO49&gt;=19),"I",IF(AND(AO49&lt;19),"R","NA")))</f>
        <v>R</v>
      </c>
      <c r="AQ49" s="36">
        <v>6.0</v>
      </c>
      <c r="AR49" s="36" t="str">
        <f t="shared" ref="AR49:AR51" si="146">IF((AQ49&gt;=14),"S",IF(AND(AQ49&lt;14),"R","NA"))</f>
        <v>R</v>
      </c>
      <c r="AS49" s="36" t="s">
        <v>299</v>
      </c>
      <c r="AT49" s="37">
        <v>6.0</v>
      </c>
      <c r="AU49" s="37" t="str">
        <f t="shared" ref="AU49:AU51" si="147">IF((AT49&gt;=14),"S",IF(AND(AT49&lt;14,AT49&gt;=11),"I",IF(AND(AT49&lt;11),"R","NA")))</f>
        <v>R</v>
      </c>
      <c r="AV49" s="33">
        <v>21.0</v>
      </c>
      <c r="AW49" s="33" t="str">
        <f t="shared" ref="AW49:AW51" si="148">IF((AV49&gt;=18),"S",IF(AND(AV49&lt;18),"R", "NA"))</f>
        <v>S</v>
      </c>
      <c r="AX49" s="33">
        <v>20.0</v>
      </c>
      <c r="AY49" s="33" t="str">
        <f t="shared" ref="AY49:AY51" si="149">IF((AX49&gt;=16),"S",IF(AND(AX49&lt;16),"R", "NA"))</f>
        <v>S</v>
      </c>
      <c r="AZ49" s="33" t="s">
        <v>300</v>
      </c>
      <c r="BA49" s="26">
        <v>15.0</v>
      </c>
      <c r="BB49" s="26" t="str">
        <f t="shared" ref="BB49:BB51" si="150">IF((BA49&gt;=20),"S",IF(AND(BA49&lt;20),"R", "NA"))</f>
        <v>R</v>
      </c>
      <c r="BC49" s="37">
        <v>18.0</v>
      </c>
      <c r="BD49" s="37" t="str">
        <f t="shared" ref="BD49:BD51" si="151">IF((BC49&gt;=26),"S",IF(AND(BC49&lt;26,BC49&gt;=21),"I",IF(AND(BC49&lt;21),"R","NA")))</f>
        <v>R</v>
      </c>
      <c r="BE49" s="36">
        <v>30.0</v>
      </c>
      <c r="BF49" s="36" t="str">
        <f t="shared" ref="BF49:BF51" si="152">IF((BE49&gt;=23),"S",IF(AND(BE49&lt;23),"R","NA"))</f>
        <v>S</v>
      </c>
      <c r="BG49" s="39" t="s">
        <v>357</v>
      </c>
      <c r="BH49" s="39" t="s">
        <v>357</v>
      </c>
      <c r="BI49" s="36">
        <v>30.0</v>
      </c>
      <c r="BJ49" s="36" t="str">
        <f t="shared" ref="BJ49:BJ51" si="153">IF((BI49&gt;=22),"S",IF(AND(BI49&lt;22,BI49&gt;=19),"I",IF(AND(BI49&lt;19),"R","NA")))</f>
        <v>S</v>
      </c>
      <c r="BK49" s="40">
        <v>20.0</v>
      </c>
      <c r="BL49" s="41" t="str">
        <f t="shared" ref="BL49:BL51" si="154">IF((BK49&gt;=17),"S",IF(AND(BK49&lt;17),"R", "NA"))</f>
        <v>S</v>
      </c>
      <c r="BM49" s="41"/>
    </row>
    <row r="50">
      <c r="A50" s="18" t="s">
        <v>653</v>
      </c>
      <c r="B50" s="18" t="s">
        <v>444</v>
      </c>
      <c r="C50" s="18" t="s">
        <v>999</v>
      </c>
      <c r="D50" s="18" t="s">
        <v>190</v>
      </c>
      <c r="E50" s="18" t="s">
        <v>190</v>
      </c>
      <c r="F50" s="18" t="s">
        <v>192</v>
      </c>
      <c r="G50" s="20" t="s">
        <v>1192</v>
      </c>
      <c r="H50" s="42" t="s">
        <v>479</v>
      </c>
      <c r="I50" s="84" t="s">
        <v>37</v>
      </c>
      <c r="J50" s="81" t="s">
        <v>205</v>
      </c>
      <c r="K50" s="81" t="s">
        <v>205</v>
      </c>
      <c r="L50" s="81" t="s">
        <v>208</v>
      </c>
      <c r="M50" s="26">
        <v>6.0</v>
      </c>
      <c r="N50" s="26" t="str">
        <f t="shared" si="133"/>
        <v>R</v>
      </c>
      <c r="O50" s="26">
        <v>15.0</v>
      </c>
      <c r="P50" s="26" t="str">
        <f t="shared" si="134"/>
        <v>R</v>
      </c>
      <c r="Q50" s="26">
        <v>6.0</v>
      </c>
      <c r="R50" s="26" t="str">
        <f t="shared" si="135"/>
        <v>R</v>
      </c>
      <c r="S50" s="32" t="s">
        <v>357</v>
      </c>
      <c r="T50" s="32" t="s">
        <v>357</v>
      </c>
      <c r="U50" s="26">
        <v>10.0</v>
      </c>
      <c r="V50" s="26" t="str">
        <f t="shared" si="136"/>
        <v>R</v>
      </c>
      <c r="W50" s="26">
        <v>20.0</v>
      </c>
      <c r="X50" s="26" t="str">
        <f t="shared" si="137"/>
        <v>S</v>
      </c>
      <c r="Y50" s="26">
        <v>28.0</v>
      </c>
      <c r="Z50" s="26" t="str">
        <f t="shared" si="138"/>
        <v>S</v>
      </c>
      <c r="AA50" s="32" t="s">
        <v>299</v>
      </c>
      <c r="AB50" s="33">
        <v>6.0</v>
      </c>
      <c r="AC50" s="33" t="str">
        <f t="shared" si="139"/>
        <v>R</v>
      </c>
      <c r="AD50" s="33">
        <v>26.0</v>
      </c>
      <c r="AE50" s="33" t="str">
        <f t="shared" si="140"/>
        <v>S</v>
      </c>
      <c r="AF50" s="33">
        <v>20.0</v>
      </c>
      <c r="AG50" s="33" t="str">
        <f t="shared" si="141"/>
        <v>I</v>
      </c>
      <c r="AH50" s="33">
        <v>26.0</v>
      </c>
      <c r="AI50" s="33" t="str">
        <f t="shared" si="142"/>
        <v>S</v>
      </c>
      <c r="AJ50" s="33">
        <v>23.0</v>
      </c>
      <c r="AK50" s="33" t="str">
        <f t="shared" si="143"/>
        <v>R</v>
      </c>
      <c r="AL50" s="33" t="s">
        <v>299</v>
      </c>
      <c r="AM50" s="36">
        <v>18.0</v>
      </c>
      <c r="AN50" s="36" t="str">
        <f t="shared" si="144"/>
        <v>R</v>
      </c>
      <c r="AO50" s="36">
        <v>21.0</v>
      </c>
      <c r="AP50" s="36" t="str">
        <f t="shared" si="145"/>
        <v>I</v>
      </c>
      <c r="AQ50" s="36">
        <v>16.0</v>
      </c>
      <c r="AR50" s="36" t="str">
        <f t="shared" si="146"/>
        <v>S</v>
      </c>
      <c r="AS50" s="36" t="s">
        <v>299</v>
      </c>
      <c r="AT50" s="37">
        <v>6.0</v>
      </c>
      <c r="AU50" s="37" t="str">
        <f t="shared" si="147"/>
        <v>R</v>
      </c>
      <c r="AV50" s="33">
        <v>20.0</v>
      </c>
      <c r="AW50" s="33" t="str">
        <f t="shared" si="148"/>
        <v>S</v>
      </c>
      <c r="AX50" s="33">
        <v>9.0</v>
      </c>
      <c r="AY50" s="33" t="str">
        <f t="shared" si="149"/>
        <v>R</v>
      </c>
      <c r="AZ50" s="33" t="s">
        <v>299</v>
      </c>
      <c r="BA50" s="26">
        <v>13.0</v>
      </c>
      <c r="BB50" s="26" t="str">
        <f t="shared" si="150"/>
        <v>R</v>
      </c>
      <c r="BC50" s="37">
        <v>18.0</v>
      </c>
      <c r="BD50" s="37" t="str">
        <f t="shared" si="151"/>
        <v>R</v>
      </c>
      <c r="BE50" s="36">
        <v>28.0</v>
      </c>
      <c r="BF50" s="36" t="str">
        <f t="shared" si="152"/>
        <v>S</v>
      </c>
      <c r="BG50" s="39" t="s">
        <v>357</v>
      </c>
      <c r="BH50" s="39" t="s">
        <v>357</v>
      </c>
      <c r="BI50" s="36">
        <v>28.0</v>
      </c>
      <c r="BJ50" s="36" t="str">
        <f t="shared" si="153"/>
        <v>S</v>
      </c>
      <c r="BK50" s="40">
        <v>6.0</v>
      </c>
      <c r="BL50" s="41" t="str">
        <f t="shared" si="154"/>
        <v>R</v>
      </c>
      <c r="BM50" s="41"/>
    </row>
    <row r="51">
      <c r="A51" s="18" t="s">
        <v>653</v>
      </c>
      <c r="B51" s="19">
        <v>53.0</v>
      </c>
      <c r="C51" s="18" t="s">
        <v>1003</v>
      </c>
      <c r="D51" s="18" t="s">
        <v>190</v>
      </c>
      <c r="E51" s="18" t="s">
        <v>190</v>
      </c>
      <c r="F51" s="18" t="s">
        <v>192</v>
      </c>
      <c r="G51" s="20" t="s">
        <v>1195</v>
      </c>
      <c r="H51" s="22" t="s">
        <v>198</v>
      </c>
      <c r="I51" s="84" t="s">
        <v>37</v>
      </c>
      <c r="J51" s="81" t="s">
        <v>205</v>
      </c>
      <c r="K51" s="81" t="s">
        <v>205</v>
      </c>
      <c r="L51" s="81" t="s">
        <v>208</v>
      </c>
      <c r="M51" s="26">
        <v>6.0</v>
      </c>
      <c r="N51" s="26" t="str">
        <f t="shared" si="133"/>
        <v>R</v>
      </c>
      <c r="O51" s="26">
        <v>21.0</v>
      </c>
      <c r="P51" s="26" t="str">
        <f t="shared" si="134"/>
        <v>S</v>
      </c>
      <c r="Q51" s="26">
        <v>6.0</v>
      </c>
      <c r="R51" s="26" t="str">
        <f t="shared" si="135"/>
        <v>R</v>
      </c>
      <c r="S51" s="32" t="s">
        <v>357</v>
      </c>
      <c r="T51" s="32" t="s">
        <v>357</v>
      </c>
      <c r="U51" s="26">
        <v>10.0</v>
      </c>
      <c r="V51" s="26" t="str">
        <f t="shared" si="136"/>
        <v>R</v>
      </c>
      <c r="W51" s="26">
        <v>24.0</v>
      </c>
      <c r="X51" s="26" t="str">
        <f t="shared" si="137"/>
        <v>S</v>
      </c>
      <c r="Y51" s="26">
        <v>21.0</v>
      </c>
      <c r="Z51" s="26" t="str">
        <f t="shared" si="138"/>
        <v>S</v>
      </c>
      <c r="AA51" s="32" t="s">
        <v>299</v>
      </c>
      <c r="AB51" s="33">
        <v>6.0</v>
      </c>
      <c r="AC51" s="33" t="str">
        <f t="shared" si="139"/>
        <v>R</v>
      </c>
      <c r="AD51" s="33">
        <v>21.0</v>
      </c>
      <c r="AE51" s="33" t="str">
        <f t="shared" si="140"/>
        <v>S</v>
      </c>
      <c r="AF51" s="33">
        <v>14.0</v>
      </c>
      <c r="AG51" s="33" t="str">
        <f t="shared" si="141"/>
        <v>R</v>
      </c>
      <c r="AH51" s="33">
        <v>25.0</v>
      </c>
      <c r="AI51" s="33" t="str">
        <f t="shared" si="142"/>
        <v>S</v>
      </c>
      <c r="AJ51" s="33">
        <v>18.0</v>
      </c>
      <c r="AK51" s="33" t="str">
        <f t="shared" si="143"/>
        <v>R</v>
      </c>
      <c r="AL51" s="33" t="s">
        <v>299</v>
      </c>
      <c r="AM51" s="36">
        <v>24.0</v>
      </c>
      <c r="AN51" s="36" t="str">
        <f t="shared" si="144"/>
        <v>I</v>
      </c>
      <c r="AO51" s="36">
        <v>24.0</v>
      </c>
      <c r="AP51" s="36" t="str">
        <f t="shared" si="145"/>
        <v>S</v>
      </c>
      <c r="AQ51" s="36">
        <v>24.0</v>
      </c>
      <c r="AR51" s="36" t="str">
        <f t="shared" si="146"/>
        <v>S</v>
      </c>
      <c r="AS51" s="36" t="s">
        <v>300</v>
      </c>
      <c r="AT51" s="37">
        <v>6.0</v>
      </c>
      <c r="AU51" s="37" t="str">
        <f t="shared" si="147"/>
        <v>R</v>
      </c>
      <c r="AV51" s="33">
        <v>21.0</v>
      </c>
      <c r="AW51" s="33" t="str">
        <f t="shared" si="148"/>
        <v>S</v>
      </c>
      <c r="AX51" s="33">
        <v>20.0</v>
      </c>
      <c r="AY51" s="33" t="str">
        <f t="shared" si="149"/>
        <v>S</v>
      </c>
      <c r="AZ51" s="33" t="s">
        <v>300</v>
      </c>
      <c r="BA51" s="26">
        <v>20.0</v>
      </c>
      <c r="BB51" s="26" t="str">
        <f t="shared" si="150"/>
        <v>S</v>
      </c>
      <c r="BC51" s="37">
        <v>13.0</v>
      </c>
      <c r="BD51" s="37" t="str">
        <f t="shared" si="151"/>
        <v>R</v>
      </c>
      <c r="BE51" s="36">
        <v>29.0</v>
      </c>
      <c r="BF51" s="36" t="str">
        <f t="shared" si="152"/>
        <v>S</v>
      </c>
      <c r="BG51" s="39" t="s">
        <v>357</v>
      </c>
      <c r="BH51" s="39" t="s">
        <v>357</v>
      </c>
      <c r="BI51" s="36">
        <v>31.0</v>
      </c>
      <c r="BJ51" s="36" t="str">
        <f t="shared" si="153"/>
        <v>S</v>
      </c>
      <c r="BK51" s="40">
        <v>20.0</v>
      </c>
      <c r="BL51" s="41" t="str">
        <f t="shared" si="154"/>
        <v>S</v>
      </c>
      <c r="BM51" s="41"/>
    </row>
    <row r="52">
      <c r="A52" s="18" t="s">
        <v>653</v>
      </c>
      <c r="B52" s="19">
        <v>54.0</v>
      </c>
      <c r="C52" s="18" t="s">
        <v>1007</v>
      </c>
      <c r="D52" s="18" t="s">
        <v>190</v>
      </c>
      <c r="E52" s="18" t="s">
        <v>190</v>
      </c>
      <c r="F52" s="18" t="s">
        <v>573</v>
      </c>
      <c r="G52" s="20" t="s">
        <v>357</v>
      </c>
      <c r="H52" s="47" t="s">
        <v>357</v>
      </c>
      <c r="I52" s="83" t="s">
        <v>357</v>
      </c>
      <c r="J52" s="82" t="s">
        <v>208</v>
      </c>
      <c r="K52" s="82" t="s">
        <v>208</v>
      </c>
      <c r="L52" s="82" t="s">
        <v>208</v>
      </c>
      <c r="M52" s="32" t="s">
        <v>357</v>
      </c>
      <c r="N52" s="32" t="s">
        <v>357</v>
      </c>
      <c r="O52" s="32" t="s">
        <v>357</v>
      </c>
      <c r="P52" s="32" t="s">
        <v>357</v>
      </c>
      <c r="Q52" s="32" t="s">
        <v>357</v>
      </c>
      <c r="R52" s="32" t="s">
        <v>357</v>
      </c>
      <c r="S52" s="32" t="s">
        <v>357</v>
      </c>
      <c r="T52" s="32" t="s">
        <v>357</v>
      </c>
      <c r="U52" s="32" t="s">
        <v>357</v>
      </c>
      <c r="V52" s="32" t="s">
        <v>357</v>
      </c>
      <c r="W52" s="32" t="s">
        <v>357</v>
      </c>
      <c r="X52" s="32" t="s">
        <v>357</v>
      </c>
      <c r="Y52" s="32" t="s">
        <v>357</v>
      </c>
      <c r="Z52" s="32" t="s">
        <v>357</v>
      </c>
      <c r="AA52" s="32" t="s">
        <v>357</v>
      </c>
      <c r="AB52" s="49" t="s">
        <v>357</v>
      </c>
      <c r="AC52" s="49" t="s">
        <v>357</v>
      </c>
      <c r="AD52" s="49" t="s">
        <v>357</v>
      </c>
      <c r="AE52" s="49" t="s">
        <v>357</v>
      </c>
      <c r="AF52" s="49" t="s">
        <v>357</v>
      </c>
      <c r="AG52" s="49" t="s">
        <v>357</v>
      </c>
      <c r="AH52" s="49" t="s">
        <v>357</v>
      </c>
      <c r="AI52" s="49" t="s">
        <v>357</v>
      </c>
      <c r="AJ52" s="49" t="s">
        <v>357</v>
      </c>
      <c r="AK52" s="49" t="s">
        <v>357</v>
      </c>
      <c r="AL52" s="49" t="s">
        <v>357</v>
      </c>
      <c r="AM52" s="39" t="s">
        <v>357</v>
      </c>
      <c r="AN52" s="39" t="s">
        <v>357</v>
      </c>
      <c r="AO52" s="39" t="s">
        <v>357</v>
      </c>
      <c r="AP52" s="39" t="s">
        <v>357</v>
      </c>
      <c r="AQ52" s="39" t="s">
        <v>357</v>
      </c>
      <c r="AR52" s="39" t="s">
        <v>357</v>
      </c>
      <c r="AS52" s="39" t="s">
        <v>357</v>
      </c>
      <c r="AT52" s="50" t="s">
        <v>357</v>
      </c>
      <c r="AU52" s="50" t="s">
        <v>357</v>
      </c>
      <c r="AV52" s="49" t="s">
        <v>357</v>
      </c>
      <c r="AW52" s="49" t="s">
        <v>357</v>
      </c>
      <c r="AX52" s="49" t="s">
        <v>357</v>
      </c>
      <c r="AY52" s="49" t="s">
        <v>357</v>
      </c>
      <c r="AZ52" s="49" t="s">
        <v>357</v>
      </c>
      <c r="BA52" s="32" t="s">
        <v>357</v>
      </c>
      <c r="BB52" s="32" t="s">
        <v>357</v>
      </c>
      <c r="BC52" s="50" t="s">
        <v>357</v>
      </c>
      <c r="BD52" s="50" t="s">
        <v>357</v>
      </c>
      <c r="BE52" s="39" t="s">
        <v>357</v>
      </c>
      <c r="BF52" s="39" t="s">
        <v>357</v>
      </c>
      <c r="BG52" s="39" t="s">
        <v>357</v>
      </c>
      <c r="BH52" s="39" t="s">
        <v>357</v>
      </c>
      <c r="BI52" s="39" t="s">
        <v>357</v>
      </c>
      <c r="BJ52" s="39" t="s">
        <v>357</v>
      </c>
      <c r="BK52" s="41" t="s">
        <v>357</v>
      </c>
      <c r="BL52" s="41" t="s">
        <v>357</v>
      </c>
      <c r="BM52" s="41"/>
    </row>
    <row r="53">
      <c r="A53" s="18" t="s">
        <v>653</v>
      </c>
      <c r="B53" s="19">
        <v>55.0</v>
      </c>
      <c r="C53" s="18" t="s">
        <v>1013</v>
      </c>
      <c r="D53" s="18" t="s">
        <v>571</v>
      </c>
      <c r="E53" s="18" t="s">
        <v>572</v>
      </c>
      <c r="F53" s="18" t="s">
        <v>192</v>
      </c>
      <c r="G53" s="20" t="s">
        <v>1200</v>
      </c>
      <c r="H53" s="56" t="s">
        <v>762</v>
      </c>
      <c r="I53" s="80" t="s">
        <v>481</v>
      </c>
      <c r="J53" s="82" t="s">
        <v>205</v>
      </c>
      <c r="K53" s="82" t="s">
        <v>208</v>
      </c>
      <c r="L53" s="81" t="s">
        <v>208</v>
      </c>
      <c r="M53" s="26">
        <v>6.0</v>
      </c>
      <c r="N53" s="26" t="str">
        <f>IF((M53&gt;=19),"S",IF(AND(M53&lt;19),"R", "NA"))</f>
        <v>R</v>
      </c>
      <c r="O53" s="26">
        <v>19.0</v>
      </c>
      <c r="P53" s="26" t="str">
        <f>IF((O53&gt;=19),"S",IF(AND(O53&lt;19),"R", "NA"))</f>
        <v>S</v>
      </c>
      <c r="Q53" s="26">
        <v>6.0</v>
      </c>
      <c r="R53" s="26" t="str">
        <f>IF((Q53&gt;=23),"S",IF(AND(Q53&lt;23),"R","NA"))</f>
        <v>R</v>
      </c>
      <c r="S53" s="32" t="s">
        <v>357</v>
      </c>
      <c r="T53" s="32" t="s">
        <v>357</v>
      </c>
      <c r="U53" s="26">
        <v>15.0</v>
      </c>
      <c r="V53" s="26" t="str">
        <f>IF((U53&gt;=20),"S",IF(AND(U53&lt;20),"R", "NA"))</f>
        <v>R</v>
      </c>
      <c r="W53" s="26">
        <v>22.0</v>
      </c>
      <c r="X53" s="26" t="str">
        <f>IF((W53&gt;=20),"S",IF(AND(W53&lt;20),"R", "NA"))</f>
        <v>S</v>
      </c>
      <c r="Y53" s="26">
        <v>23.0</v>
      </c>
      <c r="Z53" s="26" t="str">
        <f>IF((Y53&gt;=20),"S",IF(AND(Y53&lt;20,Y53&gt;=17),"I",IF(AND(Y53&lt;17),"R","NA")))</f>
        <v>S</v>
      </c>
      <c r="AA53" s="32" t="s">
        <v>299</v>
      </c>
      <c r="AB53" s="33">
        <v>24.0</v>
      </c>
      <c r="AC53" s="33" t="str">
        <f>IF((AB53&gt;=20),"S",IF(AND(AB53&lt;20,AB53&gt;=17),"I",IF(AND(AB53&lt;17),"R","NA")))</f>
        <v>S</v>
      </c>
      <c r="AD53" s="33">
        <v>23.0</v>
      </c>
      <c r="AE53" s="33" t="str">
        <f>IF((AD53&gt;=18),"S",IF(AND(AD53&lt;18),"R", "NA"))</f>
        <v>S</v>
      </c>
      <c r="AF53" s="33">
        <v>27.0</v>
      </c>
      <c r="AG53" s="33" t="str">
        <f>IF((AF53&gt;=22),"S",IF(AND(AF53&lt;22,AF53&gt;=19),"I",IF(AND(AF53&lt;19),"R","NA")))</f>
        <v>S</v>
      </c>
      <c r="AH53" s="33">
        <v>24.0</v>
      </c>
      <c r="AI53" s="33" t="str">
        <f>IF((AH53&gt;=13),"S",IF(AND(AH53&lt;13),"R", "NA"))</f>
        <v>S</v>
      </c>
      <c r="AJ53" s="33">
        <v>34.0</v>
      </c>
      <c r="AK53" s="33" t="str">
        <f>IF((AJ53&gt;=27),"S",IF(AND(AJ53&lt;27,AJ53&gt;=24),"I",IF(AND(AJ53&lt;24),"R","NA")))</f>
        <v>S</v>
      </c>
      <c r="AL53" s="33" t="s">
        <v>300</v>
      </c>
      <c r="AM53" s="36">
        <v>30.0</v>
      </c>
      <c r="AN53" s="36" t="str">
        <f>IF((AM53&gt;=25),"S",IF(AND(AM53&lt;25,AM53&gt;=22),"I",IF(AND(AM53&lt;22),"R","NA")))</f>
        <v>S</v>
      </c>
      <c r="AO53" s="36">
        <v>26.0</v>
      </c>
      <c r="AP53" s="36" t="str">
        <f>IF((AO53&gt;=23),"S",IF(AND(AO53&lt;23,AO53&gt;=19),"I",IF(AND(AO53&lt;19),"R","NA")))</f>
        <v>S</v>
      </c>
      <c r="AQ53" s="36">
        <v>22.0</v>
      </c>
      <c r="AR53" s="36" t="str">
        <f>IF((AQ53&gt;=14),"S",IF(AND(AQ53&lt;14),"R","NA"))</f>
        <v>S</v>
      </c>
      <c r="AS53" s="36" t="s">
        <v>300</v>
      </c>
      <c r="AT53" s="37">
        <v>6.0</v>
      </c>
      <c r="AU53" s="37" t="str">
        <f>IF((AT53&gt;=14),"S",IF(AND(AT53&lt;14,AT53&gt;=11),"I",IF(AND(AT53&lt;11),"R","NA")))</f>
        <v>R</v>
      </c>
      <c r="AV53" s="33">
        <v>22.0</v>
      </c>
      <c r="AW53" s="33" t="str">
        <f>IF((AV53&gt;=18),"S",IF(AND(AV53&lt;18),"R", "NA"))</f>
        <v>S</v>
      </c>
      <c r="AX53" s="33">
        <v>20.0</v>
      </c>
      <c r="AY53" s="33" t="str">
        <f>IF((AX53&gt;=16),"S",IF(AND(AX53&lt;16),"R", "NA"))</f>
        <v>S</v>
      </c>
      <c r="AZ53" s="33" t="s">
        <v>300</v>
      </c>
      <c r="BA53" s="26">
        <v>15.0</v>
      </c>
      <c r="BB53" s="26" t="str">
        <f>IF((BA53&gt;=20),"S",IF(AND(BA53&lt;20),"R", "NA"))</f>
        <v>R</v>
      </c>
      <c r="BC53" s="37">
        <v>33.0</v>
      </c>
      <c r="BD53" s="37" t="str">
        <f>IF((BC53&gt;=26),"S",IF(AND(BC53&lt;26,BC53&gt;=21),"I",IF(AND(BC53&lt;21),"R","NA")))</f>
        <v>S</v>
      </c>
      <c r="BE53" s="36">
        <v>34.0</v>
      </c>
      <c r="BF53" s="36" t="str">
        <f>IF((BE53&gt;=23),"S",IF(AND(BE53&lt;23),"R","NA"))</f>
        <v>S</v>
      </c>
      <c r="BG53" s="39" t="s">
        <v>357</v>
      </c>
      <c r="BH53" s="39" t="s">
        <v>357</v>
      </c>
      <c r="BI53" s="36">
        <v>30.0</v>
      </c>
      <c r="BJ53" s="36" t="str">
        <f>IF((BI53&gt;=22),"S",IF(AND(BI53&lt;22,BI53&gt;=19),"I",IF(AND(BI53&lt;19),"R","NA")))</f>
        <v>S</v>
      </c>
      <c r="BK53" s="40">
        <v>21.0</v>
      </c>
      <c r="BL53" s="41" t="str">
        <f>IF((BK53&gt;=17),"S",IF(AND(BK53&lt;17),"R", "NA"))</f>
        <v>S</v>
      </c>
      <c r="BM53" s="41"/>
    </row>
    <row r="54">
      <c r="A54" s="18" t="s">
        <v>653</v>
      </c>
      <c r="B54" s="19">
        <v>56.0</v>
      </c>
      <c r="C54" s="18" t="s">
        <v>1019</v>
      </c>
      <c r="D54" s="18" t="s">
        <v>705</v>
      </c>
      <c r="E54" s="18" t="s">
        <v>572</v>
      </c>
      <c r="F54" s="18" t="s">
        <v>573</v>
      </c>
      <c r="G54" s="20" t="s">
        <v>357</v>
      </c>
      <c r="H54" s="47" t="s">
        <v>357</v>
      </c>
      <c r="I54" s="83" t="s">
        <v>357</v>
      </c>
      <c r="J54" s="82" t="s">
        <v>208</v>
      </c>
      <c r="K54" s="82" t="s">
        <v>208</v>
      </c>
      <c r="L54" s="82" t="s">
        <v>208</v>
      </c>
      <c r="M54" s="32" t="s">
        <v>357</v>
      </c>
      <c r="N54" s="32" t="s">
        <v>357</v>
      </c>
      <c r="O54" s="32" t="s">
        <v>357</v>
      </c>
      <c r="P54" s="32" t="s">
        <v>357</v>
      </c>
      <c r="Q54" s="32" t="s">
        <v>357</v>
      </c>
      <c r="R54" s="32" t="s">
        <v>357</v>
      </c>
      <c r="S54" s="32" t="s">
        <v>357</v>
      </c>
      <c r="T54" s="32" t="s">
        <v>357</v>
      </c>
      <c r="U54" s="32" t="s">
        <v>357</v>
      </c>
      <c r="V54" s="32" t="s">
        <v>357</v>
      </c>
      <c r="W54" s="32" t="s">
        <v>357</v>
      </c>
      <c r="X54" s="32" t="s">
        <v>357</v>
      </c>
      <c r="Y54" s="32" t="s">
        <v>357</v>
      </c>
      <c r="Z54" s="32" t="s">
        <v>357</v>
      </c>
      <c r="AA54" s="32" t="s">
        <v>357</v>
      </c>
      <c r="AB54" s="49" t="s">
        <v>357</v>
      </c>
      <c r="AC54" s="49" t="s">
        <v>357</v>
      </c>
      <c r="AD54" s="49" t="s">
        <v>357</v>
      </c>
      <c r="AE54" s="49" t="s">
        <v>357</v>
      </c>
      <c r="AF54" s="49" t="s">
        <v>357</v>
      </c>
      <c r="AG54" s="49" t="s">
        <v>357</v>
      </c>
      <c r="AH54" s="49" t="s">
        <v>357</v>
      </c>
      <c r="AI54" s="49" t="s">
        <v>357</v>
      </c>
      <c r="AJ54" s="49" t="s">
        <v>357</v>
      </c>
      <c r="AK54" s="49" t="s">
        <v>357</v>
      </c>
      <c r="AL54" s="49" t="s">
        <v>357</v>
      </c>
      <c r="AM54" s="39" t="s">
        <v>357</v>
      </c>
      <c r="AN54" s="39" t="s">
        <v>357</v>
      </c>
      <c r="AO54" s="39" t="s">
        <v>357</v>
      </c>
      <c r="AP54" s="39" t="s">
        <v>357</v>
      </c>
      <c r="AQ54" s="39" t="s">
        <v>357</v>
      </c>
      <c r="AR54" s="39" t="s">
        <v>357</v>
      </c>
      <c r="AS54" s="39" t="s">
        <v>357</v>
      </c>
      <c r="AT54" s="50" t="s">
        <v>357</v>
      </c>
      <c r="AU54" s="50" t="s">
        <v>357</v>
      </c>
      <c r="AV54" s="49" t="s">
        <v>357</v>
      </c>
      <c r="AW54" s="49" t="s">
        <v>357</v>
      </c>
      <c r="AX54" s="49" t="s">
        <v>357</v>
      </c>
      <c r="AY54" s="49" t="s">
        <v>357</v>
      </c>
      <c r="AZ54" s="49" t="s">
        <v>357</v>
      </c>
      <c r="BA54" s="32" t="s">
        <v>357</v>
      </c>
      <c r="BB54" s="32" t="s">
        <v>357</v>
      </c>
      <c r="BC54" s="50" t="s">
        <v>357</v>
      </c>
      <c r="BD54" s="50" t="s">
        <v>357</v>
      </c>
      <c r="BE54" s="39" t="s">
        <v>357</v>
      </c>
      <c r="BF54" s="39" t="s">
        <v>357</v>
      </c>
      <c r="BG54" s="39" t="s">
        <v>357</v>
      </c>
      <c r="BH54" s="39" t="s">
        <v>357</v>
      </c>
      <c r="BI54" s="39" t="s">
        <v>357</v>
      </c>
      <c r="BJ54" s="39" t="s">
        <v>357</v>
      </c>
      <c r="BK54" s="41" t="s">
        <v>357</v>
      </c>
      <c r="BL54" s="41" t="s">
        <v>357</v>
      </c>
      <c r="BM54" s="41"/>
    </row>
    <row r="55">
      <c r="A55" s="18" t="s">
        <v>689</v>
      </c>
      <c r="B55" s="19">
        <v>57.0</v>
      </c>
      <c r="C55" s="18" t="s">
        <v>625</v>
      </c>
      <c r="D55" s="18" t="s">
        <v>190</v>
      </c>
      <c r="E55" s="18" t="s">
        <v>190</v>
      </c>
      <c r="F55" s="18" t="s">
        <v>192</v>
      </c>
      <c r="G55" s="20" t="s">
        <v>1216</v>
      </c>
      <c r="H55" s="22" t="s">
        <v>198</v>
      </c>
      <c r="I55" s="84" t="s">
        <v>37</v>
      </c>
      <c r="J55" s="81" t="s">
        <v>205</v>
      </c>
      <c r="K55" s="81" t="s">
        <v>205</v>
      </c>
      <c r="L55" s="81" t="s">
        <v>208</v>
      </c>
      <c r="M55" s="26">
        <v>6.0</v>
      </c>
      <c r="N55" s="26" t="str">
        <f>IF((M55&gt;=19),"S",IF(AND(M55&lt;19),"R", "NA"))</f>
        <v>R</v>
      </c>
      <c r="O55" s="26">
        <v>22.0</v>
      </c>
      <c r="P55" s="26" t="str">
        <f>IF((O55&gt;=19),"S",IF(AND(O55&lt;19),"R", "NA"))</f>
        <v>S</v>
      </c>
      <c r="Q55" s="26">
        <v>6.0</v>
      </c>
      <c r="R55" s="26" t="str">
        <f>IF((Q55&gt;=23),"S",IF(AND(Q55&lt;23),"R","NA"))</f>
        <v>R</v>
      </c>
      <c r="S55" s="32" t="s">
        <v>357</v>
      </c>
      <c r="T55" s="32" t="s">
        <v>357</v>
      </c>
      <c r="U55" s="26">
        <v>11.0</v>
      </c>
      <c r="V55" s="26" t="str">
        <f>IF((U55&gt;=20),"S",IF(AND(U55&lt;20),"R", "NA"))</f>
        <v>R</v>
      </c>
      <c r="W55" s="26">
        <v>23.0</v>
      </c>
      <c r="X55" s="26" t="str">
        <f>IF((W55&gt;=20),"S",IF(AND(W55&lt;20),"R", "NA"))</f>
        <v>S</v>
      </c>
      <c r="Y55" s="26">
        <v>20.0</v>
      </c>
      <c r="Z55" s="26" t="str">
        <f>IF((Y55&gt;=20),"S",IF(AND(Y55&lt;20,Y55&gt;=17),"I",IF(AND(Y55&lt;17),"R","NA")))</f>
        <v>S</v>
      </c>
      <c r="AA55" s="32" t="s">
        <v>299</v>
      </c>
      <c r="AB55" s="33">
        <v>6.0</v>
      </c>
      <c r="AC55" s="33" t="str">
        <f>IF((AB55&gt;=20),"S",IF(AND(AB55&lt;20,AB55&gt;=17),"I",IF(AND(AB55&lt;17),"R","NA")))</f>
        <v>R</v>
      </c>
      <c r="AD55" s="33">
        <v>24.0</v>
      </c>
      <c r="AE55" s="33" t="str">
        <f>IF((AD55&gt;=18),"S",IF(AND(AD55&lt;18),"R", "NA"))</f>
        <v>S</v>
      </c>
      <c r="AF55" s="33">
        <v>16.0</v>
      </c>
      <c r="AG55" s="33" t="str">
        <f>IF((AF55&gt;=22),"S",IF(AND(AF55&lt;22,AF55&gt;=19),"I",IF(AND(AF55&lt;19),"R","NA")))</f>
        <v>R</v>
      </c>
      <c r="AH55" s="33">
        <v>24.0</v>
      </c>
      <c r="AI55" s="33" t="str">
        <f>IF((AH55&gt;=13),"S",IF(AND(AH55&lt;13),"R", "NA"))</f>
        <v>S</v>
      </c>
      <c r="AJ55" s="33">
        <v>22.0</v>
      </c>
      <c r="AK55" s="33" t="str">
        <f>IF((AJ55&gt;=27),"S",IF(AND(AJ55&lt;27,AJ55&gt;=24),"I",IF(AND(AJ55&lt;24),"R","NA")))</f>
        <v>R</v>
      </c>
      <c r="AL55" s="33" t="s">
        <v>299</v>
      </c>
      <c r="AM55" s="36">
        <v>6.0</v>
      </c>
      <c r="AN55" s="36" t="str">
        <f>IF((AM55&gt;=25),"S",IF(AND(AM55&lt;25,AM55&gt;=22),"I",IF(AND(AM55&lt;22),"R","NA")))</f>
        <v>R</v>
      </c>
      <c r="AO55" s="36">
        <v>8.0</v>
      </c>
      <c r="AP55" s="36" t="str">
        <f>IF((AO55&gt;=23),"S",IF(AND(AO55&lt;23,AO55&gt;=19),"I",IF(AND(AO55&lt;19),"R","NA")))</f>
        <v>R</v>
      </c>
      <c r="AQ55" s="36">
        <v>6.0</v>
      </c>
      <c r="AR55" s="36" t="str">
        <f>IF((AQ55&gt;=14),"S",IF(AND(AQ55&lt;14),"R","NA"))</f>
        <v>R</v>
      </c>
      <c r="AS55" s="36" t="s">
        <v>299</v>
      </c>
      <c r="AT55" s="37">
        <v>6.0</v>
      </c>
      <c r="AU55" s="37" t="str">
        <f>IF((AT55&gt;=14),"S",IF(AND(AT55&lt;14,AT55&gt;=11),"I",IF(AND(AT55&lt;11),"R","NA")))</f>
        <v>R</v>
      </c>
      <c r="AV55" s="33">
        <v>20.0</v>
      </c>
      <c r="AW55" s="33" t="str">
        <f>IF((AV55&gt;=18),"S",IF(AND(AV55&lt;18),"R", "NA"))</f>
        <v>S</v>
      </c>
      <c r="AX55" s="33">
        <v>19.0</v>
      </c>
      <c r="AY55" s="33" t="str">
        <f>IF((AX55&gt;=16),"S",IF(AND(AX55&lt;16),"R", "NA"))</f>
        <v>S</v>
      </c>
      <c r="AZ55" s="33" t="s">
        <v>300</v>
      </c>
      <c r="BA55" s="26">
        <v>12.0</v>
      </c>
      <c r="BB55" s="26" t="str">
        <f>IF((BA55&gt;=20),"S",IF(AND(BA55&lt;20),"R", "NA"))</f>
        <v>R</v>
      </c>
      <c r="BC55" s="37">
        <v>16.0</v>
      </c>
      <c r="BD55" s="37" t="str">
        <f>IF((BC55&gt;=26),"S",IF(AND(BC55&lt;26,BC55&gt;=21),"I",IF(AND(BC55&lt;21),"R","NA")))</f>
        <v>R</v>
      </c>
      <c r="BE55" s="36">
        <v>31.0</v>
      </c>
      <c r="BF55" s="36" t="str">
        <f>IF((BE55&gt;=23),"S",IF(AND(BE55&lt;23),"R","NA"))</f>
        <v>S</v>
      </c>
      <c r="BG55" s="39" t="s">
        <v>357</v>
      </c>
      <c r="BH55" s="39" t="s">
        <v>357</v>
      </c>
      <c r="BI55" s="36">
        <v>30.0</v>
      </c>
      <c r="BJ55" s="36" t="str">
        <f>IF((BI55&gt;=22),"S",IF(AND(BI55&lt;22,BI55&gt;=19),"I",IF(AND(BI55&lt;19),"R","NA")))</f>
        <v>S</v>
      </c>
      <c r="BK55" s="40">
        <v>21.0</v>
      </c>
      <c r="BL55" s="41" t="str">
        <f>IF((BK55&gt;=17),"S",IF(AND(BK55&lt;17),"R", "NA"))</f>
        <v>S</v>
      </c>
      <c r="BM55" s="41"/>
    </row>
    <row r="56">
      <c r="A56" s="18" t="s">
        <v>689</v>
      </c>
      <c r="B56" s="19">
        <v>58.0</v>
      </c>
      <c r="C56" s="18" t="s">
        <v>1027</v>
      </c>
      <c r="D56" s="18" t="s">
        <v>571</v>
      </c>
      <c r="E56" s="18" t="s">
        <v>572</v>
      </c>
      <c r="F56" s="18" t="s">
        <v>573</v>
      </c>
      <c r="G56" s="20" t="s">
        <v>357</v>
      </c>
      <c r="H56" s="47" t="s">
        <v>357</v>
      </c>
      <c r="I56" s="83" t="s">
        <v>357</v>
      </c>
      <c r="J56" s="82" t="s">
        <v>208</v>
      </c>
      <c r="K56" s="82" t="s">
        <v>208</v>
      </c>
      <c r="L56" s="82" t="s">
        <v>208</v>
      </c>
      <c r="M56" s="32" t="s">
        <v>357</v>
      </c>
      <c r="N56" s="32" t="s">
        <v>357</v>
      </c>
      <c r="O56" s="32" t="s">
        <v>357</v>
      </c>
      <c r="P56" s="32" t="s">
        <v>357</v>
      </c>
      <c r="Q56" s="32" t="s">
        <v>357</v>
      </c>
      <c r="R56" s="32" t="s">
        <v>357</v>
      </c>
      <c r="S56" s="32" t="s">
        <v>357</v>
      </c>
      <c r="T56" s="32" t="s">
        <v>357</v>
      </c>
      <c r="U56" s="32" t="s">
        <v>357</v>
      </c>
      <c r="V56" s="32" t="s">
        <v>357</v>
      </c>
      <c r="W56" s="32" t="s">
        <v>357</v>
      </c>
      <c r="X56" s="32" t="s">
        <v>357</v>
      </c>
      <c r="Y56" s="32" t="s">
        <v>357</v>
      </c>
      <c r="Z56" s="32" t="s">
        <v>357</v>
      </c>
      <c r="AA56" s="32" t="s">
        <v>357</v>
      </c>
      <c r="AB56" s="49" t="s">
        <v>357</v>
      </c>
      <c r="AC56" s="49" t="s">
        <v>357</v>
      </c>
      <c r="AD56" s="49" t="s">
        <v>357</v>
      </c>
      <c r="AE56" s="49" t="s">
        <v>357</v>
      </c>
      <c r="AF56" s="49" t="s">
        <v>357</v>
      </c>
      <c r="AG56" s="49" t="s">
        <v>357</v>
      </c>
      <c r="AH56" s="49" t="s">
        <v>357</v>
      </c>
      <c r="AI56" s="49" t="s">
        <v>357</v>
      </c>
      <c r="AJ56" s="49" t="s">
        <v>357</v>
      </c>
      <c r="AK56" s="49" t="s">
        <v>357</v>
      </c>
      <c r="AL56" s="49" t="s">
        <v>357</v>
      </c>
      <c r="AM56" s="39" t="s">
        <v>357</v>
      </c>
      <c r="AN56" s="39" t="s">
        <v>357</v>
      </c>
      <c r="AO56" s="39" t="s">
        <v>357</v>
      </c>
      <c r="AP56" s="39" t="s">
        <v>357</v>
      </c>
      <c r="AQ56" s="39" t="s">
        <v>357</v>
      </c>
      <c r="AR56" s="39" t="s">
        <v>357</v>
      </c>
      <c r="AS56" s="39" t="s">
        <v>357</v>
      </c>
      <c r="AT56" s="50" t="s">
        <v>357</v>
      </c>
      <c r="AU56" s="50" t="s">
        <v>357</v>
      </c>
      <c r="AV56" s="49" t="s">
        <v>357</v>
      </c>
      <c r="AW56" s="49" t="s">
        <v>357</v>
      </c>
      <c r="AX56" s="49" t="s">
        <v>357</v>
      </c>
      <c r="AY56" s="49" t="s">
        <v>357</v>
      </c>
      <c r="AZ56" s="49" t="s">
        <v>357</v>
      </c>
      <c r="BA56" s="32" t="s">
        <v>357</v>
      </c>
      <c r="BB56" s="32" t="s">
        <v>357</v>
      </c>
      <c r="BC56" s="50" t="s">
        <v>357</v>
      </c>
      <c r="BD56" s="50" t="s">
        <v>357</v>
      </c>
      <c r="BE56" s="39" t="s">
        <v>357</v>
      </c>
      <c r="BF56" s="39" t="s">
        <v>357</v>
      </c>
      <c r="BG56" s="39" t="s">
        <v>357</v>
      </c>
      <c r="BH56" s="39" t="s">
        <v>357</v>
      </c>
      <c r="BI56" s="39" t="s">
        <v>357</v>
      </c>
      <c r="BJ56" s="39" t="s">
        <v>357</v>
      </c>
      <c r="BK56" s="41" t="s">
        <v>357</v>
      </c>
      <c r="BL56" s="41" t="s">
        <v>357</v>
      </c>
      <c r="BM56" s="41"/>
    </row>
    <row r="57">
      <c r="A57" s="18" t="s">
        <v>689</v>
      </c>
      <c r="B57" s="19">
        <v>59.0</v>
      </c>
      <c r="C57" s="18" t="s">
        <v>1030</v>
      </c>
      <c r="D57" s="18" t="s">
        <v>827</v>
      </c>
      <c r="E57" s="18" t="s">
        <v>572</v>
      </c>
      <c r="F57" s="18" t="s">
        <v>192</v>
      </c>
      <c r="G57" s="20" t="s">
        <v>1233</v>
      </c>
      <c r="H57" s="22" t="s">
        <v>198</v>
      </c>
      <c r="I57" s="80" t="s">
        <v>1011</v>
      </c>
      <c r="J57" s="82" t="s">
        <v>208</v>
      </c>
      <c r="K57" s="82" t="s">
        <v>208</v>
      </c>
      <c r="L57" s="81" t="s">
        <v>208</v>
      </c>
      <c r="M57" s="26">
        <v>6.0</v>
      </c>
      <c r="N57" s="26" t="str">
        <f t="shared" ref="N57:N62" si="155">IF((M57&gt;=19),"S",IF(AND(M57&lt;19),"R", "NA"))</f>
        <v>R</v>
      </c>
      <c r="O57" s="26">
        <v>21.0</v>
      </c>
      <c r="P57" s="26" t="str">
        <f t="shared" ref="P57:P62" si="156">IF((O57&gt;=19),"S",IF(AND(O57&lt;19),"R", "NA"))</f>
        <v>S</v>
      </c>
      <c r="Q57" s="26">
        <v>6.0</v>
      </c>
      <c r="R57" s="26" t="str">
        <f t="shared" ref="R57:R62" si="157">IF((Q57&gt;=23),"S",IF(AND(Q57&lt;23),"R","NA"))</f>
        <v>R</v>
      </c>
      <c r="S57" s="32" t="s">
        <v>357</v>
      </c>
      <c r="T57" s="32" t="s">
        <v>357</v>
      </c>
      <c r="U57" s="26">
        <v>17.0</v>
      </c>
      <c r="V57" s="26" t="str">
        <f t="shared" ref="V57:V62" si="158">IF((U57&gt;=20),"S",IF(AND(U57&lt;20),"R", "NA"))</f>
        <v>R</v>
      </c>
      <c r="W57" s="26">
        <v>27.0</v>
      </c>
      <c r="X57" s="26" t="str">
        <f t="shared" ref="X57:X62" si="159">IF((W57&gt;=20),"S",IF(AND(W57&lt;20),"R", "NA"))</f>
        <v>S</v>
      </c>
      <c r="Y57" s="26">
        <v>27.0</v>
      </c>
      <c r="Z57" s="26" t="str">
        <f t="shared" ref="Z57:Z62" si="160">IF((Y57&gt;=20),"S",IF(AND(Y57&lt;20,Y57&gt;=17),"I",IF(AND(Y57&lt;17),"R","NA")))</f>
        <v>S</v>
      </c>
      <c r="AA57" s="32" t="s">
        <v>299</v>
      </c>
      <c r="AB57" s="33">
        <v>18.0</v>
      </c>
      <c r="AC57" s="33" t="str">
        <f t="shared" ref="AC57:AC62" si="161">IF((AB57&gt;=20),"S",IF(AND(AB57&lt;20,AB57&gt;=17),"I",IF(AND(AB57&lt;17),"R","NA")))</f>
        <v>I</v>
      </c>
      <c r="AD57" s="33">
        <v>27.0</v>
      </c>
      <c r="AE57" s="33" t="str">
        <f t="shared" ref="AE57:AE62" si="162">IF((AD57&gt;=18),"S",IF(AND(AD57&lt;18),"R", "NA"))</f>
        <v>S</v>
      </c>
      <c r="AF57" s="33">
        <v>24.0</v>
      </c>
      <c r="AG57" s="33" t="str">
        <f t="shared" ref="AG57:AG62" si="163">IF((AF57&gt;=22),"S",IF(AND(AF57&lt;22,AF57&gt;=19),"I",IF(AND(AF57&lt;19),"R","NA")))</f>
        <v>S</v>
      </c>
      <c r="AH57" s="33">
        <v>28.0</v>
      </c>
      <c r="AI57" s="33" t="str">
        <f t="shared" ref="AI57:AI62" si="164">IF((AH57&gt;=13),"S",IF(AND(AH57&lt;13),"R", "NA"))</f>
        <v>S</v>
      </c>
      <c r="AJ57" s="33">
        <v>30.0</v>
      </c>
      <c r="AK57" s="33" t="str">
        <f t="shared" ref="AK57:AK62" si="165">IF((AJ57&gt;=27),"S",IF(AND(AJ57&lt;27,AJ57&gt;=24),"I",IF(AND(AJ57&lt;24),"R","NA")))</f>
        <v>S</v>
      </c>
      <c r="AL57" s="33" t="s">
        <v>300</v>
      </c>
      <c r="AM57" s="36">
        <v>28.0</v>
      </c>
      <c r="AN57" s="36" t="str">
        <f t="shared" ref="AN57:AN62" si="166">IF((AM57&gt;=25),"S",IF(AND(AM57&lt;25,AM57&gt;=22),"I",IF(AND(AM57&lt;22),"R","NA")))</f>
        <v>S</v>
      </c>
      <c r="AO57" s="36">
        <v>24.0</v>
      </c>
      <c r="AP57" s="36" t="str">
        <f t="shared" ref="AP57:AP62" si="167">IF((AO57&gt;=23),"S",IF(AND(AO57&lt;23,AO57&gt;=19),"I",IF(AND(AO57&lt;19),"R","NA")))</f>
        <v>S</v>
      </c>
      <c r="AQ57" s="36">
        <v>18.0</v>
      </c>
      <c r="AR57" s="36" t="str">
        <f t="shared" ref="AR57:AR62" si="168">IF((AQ57&gt;=14),"S",IF(AND(AQ57&lt;14),"R","NA"))</f>
        <v>S</v>
      </c>
      <c r="AS57" s="36" t="s">
        <v>300</v>
      </c>
      <c r="AT57" s="37">
        <v>6.0</v>
      </c>
      <c r="AU57" s="37" t="str">
        <f t="shared" ref="AU57:AU62" si="169">IF((AT57&gt;=14),"S",IF(AND(AT57&lt;14,AT57&gt;=11),"I",IF(AND(AT57&lt;11),"R","NA")))</f>
        <v>R</v>
      </c>
      <c r="AV57" s="33">
        <v>21.0</v>
      </c>
      <c r="AW57" s="33" t="str">
        <f t="shared" ref="AW57:AW62" si="170">IF((AV57&gt;=18),"S",IF(AND(AV57&lt;18),"R", "NA"))</f>
        <v>S</v>
      </c>
      <c r="AX57" s="33">
        <v>20.0</v>
      </c>
      <c r="AY57" s="33" t="str">
        <f t="shared" ref="AY57:AY62" si="171">IF((AX57&gt;=16),"S",IF(AND(AX57&lt;16),"R", "NA"))</f>
        <v>S</v>
      </c>
      <c r="AZ57" s="33" t="s">
        <v>300</v>
      </c>
      <c r="BA57" s="26">
        <v>18.0</v>
      </c>
      <c r="BB57" s="26" t="str">
        <f t="shared" ref="BB57:BB62" si="172">IF((BA57&gt;=20),"S",IF(AND(BA57&lt;20),"R", "NA"))</f>
        <v>R</v>
      </c>
      <c r="BC57" s="37">
        <v>25.0</v>
      </c>
      <c r="BD57" s="37" t="str">
        <f t="shared" ref="BD57:BD62" si="173">IF((BC57&gt;=26),"S",IF(AND(BC57&lt;26,BC57&gt;=21),"I",IF(AND(BC57&lt;21),"R","NA")))</f>
        <v>I</v>
      </c>
      <c r="BE57" s="36">
        <v>30.0</v>
      </c>
      <c r="BF57" s="36" t="str">
        <f t="shared" ref="BF57:BF62" si="174">IF((BE57&gt;=23),"S",IF(AND(BE57&lt;23),"R","NA"))</f>
        <v>S</v>
      </c>
      <c r="BG57" s="39" t="s">
        <v>357</v>
      </c>
      <c r="BH57" s="39" t="s">
        <v>357</v>
      </c>
      <c r="BI57" s="36">
        <v>32.0</v>
      </c>
      <c r="BJ57" s="36" t="str">
        <f t="shared" ref="BJ57:BJ62" si="175">IF((BI57&gt;=22),"S",IF(AND(BI57&lt;22,BI57&gt;=19),"I",IF(AND(BI57&lt;19),"R","NA")))</f>
        <v>S</v>
      </c>
      <c r="BK57" s="40">
        <v>21.0</v>
      </c>
      <c r="BL57" s="41" t="str">
        <f t="shared" ref="BL57:BL62" si="176">IF((BK57&gt;=17),"S",IF(AND(BK57&lt;17),"R", "NA"))</f>
        <v>S</v>
      </c>
      <c r="BM57" s="41"/>
    </row>
    <row r="58">
      <c r="A58" s="18" t="s">
        <v>689</v>
      </c>
      <c r="B58" s="18" t="s">
        <v>444</v>
      </c>
      <c r="C58" s="18" t="s">
        <v>634</v>
      </c>
      <c r="D58" s="18" t="s">
        <v>827</v>
      </c>
      <c r="E58" s="18" t="s">
        <v>572</v>
      </c>
      <c r="F58" s="18" t="s">
        <v>192</v>
      </c>
      <c r="G58" s="20" t="s">
        <v>1242</v>
      </c>
      <c r="H58" s="22" t="s">
        <v>198</v>
      </c>
      <c r="I58" s="80" t="s">
        <v>481</v>
      </c>
      <c r="J58" s="81" t="s">
        <v>205</v>
      </c>
      <c r="K58" s="82" t="s">
        <v>208</v>
      </c>
      <c r="L58" s="82" t="s">
        <v>208</v>
      </c>
      <c r="M58" s="26">
        <v>6.0</v>
      </c>
      <c r="N58" s="26" t="str">
        <f t="shared" si="155"/>
        <v>R</v>
      </c>
      <c r="O58" s="26">
        <v>22.0</v>
      </c>
      <c r="P58" s="26" t="str">
        <f t="shared" si="156"/>
        <v>S</v>
      </c>
      <c r="Q58" s="26">
        <v>6.0</v>
      </c>
      <c r="R58" s="26" t="str">
        <f t="shared" si="157"/>
        <v>R</v>
      </c>
      <c r="S58" s="32" t="s">
        <v>357</v>
      </c>
      <c r="T58" s="32" t="s">
        <v>357</v>
      </c>
      <c r="U58" s="26">
        <v>16.0</v>
      </c>
      <c r="V58" s="26" t="str">
        <f t="shared" si="158"/>
        <v>R</v>
      </c>
      <c r="W58" s="26">
        <v>26.0</v>
      </c>
      <c r="X58" s="26" t="str">
        <f t="shared" si="159"/>
        <v>S</v>
      </c>
      <c r="Y58" s="26">
        <v>27.0</v>
      </c>
      <c r="Z58" s="26" t="str">
        <f t="shared" si="160"/>
        <v>S</v>
      </c>
      <c r="AA58" s="32" t="s">
        <v>299</v>
      </c>
      <c r="AB58" s="33">
        <v>12.0</v>
      </c>
      <c r="AC58" s="33" t="str">
        <f t="shared" si="161"/>
        <v>R</v>
      </c>
      <c r="AD58" s="33">
        <v>28.0</v>
      </c>
      <c r="AE58" s="33" t="str">
        <f t="shared" si="162"/>
        <v>S</v>
      </c>
      <c r="AF58" s="33">
        <v>24.0</v>
      </c>
      <c r="AG58" s="33" t="str">
        <f t="shared" si="163"/>
        <v>S</v>
      </c>
      <c r="AH58" s="33">
        <v>27.0</v>
      </c>
      <c r="AI58" s="33" t="str">
        <f t="shared" si="164"/>
        <v>S</v>
      </c>
      <c r="AJ58" s="33">
        <v>28.0</v>
      </c>
      <c r="AK58" s="33" t="str">
        <f t="shared" si="165"/>
        <v>S</v>
      </c>
      <c r="AL58" s="33" t="s">
        <v>299</v>
      </c>
      <c r="AM58" s="36">
        <v>25.0</v>
      </c>
      <c r="AN58" s="36" t="str">
        <f t="shared" si="166"/>
        <v>S</v>
      </c>
      <c r="AO58" s="36">
        <v>22.0</v>
      </c>
      <c r="AP58" s="36" t="str">
        <f t="shared" si="167"/>
        <v>I</v>
      </c>
      <c r="AQ58" s="36">
        <v>13.0</v>
      </c>
      <c r="AR58" s="36" t="str">
        <f t="shared" si="168"/>
        <v>R</v>
      </c>
      <c r="AS58" s="36" t="s">
        <v>299</v>
      </c>
      <c r="AT58" s="37">
        <v>6.0</v>
      </c>
      <c r="AU58" s="37" t="str">
        <f t="shared" si="169"/>
        <v>R</v>
      </c>
      <c r="AV58" s="33">
        <v>21.0</v>
      </c>
      <c r="AW58" s="33" t="str">
        <f t="shared" si="170"/>
        <v>S</v>
      </c>
      <c r="AX58" s="33">
        <v>20.0</v>
      </c>
      <c r="AY58" s="33" t="str">
        <f t="shared" si="171"/>
        <v>S</v>
      </c>
      <c r="AZ58" s="33" t="s">
        <v>300</v>
      </c>
      <c r="BA58" s="26">
        <v>15.0</v>
      </c>
      <c r="BB58" s="26" t="str">
        <f t="shared" si="172"/>
        <v>R</v>
      </c>
      <c r="BC58" s="37">
        <v>25.0</v>
      </c>
      <c r="BD58" s="37" t="str">
        <f t="shared" si="173"/>
        <v>I</v>
      </c>
      <c r="BE58" s="36">
        <v>33.0</v>
      </c>
      <c r="BF58" s="36" t="str">
        <f t="shared" si="174"/>
        <v>S</v>
      </c>
      <c r="BG58" s="39" t="s">
        <v>357</v>
      </c>
      <c r="BH58" s="39" t="s">
        <v>357</v>
      </c>
      <c r="BI58" s="36">
        <v>32.0</v>
      </c>
      <c r="BJ58" s="36" t="str">
        <f t="shared" si="175"/>
        <v>S</v>
      </c>
      <c r="BK58" s="40">
        <v>21.0</v>
      </c>
      <c r="BL58" s="41" t="str">
        <f t="shared" si="176"/>
        <v>S</v>
      </c>
      <c r="BM58" s="41"/>
    </row>
    <row r="59">
      <c r="A59" s="18" t="s">
        <v>689</v>
      </c>
      <c r="B59" s="19">
        <v>60.0</v>
      </c>
      <c r="C59" s="18" t="s">
        <v>638</v>
      </c>
      <c r="D59" s="18" t="s">
        <v>705</v>
      </c>
      <c r="E59" s="18" t="s">
        <v>572</v>
      </c>
      <c r="F59" s="18" t="s">
        <v>192</v>
      </c>
      <c r="G59" s="20" t="s">
        <v>1245</v>
      </c>
      <c r="H59" s="22" t="s">
        <v>198</v>
      </c>
      <c r="I59" s="80" t="s">
        <v>481</v>
      </c>
      <c r="J59" s="81" t="s">
        <v>205</v>
      </c>
      <c r="K59" s="82" t="s">
        <v>208</v>
      </c>
      <c r="L59" s="81" t="s">
        <v>208</v>
      </c>
      <c r="M59" s="26">
        <v>6.0</v>
      </c>
      <c r="N59" s="26" t="str">
        <f t="shared" si="155"/>
        <v>R</v>
      </c>
      <c r="O59" s="26">
        <v>23.0</v>
      </c>
      <c r="P59" s="26" t="str">
        <f t="shared" si="156"/>
        <v>S</v>
      </c>
      <c r="Q59" s="26">
        <v>6.0</v>
      </c>
      <c r="R59" s="26" t="str">
        <f t="shared" si="157"/>
        <v>R</v>
      </c>
      <c r="S59" s="32" t="s">
        <v>357</v>
      </c>
      <c r="T59" s="32" t="s">
        <v>357</v>
      </c>
      <c r="U59" s="26">
        <v>17.0</v>
      </c>
      <c r="V59" s="26" t="str">
        <f t="shared" si="158"/>
        <v>R</v>
      </c>
      <c r="W59" s="26">
        <v>26.0</v>
      </c>
      <c r="X59" s="26" t="str">
        <f t="shared" si="159"/>
        <v>S</v>
      </c>
      <c r="Y59" s="26">
        <v>24.0</v>
      </c>
      <c r="Z59" s="26" t="str">
        <f t="shared" si="160"/>
        <v>S</v>
      </c>
      <c r="AA59" s="32" t="s">
        <v>299</v>
      </c>
      <c r="AB59" s="33">
        <v>10.0</v>
      </c>
      <c r="AC59" s="33" t="str">
        <f t="shared" si="161"/>
        <v>R</v>
      </c>
      <c r="AD59" s="33">
        <v>25.0</v>
      </c>
      <c r="AE59" s="33" t="str">
        <f t="shared" si="162"/>
        <v>S</v>
      </c>
      <c r="AF59" s="33">
        <v>22.0</v>
      </c>
      <c r="AG59" s="33" t="str">
        <f t="shared" si="163"/>
        <v>S</v>
      </c>
      <c r="AH59" s="33">
        <v>26.0</v>
      </c>
      <c r="AI59" s="33" t="str">
        <f t="shared" si="164"/>
        <v>S</v>
      </c>
      <c r="AJ59" s="33">
        <v>25.0</v>
      </c>
      <c r="AK59" s="33" t="str">
        <f t="shared" si="165"/>
        <v>I</v>
      </c>
      <c r="AL59" s="33" t="s">
        <v>299</v>
      </c>
      <c r="AM59" s="36">
        <v>26.0</v>
      </c>
      <c r="AN59" s="36" t="str">
        <f t="shared" si="166"/>
        <v>S</v>
      </c>
      <c r="AO59" s="36">
        <v>25.0</v>
      </c>
      <c r="AP59" s="36" t="str">
        <f t="shared" si="167"/>
        <v>S</v>
      </c>
      <c r="AQ59" s="36">
        <v>18.0</v>
      </c>
      <c r="AR59" s="36" t="str">
        <f t="shared" si="168"/>
        <v>S</v>
      </c>
      <c r="AS59" s="36" t="s">
        <v>300</v>
      </c>
      <c r="AT59" s="37">
        <v>32.0</v>
      </c>
      <c r="AU59" s="37" t="str">
        <f t="shared" si="169"/>
        <v>S</v>
      </c>
      <c r="AV59" s="33">
        <v>21.0</v>
      </c>
      <c r="AW59" s="33" t="str">
        <f t="shared" si="170"/>
        <v>S</v>
      </c>
      <c r="AX59" s="33">
        <v>19.0</v>
      </c>
      <c r="AY59" s="33" t="str">
        <f t="shared" si="171"/>
        <v>S</v>
      </c>
      <c r="AZ59" s="33" t="s">
        <v>300</v>
      </c>
      <c r="BA59" s="26">
        <v>19.0</v>
      </c>
      <c r="BB59" s="26" t="str">
        <f t="shared" si="172"/>
        <v>R</v>
      </c>
      <c r="BC59" s="37">
        <v>22.0</v>
      </c>
      <c r="BD59" s="37" t="str">
        <f t="shared" si="173"/>
        <v>I</v>
      </c>
      <c r="BE59" s="36">
        <v>31.0</v>
      </c>
      <c r="BF59" s="36" t="str">
        <f t="shared" si="174"/>
        <v>S</v>
      </c>
      <c r="BG59" s="39" t="s">
        <v>357</v>
      </c>
      <c r="BH59" s="39" t="s">
        <v>357</v>
      </c>
      <c r="BI59" s="36">
        <v>31.0</v>
      </c>
      <c r="BJ59" s="36" t="str">
        <f t="shared" si="175"/>
        <v>S</v>
      </c>
      <c r="BK59" s="40">
        <v>20.0</v>
      </c>
      <c r="BL59" s="41" t="str">
        <f t="shared" si="176"/>
        <v>S</v>
      </c>
      <c r="BM59" s="41"/>
    </row>
    <row r="60">
      <c r="A60" s="18" t="s">
        <v>689</v>
      </c>
      <c r="B60" s="19">
        <v>61.0</v>
      </c>
      <c r="C60" s="18" t="s">
        <v>648</v>
      </c>
      <c r="D60" s="18" t="s">
        <v>708</v>
      </c>
      <c r="E60" s="18" t="s">
        <v>103</v>
      </c>
      <c r="F60" s="18" t="s">
        <v>192</v>
      </c>
      <c r="G60" s="20" t="s">
        <v>1248</v>
      </c>
      <c r="H60" s="22" t="s">
        <v>198</v>
      </c>
      <c r="I60" s="84" t="s">
        <v>37</v>
      </c>
      <c r="J60" s="81" t="s">
        <v>205</v>
      </c>
      <c r="K60" s="81" t="s">
        <v>205</v>
      </c>
      <c r="L60" s="82" t="s">
        <v>208</v>
      </c>
      <c r="M60" s="26">
        <v>6.0</v>
      </c>
      <c r="N60" s="26" t="str">
        <f t="shared" si="155"/>
        <v>R</v>
      </c>
      <c r="O60" s="26">
        <v>24.0</v>
      </c>
      <c r="P60" s="26" t="str">
        <f t="shared" si="156"/>
        <v>S</v>
      </c>
      <c r="Q60" s="26">
        <v>6.0</v>
      </c>
      <c r="R60" s="26" t="str">
        <f t="shared" si="157"/>
        <v>R</v>
      </c>
      <c r="S60" s="32" t="s">
        <v>357</v>
      </c>
      <c r="T60" s="32" t="s">
        <v>357</v>
      </c>
      <c r="U60" s="26">
        <v>14.0</v>
      </c>
      <c r="V60" s="26" t="str">
        <f t="shared" si="158"/>
        <v>R</v>
      </c>
      <c r="W60" s="26">
        <v>25.0</v>
      </c>
      <c r="X60" s="26" t="str">
        <f t="shared" si="159"/>
        <v>S</v>
      </c>
      <c r="Y60" s="26">
        <v>24.0</v>
      </c>
      <c r="Z60" s="26" t="str">
        <f t="shared" si="160"/>
        <v>S</v>
      </c>
      <c r="AA60" s="32" t="s">
        <v>299</v>
      </c>
      <c r="AB60" s="33">
        <v>6.0</v>
      </c>
      <c r="AC60" s="33" t="str">
        <f t="shared" si="161"/>
        <v>R</v>
      </c>
      <c r="AD60" s="33">
        <v>25.0</v>
      </c>
      <c r="AE60" s="33" t="str">
        <f t="shared" si="162"/>
        <v>S</v>
      </c>
      <c r="AF60" s="33">
        <v>19.0</v>
      </c>
      <c r="AG60" s="33" t="str">
        <f t="shared" si="163"/>
        <v>I</v>
      </c>
      <c r="AH60" s="33">
        <v>26.0</v>
      </c>
      <c r="AI60" s="33" t="str">
        <f t="shared" si="164"/>
        <v>S</v>
      </c>
      <c r="AJ60" s="33">
        <v>22.0</v>
      </c>
      <c r="AK60" s="33" t="str">
        <f t="shared" si="165"/>
        <v>R</v>
      </c>
      <c r="AL60" s="33" t="s">
        <v>299</v>
      </c>
      <c r="AM60" s="36">
        <v>26.0</v>
      </c>
      <c r="AN60" s="36" t="str">
        <f t="shared" si="166"/>
        <v>S</v>
      </c>
      <c r="AO60" s="36">
        <v>25.0</v>
      </c>
      <c r="AP60" s="36" t="str">
        <f t="shared" si="167"/>
        <v>S</v>
      </c>
      <c r="AQ60" s="36">
        <v>25.0</v>
      </c>
      <c r="AR60" s="36" t="str">
        <f t="shared" si="168"/>
        <v>S</v>
      </c>
      <c r="AS60" s="36" t="s">
        <v>300</v>
      </c>
      <c r="AT60" s="37">
        <v>29.0</v>
      </c>
      <c r="AU60" s="37" t="str">
        <f t="shared" si="169"/>
        <v>S</v>
      </c>
      <c r="AV60" s="33">
        <v>20.0</v>
      </c>
      <c r="AW60" s="33" t="str">
        <f t="shared" si="170"/>
        <v>S</v>
      </c>
      <c r="AX60" s="33">
        <v>20.0</v>
      </c>
      <c r="AY60" s="33" t="str">
        <f t="shared" si="171"/>
        <v>S</v>
      </c>
      <c r="AZ60" s="33" t="s">
        <v>300</v>
      </c>
      <c r="BA60" s="26">
        <v>16.0</v>
      </c>
      <c r="BB60" s="26" t="str">
        <f t="shared" si="172"/>
        <v>R</v>
      </c>
      <c r="BC60" s="37">
        <v>17.0</v>
      </c>
      <c r="BD60" s="37" t="str">
        <f t="shared" si="173"/>
        <v>R</v>
      </c>
      <c r="BE60" s="36">
        <v>30.0</v>
      </c>
      <c r="BF60" s="36" t="str">
        <f t="shared" si="174"/>
        <v>S</v>
      </c>
      <c r="BG60" s="39" t="s">
        <v>357</v>
      </c>
      <c r="BH60" s="39" t="s">
        <v>357</v>
      </c>
      <c r="BI60" s="36">
        <v>30.0</v>
      </c>
      <c r="BJ60" s="36" t="str">
        <f t="shared" si="175"/>
        <v>S</v>
      </c>
      <c r="BK60" s="40">
        <v>20.0</v>
      </c>
      <c r="BL60" s="41" t="str">
        <f t="shared" si="176"/>
        <v>S</v>
      </c>
      <c r="BM60" s="41"/>
    </row>
    <row r="61">
      <c r="A61" s="18" t="s">
        <v>689</v>
      </c>
      <c r="B61" s="19">
        <v>62.0</v>
      </c>
      <c r="C61" s="18" t="s">
        <v>1041</v>
      </c>
      <c r="D61" s="18" t="s">
        <v>555</v>
      </c>
      <c r="E61" s="18" t="s">
        <v>103</v>
      </c>
      <c r="F61" s="18" t="s">
        <v>192</v>
      </c>
      <c r="G61" s="20" t="s">
        <v>1251</v>
      </c>
      <c r="H61" s="22" t="s">
        <v>198</v>
      </c>
      <c r="I61" s="84" t="s">
        <v>37</v>
      </c>
      <c r="J61" s="81" t="s">
        <v>205</v>
      </c>
      <c r="K61" s="81" t="s">
        <v>205</v>
      </c>
      <c r="L61" s="81" t="s">
        <v>208</v>
      </c>
      <c r="M61" s="26">
        <v>6.0</v>
      </c>
      <c r="N61" s="26" t="str">
        <f t="shared" si="155"/>
        <v>R</v>
      </c>
      <c r="O61" s="26">
        <v>22.0</v>
      </c>
      <c r="P61" s="26" t="str">
        <f t="shared" si="156"/>
        <v>S</v>
      </c>
      <c r="Q61" s="26">
        <v>6.0</v>
      </c>
      <c r="R61" s="26" t="str">
        <f t="shared" si="157"/>
        <v>R</v>
      </c>
      <c r="S61" s="32" t="s">
        <v>357</v>
      </c>
      <c r="T61" s="32" t="s">
        <v>357</v>
      </c>
      <c r="U61" s="26">
        <v>14.0</v>
      </c>
      <c r="V61" s="26" t="str">
        <f t="shared" si="158"/>
        <v>R</v>
      </c>
      <c r="W61" s="26">
        <v>26.0</v>
      </c>
      <c r="X61" s="26" t="str">
        <f t="shared" si="159"/>
        <v>S</v>
      </c>
      <c r="Y61" s="26">
        <v>22.0</v>
      </c>
      <c r="Z61" s="26" t="str">
        <f t="shared" si="160"/>
        <v>S</v>
      </c>
      <c r="AA61" s="32" t="s">
        <v>299</v>
      </c>
      <c r="AB61" s="33">
        <v>6.0</v>
      </c>
      <c r="AC61" s="33" t="str">
        <f t="shared" si="161"/>
        <v>R</v>
      </c>
      <c r="AD61" s="33">
        <v>26.0</v>
      </c>
      <c r="AE61" s="33" t="str">
        <f t="shared" si="162"/>
        <v>S</v>
      </c>
      <c r="AF61" s="33">
        <v>14.0</v>
      </c>
      <c r="AG61" s="33" t="str">
        <f t="shared" si="163"/>
        <v>R</v>
      </c>
      <c r="AH61" s="33">
        <v>24.0</v>
      </c>
      <c r="AI61" s="33" t="str">
        <f t="shared" si="164"/>
        <v>S</v>
      </c>
      <c r="AJ61" s="33">
        <v>22.0</v>
      </c>
      <c r="AK61" s="33" t="str">
        <f t="shared" si="165"/>
        <v>R</v>
      </c>
      <c r="AL61" s="33" t="s">
        <v>299</v>
      </c>
      <c r="AM61" s="36">
        <v>8.0</v>
      </c>
      <c r="AN61" s="36" t="str">
        <f t="shared" si="166"/>
        <v>R</v>
      </c>
      <c r="AO61" s="36">
        <v>8.0</v>
      </c>
      <c r="AP61" s="36" t="str">
        <f t="shared" si="167"/>
        <v>R</v>
      </c>
      <c r="AQ61" s="36">
        <v>6.0</v>
      </c>
      <c r="AR61" s="36" t="str">
        <f t="shared" si="168"/>
        <v>R</v>
      </c>
      <c r="AS61" s="36" t="s">
        <v>299</v>
      </c>
      <c r="AT61" s="37">
        <v>6.0</v>
      </c>
      <c r="AU61" s="37" t="str">
        <f t="shared" si="169"/>
        <v>R</v>
      </c>
      <c r="AV61" s="33">
        <v>21.0</v>
      </c>
      <c r="AW61" s="33" t="str">
        <f t="shared" si="170"/>
        <v>S</v>
      </c>
      <c r="AX61" s="33">
        <v>19.0</v>
      </c>
      <c r="AY61" s="33" t="str">
        <f t="shared" si="171"/>
        <v>S</v>
      </c>
      <c r="AZ61" s="33" t="s">
        <v>300</v>
      </c>
      <c r="BA61" s="26">
        <v>6.0</v>
      </c>
      <c r="BB61" s="26" t="str">
        <f t="shared" si="172"/>
        <v>R</v>
      </c>
      <c r="BC61" s="37">
        <v>17.0</v>
      </c>
      <c r="BD61" s="37" t="str">
        <f t="shared" si="173"/>
        <v>R</v>
      </c>
      <c r="BE61" s="36">
        <v>31.0</v>
      </c>
      <c r="BF61" s="36" t="str">
        <f t="shared" si="174"/>
        <v>S</v>
      </c>
      <c r="BG61" s="39" t="s">
        <v>357</v>
      </c>
      <c r="BH61" s="39" t="s">
        <v>357</v>
      </c>
      <c r="BI61" s="36">
        <v>32.0</v>
      </c>
      <c r="BJ61" s="36" t="str">
        <f t="shared" si="175"/>
        <v>S</v>
      </c>
      <c r="BK61" s="40">
        <v>20.0</v>
      </c>
      <c r="BL61" s="41" t="str">
        <f t="shared" si="176"/>
        <v>S</v>
      </c>
      <c r="BM61" s="41"/>
    </row>
    <row r="62">
      <c r="A62" s="18" t="s">
        <v>689</v>
      </c>
      <c r="B62" s="18" t="s">
        <v>444</v>
      </c>
      <c r="C62" s="18" t="s">
        <v>661</v>
      </c>
      <c r="D62" s="18" t="s">
        <v>555</v>
      </c>
      <c r="E62" s="18" t="s">
        <v>103</v>
      </c>
      <c r="F62" s="18" t="s">
        <v>192</v>
      </c>
      <c r="G62" s="20" t="s">
        <v>1254</v>
      </c>
      <c r="H62" s="42" t="s">
        <v>479</v>
      </c>
      <c r="I62" s="84" t="s">
        <v>37</v>
      </c>
      <c r="J62" s="81" t="s">
        <v>205</v>
      </c>
      <c r="K62" s="81" t="s">
        <v>205</v>
      </c>
      <c r="L62" s="81" t="s">
        <v>208</v>
      </c>
      <c r="M62" s="26">
        <v>6.0</v>
      </c>
      <c r="N62" s="26" t="str">
        <f t="shared" si="155"/>
        <v>R</v>
      </c>
      <c r="O62" s="26">
        <v>25.0</v>
      </c>
      <c r="P62" s="26" t="str">
        <f t="shared" si="156"/>
        <v>S</v>
      </c>
      <c r="Q62" s="26">
        <v>6.0</v>
      </c>
      <c r="R62" s="26" t="str">
        <f t="shared" si="157"/>
        <v>R</v>
      </c>
      <c r="S62" s="32" t="s">
        <v>357</v>
      </c>
      <c r="T62" s="32" t="s">
        <v>357</v>
      </c>
      <c r="U62" s="26">
        <v>12.0</v>
      </c>
      <c r="V62" s="26" t="str">
        <f t="shared" si="158"/>
        <v>R</v>
      </c>
      <c r="W62" s="26">
        <v>24.0</v>
      </c>
      <c r="X62" s="26" t="str">
        <f t="shared" si="159"/>
        <v>S</v>
      </c>
      <c r="Y62" s="26">
        <v>28.0</v>
      </c>
      <c r="Z62" s="26" t="str">
        <f t="shared" si="160"/>
        <v>S</v>
      </c>
      <c r="AA62" s="32" t="s">
        <v>299</v>
      </c>
      <c r="AB62" s="33">
        <v>6.0</v>
      </c>
      <c r="AC62" s="33" t="str">
        <f t="shared" si="161"/>
        <v>R</v>
      </c>
      <c r="AD62" s="33">
        <v>25.0</v>
      </c>
      <c r="AE62" s="33" t="str">
        <f t="shared" si="162"/>
        <v>S</v>
      </c>
      <c r="AF62" s="33">
        <v>16.0</v>
      </c>
      <c r="AG62" s="33" t="str">
        <f t="shared" si="163"/>
        <v>R</v>
      </c>
      <c r="AH62" s="33">
        <v>26.0</v>
      </c>
      <c r="AI62" s="33" t="str">
        <f t="shared" si="164"/>
        <v>S</v>
      </c>
      <c r="AJ62" s="33">
        <v>23.0</v>
      </c>
      <c r="AK62" s="33" t="str">
        <f t="shared" si="165"/>
        <v>R</v>
      </c>
      <c r="AL62" s="33" t="s">
        <v>299</v>
      </c>
      <c r="AM62" s="36">
        <v>24.0</v>
      </c>
      <c r="AN62" s="36" t="str">
        <f t="shared" si="166"/>
        <v>I</v>
      </c>
      <c r="AO62" s="36">
        <v>24.0</v>
      </c>
      <c r="AP62" s="36" t="str">
        <f t="shared" si="167"/>
        <v>S</v>
      </c>
      <c r="AQ62" s="36">
        <v>20.0</v>
      </c>
      <c r="AR62" s="36" t="str">
        <f t="shared" si="168"/>
        <v>S</v>
      </c>
      <c r="AS62" s="36" t="s">
        <v>300</v>
      </c>
      <c r="AT62" s="37">
        <v>25.0</v>
      </c>
      <c r="AU62" s="37" t="str">
        <f t="shared" si="169"/>
        <v>S</v>
      </c>
      <c r="AV62" s="33">
        <v>22.0</v>
      </c>
      <c r="AW62" s="33" t="str">
        <f t="shared" si="170"/>
        <v>S</v>
      </c>
      <c r="AX62" s="33">
        <v>19.0</v>
      </c>
      <c r="AY62" s="33" t="str">
        <f t="shared" si="171"/>
        <v>S</v>
      </c>
      <c r="AZ62" s="33" t="s">
        <v>300</v>
      </c>
      <c r="BA62" s="26">
        <v>14.0</v>
      </c>
      <c r="BB62" s="26" t="str">
        <f t="shared" si="172"/>
        <v>R</v>
      </c>
      <c r="BC62" s="37">
        <v>21.0</v>
      </c>
      <c r="BD62" s="37" t="str">
        <f t="shared" si="173"/>
        <v>I</v>
      </c>
      <c r="BE62" s="36">
        <v>30.0</v>
      </c>
      <c r="BF62" s="36" t="str">
        <f t="shared" si="174"/>
        <v>S</v>
      </c>
      <c r="BG62" s="39" t="s">
        <v>357</v>
      </c>
      <c r="BH62" s="39" t="s">
        <v>357</v>
      </c>
      <c r="BI62" s="36">
        <v>28.0</v>
      </c>
      <c r="BJ62" s="36" t="str">
        <f t="shared" si="175"/>
        <v>S</v>
      </c>
      <c r="BK62" s="40">
        <v>22.0</v>
      </c>
      <c r="BL62" s="41" t="str">
        <f t="shared" si="176"/>
        <v>S</v>
      </c>
      <c r="BM62" s="41"/>
    </row>
    <row r="63">
      <c r="A63" s="18" t="s">
        <v>710</v>
      </c>
      <c r="B63" s="19">
        <v>63.0</v>
      </c>
      <c r="C63" s="18" t="s">
        <v>1051</v>
      </c>
      <c r="D63" s="18" t="s">
        <v>190</v>
      </c>
      <c r="E63" s="18" t="s">
        <v>190</v>
      </c>
      <c r="F63" s="18" t="s">
        <v>573</v>
      </c>
      <c r="G63" s="20" t="s">
        <v>357</v>
      </c>
      <c r="H63" s="47" t="s">
        <v>357</v>
      </c>
      <c r="I63" s="83" t="s">
        <v>357</v>
      </c>
      <c r="J63" s="82" t="s">
        <v>208</v>
      </c>
      <c r="K63" s="82" t="s">
        <v>208</v>
      </c>
      <c r="L63" s="82" t="s">
        <v>208</v>
      </c>
      <c r="M63" s="32" t="s">
        <v>357</v>
      </c>
      <c r="N63" s="32" t="s">
        <v>357</v>
      </c>
      <c r="O63" s="32" t="s">
        <v>357</v>
      </c>
      <c r="P63" s="32" t="s">
        <v>357</v>
      </c>
      <c r="Q63" s="32" t="s">
        <v>357</v>
      </c>
      <c r="R63" s="32" t="s">
        <v>357</v>
      </c>
      <c r="S63" s="32" t="s">
        <v>357</v>
      </c>
      <c r="T63" s="32" t="s">
        <v>357</v>
      </c>
      <c r="U63" s="32" t="s">
        <v>357</v>
      </c>
      <c r="V63" s="32" t="s">
        <v>357</v>
      </c>
      <c r="W63" s="32" t="s">
        <v>357</v>
      </c>
      <c r="X63" s="32" t="s">
        <v>357</v>
      </c>
      <c r="Y63" s="32" t="s">
        <v>357</v>
      </c>
      <c r="Z63" s="32" t="s">
        <v>357</v>
      </c>
      <c r="AA63" s="32" t="s">
        <v>357</v>
      </c>
      <c r="AB63" s="49" t="s">
        <v>357</v>
      </c>
      <c r="AC63" s="49" t="s">
        <v>357</v>
      </c>
      <c r="AD63" s="49" t="s">
        <v>357</v>
      </c>
      <c r="AE63" s="49" t="s">
        <v>357</v>
      </c>
      <c r="AF63" s="49" t="s">
        <v>357</v>
      </c>
      <c r="AG63" s="49" t="s">
        <v>357</v>
      </c>
      <c r="AH63" s="49" t="s">
        <v>357</v>
      </c>
      <c r="AI63" s="49" t="s">
        <v>357</v>
      </c>
      <c r="AJ63" s="49" t="s">
        <v>357</v>
      </c>
      <c r="AK63" s="49" t="s">
        <v>357</v>
      </c>
      <c r="AL63" s="49" t="s">
        <v>357</v>
      </c>
      <c r="AM63" s="39" t="s">
        <v>357</v>
      </c>
      <c r="AN63" s="39" t="s">
        <v>357</v>
      </c>
      <c r="AO63" s="39" t="s">
        <v>357</v>
      </c>
      <c r="AP63" s="39" t="s">
        <v>357</v>
      </c>
      <c r="AQ63" s="39" t="s">
        <v>357</v>
      </c>
      <c r="AR63" s="39" t="s">
        <v>357</v>
      </c>
      <c r="AS63" s="39" t="s">
        <v>357</v>
      </c>
      <c r="AT63" s="50" t="s">
        <v>357</v>
      </c>
      <c r="AU63" s="50" t="s">
        <v>357</v>
      </c>
      <c r="AV63" s="49" t="s">
        <v>357</v>
      </c>
      <c r="AW63" s="49" t="s">
        <v>357</v>
      </c>
      <c r="AX63" s="49" t="s">
        <v>357</v>
      </c>
      <c r="AY63" s="49" t="s">
        <v>357</v>
      </c>
      <c r="AZ63" s="49" t="s">
        <v>357</v>
      </c>
      <c r="BA63" s="32" t="s">
        <v>357</v>
      </c>
      <c r="BB63" s="32" t="s">
        <v>357</v>
      </c>
      <c r="BC63" s="50" t="s">
        <v>357</v>
      </c>
      <c r="BD63" s="50" t="s">
        <v>357</v>
      </c>
      <c r="BE63" s="39" t="s">
        <v>357</v>
      </c>
      <c r="BF63" s="39" t="s">
        <v>357</v>
      </c>
      <c r="BG63" s="39" t="s">
        <v>357</v>
      </c>
      <c r="BH63" s="39" t="s">
        <v>357</v>
      </c>
      <c r="BI63" s="39" t="s">
        <v>357</v>
      </c>
      <c r="BJ63" s="39" t="s">
        <v>357</v>
      </c>
      <c r="BK63" s="41" t="s">
        <v>357</v>
      </c>
      <c r="BL63" s="41" t="s">
        <v>357</v>
      </c>
      <c r="BM63" s="41"/>
    </row>
    <row r="64">
      <c r="A64" s="18" t="s">
        <v>710</v>
      </c>
      <c r="B64" s="19">
        <v>64.0</v>
      </c>
      <c r="C64" s="18" t="s">
        <v>1057</v>
      </c>
      <c r="D64" s="18" t="s">
        <v>190</v>
      </c>
      <c r="E64" s="18" t="s">
        <v>190</v>
      </c>
      <c r="F64" s="18" t="s">
        <v>192</v>
      </c>
      <c r="G64" s="20" t="s">
        <v>1259</v>
      </c>
      <c r="H64" s="22" t="s">
        <v>198</v>
      </c>
      <c r="I64" s="80" t="s">
        <v>481</v>
      </c>
      <c r="J64" s="82" t="s">
        <v>205</v>
      </c>
      <c r="K64" s="82" t="s">
        <v>208</v>
      </c>
      <c r="L64" s="81" t="s">
        <v>208</v>
      </c>
      <c r="M64" s="26">
        <v>6.0</v>
      </c>
      <c r="N64" s="26" t="str">
        <f>IF((M64&gt;=19),"S",IF(AND(M64&lt;19),"R", "NA"))</f>
        <v>R</v>
      </c>
      <c r="O64" s="26">
        <v>21.0</v>
      </c>
      <c r="P64" s="26" t="str">
        <f>IF((O64&gt;=19),"S",IF(AND(O64&lt;19),"R", "NA"))</f>
        <v>S</v>
      </c>
      <c r="Q64" s="26">
        <v>6.0</v>
      </c>
      <c r="R64" s="26" t="str">
        <f>IF((Q64&gt;=23),"S",IF(AND(Q64&lt;23),"R","NA"))</f>
        <v>R</v>
      </c>
      <c r="S64" s="32" t="s">
        <v>357</v>
      </c>
      <c r="T64" s="32" t="s">
        <v>357</v>
      </c>
      <c r="U64" s="26">
        <v>15.0</v>
      </c>
      <c r="V64" s="26" t="str">
        <f>IF((U64&gt;=20),"S",IF(AND(U64&lt;20),"R", "NA"))</f>
        <v>R</v>
      </c>
      <c r="W64" s="26">
        <v>24.0</v>
      </c>
      <c r="X64" s="26" t="str">
        <f>IF((W64&gt;=20),"S",IF(AND(W64&lt;20),"R", "NA"))</f>
        <v>S</v>
      </c>
      <c r="Y64" s="26">
        <v>25.0</v>
      </c>
      <c r="Z64" s="26" t="str">
        <f>IF((Y64&gt;=20),"S",IF(AND(Y64&lt;20,Y64&gt;=17),"I",IF(AND(Y64&lt;17),"R","NA")))</f>
        <v>S</v>
      </c>
      <c r="AA64" s="32" t="s">
        <v>299</v>
      </c>
      <c r="AB64" s="33">
        <v>12.0</v>
      </c>
      <c r="AC64" s="33" t="str">
        <f>IF((AB64&gt;=20),"S",IF(AND(AB64&lt;20,AB64&gt;=17),"I",IF(AND(AB64&lt;17),"R","NA")))</f>
        <v>R</v>
      </c>
      <c r="AD64" s="33">
        <v>26.0</v>
      </c>
      <c r="AE64" s="33" t="str">
        <f>IF((AD64&gt;=18),"S",IF(AND(AD64&lt;18),"R", "NA"))</f>
        <v>S</v>
      </c>
      <c r="AF64" s="33">
        <v>23.0</v>
      </c>
      <c r="AG64" s="33" t="str">
        <f>IF((AF64&gt;=22),"S",IF(AND(AF64&lt;22,AF64&gt;=19),"I",IF(AND(AF64&lt;19),"R","NA")))</f>
        <v>S</v>
      </c>
      <c r="AH64" s="33">
        <v>28.0</v>
      </c>
      <c r="AI64" s="33" t="str">
        <f>IF((AH64&gt;=13),"S",IF(AND(AH64&lt;13),"R", "NA"))</f>
        <v>S</v>
      </c>
      <c r="AJ64" s="33">
        <v>27.0</v>
      </c>
      <c r="AK64" s="33" t="str">
        <f>IF((AJ64&gt;=27),"S",IF(AND(AJ64&lt;27,AJ64&gt;=24),"I",IF(AND(AJ64&lt;24),"R","NA")))</f>
        <v>S</v>
      </c>
      <c r="AL64" s="33" t="s">
        <v>299</v>
      </c>
      <c r="AM64" s="36">
        <v>25.0</v>
      </c>
      <c r="AN64" s="36" t="str">
        <f>IF((AM64&gt;=25),"S",IF(AND(AM64&lt;25,AM64&gt;=22),"I",IF(AND(AM64&lt;22),"R","NA")))</f>
        <v>S</v>
      </c>
      <c r="AO64" s="36">
        <v>22.0</v>
      </c>
      <c r="AP64" s="36" t="str">
        <f>IF((AO64&gt;=23),"S",IF(AND(AO64&lt;23,AO64&gt;=19),"I",IF(AND(AO64&lt;19),"R","NA")))</f>
        <v>I</v>
      </c>
      <c r="AQ64" s="36">
        <v>17.0</v>
      </c>
      <c r="AR64" s="36" t="str">
        <f>IF((AQ64&gt;=14),"S",IF(AND(AQ64&lt;14),"R","NA"))</f>
        <v>S</v>
      </c>
      <c r="AS64" s="36" t="s">
        <v>300</v>
      </c>
      <c r="AT64" s="37">
        <v>6.0</v>
      </c>
      <c r="AU64" s="37" t="str">
        <f>IF((AT64&gt;=14),"S",IF(AND(AT64&lt;14,AT64&gt;=11),"I",IF(AND(AT64&lt;11),"R","NA")))</f>
        <v>R</v>
      </c>
      <c r="AV64" s="33">
        <v>22.0</v>
      </c>
      <c r="AW64" s="33" t="str">
        <f>IF((AV64&gt;=18),"S",IF(AND(AV64&lt;18),"R", "NA"))</f>
        <v>S</v>
      </c>
      <c r="AX64" s="33">
        <v>19.0</v>
      </c>
      <c r="AY64" s="33" t="str">
        <f>IF((AX64&gt;=16),"S",IF(AND(AX64&lt;16),"R", "NA"))</f>
        <v>S</v>
      </c>
      <c r="AZ64" s="33" t="s">
        <v>300</v>
      </c>
      <c r="BA64" s="26">
        <v>13.0</v>
      </c>
      <c r="BB64" s="26" t="str">
        <f>IF((BA64&gt;=20),"S",IF(AND(BA64&lt;20),"R", "NA"))</f>
        <v>R</v>
      </c>
      <c r="BC64" s="37">
        <v>24.0</v>
      </c>
      <c r="BD64" s="37" t="str">
        <f>IF((BC64&gt;=26),"S",IF(AND(BC64&lt;26,BC64&gt;=21),"I",IF(AND(BC64&lt;21),"R","NA")))</f>
        <v>I</v>
      </c>
      <c r="BE64" s="36">
        <v>33.0</v>
      </c>
      <c r="BF64" s="36" t="str">
        <f>IF((BE64&gt;=23),"S",IF(AND(BE64&lt;23),"R","NA"))</f>
        <v>S</v>
      </c>
      <c r="BG64" s="39" t="s">
        <v>357</v>
      </c>
      <c r="BH64" s="39" t="s">
        <v>357</v>
      </c>
      <c r="BI64" s="36">
        <v>30.0</v>
      </c>
      <c r="BJ64" s="36" t="str">
        <f>IF((BI64&gt;=22),"S",IF(AND(BI64&lt;22,BI64&gt;=19),"I",IF(AND(BI64&lt;19),"R","NA")))</f>
        <v>S</v>
      </c>
      <c r="BK64" s="40">
        <v>20.0</v>
      </c>
      <c r="BL64" s="41" t="str">
        <f>IF((BK64&gt;=17),"S",IF(AND(BK64&lt;17),"R", "NA"))</f>
        <v>S</v>
      </c>
      <c r="BM64" s="41"/>
    </row>
    <row r="65">
      <c r="A65" s="18" t="s">
        <v>710</v>
      </c>
      <c r="B65" s="19">
        <v>65.0</v>
      </c>
      <c r="C65" s="18" t="s">
        <v>1066</v>
      </c>
      <c r="D65" s="18" t="s">
        <v>571</v>
      </c>
      <c r="E65" s="18" t="s">
        <v>572</v>
      </c>
      <c r="F65" s="18" t="s">
        <v>573</v>
      </c>
      <c r="G65" s="20" t="s">
        <v>357</v>
      </c>
      <c r="H65" s="47" t="s">
        <v>357</v>
      </c>
      <c r="I65" s="83" t="s">
        <v>357</v>
      </c>
      <c r="J65" s="82" t="s">
        <v>208</v>
      </c>
      <c r="K65" s="82" t="s">
        <v>208</v>
      </c>
      <c r="L65" s="82" t="s">
        <v>208</v>
      </c>
      <c r="M65" s="32" t="s">
        <v>357</v>
      </c>
      <c r="N65" s="32" t="s">
        <v>357</v>
      </c>
      <c r="O65" s="32" t="s">
        <v>357</v>
      </c>
      <c r="P65" s="32" t="s">
        <v>357</v>
      </c>
      <c r="Q65" s="32" t="s">
        <v>357</v>
      </c>
      <c r="R65" s="32" t="s">
        <v>357</v>
      </c>
      <c r="S65" s="32" t="s">
        <v>357</v>
      </c>
      <c r="T65" s="32" t="s">
        <v>357</v>
      </c>
      <c r="U65" s="32" t="s">
        <v>357</v>
      </c>
      <c r="V65" s="32" t="s">
        <v>357</v>
      </c>
      <c r="W65" s="32" t="s">
        <v>357</v>
      </c>
      <c r="X65" s="32" t="s">
        <v>357</v>
      </c>
      <c r="Y65" s="32" t="s">
        <v>357</v>
      </c>
      <c r="Z65" s="32" t="s">
        <v>357</v>
      </c>
      <c r="AA65" s="32" t="s">
        <v>357</v>
      </c>
      <c r="AB65" s="49" t="s">
        <v>357</v>
      </c>
      <c r="AC65" s="49" t="s">
        <v>357</v>
      </c>
      <c r="AD65" s="49" t="s">
        <v>357</v>
      </c>
      <c r="AE65" s="49" t="s">
        <v>357</v>
      </c>
      <c r="AF65" s="49" t="s">
        <v>357</v>
      </c>
      <c r="AG65" s="49" t="s">
        <v>357</v>
      </c>
      <c r="AH65" s="49" t="s">
        <v>357</v>
      </c>
      <c r="AI65" s="49" t="s">
        <v>357</v>
      </c>
      <c r="AJ65" s="49" t="s">
        <v>357</v>
      </c>
      <c r="AK65" s="49" t="s">
        <v>357</v>
      </c>
      <c r="AL65" s="49" t="s">
        <v>357</v>
      </c>
      <c r="AM65" s="39" t="s">
        <v>357</v>
      </c>
      <c r="AN65" s="39" t="s">
        <v>357</v>
      </c>
      <c r="AO65" s="39" t="s">
        <v>357</v>
      </c>
      <c r="AP65" s="39" t="s">
        <v>357</v>
      </c>
      <c r="AQ65" s="39" t="s">
        <v>357</v>
      </c>
      <c r="AR65" s="39" t="s">
        <v>357</v>
      </c>
      <c r="AS65" s="39" t="s">
        <v>357</v>
      </c>
      <c r="AT65" s="50" t="s">
        <v>357</v>
      </c>
      <c r="AU65" s="50" t="s">
        <v>357</v>
      </c>
      <c r="AV65" s="49" t="s">
        <v>357</v>
      </c>
      <c r="AW65" s="49" t="s">
        <v>357</v>
      </c>
      <c r="AX65" s="49" t="s">
        <v>357</v>
      </c>
      <c r="AY65" s="49" t="s">
        <v>357</v>
      </c>
      <c r="AZ65" s="49" t="s">
        <v>357</v>
      </c>
      <c r="BA65" s="32" t="s">
        <v>357</v>
      </c>
      <c r="BB65" s="32" t="s">
        <v>357</v>
      </c>
      <c r="BC65" s="50" t="s">
        <v>357</v>
      </c>
      <c r="BD65" s="50" t="s">
        <v>357</v>
      </c>
      <c r="BE65" s="39" t="s">
        <v>357</v>
      </c>
      <c r="BF65" s="39" t="s">
        <v>357</v>
      </c>
      <c r="BG65" s="39" t="s">
        <v>357</v>
      </c>
      <c r="BH65" s="39" t="s">
        <v>357</v>
      </c>
      <c r="BI65" s="39" t="s">
        <v>357</v>
      </c>
      <c r="BJ65" s="39" t="s">
        <v>357</v>
      </c>
      <c r="BK65" s="41" t="s">
        <v>357</v>
      </c>
      <c r="BL65" s="41" t="s">
        <v>357</v>
      </c>
      <c r="BM65" s="41"/>
    </row>
    <row r="66">
      <c r="A66" s="18" t="s">
        <v>710</v>
      </c>
      <c r="B66" s="19">
        <v>66.0</v>
      </c>
      <c r="C66" s="18" t="s">
        <v>1072</v>
      </c>
      <c r="D66" s="18" t="s">
        <v>705</v>
      </c>
      <c r="E66" s="18" t="s">
        <v>572</v>
      </c>
      <c r="F66" s="18" t="s">
        <v>573</v>
      </c>
      <c r="G66" s="20" t="s">
        <v>357</v>
      </c>
      <c r="H66" s="47" t="s">
        <v>357</v>
      </c>
      <c r="I66" s="83" t="s">
        <v>357</v>
      </c>
      <c r="J66" s="82" t="s">
        <v>208</v>
      </c>
      <c r="K66" s="82" t="s">
        <v>208</v>
      </c>
      <c r="L66" s="82" t="s">
        <v>208</v>
      </c>
      <c r="M66" s="32" t="s">
        <v>357</v>
      </c>
      <c r="N66" s="32" t="s">
        <v>357</v>
      </c>
      <c r="O66" s="32" t="s">
        <v>357</v>
      </c>
      <c r="P66" s="32" t="s">
        <v>357</v>
      </c>
      <c r="Q66" s="32" t="s">
        <v>357</v>
      </c>
      <c r="R66" s="32" t="s">
        <v>357</v>
      </c>
      <c r="S66" s="32" t="s">
        <v>357</v>
      </c>
      <c r="T66" s="32" t="s">
        <v>357</v>
      </c>
      <c r="U66" s="32" t="s">
        <v>357</v>
      </c>
      <c r="V66" s="32" t="s">
        <v>357</v>
      </c>
      <c r="W66" s="32" t="s">
        <v>357</v>
      </c>
      <c r="X66" s="32" t="s">
        <v>357</v>
      </c>
      <c r="Y66" s="32" t="s">
        <v>357</v>
      </c>
      <c r="Z66" s="32" t="s">
        <v>357</v>
      </c>
      <c r="AA66" s="32" t="s">
        <v>357</v>
      </c>
      <c r="AB66" s="49" t="s">
        <v>357</v>
      </c>
      <c r="AC66" s="49" t="s">
        <v>357</v>
      </c>
      <c r="AD66" s="49" t="s">
        <v>357</v>
      </c>
      <c r="AE66" s="49" t="s">
        <v>357</v>
      </c>
      <c r="AF66" s="49" t="s">
        <v>357</v>
      </c>
      <c r="AG66" s="49" t="s">
        <v>357</v>
      </c>
      <c r="AH66" s="49" t="s">
        <v>357</v>
      </c>
      <c r="AI66" s="49" t="s">
        <v>357</v>
      </c>
      <c r="AJ66" s="49" t="s">
        <v>357</v>
      </c>
      <c r="AK66" s="49" t="s">
        <v>357</v>
      </c>
      <c r="AL66" s="49" t="s">
        <v>357</v>
      </c>
      <c r="AM66" s="39" t="s">
        <v>357</v>
      </c>
      <c r="AN66" s="39" t="s">
        <v>357</v>
      </c>
      <c r="AO66" s="39" t="s">
        <v>357</v>
      </c>
      <c r="AP66" s="39" t="s">
        <v>357</v>
      </c>
      <c r="AQ66" s="39" t="s">
        <v>357</v>
      </c>
      <c r="AR66" s="39" t="s">
        <v>357</v>
      </c>
      <c r="AS66" s="39" t="s">
        <v>357</v>
      </c>
      <c r="AT66" s="50" t="s">
        <v>357</v>
      </c>
      <c r="AU66" s="50" t="s">
        <v>357</v>
      </c>
      <c r="AV66" s="49" t="s">
        <v>357</v>
      </c>
      <c r="AW66" s="49" t="s">
        <v>357</v>
      </c>
      <c r="AX66" s="49" t="s">
        <v>357</v>
      </c>
      <c r="AY66" s="49" t="s">
        <v>357</v>
      </c>
      <c r="AZ66" s="49" t="s">
        <v>357</v>
      </c>
      <c r="BA66" s="32" t="s">
        <v>357</v>
      </c>
      <c r="BB66" s="32" t="s">
        <v>357</v>
      </c>
      <c r="BC66" s="50" t="s">
        <v>357</v>
      </c>
      <c r="BD66" s="50" t="s">
        <v>357</v>
      </c>
      <c r="BE66" s="39" t="s">
        <v>357</v>
      </c>
      <c r="BF66" s="39" t="s">
        <v>357</v>
      </c>
      <c r="BG66" s="39" t="s">
        <v>357</v>
      </c>
      <c r="BH66" s="39" t="s">
        <v>357</v>
      </c>
      <c r="BI66" s="39" t="s">
        <v>357</v>
      </c>
      <c r="BJ66" s="39" t="s">
        <v>357</v>
      </c>
      <c r="BK66" s="41" t="s">
        <v>357</v>
      </c>
      <c r="BL66" s="41" t="s">
        <v>357</v>
      </c>
      <c r="BM66" s="41"/>
    </row>
    <row r="67">
      <c r="A67" s="18" t="s">
        <v>710</v>
      </c>
      <c r="B67" s="19">
        <v>67.0</v>
      </c>
      <c r="C67" s="18" t="s">
        <v>671</v>
      </c>
      <c r="D67" s="18" t="s">
        <v>853</v>
      </c>
      <c r="E67" s="18" t="s">
        <v>103</v>
      </c>
      <c r="F67" s="18" t="s">
        <v>192</v>
      </c>
      <c r="G67" s="20" t="s">
        <v>1262</v>
      </c>
      <c r="H67" s="22" t="s">
        <v>198</v>
      </c>
      <c r="I67" s="80" t="s">
        <v>481</v>
      </c>
      <c r="J67" s="82" t="s">
        <v>205</v>
      </c>
      <c r="K67" s="82" t="s">
        <v>208</v>
      </c>
      <c r="L67" s="81" t="s">
        <v>208</v>
      </c>
      <c r="M67" s="26">
        <v>6.0</v>
      </c>
      <c r="N67" s="26" t="str">
        <f t="shared" ref="N67:N74" si="177">IF((M67&gt;=19),"S",IF(AND(M67&lt;19),"R", "NA"))</f>
        <v>R</v>
      </c>
      <c r="O67" s="26">
        <v>20.0</v>
      </c>
      <c r="P67" s="26" t="str">
        <f t="shared" ref="P67:P74" si="178">IF((O67&gt;=19),"S",IF(AND(O67&lt;19),"R", "NA"))</f>
        <v>S</v>
      </c>
      <c r="Q67" s="26">
        <v>6.0</v>
      </c>
      <c r="R67" s="26" t="str">
        <f t="shared" ref="R67:R74" si="179">IF((Q67&gt;=23),"S",IF(AND(Q67&lt;23),"R","NA"))</f>
        <v>R</v>
      </c>
      <c r="S67" s="32" t="s">
        <v>357</v>
      </c>
      <c r="T67" s="32" t="s">
        <v>357</v>
      </c>
      <c r="U67" s="26">
        <v>13.0</v>
      </c>
      <c r="V67" s="26" t="str">
        <f t="shared" ref="V67:V74" si="180">IF((U67&gt;=20),"S",IF(AND(U67&lt;20),"R", "NA"))</f>
        <v>R</v>
      </c>
      <c r="W67" s="26">
        <v>24.0</v>
      </c>
      <c r="X67" s="26" t="str">
        <f t="shared" ref="X67:X74" si="181">IF((W67&gt;=20),"S",IF(AND(W67&lt;20),"R", "NA"))</f>
        <v>S</v>
      </c>
      <c r="Y67" s="26">
        <v>25.0</v>
      </c>
      <c r="Z67" s="26" t="str">
        <f t="shared" ref="Z67:Z74" si="182">IF((Y67&gt;=20),"S",IF(AND(Y67&lt;20,Y67&gt;=17),"I",IF(AND(Y67&lt;17),"R","NA")))</f>
        <v>S</v>
      </c>
      <c r="AA67" s="32" t="s">
        <v>299</v>
      </c>
      <c r="AB67" s="33">
        <v>6.0</v>
      </c>
      <c r="AC67" s="33" t="str">
        <f t="shared" ref="AC67:AC74" si="183">IF((AB67&gt;=20),"S",IF(AND(AB67&lt;20,AB67&gt;=17),"I",IF(AND(AB67&lt;17),"R","NA")))</f>
        <v>R</v>
      </c>
      <c r="AD67" s="33">
        <v>27.0</v>
      </c>
      <c r="AE67" s="33" t="str">
        <f t="shared" ref="AE67:AE74" si="184">IF((AD67&gt;=18),"S",IF(AND(AD67&lt;18),"R", "NA"))</f>
        <v>S</v>
      </c>
      <c r="AF67" s="33">
        <v>13.0</v>
      </c>
      <c r="AG67" s="33" t="str">
        <f t="shared" ref="AG67:AG74" si="185">IF((AF67&gt;=22),"S",IF(AND(AF67&lt;22,AF67&gt;=19),"I",IF(AND(AF67&lt;19),"R","NA")))</f>
        <v>R</v>
      </c>
      <c r="AH67" s="33">
        <v>24.0</v>
      </c>
      <c r="AI67" s="33" t="str">
        <f t="shared" ref="AI67:AI74" si="186">IF((AH67&gt;=13),"S",IF(AND(AH67&lt;13),"R", "NA"))</f>
        <v>S</v>
      </c>
      <c r="AJ67" s="33">
        <v>26.0</v>
      </c>
      <c r="AK67" s="33" t="str">
        <f t="shared" ref="AK67:AK74" si="187">IF((AJ67&gt;=27),"S",IF(AND(AJ67&lt;27,AJ67&gt;=24),"I",IF(AND(AJ67&lt;24),"R","NA")))</f>
        <v>I</v>
      </c>
      <c r="AL67" s="33" t="s">
        <v>299</v>
      </c>
      <c r="AM67" s="36">
        <v>24.0</v>
      </c>
      <c r="AN67" s="36" t="str">
        <f t="shared" ref="AN67:AN74" si="188">IF((AM67&gt;=25),"S",IF(AND(AM67&lt;25,AM67&gt;=22),"I",IF(AND(AM67&lt;22),"R","NA")))</f>
        <v>I</v>
      </c>
      <c r="AO67" s="36">
        <v>21.0</v>
      </c>
      <c r="AP67" s="36" t="str">
        <f t="shared" ref="AP67:AP74" si="189">IF((AO67&gt;=23),"S",IF(AND(AO67&lt;23,AO67&gt;=19),"I",IF(AND(AO67&lt;19),"R","NA")))</f>
        <v>I</v>
      </c>
      <c r="AQ67" s="36">
        <v>14.0</v>
      </c>
      <c r="AR67" s="36" t="str">
        <f t="shared" ref="AR67:AR74" si="190">IF((AQ67&gt;=14),"S",IF(AND(AQ67&lt;14),"R","NA"))</f>
        <v>S</v>
      </c>
      <c r="AS67" s="36" t="s">
        <v>300</v>
      </c>
      <c r="AT67" s="37">
        <v>6.0</v>
      </c>
      <c r="AU67" s="37" t="str">
        <f t="shared" ref="AU67:AU74" si="191">IF((AT67&gt;=14),"S",IF(AND(AT67&lt;14,AT67&gt;=11),"I",IF(AND(AT67&lt;11),"R","NA")))</f>
        <v>R</v>
      </c>
      <c r="AV67" s="33">
        <v>22.0</v>
      </c>
      <c r="AW67" s="33" t="str">
        <f t="shared" ref="AW67:AW74" si="192">IF((AV67&gt;=18),"S",IF(AND(AV67&lt;18),"R", "NA"))</f>
        <v>S</v>
      </c>
      <c r="AX67" s="33">
        <v>18.0</v>
      </c>
      <c r="AY67" s="33" t="str">
        <f t="shared" ref="AY67:AY74" si="193">IF((AX67&gt;=16),"S",IF(AND(AX67&lt;16),"R", "NA"))</f>
        <v>S</v>
      </c>
      <c r="AZ67" s="33" t="s">
        <v>300</v>
      </c>
      <c r="BA67" s="26">
        <v>13.0</v>
      </c>
      <c r="BB67" s="26" t="str">
        <f t="shared" ref="BB67:BB74" si="194">IF((BA67&gt;=20),"S",IF(AND(BA67&lt;20),"R", "NA"))</f>
        <v>R</v>
      </c>
      <c r="BC67" s="37">
        <v>22.0</v>
      </c>
      <c r="BD67" s="37" t="str">
        <f t="shared" ref="BD67:BD74" si="195">IF((BC67&gt;=26),"S",IF(AND(BC67&lt;26,BC67&gt;=21),"I",IF(AND(BC67&lt;21),"R","NA")))</f>
        <v>I</v>
      </c>
      <c r="BE67" s="36">
        <v>33.0</v>
      </c>
      <c r="BF67" s="36" t="str">
        <f t="shared" ref="BF67:BF74" si="196">IF((BE67&gt;=23),"S",IF(AND(BE67&lt;23),"R","NA"))</f>
        <v>S</v>
      </c>
      <c r="BG67" s="39" t="s">
        <v>357</v>
      </c>
      <c r="BH67" s="39" t="s">
        <v>357</v>
      </c>
      <c r="BI67" s="36">
        <v>32.0</v>
      </c>
      <c r="BJ67" s="36" t="str">
        <f t="shared" ref="BJ67:BJ74" si="197">IF((BI67&gt;=22),"S",IF(AND(BI67&lt;22,BI67&gt;=19),"I",IF(AND(BI67&lt;19),"R","NA")))</f>
        <v>S</v>
      </c>
      <c r="BK67" s="40">
        <v>21.0</v>
      </c>
      <c r="BL67" s="41" t="str">
        <f t="shared" ref="BL67:BL74" si="198">IF((BK67&gt;=17),"S",IF(AND(BK67&lt;17),"R", "NA"))</f>
        <v>S</v>
      </c>
      <c r="BM67" s="41"/>
    </row>
    <row r="68">
      <c r="A68" s="18" t="s">
        <v>710</v>
      </c>
      <c r="B68" s="19">
        <v>68.0</v>
      </c>
      <c r="C68" s="18" t="s">
        <v>681</v>
      </c>
      <c r="D68" s="18" t="s">
        <v>555</v>
      </c>
      <c r="E68" s="18" t="s">
        <v>103</v>
      </c>
      <c r="F68" s="18" t="s">
        <v>192</v>
      </c>
      <c r="G68" s="20" t="s">
        <v>1263</v>
      </c>
      <c r="H68" s="22" t="s">
        <v>198</v>
      </c>
      <c r="I68" s="80" t="s">
        <v>481</v>
      </c>
      <c r="J68" s="81" t="s">
        <v>205</v>
      </c>
      <c r="K68" s="82" t="s">
        <v>208</v>
      </c>
      <c r="L68" s="81" t="s">
        <v>208</v>
      </c>
      <c r="M68" s="26">
        <v>6.0</v>
      </c>
      <c r="N68" s="26" t="str">
        <f t="shared" si="177"/>
        <v>R</v>
      </c>
      <c r="O68" s="26">
        <v>20.0</v>
      </c>
      <c r="P68" s="26" t="str">
        <f t="shared" si="178"/>
        <v>S</v>
      </c>
      <c r="Q68" s="26">
        <v>6.0</v>
      </c>
      <c r="R68" s="26" t="str">
        <f t="shared" si="179"/>
        <v>R</v>
      </c>
      <c r="S68" s="32" t="s">
        <v>357</v>
      </c>
      <c r="T68" s="32" t="s">
        <v>357</v>
      </c>
      <c r="U68" s="26">
        <v>18.0</v>
      </c>
      <c r="V68" s="26" t="str">
        <f t="shared" si="180"/>
        <v>R</v>
      </c>
      <c r="W68" s="26">
        <v>25.0</v>
      </c>
      <c r="X68" s="26" t="str">
        <f t="shared" si="181"/>
        <v>S</v>
      </c>
      <c r="Y68" s="26">
        <v>10.0</v>
      </c>
      <c r="Z68" s="26" t="str">
        <f t="shared" si="182"/>
        <v>R</v>
      </c>
      <c r="AA68" s="32" t="s">
        <v>299</v>
      </c>
      <c r="AB68" s="33">
        <v>10.0</v>
      </c>
      <c r="AC68" s="33" t="str">
        <f t="shared" si="183"/>
        <v>R</v>
      </c>
      <c r="AD68" s="33">
        <v>14.0</v>
      </c>
      <c r="AE68" s="33" t="str">
        <f t="shared" si="184"/>
        <v>R</v>
      </c>
      <c r="AF68" s="33">
        <v>19.0</v>
      </c>
      <c r="AG68" s="33" t="str">
        <f t="shared" si="185"/>
        <v>I</v>
      </c>
      <c r="AH68" s="33">
        <v>18.0</v>
      </c>
      <c r="AI68" s="33" t="str">
        <f t="shared" si="186"/>
        <v>S</v>
      </c>
      <c r="AJ68" s="33">
        <v>30.0</v>
      </c>
      <c r="AK68" s="33" t="str">
        <f t="shared" si="187"/>
        <v>S</v>
      </c>
      <c r="AL68" s="33" t="s">
        <v>299</v>
      </c>
      <c r="AM68" s="36">
        <v>27.0</v>
      </c>
      <c r="AN68" s="36" t="str">
        <f t="shared" si="188"/>
        <v>S</v>
      </c>
      <c r="AO68" s="36">
        <v>26.0</v>
      </c>
      <c r="AP68" s="36" t="str">
        <f t="shared" si="189"/>
        <v>S</v>
      </c>
      <c r="AQ68" s="36">
        <v>17.0</v>
      </c>
      <c r="AR68" s="36" t="str">
        <f t="shared" si="190"/>
        <v>S</v>
      </c>
      <c r="AS68" s="36" t="s">
        <v>300</v>
      </c>
      <c r="AT68" s="37">
        <v>6.0</v>
      </c>
      <c r="AU68" s="37" t="str">
        <f t="shared" si="191"/>
        <v>R</v>
      </c>
      <c r="AV68" s="33">
        <v>22.0</v>
      </c>
      <c r="AW68" s="33" t="str">
        <f t="shared" si="192"/>
        <v>S</v>
      </c>
      <c r="AX68" s="33">
        <v>19.0</v>
      </c>
      <c r="AY68" s="33" t="str">
        <f t="shared" si="193"/>
        <v>S</v>
      </c>
      <c r="AZ68" s="33" t="s">
        <v>300</v>
      </c>
      <c r="BA68" s="26">
        <v>12.0</v>
      </c>
      <c r="BB68" s="26" t="str">
        <f t="shared" si="194"/>
        <v>R</v>
      </c>
      <c r="BC68" s="37">
        <v>19.0</v>
      </c>
      <c r="BD68" s="37" t="str">
        <f t="shared" si="195"/>
        <v>R</v>
      </c>
      <c r="BE68" s="36">
        <v>34.0</v>
      </c>
      <c r="BF68" s="36" t="str">
        <f t="shared" si="196"/>
        <v>S</v>
      </c>
      <c r="BG68" s="39" t="s">
        <v>357</v>
      </c>
      <c r="BH68" s="39" t="s">
        <v>357</v>
      </c>
      <c r="BI68" s="36">
        <v>31.0</v>
      </c>
      <c r="BJ68" s="36" t="str">
        <f t="shared" si="197"/>
        <v>S</v>
      </c>
      <c r="BK68" s="40">
        <v>20.0</v>
      </c>
      <c r="BL68" s="41" t="str">
        <f t="shared" si="198"/>
        <v>S</v>
      </c>
      <c r="BM68" s="41"/>
    </row>
    <row r="69">
      <c r="A69" s="18" t="s">
        <v>715</v>
      </c>
      <c r="B69" s="19">
        <v>69.0</v>
      </c>
      <c r="C69" s="18" t="s">
        <v>688</v>
      </c>
      <c r="D69" s="18" t="s">
        <v>190</v>
      </c>
      <c r="E69" s="18" t="s">
        <v>190</v>
      </c>
      <c r="F69" s="18" t="s">
        <v>192</v>
      </c>
      <c r="G69" s="20" t="s">
        <v>1264</v>
      </c>
      <c r="H69" s="22" t="s">
        <v>198</v>
      </c>
      <c r="I69" s="84" t="s">
        <v>481</v>
      </c>
      <c r="J69" s="81" t="s">
        <v>205</v>
      </c>
      <c r="K69" s="82" t="s">
        <v>208</v>
      </c>
      <c r="L69" s="82" t="s">
        <v>208</v>
      </c>
      <c r="M69" s="26">
        <v>6.0</v>
      </c>
      <c r="N69" s="26" t="str">
        <f t="shared" si="177"/>
        <v>R</v>
      </c>
      <c r="O69" s="26">
        <v>11.0</v>
      </c>
      <c r="P69" s="26" t="str">
        <f t="shared" si="178"/>
        <v>R</v>
      </c>
      <c r="Q69" s="26">
        <v>6.0</v>
      </c>
      <c r="R69" s="26" t="str">
        <f t="shared" si="179"/>
        <v>R</v>
      </c>
      <c r="S69" s="32" t="s">
        <v>357</v>
      </c>
      <c r="T69" s="32" t="s">
        <v>357</v>
      </c>
      <c r="U69" s="26">
        <v>6.0</v>
      </c>
      <c r="V69" s="26" t="str">
        <f t="shared" si="180"/>
        <v>R</v>
      </c>
      <c r="W69" s="26">
        <v>8.0</v>
      </c>
      <c r="X69" s="26" t="str">
        <f t="shared" si="181"/>
        <v>R</v>
      </c>
      <c r="Y69" s="26">
        <v>8.0</v>
      </c>
      <c r="Z69" s="26" t="str">
        <f t="shared" si="182"/>
        <v>R</v>
      </c>
      <c r="AA69" s="32" t="s">
        <v>299</v>
      </c>
      <c r="AB69" s="33">
        <v>6.0</v>
      </c>
      <c r="AC69" s="33" t="str">
        <f t="shared" si="183"/>
        <v>R</v>
      </c>
      <c r="AD69" s="33">
        <v>9.0</v>
      </c>
      <c r="AE69" s="33" t="str">
        <f t="shared" si="184"/>
        <v>R</v>
      </c>
      <c r="AF69" s="33">
        <v>6.0</v>
      </c>
      <c r="AG69" s="33" t="str">
        <f t="shared" si="185"/>
        <v>R</v>
      </c>
      <c r="AH69" s="33">
        <v>20.0</v>
      </c>
      <c r="AI69" s="33" t="str">
        <f t="shared" si="186"/>
        <v>S</v>
      </c>
      <c r="AJ69" s="33">
        <v>8.0</v>
      </c>
      <c r="AK69" s="33" t="str">
        <f t="shared" si="187"/>
        <v>R</v>
      </c>
      <c r="AL69" s="33" t="s">
        <v>299</v>
      </c>
      <c r="AM69" s="36">
        <v>6.0</v>
      </c>
      <c r="AN69" s="36" t="str">
        <f t="shared" si="188"/>
        <v>R</v>
      </c>
      <c r="AO69" s="36">
        <v>6.0</v>
      </c>
      <c r="AP69" s="36" t="str">
        <f t="shared" si="189"/>
        <v>R</v>
      </c>
      <c r="AQ69" s="36">
        <v>6.0</v>
      </c>
      <c r="AR69" s="36" t="str">
        <f t="shared" si="190"/>
        <v>R</v>
      </c>
      <c r="AS69" s="36" t="s">
        <v>299</v>
      </c>
      <c r="AT69" s="37">
        <v>6.0</v>
      </c>
      <c r="AU69" s="37" t="str">
        <f t="shared" si="191"/>
        <v>R</v>
      </c>
      <c r="AV69" s="33">
        <v>21.0</v>
      </c>
      <c r="AW69" s="33" t="str">
        <f t="shared" si="192"/>
        <v>S</v>
      </c>
      <c r="AX69" s="33">
        <v>13.0</v>
      </c>
      <c r="AY69" s="33" t="str">
        <f t="shared" si="193"/>
        <v>R</v>
      </c>
      <c r="AZ69" s="33" t="s">
        <v>299</v>
      </c>
      <c r="BA69" s="26">
        <v>6.0</v>
      </c>
      <c r="BB69" s="26" t="str">
        <f t="shared" si="194"/>
        <v>R</v>
      </c>
      <c r="BC69" s="37">
        <v>6.0</v>
      </c>
      <c r="BD69" s="37" t="str">
        <f t="shared" si="195"/>
        <v>R</v>
      </c>
      <c r="BE69" s="36">
        <v>27.0</v>
      </c>
      <c r="BF69" s="36" t="str">
        <f t="shared" si="196"/>
        <v>S</v>
      </c>
      <c r="BG69" s="39" t="s">
        <v>357</v>
      </c>
      <c r="BH69" s="39" t="s">
        <v>357</v>
      </c>
      <c r="BI69" s="36">
        <v>30.0</v>
      </c>
      <c r="BJ69" s="36" t="str">
        <f t="shared" si="197"/>
        <v>S</v>
      </c>
      <c r="BK69" s="40">
        <v>8.0</v>
      </c>
      <c r="BL69" s="41" t="str">
        <f t="shared" si="198"/>
        <v>R</v>
      </c>
      <c r="BM69" s="41"/>
    </row>
    <row r="70">
      <c r="A70" s="18" t="s">
        <v>715</v>
      </c>
      <c r="B70" s="18" t="s">
        <v>444</v>
      </c>
      <c r="C70" s="18" t="s">
        <v>1104</v>
      </c>
      <c r="D70" s="18" t="s">
        <v>190</v>
      </c>
      <c r="E70" s="18" t="s">
        <v>190</v>
      </c>
      <c r="F70" s="18" t="s">
        <v>192</v>
      </c>
      <c r="G70" s="20" t="s">
        <v>1265</v>
      </c>
      <c r="H70" s="52" t="s">
        <v>581</v>
      </c>
      <c r="I70" s="84" t="s">
        <v>37</v>
      </c>
      <c r="J70" s="81" t="s">
        <v>205</v>
      </c>
      <c r="K70" s="81" t="s">
        <v>205</v>
      </c>
      <c r="L70" s="81" t="s">
        <v>208</v>
      </c>
      <c r="M70" s="26">
        <v>6.0</v>
      </c>
      <c r="N70" s="26" t="str">
        <f t="shared" si="177"/>
        <v>R</v>
      </c>
      <c r="O70" s="26">
        <v>15.0</v>
      </c>
      <c r="P70" s="26" t="str">
        <f t="shared" si="178"/>
        <v>R</v>
      </c>
      <c r="Q70" s="26">
        <v>6.0</v>
      </c>
      <c r="R70" s="26" t="str">
        <f t="shared" si="179"/>
        <v>R</v>
      </c>
      <c r="S70" s="32" t="s">
        <v>357</v>
      </c>
      <c r="T70" s="32" t="s">
        <v>357</v>
      </c>
      <c r="U70" s="26">
        <v>8.0</v>
      </c>
      <c r="V70" s="26" t="str">
        <f t="shared" si="180"/>
        <v>R</v>
      </c>
      <c r="W70" s="26">
        <v>18.0</v>
      </c>
      <c r="X70" s="26" t="str">
        <f t="shared" si="181"/>
        <v>R</v>
      </c>
      <c r="Y70" s="26">
        <v>21.0</v>
      </c>
      <c r="Z70" s="26" t="str">
        <f t="shared" si="182"/>
        <v>S</v>
      </c>
      <c r="AA70" s="32" t="s">
        <v>299</v>
      </c>
      <c r="AB70" s="33">
        <v>6.0</v>
      </c>
      <c r="AC70" s="33" t="str">
        <f t="shared" si="183"/>
        <v>R</v>
      </c>
      <c r="AD70" s="33">
        <v>22.0</v>
      </c>
      <c r="AE70" s="33" t="str">
        <f t="shared" si="184"/>
        <v>S</v>
      </c>
      <c r="AF70" s="33">
        <v>13.0</v>
      </c>
      <c r="AG70" s="33" t="str">
        <f t="shared" si="185"/>
        <v>R</v>
      </c>
      <c r="AH70" s="33">
        <v>25.0</v>
      </c>
      <c r="AI70" s="33" t="str">
        <f t="shared" si="186"/>
        <v>S</v>
      </c>
      <c r="AJ70" s="33">
        <v>22.0</v>
      </c>
      <c r="AK70" s="33" t="str">
        <f t="shared" si="187"/>
        <v>R</v>
      </c>
      <c r="AL70" s="33" t="s">
        <v>299</v>
      </c>
      <c r="AM70" s="36">
        <v>8.0</v>
      </c>
      <c r="AN70" s="36" t="str">
        <f t="shared" si="188"/>
        <v>R</v>
      </c>
      <c r="AO70" s="36">
        <v>12.0</v>
      </c>
      <c r="AP70" s="36" t="str">
        <f t="shared" si="189"/>
        <v>R</v>
      </c>
      <c r="AQ70" s="36">
        <v>6.0</v>
      </c>
      <c r="AR70" s="36" t="str">
        <f t="shared" si="190"/>
        <v>R</v>
      </c>
      <c r="AS70" s="36" t="s">
        <v>299</v>
      </c>
      <c r="AT70" s="37">
        <v>6.0</v>
      </c>
      <c r="AU70" s="37" t="str">
        <f t="shared" si="191"/>
        <v>R</v>
      </c>
      <c r="AV70" s="33">
        <v>21.0</v>
      </c>
      <c r="AW70" s="33" t="str">
        <f t="shared" si="192"/>
        <v>S</v>
      </c>
      <c r="AX70" s="33">
        <v>11.0</v>
      </c>
      <c r="AY70" s="33" t="str">
        <f t="shared" si="193"/>
        <v>R</v>
      </c>
      <c r="AZ70" s="33" t="s">
        <v>299</v>
      </c>
      <c r="BA70" s="26">
        <v>8.0</v>
      </c>
      <c r="BB70" s="26" t="str">
        <f t="shared" si="194"/>
        <v>R</v>
      </c>
      <c r="BC70" s="37">
        <v>13.0</v>
      </c>
      <c r="BD70" s="37" t="str">
        <f t="shared" si="195"/>
        <v>R</v>
      </c>
      <c r="BE70" s="36">
        <v>33.0</v>
      </c>
      <c r="BF70" s="36" t="str">
        <f t="shared" si="196"/>
        <v>S</v>
      </c>
      <c r="BG70" s="39" t="s">
        <v>357</v>
      </c>
      <c r="BH70" s="39" t="s">
        <v>357</v>
      </c>
      <c r="BI70" s="36">
        <v>33.0</v>
      </c>
      <c r="BJ70" s="36" t="str">
        <f t="shared" si="197"/>
        <v>S</v>
      </c>
      <c r="BK70" s="40">
        <v>9.0</v>
      </c>
      <c r="BL70" s="41" t="str">
        <f t="shared" si="198"/>
        <v>R</v>
      </c>
      <c r="BM70" s="41"/>
    </row>
    <row r="71">
      <c r="A71" s="18" t="s">
        <v>715</v>
      </c>
      <c r="B71" s="18" t="s">
        <v>444</v>
      </c>
      <c r="C71" s="18" t="s">
        <v>1114</v>
      </c>
      <c r="D71" s="18" t="s">
        <v>190</v>
      </c>
      <c r="E71" s="18" t="s">
        <v>190</v>
      </c>
      <c r="F71" s="18" t="s">
        <v>192</v>
      </c>
      <c r="G71" s="20" t="s">
        <v>1266</v>
      </c>
      <c r="H71" s="22" t="s">
        <v>198</v>
      </c>
      <c r="I71" s="84" t="s">
        <v>481</v>
      </c>
      <c r="J71" s="81" t="s">
        <v>205</v>
      </c>
      <c r="K71" s="82" t="s">
        <v>208</v>
      </c>
      <c r="L71" s="82" t="s">
        <v>208</v>
      </c>
      <c r="M71" s="26">
        <v>6.0</v>
      </c>
      <c r="N71" s="26" t="str">
        <f t="shared" si="177"/>
        <v>R</v>
      </c>
      <c r="O71" s="26">
        <v>14.0</v>
      </c>
      <c r="P71" s="26" t="str">
        <f t="shared" si="178"/>
        <v>R</v>
      </c>
      <c r="Q71" s="26">
        <v>6.0</v>
      </c>
      <c r="R71" s="26" t="str">
        <f t="shared" si="179"/>
        <v>R</v>
      </c>
      <c r="S71" s="32" t="s">
        <v>357</v>
      </c>
      <c r="T71" s="32" t="s">
        <v>357</v>
      </c>
      <c r="U71" s="26">
        <v>6.0</v>
      </c>
      <c r="V71" s="26" t="str">
        <f t="shared" si="180"/>
        <v>R</v>
      </c>
      <c r="W71" s="26">
        <v>9.0</v>
      </c>
      <c r="X71" s="26" t="str">
        <f t="shared" si="181"/>
        <v>R</v>
      </c>
      <c r="Y71" s="26">
        <v>8.0</v>
      </c>
      <c r="Z71" s="26" t="str">
        <f t="shared" si="182"/>
        <v>R</v>
      </c>
      <c r="AA71" s="32" t="s">
        <v>299</v>
      </c>
      <c r="AB71" s="33">
        <v>6.0</v>
      </c>
      <c r="AC71" s="33" t="str">
        <f t="shared" si="183"/>
        <v>R</v>
      </c>
      <c r="AD71" s="33">
        <v>6.0</v>
      </c>
      <c r="AE71" s="33" t="str">
        <f t="shared" si="184"/>
        <v>R</v>
      </c>
      <c r="AF71" s="33">
        <v>8.0</v>
      </c>
      <c r="AG71" s="33" t="str">
        <f t="shared" si="185"/>
        <v>R</v>
      </c>
      <c r="AH71" s="33">
        <v>22.0</v>
      </c>
      <c r="AI71" s="33" t="str">
        <f t="shared" si="186"/>
        <v>S</v>
      </c>
      <c r="AJ71" s="33">
        <v>6.0</v>
      </c>
      <c r="AK71" s="33" t="str">
        <f t="shared" si="187"/>
        <v>R</v>
      </c>
      <c r="AL71" s="33" t="s">
        <v>299</v>
      </c>
      <c r="AM71" s="36">
        <v>6.0</v>
      </c>
      <c r="AN71" s="36" t="str">
        <f t="shared" si="188"/>
        <v>R</v>
      </c>
      <c r="AO71" s="36">
        <v>6.0</v>
      </c>
      <c r="AP71" s="36" t="str">
        <f t="shared" si="189"/>
        <v>R</v>
      </c>
      <c r="AQ71" s="36">
        <v>6.0</v>
      </c>
      <c r="AR71" s="36" t="str">
        <f t="shared" si="190"/>
        <v>R</v>
      </c>
      <c r="AS71" s="36" t="s">
        <v>299</v>
      </c>
      <c r="AT71" s="37">
        <v>6.0</v>
      </c>
      <c r="AU71" s="37" t="str">
        <f t="shared" si="191"/>
        <v>R</v>
      </c>
      <c r="AV71" s="33">
        <v>25.0</v>
      </c>
      <c r="AW71" s="33" t="str">
        <f t="shared" si="192"/>
        <v>S</v>
      </c>
      <c r="AX71" s="33">
        <v>16.0</v>
      </c>
      <c r="AY71" s="33" t="str">
        <f t="shared" si="193"/>
        <v>S</v>
      </c>
      <c r="AZ71" s="33" t="s">
        <v>300</v>
      </c>
      <c r="BA71" s="26">
        <v>6.0</v>
      </c>
      <c r="BB71" s="26" t="str">
        <f t="shared" si="194"/>
        <v>R</v>
      </c>
      <c r="BC71" s="37">
        <v>6.0</v>
      </c>
      <c r="BD71" s="37" t="str">
        <f t="shared" si="195"/>
        <v>R</v>
      </c>
      <c r="BE71" s="36">
        <v>30.0</v>
      </c>
      <c r="BF71" s="36" t="str">
        <f t="shared" si="196"/>
        <v>S</v>
      </c>
      <c r="BG71" s="39" t="s">
        <v>357</v>
      </c>
      <c r="BH71" s="39" t="s">
        <v>357</v>
      </c>
      <c r="BI71" s="36">
        <v>35.0</v>
      </c>
      <c r="BJ71" s="36" t="str">
        <f t="shared" si="197"/>
        <v>S</v>
      </c>
      <c r="BK71" s="40">
        <v>6.0</v>
      </c>
      <c r="BL71" s="41" t="str">
        <f t="shared" si="198"/>
        <v>R</v>
      </c>
      <c r="BM71" s="41"/>
    </row>
    <row r="72">
      <c r="A72" s="18" t="s">
        <v>715</v>
      </c>
      <c r="B72" s="19">
        <v>70.0</v>
      </c>
      <c r="C72" s="18" t="s">
        <v>1122</v>
      </c>
      <c r="D72" s="18" t="s">
        <v>571</v>
      </c>
      <c r="E72" s="18" t="s">
        <v>572</v>
      </c>
      <c r="F72" s="18" t="s">
        <v>192</v>
      </c>
      <c r="G72" s="20" t="s">
        <v>1267</v>
      </c>
      <c r="H72" s="52" t="s">
        <v>581</v>
      </c>
      <c r="I72" s="84" t="s">
        <v>37</v>
      </c>
      <c r="J72" s="81" t="s">
        <v>205</v>
      </c>
      <c r="K72" s="81" t="s">
        <v>205</v>
      </c>
      <c r="L72" s="81" t="s">
        <v>208</v>
      </c>
      <c r="M72" s="26">
        <v>6.0</v>
      </c>
      <c r="N72" s="26" t="str">
        <f t="shared" si="177"/>
        <v>R</v>
      </c>
      <c r="O72" s="26">
        <v>14.0</v>
      </c>
      <c r="P72" s="26" t="str">
        <f t="shared" si="178"/>
        <v>R</v>
      </c>
      <c r="Q72" s="26">
        <v>6.0</v>
      </c>
      <c r="R72" s="26" t="str">
        <f t="shared" si="179"/>
        <v>R</v>
      </c>
      <c r="S72" s="32" t="s">
        <v>357</v>
      </c>
      <c r="T72" s="32" t="s">
        <v>357</v>
      </c>
      <c r="U72" s="26">
        <v>8.0</v>
      </c>
      <c r="V72" s="26" t="str">
        <f t="shared" si="180"/>
        <v>R</v>
      </c>
      <c r="W72" s="26">
        <v>20.0</v>
      </c>
      <c r="X72" s="26" t="str">
        <f t="shared" si="181"/>
        <v>S</v>
      </c>
      <c r="Y72" s="26">
        <v>25.0</v>
      </c>
      <c r="Z72" s="26" t="str">
        <f t="shared" si="182"/>
        <v>S</v>
      </c>
      <c r="AA72" s="32" t="s">
        <v>299</v>
      </c>
      <c r="AB72" s="33">
        <v>6.0</v>
      </c>
      <c r="AC72" s="33" t="str">
        <f t="shared" si="183"/>
        <v>R</v>
      </c>
      <c r="AD72" s="33">
        <v>25.0</v>
      </c>
      <c r="AE72" s="33" t="str">
        <f t="shared" si="184"/>
        <v>S</v>
      </c>
      <c r="AF72" s="33">
        <v>17.0</v>
      </c>
      <c r="AG72" s="33" t="str">
        <f t="shared" si="185"/>
        <v>R</v>
      </c>
      <c r="AH72" s="33">
        <v>28.0</v>
      </c>
      <c r="AI72" s="33" t="str">
        <f t="shared" si="186"/>
        <v>S</v>
      </c>
      <c r="AJ72" s="33">
        <v>21.0</v>
      </c>
      <c r="AK72" s="33" t="str">
        <f t="shared" si="187"/>
        <v>R</v>
      </c>
      <c r="AL72" s="33" t="s">
        <v>299</v>
      </c>
      <c r="AM72" s="36">
        <v>14.0</v>
      </c>
      <c r="AN72" s="36" t="str">
        <f t="shared" si="188"/>
        <v>R</v>
      </c>
      <c r="AO72" s="36">
        <v>20.0</v>
      </c>
      <c r="AP72" s="36" t="str">
        <f t="shared" si="189"/>
        <v>I</v>
      </c>
      <c r="AQ72" s="36">
        <v>6.0</v>
      </c>
      <c r="AR72" s="36" t="str">
        <f t="shared" si="190"/>
        <v>R</v>
      </c>
      <c r="AS72" s="36" t="s">
        <v>299</v>
      </c>
      <c r="AT72" s="37">
        <v>6.0</v>
      </c>
      <c r="AU72" s="37" t="str">
        <f t="shared" si="191"/>
        <v>R</v>
      </c>
      <c r="AV72" s="33">
        <v>19.0</v>
      </c>
      <c r="AW72" s="33" t="str">
        <f t="shared" si="192"/>
        <v>S</v>
      </c>
      <c r="AX72" s="33">
        <v>10.0</v>
      </c>
      <c r="AY72" s="33" t="str">
        <f t="shared" si="193"/>
        <v>R</v>
      </c>
      <c r="AZ72" s="33" t="s">
        <v>299</v>
      </c>
      <c r="BA72" s="26">
        <v>13.0</v>
      </c>
      <c r="BB72" s="26" t="str">
        <f t="shared" si="194"/>
        <v>R</v>
      </c>
      <c r="BC72" s="37">
        <v>15.0</v>
      </c>
      <c r="BD72" s="37" t="str">
        <f t="shared" si="195"/>
        <v>R</v>
      </c>
      <c r="BE72" s="36">
        <v>31.0</v>
      </c>
      <c r="BF72" s="36" t="str">
        <f t="shared" si="196"/>
        <v>S</v>
      </c>
      <c r="BG72" s="39" t="s">
        <v>357</v>
      </c>
      <c r="BH72" s="39" t="s">
        <v>357</v>
      </c>
      <c r="BI72" s="36">
        <v>30.0</v>
      </c>
      <c r="BJ72" s="36" t="str">
        <f t="shared" si="197"/>
        <v>S</v>
      </c>
      <c r="BK72" s="40">
        <v>9.0</v>
      </c>
      <c r="BL72" s="41" t="str">
        <f t="shared" si="198"/>
        <v>R</v>
      </c>
      <c r="BM72" s="41"/>
    </row>
    <row r="73">
      <c r="A73" s="18" t="s">
        <v>715</v>
      </c>
      <c r="B73" s="18" t="s">
        <v>444</v>
      </c>
      <c r="C73" s="18" t="s">
        <v>1130</v>
      </c>
      <c r="D73" s="18" t="s">
        <v>571</v>
      </c>
      <c r="E73" s="18" t="s">
        <v>572</v>
      </c>
      <c r="F73" s="18" t="s">
        <v>192</v>
      </c>
      <c r="G73" s="20" t="s">
        <v>1268</v>
      </c>
      <c r="H73" s="59" t="s">
        <v>785</v>
      </c>
      <c r="I73" s="84" t="s">
        <v>481</v>
      </c>
      <c r="J73" s="81" t="s">
        <v>205</v>
      </c>
      <c r="K73" s="82" t="s">
        <v>208</v>
      </c>
      <c r="L73" s="82" t="s">
        <v>208</v>
      </c>
      <c r="M73" s="26">
        <v>6.0</v>
      </c>
      <c r="N73" s="26" t="str">
        <f t="shared" si="177"/>
        <v>R</v>
      </c>
      <c r="O73" s="26">
        <v>10.0</v>
      </c>
      <c r="P73" s="26" t="str">
        <f t="shared" si="178"/>
        <v>R</v>
      </c>
      <c r="Q73" s="26">
        <v>6.0</v>
      </c>
      <c r="R73" s="26" t="str">
        <f t="shared" si="179"/>
        <v>R</v>
      </c>
      <c r="S73" s="32" t="s">
        <v>357</v>
      </c>
      <c r="T73" s="32" t="s">
        <v>357</v>
      </c>
      <c r="U73" s="26">
        <v>8.0</v>
      </c>
      <c r="V73" s="26" t="str">
        <f t="shared" si="180"/>
        <v>R</v>
      </c>
      <c r="W73" s="26">
        <v>20.0</v>
      </c>
      <c r="X73" s="26" t="str">
        <f t="shared" si="181"/>
        <v>S</v>
      </c>
      <c r="Y73" s="26">
        <v>26.0</v>
      </c>
      <c r="Z73" s="26" t="str">
        <f t="shared" si="182"/>
        <v>S</v>
      </c>
      <c r="AA73" s="32" t="s">
        <v>299</v>
      </c>
      <c r="AB73" s="33">
        <v>6.0</v>
      </c>
      <c r="AC73" s="33" t="str">
        <f t="shared" si="183"/>
        <v>R</v>
      </c>
      <c r="AD73" s="33">
        <v>8.0</v>
      </c>
      <c r="AE73" s="33" t="str">
        <f t="shared" si="184"/>
        <v>R</v>
      </c>
      <c r="AF73" s="33">
        <v>18.0</v>
      </c>
      <c r="AG73" s="33" t="str">
        <f t="shared" si="185"/>
        <v>R</v>
      </c>
      <c r="AH73" s="33">
        <v>25.0</v>
      </c>
      <c r="AI73" s="33" t="str">
        <f t="shared" si="186"/>
        <v>S</v>
      </c>
      <c r="AJ73" s="33">
        <v>22.0</v>
      </c>
      <c r="AK73" s="33" t="str">
        <f t="shared" si="187"/>
        <v>R</v>
      </c>
      <c r="AL73" s="33" t="s">
        <v>299</v>
      </c>
      <c r="AM73" s="36">
        <v>18.0</v>
      </c>
      <c r="AN73" s="36" t="str">
        <f t="shared" si="188"/>
        <v>R</v>
      </c>
      <c r="AO73" s="36">
        <v>24.0</v>
      </c>
      <c r="AP73" s="36" t="str">
        <f t="shared" si="189"/>
        <v>S</v>
      </c>
      <c r="AQ73" s="36">
        <v>18.0</v>
      </c>
      <c r="AR73" s="36" t="str">
        <f t="shared" si="190"/>
        <v>S</v>
      </c>
      <c r="AS73" s="36" t="s">
        <v>299</v>
      </c>
      <c r="AT73" s="37">
        <v>6.0</v>
      </c>
      <c r="AU73" s="37" t="str">
        <f t="shared" si="191"/>
        <v>R</v>
      </c>
      <c r="AV73" s="33">
        <v>19.0</v>
      </c>
      <c r="AW73" s="33" t="str">
        <f t="shared" si="192"/>
        <v>S</v>
      </c>
      <c r="AX73" s="33">
        <v>11.0</v>
      </c>
      <c r="AY73" s="33" t="str">
        <f t="shared" si="193"/>
        <v>R</v>
      </c>
      <c r="AZ73" s="33" t="s">
        <v>299</v>
      </c>
      <c r="BA73" s="26">
        <v>18.0</v>
      </c>
      <c r="BB73" s="26" t="str">
        <f t="shared" si="194"/>
        <v>R</v>
      </c>
      <c r="BC73" s="37">
        <v>16.0</v>
      </c>
      <c r="BD73" s="37" t="str">
        <f t="shared" si="195"/>
        <v>R</v>
      </c>
      <c r="BE73" s="36">
        <v>29.0</v>
      </c>
      <c r="BF73" s="36" t="str">
        <f t="shared" si="196"/>
        <v>S</v>
      </c>
      <c r="BG73" s="39" t="s">
        <v>357</v>
      </c>
      <c r="BH73" s="39" t="s">
        <v>357</v>
      </c>
      <c r="BI73" s="36">
        <v>28.0</v>
      </c>
      <c r="BJ73" s="36" t="str">
        <f t="shared" si="197"/>
        <v>S</v>
      </c>
      <c r="BK73" s="40">
        <v>21.0</v>
      </c>
      <c r="BL73" s="41" t="str">
        <f t="shared" si="198"/>
        <v>S</v>
      </c>
      <c r="BM73" s="41"/>
    </row>
    <row r="74">
      <c r="A74" s="18" t="s">
        <v>715</v>
      </c>
      <c r="B74" s="18" t="s">
        <v>444</v>
      </c>
      <c r="C74" s="18" t="s">
        <v>1140</v>
      </c>
      <c r="D74" s="18" t="s">
        <v>571</v>
      </c>
      <c r="E74" s="18" t="s">
        <v>572</v>
      </c>
      <c r="F74" s="18" t="s">
        <v>192</v>
      </c>
      <c r="G74" s="20" t="s">
        <v>1269</v>
      </c>
      <c r="H74" s="59" t="s">
        <v>1092</v>
      </c>
      <c r="I74" s="84" t="s">
        <v>481</v>
      </c>
      <c r="J74" s="81" t="s">
        <v>205</v>
      </c>
      <c r="K74" s="82" t="s">
        <v>208</v>
      </c>
      <c r="L74" s="82" t="s">
        <v>208</v>
      </c>
      <c r="M74" s="26">
        <v>7.0</v>
      </c>
      <c r="N74" s="26" t="str">
        <f t="shared" si="177"/>
        <v>R</v>
      </c>
      <c r="O74" s="26">
        <v>9.0</v>
      </c>
      <c r="P74" s="26" t="str">
        <f t="shared" si="178"/>
        <v>R</v>
      </c>
      <c r="Q74" s="26">
        <v>6.0</v>
      </c>
      <c r="R74" s="26" t="str">
        <f t="shared" si="179"/>
        <v>R</v>
      </c>
      <c r="S74" s="32" t="s">
        <v>357</v>
      </c>
      <c r="T74" s="32" t="s">
        <v>357</v>
      </c>
      <c r="U74" s="26">
        <v>6.0</v>
      </c>
      <c r="V74" s="26" t="str">
        <f t="shared" si="180"/>
        <v>R</v>
      </c>
      <c r="W74" s="26">
        <v>14.0</v>
      </c>
      <c r="X74" s="26" t="str">
        <f t="shared" si="181"/>
        <v>R</v>
      </c>
      <c r="Y74" s="26">
        <v>19.0</v>
      </c>
      <c r="Z74" s="26" t="str">
        <f t="shared" si="182"/>
        <v>I</v>
      </c>
      <c r="AA74" s="32" t="s">
        <v>299</v>
      </c>
      <c r="AB74" s="33">
        <v>6.0</v>
      </c>
      <c r="AC74" s="33" t="str">
        <f t="shared" si="183"/>
        <v>R</v>
      </c>
      <c r="AD74" s="33">
        <v>6.0</v>
      </c>
      <c r="AE74" s="33" t="str">
        <f t="shared" si="184"/>
        <v>R</v>
      </c>
      <c r="AF74" s="33">
        <v>6.0</v>
      </c>
      <c r="AG74" s="33" t="str">
        <f t="shared" si="185"/>
        <v>R</v>
      </c>
      <c r="AH74" s="33">
        <v>24.0</v>
      </c>
      <c r="AI74" s="33" t="str">
        <f t="shared" si="186"/>
        <v>S</v>
      </c>
      <c r="AJ74" s="33">
        <v>6.0</v>
      </c>
      <c r="AK74" s="33" t="str">
        <f t="shared" si="187"/>
        <v>R</v>
      </c>
      <c r="AL74" s="33" t="s">
        <v>299</v>
      </c>
      <c r="AM74" s="36">
        <v>6.0</v>
      </c>
      <c r="AN74" s="36" t="str">
        <f t="shared" si="188"/>
        <v>R</v>
      </c>
      <c r="AO74" s="36">
        <v>9.0</v>
      </c>
      <c r="AP74" s="36" t="str">
        <f t="shared" si="189"/>
        <v>R</v>
      </c>
      <c r="AQ74" s="36">
        <v>6.0</v>
      </c>
      <c r="AR74" s="36" t="str">
        <f t="shared" si="190"/>
        <v>R</v>
      </c>
      <c r="AS74" s="36" t="s">
        <v>299</v>
      </c>
      <c r="AT74" s="37">
        <v>23.0</v>
      </c>
      <c r="AU74" s="37" t="str">
        <f t="shared" si="191"/>
        <v>S</v>
      </c>
      <c r="AV74" s="33">
        <v>24.0</v>
      </c>
      <c r="AW74" s="33" t="str">
        <f t="shared" si="192"/>
        <v>S</v>
      </c>
      <c r="AX74" s="33">
        <v>13.0</v>
      </c>
      <c r="AY74" s="33" t="str">
        <f t="shared" si="193"/>
        <v>R</v>
      </c>
      <c r="AZ74" s="33" t="s">
        <v>299</v>
      </c>
      <c r="BA74" s="26">
        <v>12.0</v>
      </c>
      <c r="BB74" s="26" t="str">
        <f t="shared" si="194"/>
        <v>R</v>
      </c>
      <c r="BC74" s="37">
        <v>6.0</v>
      </c>
      <c r="BD74" s="37" t="str">
        <f t="shared" si="195"/>
        <v>R</v>
      </c>
      <c r="BE74" s="36">
        <v>21.0</v>
      </c>
      <c r="BF74" s="36" t="str">
        <f t="shared" si="196"/>
        <v>R</v>
      </c>
      <c r="BG74" s="36">
        <v>0.5</v>
      </c>
      <c r="BH74" s="36" t="str">
        <f>IF((BG74&lt;=0.5),"S",IF(AND(BG74&gt;0.5),"R", "NA"))</f>
        <v>S</v>
      </c>
      <c r="BI74" s="36">
        <v>26.0</v>
      </c>
      <c r="BJ74" s="36" t="str">
        <f t="shared" si="197"/>
        <v>S</v>
      </c>
      <c r="BK74" s="40">
        <v>6.0</v>
      </c>
      <c r="BL74" s="41" t="str">
        <f t="shared" si="198"/>
        <v>R</v>
      </c>
      <c r="BM74" s="41"/>
    </row>
    <row r="75">
      <c r="A75" s="18" t="s">
        <v>715</v>
      </c>
      <c r="B75" s="19">
        <v>71.0</v>
      </c>
      <c r="C75" s="18" t="s">
        <v>1144</v>
      </c>
      <c r="D75" s="18" t="s">
        <v>705</v>
      </c>
      <c r="E75" s="18" t="s">
        <v>572</v>
      </c>
      <c r="F75" s="18" t="s">
        <v>573</v>
      </c>
      <c r="G75" s="20" t="s">
        <v>357</v>
      </c>
      <c r="H75" s="47" t="s">
        <v>357</v>
      </c>
      <c r="I75" s="83" t="s">
        <v>357</v>
      </c>
      <c r="J75" s="82" t="s">
        <v>208</v>
      </c>
      <c r="K75" s="82" t="s">
        <v>208</v>
      </c>
      <c r="L75" s="82" t="s">
        <v>208</v>
      </c>
      <c r="M75" s="32" t="s">
        <v>357</v>
      </c>
      <c r="N75" s="32" t="s">
        <v>357</v>
      </c>
      <c r="O75" s="32" t="s">
        <v>357</v>
      </c>
      <c r="P75" s="32" t="s">
        <v>357</v>
      </c>
      <c r="Q75" s="32" t="s">
        <v>357</v>
      </c>
      <c r="R75" s="32" t="s">
        <v>357</v>
      </c>
      <c r="S75" s="32" t="s">
        <v>357</v>
      </c>
      <c r="T75" s="32" t="s">
        <v>357</v>
      </c>
      <c r="U75" s="32" t="s">
        <v>357</v>
      </c>
      <c r="V75" s="32" t="s">
        <v>357</v>
      </c>
      <c r="W75" s="32" t="s">
        <v>357</v>
      </c>
      <c r="X75" s="32" t="s">
        <v>357</v>
      </c>
      <c r="Y75" s="32" t="s">
        <v>357</v>
      </c>
      <c r="Z75" s="32" t="s">
        <v>357</v>
      </c>
      <c r="AA75" s="32" t="s">
        <v>357</v>
      </c>
      <c r="AB75" s="49" t="s">
        <v>357</v>
      </c>
      <c r="AC75" s="49" t="s">
        <v>357</v>
      </c>
      <c r="AD75" s="49" t="s">
        <v>357</v>
      </c>
      <c r="AE75" s="49" t="s">
        <v>357</v>
      </c>
      <c r="AF75" s="49" t="s">
        <v>357</v>
      </c>
      <c r="AG75" s="49" t="s">
        <v>357</v>
      </c>
      <c r="AH75" s="49" t="s">
        <v>357</v>
      </c>
      <c r="AI75" s="49" t="s">
        <v>357</v>
      </c>
      <c r="AJ75" s="49" t="s">
        <v>357</v>
      </c>
      <c r="AK75" s="49" t="s">
        <v>357</v>
      </c>
      <c r="AL75" s="49" t="s">
        <v>357</v>
      </c>
      <c r="AM75" s="39" t="s">
        <v>357</v>
      </c>
      <c r="AN75" s="39" t="s">
        <v>357</v>
      </c>
      <c r="AO75" s="39" t="s">
        <v>357</v>
      </c>
      <c r="AP75" s="39" t="s">
        <v>357</v>
      </c>
      <c r="AQ75" s="39" t="s">
        <v>357</v>
      </c>
      <c r="AR75" s="39" t="s">
        <v>357</v>
      </c>
      <c r="AS75" s="39" t="s">
        <v>357</v>
      </c>
      <c r="AT75" s="50" t="s">
        <v>357</v>
      </c>
      <c r="AU75" s="50" t="s">
        <v>357</v>
      </c>
      <c r="AV75" s="49" t="s">
        <v>357</v>
      </c>
      <c r="AW75" s="49" t="s">
        <v>357</v>
      </c>
      <c r="AX75" s="49" t="s">
        <v>357</v>
      </c>
      <c r="AY75" s="49" t="s">
        <v>357</v>
      </c>
      <c r="AZ75" s="49" t="s">
        <v>357</v>
      </c>
      <c r="BA75" s="32" t="s">
        <v>357</v>
      </c>
      <c r="BB75" s="32" t="s">
        <v>357</v>
      </c>
      <c r="BC75" s="50" t="s">
        <v>357</v>
      </c>
      <c r="BD75" s="50" t="s">
        <v>357</v>
      </c>
      <c r="BE75" s="39" t="s">
        <v>357</v>
      </c>
      <c r="BF75" s="39" t="s">
        <v>357</v>
      </c>
      <c r="BG75" s="39" t="s">
        <v>357</v>
      </c>
      <c r="BH75" s="39" t="s">
        <v>357</v>
      </c>
      <c r="BI75" s="39" t="s">
        <v>357</v>
      </c>
      <c r="BJ75" s="39" t="s">
        <v>357</v>
      </c>
      <c r="BK75" s="41" t="s">
        <v>357</v>
      </c>
      <c r="BL75" s="41" t="s">
        <v>357</v>
      </c>
      <c r="BM75" s="41"/>
    </row>
    <row r="76">
      <c r="A76" s="18" t="s">
        <v>715</v>
      </c>
      <c r="B76" s="19">
        <v>72.0</v>
      </c>
      <c r="C76" s="18" t="s">
        <v>1150</v>
      </c>
      <c r="D76" s="18" t="s">
        <v>182</v>
      </c>
      <c r="E76" s="18" t="s">
        <v>103</v>
      </c>
      <c r="F76" s="18" t="s">
        <v>192</v>
      </c>
      <c r="G76" s="20" t="s">
        <v>1270</v>
      </c>
      <c r="H76" s="22" t="s">
        <v>198</v>
      </c>
      <c r="I76" s="80" t="s">
        <v>481</v>
      </c>
      <c r="J76" s="81" t="s">
        <v>205</v>
      </c>
      <c r="K76" s="82" t="s">
        <v>208</v>
      </c>
      <c r="L76" s="81" t="s">
        <v>208</v>
      </c>
      <c r="M76" s="26">
        <v>6.0</v>
      </c>
      <c r="N76" s="26" t="str">
        <f t="shared" ref="N76:N93" si="199">IF((M76&gt;=19),"S",IF(AND(M76&lt;19),"R", "NA"))</f>
        <v>R</v>
      </c>
      <c r="O76" s="26">
        <v>25.0</v>
      </c>
      <c r="P76" s="26" t="str">
        <f t="shared" ref="P76:P93" si="200">IF((O76&gt;=19),"S",IF(AND(O76&lt;19),"R", "NA"))</f>
        <v>S</v>
      </c>
      <c r="Q76" s="26">
        <v>6.0</v>
      </c>
      <c r="R76" s="26" t="str">
        <f t="shared" ref="R76:R93" si="201">IF((Q76&gt;=23),"S",IF(AND(Q76&lt;23),"R","NA"))</f>
        <v>R</v>
      </c>
      <c r="S76" s="32" t="s">
        <v>357</v>
      </c>
      <c r="T76" s="32" t="s">
        <v>357</v>
      </c>
      <c r="U76" s="26">
        <v>15.0</v>
      </c>
      <c r="V76" s="26" t="str">
        <f t="shared" ref="V76:V93" si="202">IF((U76&gt;=20),"S",IF(AND(U76&lt;20),"R", "NA"))</f>
        <v>R</v>
      </c>
      <c r="W76" s="26">
        <v>27.0</v>
      </c>
      <c r="X76" s="26" t="str">
        <f t="shared" ref="X76:X93" si="203">IF((W76&gt;=20),"S",IF(AND(W76&lt;20),"R", "NA"))</f>
        <v>S</v>
      </c>
      <c r="Y76" s="26">
        <v>24.0</v>
      </c>
      <c r="Z76" s="26" t="str">
        <f t="shared" ref="Z76:Z93" si="204">IF((Y76&gt;=20),"S",IF(AND(Y76&lt;20,Y76&gt;=17),"I",IF(AND(Y76&lt;17),"R","NA")))</f>
        <v>S</v>
      </c>
      <c r="AA76" s="32" t="s">
        <v>299</v>
      </c>
      <c r="AB76" s="33">
        <v>9.0</v>
      </c>
      <c r="AC76" s="33" t="str">
        <f t="shared" ref="AC76:AC93" si="205">IF((AB76&gt;=20),"S",IF(AND(AB76&lt;20,AB76&gt;=17),"I",IF(AND(AB76&lt;17),"R","NA")))</f>
        <v>R</v>
      </c>
      <c r="AD76" s="33">
        <v>28.0</v>
      </c>
      <c r="AE76" s="33" t="str">
        <f t="shared" ref="AE76:AE93" si="206">IF((AD76&gt;=18),"S",IF(AND(AD76&lt;18),"R", "NA"))</f>
        <v>S</v>
      </c>
      <c r="AF76" s="33">
        <v>20.0</v>
      </c>
      <c r="AG76" s="33" t="str">
        <f t="shared" ref="AG76:AG93" si="207">IF((AF76&gt;=22),"S",IF(AND(AF76&lt;22,AF76&gt;=19),"I",IF(AND(AF76&lt;19),"R","NA")))</f>
        <v>I</v>
      </c>
      <c r="AH76" s="33">
        <v>29.0</v>
      </c>
      <c r="AI76" s="33" t="str">
        <f t="shared" ref="AI76:AI93" si="208">IF((AH76&gt;=13),"S",IF(AND(AH76&lt;13),"R", "NA"))</f>
        <v>S</v>
      </c>
      <c r="AJ76" s="33">
        <v>26.0</v>
      </c>
      <c r="AK76" s="33" t="str">
        <f t="shared" ref="AK76:AK93" si="209">IF((AJ76&gt;=27),"S",IF(AND(AJ76&lt;27,AJ76&gt;=24),"I",IF(AND(AJ76&lt;24),"R","NA")))</f>
        <v>I</v>
      </c>
      <c r="AL76" s="33" t="s">
        <v>299</v>
      </c>
      <c r="AM76" s="36">
        <v>26.0</v>
      </c>
      <c r="AN76" s="36" t="str">
        <f t="shared" ref="AN76:AN93" si="210">IF((AM76&gt;=25),"S",IF(AND(AM76&lt;25,AM76&gt;=22),"I",IF(AND(AM76&lt;22),"R","NA")))</f>
        <v>S</v>
      </c>
      <c r="AO76" s="36">
        <v>26.0</v>
      </c>
      <c r="AP76" s="36" t="str">
        <f t="shared" ref="AP76:AP93" si="211">IF((AO76&gt;=23),"S",IF(AND(AO76&lt;23,AO76&gt;=19),"I",IF(AND(AO76&lt;19),"R","NA")))</f>
        <v>S</v>
      </c>
      <c r="AQ76" s="36">
        <v>24.0</v>
      </c>
      <c r="AR76" s="36" t="str">
        <f t="shared" ref="AR76:AR93" si="212">IF((AQ76&gt;=14),"S",IF(AND(AQ76&lt;14),"R","NA"))</f>
        <v>S</v>
      </c>
      <c r="AS76" s="36" t="s">
        <v>300</v>
      </c>
      <c r="AT76" s="37">
        <v>34.0</v>
      </c>
      <c r="AU76" s="37" t="str">
        <f t="shared" ref="AU76:AU93" si="213">IF((AT76&gt;=14),"S",IF(AND(AT76&lt;14,AT76&gt;=11),"I",IF(AND(AT76&lt;11),"R","NA")))</f>
        <v>S</v>
      </c>
      <c r="AV76" s="33">
        <v>23.0</v>
      </c>
      <c r="AW76" s="33" t="str">
        <f t="shared" ref="AW76:AW93" si="214">IF((AV76&gt;=18),"S",IF(AND(AV76&lt;18),"R", "NA"))</f>
        <v>S</v>
      </c>
      <c r="AX76" s="33">
        <v>22.0</v>
      </c>
      <c r="AY76" s="33" t="str">
        <f t="shared" ref="AY76:AY93" si="215">IF((AX76&gt;=16),"S",IF(AND(AX76&lt;16),"R", "NA"))</f>
        <v>S</v>
      </c>
      <c r="AZ76" s="33" t="s">
        <v>300</v>
      </c>
      <c r="BA76" s="26">
        <v>19.0</v>
      </c>
      <c r="BB76" s="26" t="str">
        <f t="shared" ref="BB76:BB93" si="216">IF((BA76&gt;=20),"S",IF(AND(BA76&lt;20),"R", "NA"))</f>
        <v>R</v>
      </c>
      <c r="BC76" s="37">
        <v>21.0</v>
      </c>
      <c r="BD76" s="37" t="str">
        <f t="shared" ref="BD76:BD93" si="217">IF((BC76&gt;=26),"S",IF(AND(BC76&lt;26,BC76&gt;=21),"I",IF(AND(BC76&lt;21),"R","NA")))</f>
        <v>I</v>
      </c>
      <c r="BE76" s="36">
        <v>33.0</v>
      </c>
      <c r="BF76" s="36" t="str">
        <f t="shared" ref="BF76:BF93" si="218">IF((BE76&gt;=23),"S",IF(AND(BE76&lt;23),"R","NA"))</f>
        <v>S</v>
      </c>
      <c r="BG76" s="39" t="s">
        <v>357</v>
      </c>
      <c r="BH76" s="39" t="s">
        <v>357</v>
      </c>
      <c r="BI76" s="36">
        <v>32.0</v>
      </c>
      <c r="BJ76" s="36" t="str">
        <f t="shared" ref="BJ76:BJ93" si="219">IF((BI76&gt;=22),"S",IF(AND(BI76&lt;22,BI76&gt;=19),"I",IF(AND(BI76&lt;19),"R","NA")))</f>
        <v>S</v>
      </c>
      <c r="BK76" s="40">
        <v>22.0</v>
      </c>
      <c r="BL76" s="41" t="str">
        <f t="shared" ref="BL76:BL93" si="220">IF((BK76&gt;=17),"S",IF(AND(BK76&lt;17),"R", "NA"))</f>
        <v>S</v>
      </c>
      <c r="BM76" s="41"/>
    </row>
    <row r="77">
      <c r="A77" s="18" t="s">
        <v>715</v>
      </c>
      <c r="B77" s="18" t="s">
        <v>444</v>
      </c>
      <c r="C77" s="18" t="s">
        <v>1157</v>
      </c>
      <c r="D77" s="18" t="s">
        <v>182</v>
      </c>
      <c r="E77" s="18" t="s">
        <v>103</v>
      </c>
      <c r="F77" s="18" t="s">
        <v>192</v>
      </c>
      <c r="G77" s="20" t="s">
        <v>1271</v>
      </c>
      <c r="H77" s="42" t="s">
        <v>479</v>
      </c>
      <c r="I77" s="80" t="s">
        <v>481</v>
      </c>
      <c r="J77" s="82" t="s">
        <v>205</v>
      </c>
      <c r="K77" s="82" t="s">
        <v>208</v>
      </c>
      <c r="L77" s="81" t="s">
        <v>208</v>
      </c>
      <c r="M77" s="26">
        <v>6.0</v>
      </c>
      <c r="N77" s="26" t="str">
        <f t="shared" si="199"/>
        <v>R</v>
      </c>
      <c r="O77" s="26">
        <v>24.0</v>
      </c>
      <c r="P77" s="26" t="str">
        <f t="shared" si="200"/>
        <v>S</v>
      </c>
      <c r="Q77" s="26">
        <v>6.0</v>
      </c>
      <c r="R77" s="26" t="str">
        <f t="shared" si="201"/>
        <v>R</v>
      </c>
      <c r="S77" s="32" t="s">
        <v>357</v>
      </c>
      <c r="T77" s="32" t="s">
        <v>357</v>
      </c>
      <c r="U77" s="26">
        <v>14.0</v>
      </c>
      <c r="V77" s="26" t="str">
        <f t="shared" si="202"/>
        <v>R</v>
      </c>
      <c r="W77" s="26">
        <v>28.0</v>
      </c>
      <c r="X77" s="26" t="str">
        <f t="shared" si="203"/>
        <v>S</v>
      </c>
      <c r="Y77" s="26">
        <v>29.0</v>
      </c>
      <c r="Z77" s="26" t="str">
        <f t="shared" si="204"/>
        <v>S</v>
      </c>
      <c r="AA77" s="32" t="s">
        <v>299</v>
      </c>
      <c r="AB77" s="33">
        <v>6.0</v>
      </c>
      <c r="AC77" s="33" t="str">
        <f t="shared" si="205"/>
        <v>R</v>
      </c>
      <c r="AD77" s="33">
        <v>29.0</v>
      </c>
      <c r="AE77" s="33" t="str">
        <f t="shared" si="206"/>
        <v>S</v>
      </c>
      <c r="AF77" s="33">
        <v>24.0</v>
      </c>
      <c r="AG77" s="33" t="str">
        <f t="shared" si="207"/>
        <v>S</v>
      </c>
      <c r="AH77" s="33">
        <v>29.0</v>
      </c>
      <c r="AI77" s="33" t="str">
        <f t="shared" si="208"/>
        <v>S</v>
      </c>
      <c r="AJ77" s="33">
        <v>26.0</v>
      </c>
      <c r="AK77" s="33" t="str">
        <f t="shared" si="209"/>
        <v>I</v>
      </c>
      <c r="AL77" s="33" t="s">
        <v>299</v>
      </c>
      <c r="AM77" s="36">
        <v>23.0</v>
      </c>
      <c r="AN77" s="36" t="str">
        <f t="shared" si="210"/>
        <v>I</v>
      </c>
      <c r="AO77" s="36">
        <v>23.0</v>
      </c>
      <c r="AP77" s="36" t="str">
        <f t="shared" si="211"/>
        <v>S</v>
      </c>
      <c r="AQ77" s="36">
        <v>24.0</v>
      </c>
      <c r="AR77" s="36" t="str">
        <f t="shared" si="212"/>
        <v>S</v>
      </c>
      <c r="AS77" s="36" t="s">
        <v>300</v>
      </c>
      <c r="AT77" s="37">
        <v>6.0</v>
      </c>
      <c r="AU77" s="37" t="str">
        <f t="shared" si="213"/>
        <v>R</v>
      </c>
      <c r="AV77" s="33">
        <v>23.0</v>
      </c>
      <c r="AW77" s="33" t="str">
        <f t="shared" si="214"/>
        <v>S</v>
      </c>
      <c r="AX77" s="33">
        <v>23.0</v>
      </c>
      <c r="AY77" s="33" t="str">
        <f t="shared" si="215"/>
        <v>S</v>
      </c>
      <c r="AZ77" s="33" t="s">
        <v>300</v>
      </c>
      <c r="BA77" s="26">
        <v>18.0</v>
      </c>
      <c r="BB77" s="26" t="str">
        <f t="shared" si="216"/>
        <v>R</v>
      </c>
      <c r="BC77" s="37">
        <v>23.0</v>
      </c>
      <c r="BD77" s="37" t="str">
        <f t="shared" si="217"/>
        <v>I</v>
      </c>
      <c r="BE77" s="36">
        <v>32.0</v>
      </c>
      <c r="BF77" s="36" t="str">
        <f t="shared" si="218"/>
        <v>S</v>
      </c>
      <c r="BG77" s="39" t="s">
        <v>357</v>
      </c>
      <c r="BH77" s="39" t="s">
        <v>357</v>
      </c>
      <c r="BI77" s="36">
        <v>33.0</v>
      </c>
      <c r="BJ77" s="36" t="str">
        <f t="shared" si="219"/>
        <v>S</v>
      </c>
      <c r="BK77" s="40">
        <v>23.0</v>
      </c>
      <c r="BL77" s="41" t="str">
        <f t="shared" si="220"/>
        <v>S</v>
      </c>
      <c r="BM77" s="41"/>
    </row>
    <row r="78">
      <c r="A78" s="18" t="s">
        <v>725</v>
      </c>
      <c r="B78" s="19">
        <v>73.0</v>
      </c>
      <c r="C78" s="18" t="s">
        <v>1167</v>
      </c>
      <c r="D78" s="18" t="s">
        <v>190</v>
      </c>
      <c r="E78" s="18" t="s">
        <v>190</v>
      </c>
      <c r="F78" s="18" t="s">
        <v>192</v>
      </c>
      <c r="G78" s="20" t="s">
        <v>1272</v>
      </c>
      <c r="H78" s="22" t="s">
        <v>198</v>
      </c>
      <c r="I78" s="80" t="s">
        <v>481</v>
      </c>
      <c r="J78" s="82" t="s">
        <v>205</v>
      </c>
      <c r="K78" s="82" t="s">
        <v>208</v>
      </c>
      <c r="L78" s="81" t="s">
        <v>208</v>
      </c>
      <c r="M78" s="26">
        <v>6.0</v>
      </c>
      <c r="N78" s="26" t="str">
        <f t="shared" si="199"/>
        <v>R</v>
      </c>
      <c r="O78" s="26">
        <v>26.0</v>
      </c>
      <c r="P78" s="26" t="str">
        <f t="shared" si="200"/>
        <v>S</v>
      </c>
      <c r="Q78" s="26">
        <v>6.0</v>
      </c>
      <c r="R78" s="26" t="str">
        <f t="shared" si="201"/>
        <v>R</v>
      </c>
      <c r="S78" s="32" t="s">
        <v>357</v>
      </c>
      <c r="T78" s="32" t="s">
        <v>357</v>
      </c>
      <c r="U78" s="26">
        <v>13.0</v>
      </c>
      <c r="V78" s="26" t="str">
        <f t="shared" si="202"/>
        <v>R</v>
      </c>
      <c r="W78" s="26">
        <v>28.0</v>
      </c>
      <c r="X78" s="26" t="str">
        <f t="shared" si="203"/>
        <v>S</v>
      </c>
      <c r="Y78" s="26">
        <v>25.0</v>
      </c>
      <c r="Z78" s="26" t="str">
        <f t="shared" si="204"/>
        <v>S</v>
      </c>
      <c r="AA78" s="32" t="s">
        <v>299</v>
      </c>
      <c r="AB78" s="33">
        <v>6.0</v>
      </c>
      <c r="AC78" s="33" t="str">
        <f t="shared" si="205"/>
        <v>R</v>
      </c>
      <c r="AD78" s="33">
        <v>27.0</v>
      </c>
      <c r="AE78" s="33" t="str">
        <f t="shared" si="206"/>
        <v>S</v>
      </c>
      <c r="AF78" s="33">
        <v>21.0</v>
      </c>
      <c r="AG78" s="33" t="str">
        <f t="shared" si="207"/>
        <v>I</v>
      </c>
      <c r="AH78" s="33">
        <v>27.0</v>
      </c>
      <c r="AI78" s="33" t="str">
        <f t="shared" si="208"/>
        <v>S</v>
      </c>
      <c r="AJ78" s="33">
        <v>24.0</v>
      </c>
      <c r="AK78" s="33" t="str">
        <f t="shared" si="209"/>
        <v>I</v>
      </c>
      <c r="AL78" s="33" t="s">
        <v>299</v>
      </c>
      <c r="AM78" s="36">
        <v>30.0</v>
      </c>
      <c r="AN78" s="36" t="str">
        <f t="shared" si="210"/>
        <v>S</v>
      </c>
      <c r="AO78" s="36">
        <v>26.0</v>
      </c>
      <c r="AP78" s="36" t="str">
        <f t="shared" si="211"/>
        <v>S</v>
      </c>
      <c r="AQ78" s="36">
        <v>26.0</v>
      </c>
      <c r="AR78" s="36" t="str">
        <f t="shared" si="212"/>
        <v>S</v>
      </c>
      <c r="AS78" s="36" t="s">
        <v>300</v>
      </c>
      <c r="AT78" s="37">
        <v>6.0</v>
      </c>
      <c r="AU78" s="37" t="str">
        <f t="shared" si="213"/>
        <v>R</v>
      </c>
      <c r="AV78" s="33">
        <v>21.0</v>
      </c>
      <c r="AW78" s="33" t="str">
        <f t="shared" si="214"/>
        <v>S</v>
      </c>
      <c r="AX78" s="33">
        <v>21.0</v>
      </c>
      <c r="AY78" s="33" t="str">
        <f t="shared" si="215"/>
        <v>S</v>
      </c>
      <c r="AZ78" s="33" t="s">
        <v>300</v>
      </c>
      <c r="BA78" s="26">
        <v>20.0</v>
      </c>
      <c r="BB78" s="26" t="str">
        <f t="shared" si="216"/>
        <v>S</v>
      </c>
      <c r="BC78" s="37">
        <v>18.0</v>
      </c>
      <c r="BD78" s="37" t="str">
        <f t="shared" si="217"/>
        <v>R</v>
      </c>
      <c r="BE78" s="36">
        <v>33.0</v>
      </c>
      <c r="BF78" s="36" t="str">
        <f t="shared" si="218"/>
        <v>S</v>
      </c>
      <c r="BG78" s="39" t="s">
        <v>357</v>
      </c>
      <c r="BH78" s="39" t="s">
        <v>357</v>
      </c>
      <c r="BI78" s="36">
        <v>34.0</v>
      </c>
      <c r="BJ78" s="36" t="str">
        <f t="shared" si="219"/>
        <v>S</v>
      </c>
      <c r="BK78" s="40">
        <v>21.0</v>
      </c>
      <c r="BL78" s="41" t="str">
        <f t="shared" si="220"/>
        <v>S</v>
      </c>
      <c r="BM78" s="41"/>
    </row>
    <row r="79">
      <c r="A79" s="18" t="s">
        <v>725</v>
      </c>
      <c r="B79" s="18" t="s">
        <v>444</v>
      </c>
      <c r="C79" s="18" t="s">
        <v>695</v>
      </c>
      <c r="D79" s="18" t="s">
        <v>190</v>
      </c>
      <c r="E79" s="18" t="s">
        <v>190</v>
      </c>
      <c r="F79" s="18" t="s">
        <v>192</v>
      </c>
      <c r="G79" s="20" t="s">
        <v>1273</v>
      </c>
      <c r="H79" s="22" t="s">
        <v>198</v>
      </c>
      <c r="I79" s="84" t="s">
        <v>37</v>
      </c>
      <c r="J79" s="81" t="s">
        <v>205</v>
      </c>
      <c r="K79" s="81" t="s">
        <v>205</v>
      </c>
      <c r="L79" s="81" t="s">
        <v>208</v>
      </c>
      <c r="M79" s="26">
        <v>6.0</v>
      </c>
      <c r="N79" s="26" t="str">
        <f t="shared" si="199"/>
        <v>R</v>
      </c>
      <c r="O79" s="26">
        <v>25.0</v>
      </c>
      <c r="P79" s="26" t="str">
        <f t="shared" si="200"/>
        <v>S</v>
      </c>
      <c r="Q79" s="26">
        <v>6.0</v>
      </c>
      <c r="R79" s="26" t="str">
        <f t="shared" si="201"/>
        <v>R</v>
      </c>
      <c r="S79" s="32" t="s">
        <v>357</v>
      </c>
      <c r="T79" s="32" t="s">
        <v>357</v>
      </c>
      <c r="U79" s="26">
        <v>12.0</v>
      </c>
      <c r="V79" s="26" t="str">
        <f t="shared" si="202"/>
        <v>R</v>
      </c>
      <c r="W79" s="26">
        <v>29.0</v>
      </c>
      <c r="X79" s="26" t="str">
        <f t="shared" si="203"/>
        <v>S</v>
      </c>
      <c r="Y79" s="26">
        <v>24.0</v>
      </c>
      <c r="Z79" s="26" t="str">
        <f t="shared" si="204"/>
        <v>S</v>
      </c>
      <c r="AA79" s="32" t="s">
        <v>299</v>
      </c>
      <c r="AB79" s="33">
        <v>6.0</v>
      </c>
      <c r="AC79" s="33" t="str">
        <f t="shared" si="205"/>
        <v>R</v>
      </c>
      <c r="AD79" s="33">
        <v>28.0</v>
      </c>
      <c r="AE79" s="33" t="str">
        <f t="shared" si="206"/>
        <v>S</v>
      </c>
      <c r="AF79" s="33">
        <v>20.0</v>
      </c>
      <c r="AG79" s="33" t="str">
        <f t="shared" si="207"/>
        <v>I</v>
      </c>
      <c r="AH79" s="33">
        <v>28.0</v>
      </c>
      <c r="AI79" s="33" t="str">
        <f t="shared" si="208"/>
        <v>S</v>
      </c>
      <c r="AJ79" s="33">
        <v>22.0</v>
      </c>
      <c r="AK79" s="33" t="str">
        <f t="shared" si="209"/>
        <v>R</v>
      </c>
      <c r="AL79" s="33" t="s">
        <v>299</v>
      </c>
      <c r="AM79" s="36">
        <v>30.0</v>
      </c>
      <c r="AN79" s="36" t="str">
        <f t="shared" si="210"/>
        <v>S</v>
      </c>
      <c r="AO79" s="36">
        <v>27.0</v>
      </c>
      <c r="AP79" s="36" t="str">
        <f t="shared" si="211"/>
        <v>S</v>
      </c>
      <c r="AQ79" s="36">
        <v>26.0</v>
      </c>
      <c r="AR79" s="36" t="str">
        <f t="shared" si="212"/>
        <v>S</v>
      </c>
      <c r="AS79" s="36" t="s">
        <v>300</v>
      </c>
      <c r="AT79" s="37">
        <v>34.0</v>
      </c>
      <c r="AU79" s="37" t="str">
        <f t="shared" si="213"/>
        <v>S</v>
      </c>
      <c r="AV79" s="33">
        <v>23.0</v>
      </c>
      <c r="AW79" s="33" t="str">
        <f t="shared" si="214"/>
        <v>S</v>
      </c>
      <c r="AX79" s="33">
        <v>21.0</v>
      </c>
      <c r="AY79" s="33" t="str">
        <f t="shared" si="215"/>
        <v>S</v>
      </c>
      <c r="AZ79" s="33" t="s">
        <v>300</v>
      </c>
      <c r="BA79" s="26">
        <v>19.0</v>
      </c>
      <c r="BB79" s="26" t="str">
        <f t="shared" si="216"/>
        <v>R</v>
      </c>
      <c r="BC79" s="37">
        <v>19.0</v>
      </c>
      <c r="BD79" s="37" t="str">
        <f t="shared" si="217"/>
        <v>R</v>
      </c>
      <c r="BE79" s="36">
        <v>34.0</v>
      </c>
      <c r="BF79" s="36" t="str">
        <f t="shared" si="218"/>
        <v>S</v>
      </c>
      <c r="BG79" s="39" t="s">
        <v>357</v>
      </c>
      <c r="BH79" s="39" t="s">
        <v>357</v>
      </c>
      <c r="BI79" s="36">
        <v>33.0</v>
      </c>
      <c r="BJ79" s="36" t="str">
        <f t="shared" si="219"/>
        <v>S</v>
      </c>
      <c r="BK79" s="40">
        <v>22.0</v>
      </c>
      <c r="BL79" s="41" t="str">
        <f t="shared" si="220"/>
        <v>S</v>
      </c>
      <c r="BM79" s="41"/>
    </row>
    <row r="80">
      <c r="A80" s="18" t="s">
        <v>725</v>
      </c>
      <c r="B80" s="18" t="s">
        <v>444</v>
      </c>
      <c r="C80" s="18" t="s">
        <v>1178</v>
      </c>
      <c r="D80" s="18" t="s">
        <v>190</v>
      </c>
      <c r="E80" s="18" t="s">
        <v>190</v>
      </c>
      <c r="F80" s="18" t="s">
        <v>192</v>
      </c>
      <c r="G80" s="20" t="s">
        <v>1274</v>
      </c>
      <c r="H80" s="22" t="s">
        <v>198</v>
      </c>
      <c r="I80" s="80" t="s">
        <v>1011</v>
      </c>
      <c r="J80" s="82" t="s">
        <v>208</v>
      </c>
      <c r="K80" s="82" t="s">
        <v>208</v>
      </c>
      <c r="L80" s="81" t="s">
        <v>208</v>
      </c>
      <c r="M80" s="26">
        <v>23.0</v>
      </c>
      <c r="N80" s="26" t="str">
        <f t="shared" si="199"/>
        <v>S</v>
      </c>
      <c r="O80" s="26">
        <v>24.0</v>
      </c>
      <c r="P80" s="26" t="str">
        <f t="shared" si="200"/>
        <v>S</v>
      </c>
      <c r="Q80" s="26">
        <v>29.0</v>
      </c>
      <c r="R80" s="26" t="str">
        <f t="shared" si="201"/>
        <v>S</v>
      </c>
      <c r="S80" s="32" t="s">
        <v>357</v>
      </c>
      <c r="T80" s="32" t="s">
        <v>357</v>
      </c>
      <c r="U80" s="26">
        <v>29.0</v>
      </c>
      <c r="V80" s="26" t="str">
        <f t="shared" si="202"/>
        <v>S</v>
      </c>
      <c r="W80" s="26">
        <v>28.0</v>
      </c>
      <c r="X80" s="26" t="str">
        <f t="shared" si="203"/>
        <v>S</v>
      </c>
      <c r="Y80" s="26">
        <v>26.0</v>
      </c>
      <c r="Z80" s="26" t="str">
        <f t="shared" si="204"/>
        <v>S</v>
      </c>
      <c r="AA80" s="32" t="s">
        <v>300</v>
      </c>
      <c r="AB80" s="33">
        <v>29.0</v>
      </c>
      <c r="AC80" s="33" t="str">
        <f t="shared" si="205"/>
        <v>S</v>
      </c>
      <c r="AD80" s="33">
        <v>28.0</v>
      </c>
      <c r="AE80" s="33" t="str">
        <f t="shared" si="206"/>
        <v>S</v>
      </c>
      <c r="AF80" s="33">
        <v>31.0</v>
      </c>
      <c r="AG80" s="33" t="str">
        <f t="shared" si="207"/>
        <v>S</v>
      </c>
      <c r="AH80" s="33">
        <v>29.0</v>
      </c>
      <c r="AI80" s="33" t="str">
        <f t="shared" si="208"/>
        <v>S</v>
      </c>
      <c r="AJ80" s="33">
        <v>37.0</v>
      </c>
      <c r="AK80" s="33" t="str">
        <f t="shared" si="209"/>
        <v>S</v>
      </c>
      <c r="AL80" s="33" t="s">
        <v>300</v>
      </c>
      <c r="AM80" s="36">
        <v>35.0</v>
      </c>
      <c r="AN80" s="36" t="str">
        <f t="shared" si="210"/>
        <v>S</v>
      </c>
      <c r="AO80" s="36">
        <v>36.0</v>
      </c>
      <c r="AP80" s="36" t="str">
        <f t="shared" si="211"/>
        <v>S</v>
      </c>
      <c r="AQ80" s="36">
        <v>28.0</v>
      </c>
      <c r="AR80" s="36" t="str">
        <f t="shared" si="212"/>
        <v>S</v>
      </c>
      <c r="AS80" s="36" t="s">
        <v>300</v>
      </c>
      <c r="AT80" s="37">
        <v>34.0</v>
      </c>
      <c r="AU80" s="37" t="str">
        <f t="shared" si="213"/>
        <v>S</v>
      </c>
      <c r="AV80" s="33">
        <v>21.0</v>
      </c>
      <c r="AW80" s="33" t="str">
        <f t="shared" si="214"/>
        <v>S</v>
      </c>
      <c r="AX80" s="33">
        <v>21.0</v>
      </c>
      <c r="AY80" s="33" t="str">
        <f t="shared" si="215"/>
        <v>S</v>
      </c>
      <c r="AZ80" s="33" t="s">
        <v>300</v>
      </c>
      <c r="BA80" s="26">
        <v>19.0</v>
      </c>
      <c r="BB80" s="26" t="str">
        <f t="shared" si="216"/>
        <v>R</v>
      </c>
      <c r="BC80" s="37">
        <v>34.0</v>
      </c>
      <c r="BD80" s="37" t="str">
        <f t="shared" si="217"/>
        <v>S</v>
      </c>
      <c r="BE80" s="36">
        <v>34.0</v>
      </c>
      <c r="BF80" s="36" t="str">
        <f t="shared" si="218"/>
        <v>S</v>
      </c>
      <c r="BG80" s="39" t="s">
        <v>357</v>
      </c>
      <c r="BH80" s="39" t="s">
        <v>357</v>
      </c>
      <c r="BI80" s="36">
        <v>31.0</v>
      </c>
      <c r="BJ80" s="36" t="str">
        <f t="shared" si="219"/>
        <v>S</v>
      </c>
      <c r="BK80" s="40">
        <v>21.0</v>
      </c>
      <c r="BL80" s="41" t="str">
        <f t="shared" si="220"/>
        <v>S</v>
      </c>
      <c r="BM80" s="41"/>
    </row>
    <row r="81">
      <c r="A81" s="18" t="s">
        <v>725</v>
      </c>
      <c r="B81" s="18" t="s">
        <v>444</v>
      </c>
      <c r="C81" s="18" t="s">
        <v>1275</v>
      </c>
      <c r="D81" s="18" t="s">
        <v>190</v>
      </c>
      <c r="E81" s="18" t="s">
        <v>190</v>
      </c>
      <c r="F81" s="18" t="s">
        <v>192</v>
      </c>
      <c r="G81" s="20" t="s">
        <v>1276</v>
      </c>
      <c r="H81" s="42" t="s">
        <v>479</v>
      </c>
      <c r="I81" s="80" t="s">
        <v>1011</v>
      </c>
      <c r="J81" s="82" t="s">
        <v>208</v>
      </c>
      <c r="K81" s="82" t="s">
        <v>208</v>
      </c>
      <c r="L81" s="81" t="s">
        <v>208</v>
      </c>
      <c r="M81" s="26">
        <v>14.0</v>
      </c>
      <c r="N81" s="26" t="str">
        <f t="shared" si="199"/>
        <v>R</v>
      </c>
      <c r="O81" s="26">
        <v>28.0</v>
      </c>
      <c r="P81" s="26" t="str">
        <f t="shared" si="200"/>
        <v>S</v>
      </c>
      <c r="Q81" s="26">
        <v>14.0</v>
      </c>
      <c r="R81" s="26" t="str">
        <f t="shared" si="201"/>
        <v>R</v>
      </c>
      <c r="S81" s="32" t="s">
        <v>357</v>
      </c>
      <c r="T81" s="32" t="s">
        <v>357</v>
      </c>
      <c r="U81" s="26">
        <v>25.0</v>
      </c>
      <c r="V81" s="26" t="str">
        <f t="shared" si="202"/>
        <v>S</v>
      </c>
      <c r="W81" s="26">
        <v>26.0</v>
      </c>
      <c r="X81" s="26" t="str">
        <f t="shared" si="203"/>
        <v>S</v>
      </c>
      <c r="Y81" s="26">
        <v>29.0</v>
      </c>
      <c r="Z81" s="26" t="str">
        <f t="shared" si="204"/>
        <v>S</v>
      </c>
      <c r="AA81" s="32" t="s">
        <v>299</v>
      </c>
      <c r="AB81" s="33">
        <v>31.0</v>
      </c>
      <c r="AC81" s="33" t="str">
        <f t="shared" si="205"/>
        <v>S</v>
      </c>
      <c r="AD81" s="33">
        <v>28.0</v>
      </c>
      <c r="AE81" s="33" t="str">
        <f t="shared" si="206"/>
        <v>S</v>
      </c>
      <c r="AF81" s="33">
        <v>32.0</v>
      </c>
      <c r="AG81" s="33" t="str">
        <f t="shared" si="207"/>
        <v>S</v>
      </c>
      <c r="AH81" s="33">
        <v>28.0</v>
      </c>
      <c r="AI81" s="33" t="str">
        <f t="shared" si="208"/>
        <v>S</v>
      </c>
      <c r="AJ81" s="33">
        <v>38.0</v>
      </c>
      <c r="AK81" s="33" t="str">
        <f t="shared" si="209"/>
        <v>S</v>
      </c>
      <c r="AL81" s="33" t="s">
        <v>300</v>
      </c>
      <c r="AM81" s="36">
        <v>32.0</v>
      </c>
      <c r="AN81" s="36" t="str">
        <f t="shared" si="210"/>
        <v>S</v>
      </c>
      <c r="AO81" s="36">
        <v>30.0</v>
      </c>
      <c r="AP81" s="36" t="str">
        <f t="shared" si="211"/>
        <v>S</v>
      </c>
      <c r="AQ81" s="36">
        <v>25.0</v>
      </c>
      <c r="AR81" s="36" t="str">
        <f t="shared" si="212"/>
        <v>S</v>
      </c>
      <c r="AS81" s="36" t="s">
        <v>300</v>
      </c>
      <c r="AT81" s="37">
        <v>30.0</v>
      </c>
      <c r="AU81" s="37" t="str">
        <f t="shared" si="213"/>
        <v>S</v>
      </c>
      <c r="AV81" s="33">
        <v>22.0</v>
      </c>
      <c r="AW81" s="33" t="str">
        <f t="shared" si="214"/>
        <v>S</v>
      </c>
      <c r="AX81" s="33">
        <v>22.0</v>
      </c>
      <c r="AY81" s="33" t="str">
        <f t="shared" si="215"/>
        <v>S</v>
      </c>
      <c r="AZ81" s="33" t="s">
        <v>300</v>
      </c>
      <c r="BA81" s="26">
        <v>17.0</v>
      </c>
      <c r="BB81" s="26" t="str">
        <f t="shared" si="216"/>
        <v>R</v>
      </c>
      <c r="BC81" s="37">
        <v>37.0</v>
      </c>
      <c r="BD81" s="37" t="str">
        <f t="shared" si="217"/>
        <v>S</v>
      </c>
      <c r="BE81" s="36">
        <v>33.0</v>
      </c>
      <c r="BF81" s="36" t="str">
        <f t="shared" si="218"/>
        <v>S</v>
      </c>
      <c r="BG81" s="39" t="s">
        <v>357</v>
      </c>
      <c r="BH81" s="39" t="s">
        <v>357</v>
      </c>
      <c r="BI81" s="36">
        <v>30.0</v>
      </c>
      <c r="BJ81" s="36" t="str">
        <f t="shared" si="219"/>
        <v>S</v>
      </c>
      <c r="BK81" s="40">
        <v>22.0</v>
      </c>
      <c r="BL81" s="41" t="str">
        <f t="shared" si="220"/>
        <v>S</v>
      </c>
      <c r="BM81" s="41"/>
    </row>
    <row r="82">
      <c r="A82" s="18" t="s">
        <v>725</v>
      </c>
      <c r="B82" s="19">
        <v>74.0</v>
      </c>
      <c r="C82" s="18" t="s">
        <v>1277</v>
      </c>
      <c r="D82" s="18" t="s">
        <v>571</v>
      </c>
      <c r="E82" s="18" t="s">
        <v>572</v>
      </c>
      <c r="F82" s="18" t="s">
        <v>192</v>
      </c>
      <c r="G82" s="20" t="s">
        <v>1278</v>
      </c>
      <c r="H82" s="59" t="s">
        <v>1126</v>
      </c>
      <c r="I82" s="80" t="s">
        <v>481</v>
      </c>
      <c r="J82" s="81" t="s">
        <v>205</v>
      </c>
      <c r="K82" s="82" t="s">
        <v>208</v>
      </c>
      <c r="L82" s="81" t="s">
        <v>208</v>
      </c>
      <c r="M82" s="26">
        <v>6.0</v>
      </c>
      <c r="N82" s="26" t="str">
        <f t="shared" si="199"/>
        <v>R</v>
      </c>
      <c r="O82" s="26">
        <v>9.0</v>
      </c>
      <c r="P82" s="26" t="str">
        <f t="shared" si="200"/>
        <v>R</v>
      </c>
      <c r="Q82" s="26">
        <v>15.0</v>
      </c>
      <c r="R82" s="26" t="str">
        <f t="shared" si="201"/>
        <v>R</v>
      </c>
      <c r="S82" s="32" t="s">
        <v>357</v>
      </c>
      <c r="T82" s="32" t="s">
        <v>357</v>
      </c>
      <c r="U82" s="26">
        <v>33.0</v>
      </c>
      <c r="V82" s="26" t="str">
        <f t="shared" si="202"/>
        <v>S</v>
      </c>
      <c r="W82" s="26">
        <v>30.0</v>
      </c>
      <c r="X82" s="26" t="str">
        <f t="shared" si="203"/>
        <v>S</v>
      </c>
      <c r="Y82" s="26">
        <v>30.0</v>
      </c>
      <c r="Z82" s="26" t="str">
        <f t="shared" si="204"/>
        <v>S</v>
      </c>
      <c r="AA82" s="32" t="s">
        <v>299</v>
      </c>
      <c r="AB82" s="33">
        <v>30.0</v>
      </c>
      <c r="AC82" s="33" t="str">
        <f t="shared" si="205"/>
        <v>S</v>
      </c>
      <c r="AD82" s="33">
        <v>6.0</v>
      </c>
      <c r="AE82" s="33" t="str">
        <f t="shared" si="206"/>
        <v>R</v>
      </c>
      <c r="AF82" s="33">
        <v>31.0</v>
      </c>
      <c r="AG82" s="33" t="str">
        <f t="shared" si="207"/>
        <v>S</v>
      </c>
      <c r="AH82" s="33">
        <v>28.0</v>
      </c>
      <c r="AI82" s="33" t="str">
        <f t="shared" si="208"/>
        <v>S</v>
      </c>
      <c r="AJ82" s="33">
        <v>39.0</v>
      </c>
      <c r="AK82" s="33" t="str">
        <f t="shared" si="209"/>
        <v>S</v>
      </c>
      <c r="AL82" s="33" t="s">
        <v>299</v>
      </c>
      <c r="AM82" s="36">
        <v>39.0</v>
      </c>
      <c r="AN82" s="36" t="str">
        <f t="shared" si="210"/>
        <v>S</v>
      </c>
      <c r="AO82" s="36">
        <v>30.0</v>
      </c>
      <c r="AP82" s="36" t="str">
        <f t="shared" si="211"/>
        <v>S</v>
      </c>
      <c r="AQ82" s="36">
        <v>29.0</v>
      </c>
      <c r="AR82" s="36" t="str">
        <f t="shared" si="212"/>
        <v>S</v>
      </c>
      <c r="AS82" s="36" t="s">
        <v>300</v>
      </c>
      <c r="AT82" s="37">
        <v>32.0</v>
      </c>
      <c r="AU82" s="37" t="str">
        <f t="shared" si="213"/>
        <v>S</v>
      </c>
      <c r="AV82" s="33">
        <v>24.0</v>
      </c>
      <c r="AW82" s="33" t="str">
        <f t="shared" si="214"/>
        <v>S</v>
      </c>
      <c r="AX82" s="33">
        <v>21.0</v>
      </c>
      <c r="AY82" s="33" t="str">
        <f t="shared" si="215"/>
        <v>S</v>
      </c>
      <c r="AZ82" s="33" t="s">
        <v>300</v>
      </c>
      <c r="BA82" s="26">
        <v>19.0</v>
      </c>
      <c r="BB82" s="26" t="str">
        <f t="shared" si="216"/>
        <v>R</v>
      </c>
      <c r="BC82" s="37">
        <v>33.0</v>
      </c>
      <c r="BD82" s="37" t="str">
        <f t="shared" si="217"/>
        <v>S</v>
      </c>
      <c r="BE82" s="36">
        <v>25.0</v>
      </c>
      <c r="BF82" s="36" t="str">
        <f t="shared" si="218"/>
        <v>S</v>
      </c>
      <c r="BG82" s="39" t="s">
        <v>357</v>
      </c>
      <c r="BH82" s="39" t="s">
        <v>357</v>
      </c>
      <c r="BI82" s="36">
        <v>20.0</v>
      </c>
      <c r="BJ82" s="36" t="str">
        <f t="shared" si="219"/>
        <v>I</v>
      </c>
      <c r="BK82" s="40">
        <v>23.0</v>
      </c>
      <c r="BL82" s="41" t="str">
        <f t="shared" si="220"/>
        <v>S</v>
      </c>
      <c r="BM82" s="41"/>
    </row>
    <row r="83">
      <c r="A83" s="18" t="s">
        <v>725</v>
      </c>
      <c r="B83" s="18" t="s">
        <v>444</v>
      </c>
      <c r="C83" s="18" t="s">
        <v>1279</v>
      </c>
      <c r="D83" s="18" t="s">
        <v>571</v>
      </c>
      <c r="E83" s="18" t="s">
        <v>572</v>
      </c>
      <c r="F83" s="18" t="s">
        <v>192</v>
      </c>
      <c r="G83" s="20" t="s">
        <v>1280</v>
      </c>
      <c r="H83" s="59" t="s">
        <v>1126</v>
      </c>
      <c r="I83" s="80" t="s">
        <v>41</v>
      </c>
      <c r="J83" s="81" t="s">
        <v>205</v>
      </c>
      <c r="K83" s="81" t="s">
        <v>208</v>
      </c>
      <c r="L83" s="81" t="s">
        <v>205</v>
      </c>
      <c r="M83" s="26">
        <v>6.0</v>
      </c>
      <c r="N83" s="26" t="str">
        <f t="shared" si="199"/>
        <v>R</v>
      </c>
      <c r="O83" s="26">
        <v>10.0</v>
      </c>
      <c r="P83" s="26" t="str">
        <f t="shared" si="200"/>
        <v>R</v>
      </c>
      <c r="Q83" s="26">
        <v>6.0</v>
      </c>
      <c r="R83" s="26" t="str">
        <f t="shared" si="201"/>
        <v>R</v>
      </c>
      <c r="S83" s="32" t="s">
        <v>357</v>
      </c>
      <c r="T83" s="32" t="s">
        <v>357</v>
      </c>
      <c r="U83" s="26">
        <v>17.0</v>
      </c>
      <c r="V83" s="26" t="str">
        <f t="shared" si="202"/>
        <v>R</v>
      </c>
      <c r="W83" s="26">
        <v>21.0</v>
      </c>
      <c r="X83" s="26" t="str">
        <f t="shared" si="203"/>
        <v>S</v>
      </c>
      <c r="Y83" s="26">
        <v>23.0</v>
      </c>
      <c r="Z83" s="26" t="str">
        <f t="shared" si="204"/>
        <v>S</v>
      </c>
      <c r="AA83" s="32" t="s">
        <v>299</v>
      </c>
      <c r="AB83" s="33">
        <v>10.0</v>
      </c>
      <c r="AC83" s="33" t="str">
        <f t="shared" si="205"/>
        <v>R</v>
      </c>
      <c r="AD83" s="33">
        <v>6.0</v>
      </c>
      <c r="AE83" s="33" t="str">
        <f t="shared" si="206"/>
        <v>R</v>
      </c>
      <c r="AF83" s="33">
        <v>15.0</v>
      </c>
      <c r="AG83" s="33" t="str">
        <f t="shared" si="207"/>
        <v>R</v>
      </c>
      <c r="AH83" s="33">
        <v>24.0</v>
      </c>
      <c r="AI83" s="33" t="str">
        <f t="shared" si="208"/>
        <v>S</v>
      </c>
      <c r="AJ83" s="33">
        <v>35.0</v>
      </c>
      <c r="AK83" s="33" t="str">
        <f t="shared" si="209"/>
        <v>S</v>
      </c>
      <c r="AL83" s="33" t="s">
        <v>299</v>
      </c>
      <c r="AM83" s="36">
        <v>40.0</v>
      </c>
      <c r="AN83" s="36" t="str">
        <f t="shared" si="210"/>
        <v>S</v>
      </c>
      <c r="AO83" s="36">
        <v>33.0</v>
      </c>
      <c r="AP83" s="36" t="str">
        <f t="shared" si="211"/>
        <v>S</v>
      </c>
      <c r="AQ83" s="36">
        <v>29.0</v>
      </c>
      <c r="AR83" s="36" t="str">
        <f t="shared" si="212"/>
        <v>S</v>
      </c>
      <c r="AS83" s="36" t="s">
        <v>300</v>
      </c>
      <c r="AT83" s="37">
        <v>33.0</v>
      </c>
      <c r="AU83" s="37" t="str">
        <f t="shared" si="213"/>
        <v>S</v>
      </c>
      <c r="AV83" s="33">
        <v>25.0</v>
      </c>
      <c r="AW83" s="33" t="str">
        <f t="shared" si="214"/>
        <v>S</v>
      </c>
      <c r="AX83" s="33">
        <v>21.0</v>
      </c>
      <c r="AY83" s="33" t="str">
        <f t="shared" si="215"/>
        <v>S</v>
      </c>
      <c r="AZ83" s="33" t="s">
        <v>300</v>
      </c>
      <c r="BA83" s="26">
        <v>17.0</v>
      </c>
      <c r="BB83" s="26" t="str">
        <f t="shared" si="216"/>
        <v>R</v>
      </c>
      <c r="BC83" s="37">
        <v>14.0</v>
      </c>
      <c r="BD83" s="37" t="str">
        <f t="shared" si="217"/>
        <v>R</v>
      </c>
      <c r="BE83" s="36">
        <v>17.0</v>
      </c>
      <c r="BF83" s="36" t="str">
        <f t="shared" si="218"/>
        <v>R</v>
      </c>
      <c r="BG83" s="36">
        <v>1.5</v>
      </c>
      <c r="BH83" s="36" t="str">
        <f>IF((BG83&lt;=0.5),"S",IF(AND(BG83&gt;0.5),"R", "NA"))</f>
        <v>R</v>
      </c>
      <c r="BI83" s="36">
        <v>21.0</v>
      </c>
      <c r="BJ83" s="36" t="str">
        <f t="shared" si="219"/>
        <v>I</v>
      </c>
      <c r="BK83" s="40">
        <v>26.0</v>
      </c>
      <c r="BL83" s="41" t="str">
        <f t="shared" si="220"/>
        <v>S</v>
      </c>
      <c r="BM83" s="41"/>
    </row>
    <row r="84">
      <c r="A84" s="18" t="s">
        <v>725</v>
      </c>
      <c r="B84" s="18" t="s">
        <v>444</v>
      </c>
      <c r="C84" s="18" t="s">
        <v>1281</v>
      </c>
      <c r="D84" s="18" t="s">
        <v>571</v>
      </c>
      <c r="E84" s="18" t="s">
        <v>572</v>
      </c>
      <c r="F84" s="18" t="s">
        <v>192</v>
      </c>
      <c r="G84" s="20" t="s">
        <v>1282</v>
      </c>
      <c r="H84" s="59" t="s">
        <v>1092</v>
      </c>
      <c r="I84" s="80" t="s">
        <v>481</v>
      </c>
      <c r="J84" s="81" t="s">
        <v>205</v>
      </c>
      <c r="K84" s="82" t="s">
        <v>208</v>
      </c>
      <c r="L84" s="81" t="s">
        <v>208</v>
      </c>
      <c r="M84" s="26">
        <v>6.0</v>
      </c>
      <c r="N84" s="26" t="str">
        <f t="shared" si="199"/>
        <v>R</v>
      </c>
      <c r="O84" s="26">
        <v>6.0</v>
      </c>
      <c r="P84" s="26" t="str">
        <f t="shared" si="200"/>
        <v>R</v>
      </c>
      <c r="Q84" s="26">
        <v>17.0</v>
      </c>
      <c r="R84" s="26" t="str">
        <f t="shared" si="201"/>
        <v>R</v>
      </c>
      <c r="S84" s="32" t="s">
        <v>357</v>
      </c>
      <c r="T84" s="32" t="s">
        <v>357</v>
      </c>
      <c r="U84" s="26">
        <v>31.0</v>
      </c>
      <c r="V84" s="26" t="str">
        <f t="shared" si="202"/>
        <v>S</v>
      </c>
      <c r="W84" s="26">
        <v>30.0</v>
      </c>
      <c r="X84" s="26" t="str">
        <f t="shared" si="203"/>
        <v>S</v>
      </c>
      <c r="Y84" s="26">
        <v>28.0</v>
      </c>
      <c r="Z84" s="26" t="str">
        <f t="shared" si="204"/>
        <v>S</v>
      </c>
      <c r="AA84" s="32" t="s">
        <v>299</v>
      </c>
      <c r="AB84" s="33">
        <v>30.0</v>
      </c>
      <c r="AC84" s="33" t="str">
        <f t="shared" si="205"/>
        <v>S</v>
      </c>
      <c r="AD84" s="33">
        <v>6.0</v>
      </c>
      <c r="AE84" s="33" t="str">
        <f t="shared" si="206"/>
        <v>R</v>
      </c>
      <c r="AF84" s="33">
        <v>30.0</v>
      </c>
      <c r="AG84" s="33" t="str">
        <f t="shared" si="207"/>
        <v>S</v>
      </c>
      <c r="AH84" s="33">
        <v>29.0</v>
      </c>
      <c r="AI84" s="33" t="str">
        <f t="shared" si="208"/>
        <v>S</v>
      </c>
      <c r="AJ84" s="33">
        <v>38.0</v>
      </c>
      <c r="AK84" s="33" t="str">
        <f t="shared" si="209"/>
        <v>S</v>
      </c>
      <c r="AL84" s="33" t="s">
        <v>299</v>
      </c>
      <c r="AM84" s="36">
        <v>35.0</v>
      </c>
      <c r="AN84" s="36" t="str">
        <f t="shared" si="210"/>
        <v>S</v>
      </c>
      <c r="AO84" s="36">
        <v>33.0</v>
      </c>
      <c r="AP84" s="36" t="str">
        <f t="shared" si="211"/>
        <v>S</v>
      </c>
      <c r="AQ84" s="36">
        <v>29.0</v>
      </c>
      <c r="AR84" s="36" t="str">
        <f t="shared" si="212"/>
        <v>S</v>
      </c>
      <c r="AS84" s="36" t="s">
        <v>300</v>
      </c>
      <c r="AT84" s="37">
        <v>33.0</v>
      </c>
      <c r="AU84" s="37" t="str">
        <f t="shared" si="213"/>
        <v>S</v>
      </c>
      <c r="AV84" s="33">
        <v>23.0</v>
      </c>
      <c r="AW84" s="33" t="str">
        <f t="shared" si="214"/>
        <v>S</v>
      </c>
      <c r="AX84" s="33">
        <v>22.0</v>
      </c>
      <c r="AY84" s="33" t="str">
        <f t="shared" si="215"/>
        <v>S</v>
      </c>
      <c r="AZ84" s="33" t="s">
        <v>300</v>
      </c>
      <c r="BA84" s="26">
        <v>18.0</v>
      </c>
      <c r="BB84" s="26" t="str">
        <f t="shared" si="216"/>
        <v>R</v>
      </c>
      <c r="BC84" s="37">
        <v>30.0</v>
      </c>
      <c r="BD84" s="37" t="str">
        <f t="shared" si="217"/>
        <v>S</v>
      </c>
      <c r="BE84" s="36">
        <v>25.0</v>
      </c>
      <c r="BF84" s="36" t="str">
        <f t="shared" si="218"/>
        <v>S</v>
      </c>
      <c r="BG84" s="39" t="s">
        <v>357</v>
      </c>
      <c r="BH84" s="39" t="s">
        <v>357</v>
      </c>
      <c r="BI84" s="36">
        <v>20.0</v>
      </c>
      <c r="BJ84" s="36" t="str">
        <f t="shared" si="219"/>
        <v>I</v>
      </c>
      <c r="BK84" s="40">
        <v>23.0</v>
      </c>
      <c r="BL84" s="41" t="str">
        <f t="shared" si="220"/>
        <v>S</v>
      </c>
      <c r="BM84" s="41"/>
    </row>
    <row r="85">
      <c r="A85" s="18" t="s">
        <v>725</v>
      </c>
      <c r="B85" s="19">
        <v>75.0</v>
      </c>
      <c r="C85" s="18" t="s">
        <v>1283</v>
      </c>
      <c r="D85" s="18" t="s">
        <v>705</v>
      </c>
      <c r="E85" s="18" t="s">
        <v>572</v>
      </c>
      <c r="F85" s="18" t="s">
        <v>192</v>
      </c>
      <c r="G85" s="20" t="s">
        <v>1284</v>
      </c>
      <c r="H85" s="22" t="s">
        <v>198</v>
      </c>
      <c r="I85" s="84" t="s">
        <v>37</v>
      </c>
      <c r="J85" s="81" t="s">
        <v>205</v>
      </c>
      <c r="K85" s="81" t="s">
        <v>205</v>
      </c>
      <c r="L85" s="81" t="s">
        <v>208</v>
      </c>
      <c r="M85" s="26">
        <v>6.0</v>
      </c>
      <c r="N85" s="26" t="str">
        <f t="shared" si="199"/>
        <v>R</v>
      </c>
      <c r="O85" s="26">
        <v>22.0</v>
      </c>
      <c r="P85" s="26" t="str">
        <f t="shared" si="200"/>
        <v>S</v>
      </c>
      <c r="Q85" s="26">
        <v>6.0</v>
      </c>
      <c r="R85" s="26" t="str">
        <f t="shared" si="201"/>
        <v>R</v>
      </c>
      <c r="S85" s="32" t="s">
        <v>357</v>
      </c>
      <c r="T85" s="32" t="s">
        <v>357</v>
      </c>
      <c r="U85" s="26">
        <v>12.0</v>
      </c>
      <c r="V85" s="26" t="str">
        <f t="shared" si="202"/>
        <v>R</v>
      </c>
      <c r="W85" s="26">
        <v>26.0</v>
      </c>
      <c r="X85" s="26" t="str">
        <f t="shared" si="203"/>
        <v>S</v>
      </c>
      <c r="Y85" s="26">
        <v>23.0</v>
      </c>
      <c r="Z85" s="26" t="str">
        <f t="shared" si="204"/>
        <v>S</v>
      </c>
      <c r="AA85" s="32" t="s">
        <v>299</v>
      </c>
      <c r="AB85" s="33">
        <v>6.0</v>
      </c>
      <c r="AC85" s="33" t="str">
        <f t="shared" si="205"/>
        <v>R</v>
      </c>
      <c r="AD85" s="33">
        <v>27.0</v>
      </c>
      <c r="AE85" s="33" t="str">
        <f t="shared" si="206"/>
        <v>S</v>
      </c>
      <c r="AF85" s="33">
        <v>18.0</v>
      </c>
      <c r="AG85" s="33" t="str">
        <f t="shared" si="207"/>
        <v>R</v>
      </c>
      <c r="AH85" s="33">
        <v>27.0</v>
      </c>
      <c r="AI85" s="33" t="str">
        <f t="shared" si="208"/>
        <v>S</v>
      </c>
      <c r="AJ85" s="33">
        <v>23.0</v>
      </c>
      <c r="AK85" s="33" t="str">
        <f t="shared" si="209"/>
        <v>R</v>
      </c>
      <c r="AL85" s="33" t="s">
        <v>299</v>
      </c>
      <c r="AM85" s="36">
        <v>24.0</v>
      </c>
      <c r="AN85" s="36" t="str">
        <f t="shared" si="210"/>
        <v>I</v>
      </c>
      <c r="AO85" s="36">
        <v>23.0</v>
      </c>
      <c r="AP85" s="36" t="str">
        <f t="shared" si="211"/>
        <v>S</v>
      </c>
      <c r="AQ85" s="36">
        <v>21.0</v>
      </c>
      <c r="AR85" s="36" t="str">
        <f t="shared" si="212"/>
        <v>S</v>
      </c>
      <c r="AS85" s="36" t="s">
        <v>300</v>
      </c>
      <c r="AT85" s="37">
        <v>28.0</v>
      </c>
      <c r="AU85" s="37" t="str">
        <f t="shared" si="213"/>
        <v>S</v>
      </c>
      <c r="AV85" s="33">
        <v>20.0</v>
      </c>
      <c r="AW85" s="33" t="str">
        <f t="shared" si="214"/>
        <v>S</v>
      </c>
      <c r="AX85" s="33">
        <v>20.0</v>
      </c>
      <c r="AY85" s="33" t="str">
        <f t="shared" si="215"/>
        <v>S</v>
      </c>
      <c r="AZ85" s="33" t="s">
        <v>300</v>
      </c>
      <c r="BA85" s="26">
        <v>18.0</v>
      </c>
      <c r="BB85" s="26" t="str">
        <f t="shared" si="216"/>
        <v>R</v>
      </c>
      <c r="BC85" s="37">
        <v>18.0</v>
      </c>
      <c r="BD85" s="37" t="str">
        <f t="shared" si="217"/>
        <v>R</v>
      </c>
      <c r="BE85" s="36">
        <v>29.0</v>
      </c>
      <c r="BF85" s="36" t="str">
        <f t="shared" si="218"/>
        <v>S</v>
      </c>
      <c r="BG85" s="39" t="s">
        <v>357</v>
      </c>
      <c r="BH85" s="39" t="s">
        <v>357</v>
      </c>
      <c r="BI85" s="36">
        <v>29.0</v>
      </c>
      <c r="BJ85" s="36" t="str">
        <f t="shared" si="219"/>
        <v>S</v>
      </c>
      <c r="BK85" s="40">
        <v>20.0</v>
      </c>
      <c r="BL85" s="41" t="str">
        <f t="shared" si="220"/>
        <v>S</v>
      </c>
      <c r="BM85" s="41"/>
    </row>
    <row r="86">
      <c r="A86" s="18" t="s">
        <v>725</v>
      </c>
      <c r="B86" s="18" t="s">
        <v>444</v>
      </c>
      <c r="C86" s="18" t="s">
        <v>1285</v>
      </c>
      <c r="D86" s="18" t="s">
        <v>705</v>
      </c>
      <c r="E86" s="18" t="s">
        <v>572</v>
      </c>
      <c r="F86" s="18" t="s">
        <v>192</v>
      </c>
      <c r="G86" s="20" t="s">
        <v>1286</v>
      </c>
      <c r="H86" s="22" t="s">
        <v>198</v>
      </c>
      <c r="I86" s="80" t="s">
        <v>481</v>
      </c>
      <c r="J86" s="81" t="s">
        <v>205</v>
      </c>
      <c r="K86" s="82" t="s">
        <v>208</v>
      </c>
      <c r="L86" s="81" t="s">
        <v>208</v>
      </c>
      <c r="M86" s="26">
        <v>6.0</v>
      </c>
      <c r="N86" s="26" t="str">
        <f t="shared" si="199"/>
        <v>R</v>
      </c>
      <c r="O86" s="26">
        <v>25.0</v>
      </c>
      <c r="P86" s="26" t="str">
        <f t="shared" si="200"/>
        <v>S</v>
      </c>
      <c r="Q86" s="26">
        <v>6.0</v>
      </c>
      <c r="R86" s="26" t="str">
        <f t="shared" si="201"/>
        <v>R</v>
      </c>
      <c r="S86" s="32" t="s">
        <v>357</v>
      </c>
      <c r="T86" s="32" t="s">
        <v>357</v>
      </c>
      <c r="U86" s="26">
        <v>13.0</v>
      </c>
      <c r="V86" s="26" t="str">
        <f t="shared" si="202"/>
        <v>R</v>
      </c>
      <c r="W86" s="26">
        <v>28.0</v>
      </c>
      <c r="X86" s="26" t="str">
        <f t="shared" si="203"/>
        <v>S</v>
      </c>
      <c r="Y86" s="26">
        <v>25.0</v>
      </c>
      <c r="Z86" s="26" t="str">
        <f t="shared" si="204"/>
        <v>S</v>
      </c>
      <c r="AA86" s="32" t="s">
        <v>299</v>
      </c>
      <c r="AB86" s="33">
        <v>9.0</v>
      </c>
      <c r="AC86" s="33" t="str">
        <f t="shared" si="205"/>
        <v>R</v>
      </c>
      <c r="AD86" s="33">
        <v>28.0</v>
      </c>
      <c r="AE86" s="33" t="str">
        <f t="shared" si="206"/>
        <v>S</v>
      </c>
      <c r="AF86" s="33">
        <v>20.0</v>
      </c>
      <c r="AG86" s="33" t="str">
        <f t="shared" si="207"/>
        <v>I</v>
      </c>
      <c r="AH86" s="33">
        <v>26.0</v>
      </c>
      <c r="AI86" s="33" t="str">
        <f t="shared" si="208"/>
        <v>S</v>
      </c>
      <c r="AJ86" s="33">
        <v>25.0</v>
      </c>
      <c r="AK86" s="33" t="str">
        <f t="shared" si="209"/>
        <v>I</v>
      </c>
      <c r="AL86" s="33" t="s">
        <v>299</v>
      </c>
      <c r="AM86" s="36">
        <v>25.0</v>
      </c>
      <c r="AN86" s="36" t="str">
        <f t="shared" si="210"/>
        <v>S</v>
      </c>
      <c r="AO86" s="36">
        <v>23.0</v>
      </c>
      <c r="AP86" s="36" t="str">
        <f t="shared" si="211"/>
        <v>S</v>
      </c>
      <c r="AQ86" s="36">
        <v>20.0</v>
      </c>
      <c r="AR86" s="36" t="str">
        <f t="shared" si="212"/>
        <v>S</v>
      </c>
      <c r="AS86" s="36" t="s">
        <v>300</v>
      </c>
      <c r="AT86" s="37">
        <v>29.0</v>
      </c>
      <c r="AU86" s="37" t="str">
        <f t="shared" si="213"/>
        <v>S</v>
      </c>
      <c r="AV86" s="33">
        <v>21.0</v>
      </c>
      <c r="AW86" s="33" t="str">
        <f t="shared" si="214"/>
        <v>S</v>
      </c>
      <c r="AX86" s="33">
        <v>21.0</v>
      </c>
      <c r="AY86" s="33" t="str">
        <f t="shared" si="215"/>
        <v>S</v>
      </c>
      <c r="AZ86" s="33" t="s">
        <v>300</v>
      </c>
      <c r="BA86" s="26">
        <v>18.0</v>
      </c>
      <c r="BB86" s="26" t="str">
        <f t="shared" si="216"/>
        <v>R</v>
      </c>
      <c r="BC86" s="37">
        <v>20.0</v>
      </c>
      <c r="BD86" s="37" t="str">
        <f t="shared" si="217"/>
        <v>R</v>
      </c>
      <c r="BE86" s="36">
        <v>31.0</v>
      </c>
      <c r="BF86" s="36" t="str">
        <f t="shared" si="218"/>
        <v>S</v>
      </c>
      <c r="BG86" s="39" t="s">
        <v>357</v>
      </c>
      <c r="BH86" s="39" t="s">
        <v>357</v>
      </c>
      <c r="BI86" s="36">
        <v>32.0</v>
      </c>
      <c r="BJ86" s="36" t="str">
        <f t="shared" si="219"/>
        <v>S</v>
      </c>
      <c r="BK86" s="40">
        <v>21.0</v>
      </c>
      <c r="BL86" s="41" t="str">
        <f t="shared" si="220"/>
        <v>S</v>
      </c>
      <c r="BM86" s="41"/>
    </row>
    <row r="87">
      <c r="A87" s="18" t="s">
        <v>731</v>
      </c>
      <c r="B87" s="19">
        <v>76.0</v>
      </c>
      <c r="C87" s="18" t="s">
        <v>1287</v>
      </c>
      <c r="D87" s="18" t="s">
        <v>571</v>
      </c>
      <c r="E87" s="18" t="s">
        <v>572</v>
      </c>
      <c r="F87" s="18" t="s">
        <v>192</v>
      </c>
      <c r="G87" s="20" t="s">
        <v>1288</v>
      </c>
      <c r="H87" s="59" t="s">
        <v>1126</v>
      </c>
      <c r="I87" s="80" t="s">
        <v>481</v>
      </c>
      <c r="J87" s="81" t="s">
        <v>205</v>
      </c>
      <c r="K87" s="82" t="s">
        <v>208</v>
      </c>
      <c r="L87" s="82" t="s">
        <v>208</v>
      </c>
      <c r="M87" s="26">
        <v>10.0</v>
      </c>
      <c r="N87" s="26" t="str">
        <f t="shared" si="199"/>
        <v>R</v>
      </c>
      <c r="O87" s="26">
        <v>10.0</v>
      </c>
      <c r="P87" s="26" t="str">
        <f t="shared" si="200"/>
        <v>R</v>
      </c>
      <c r="Q87" s="26">
        <v>27.0</v>
      </c>
      <c r="R87" s="26" t="str">
        <f t="shared" si="201"/>
        <v>S</v>
      </c>
      <c r="S87" s="32" t="s">
        <v>357</v>
      </c>
      <c r="T87" s="32" t="s">
        <v>357</v>
      </c>
      <c r="U87" s="26">
        <v>29.0</v>
      </c>
      <c r="V87" s="26" t="str">
        <f t="shared" si="202"/>
        <v>S</v>
      </c>
      <c r="W87" s="26">
        <v>25.0</v>
      </c>
      <c r="X87" s="26" t="str">
        <f t="shared" si="203"/>
        <v>S</v>
      </c>
      <c r="Y87" s="26">
        <v>26.0</v>
      </c>
      <c r="Z87" s="26" t="str">
        <f t="shared" si="204"/>
        <v>S</v>
      </c>
      <c r="AA87" s="32" t="s">
        <v>299</v>
      </c>
      <c r="AB87" s="33">
        <v>27.0</v>
      </c>
      <c r="AC87" s="33" t="str">
        <f t="shared" si="205"/>
        <v>S</v>
      </c>
      <c r="AD87" s="33">
        <v>10.0</v>
      </c>
      <c r="AE87" s="33" t="str">
        <f t="shared" si="206"/>
        <v>R</v>
      </c>
      <c r="AF87" s="33">
        <v>29.0</v>
      </c>
      <c r="AG87" s="33" t="str">
        <f t="shared" si="207"/>
        <v>S</v>
      </c>
      <c r="AH87" s="33">
        <v>25.0</v>
      </c>
      <c r="AI87" s="33" t="str">
        <f t="shared" si="208"/>
        <v>S</v>
      </c>
      <c r="AJ87" s="33">
        <v>35.0</v>
      </c>
      <c r="AK87" s="33" t="str">
        <f t="shared" si="209"/>
        <v>S</v>
      </c>
      <c r="AL87" s="33" t="s">
        <v>299</v>
      </c>
      <c r="AM87" s="36">
        <v>29.0</v>
      </c>
      <c r="AN87" s="36" t="str">
        <f t="shared" si="210"/>
        <v>S</v>
      </c>
      <c r="AO87" s="36">
        <v>26.0</v>
      </c>
      <c r="AP87" s="36" t="str">
        <f t="shared" si="211"/>
        <v>S</v>
      </c>
      <c r="AQ87" s="36">
        <v>21.0</v>
      </c>
      <c r="AR87" s="36" t="str">
        <f t="shared" si="212"/>
        <v>S</v>
      </c>
      <c r="AS87" s="36" t="s">
        <v>300</v>
      </c>
      <c r="AT87" s="37">
        <v>31.0</v>
      </c>
      <c r="AU87" s="37" t="str">
        <f t="shared" si="213"/>
        <v>S</v>
      </c>
      <c r="AV87" s="33">
        <v>22.0</v>
      </c>
      <c r="AW87" s="33" t="str">
        <f t="shared" si="214"/>
        <v>S</v>
      </c>
      <c r="AX87" s="33">
        <v>20.0</v>
      </c>
      <c r="AY87" s="33" t="str">
        <f t="shared" si="215"/>
        <v>S</v>
      </c>
      <c r="AZ87" s="33" t="s">
        <v>300</v>
      </c>
      <c r="BA87" s="26">
        <v>15.0</v>
      </c>
      <c r="BB87" s="26" t="str">
        <f t="shared" si="216"/>
        <v>R</v>
      </c>
      <c r="BC87" s="37">
        <v>35.0</v>
      </c>
      <c r="BD87" s="37" t="str">
        <f t="shared" si="217"/>
        <v>S</v>
      </c>
      <c r="BE87" s="36">
        <v>32.0</v>
      </c>
      <c r="BF87" s="36" t="str">
        <f t="shared" si="218"/>
        <v>S</v>
      </c>
      <c r="BG87" s="39" t="s">
        <v>357</v>
      </c>
      <c r="BH87" s="39" t="s">
        <v>357</v>
      </c>
      <c r="BI87" s="36">
        <v>30.0</v>
      </c>
      <c r="BJ87" s="36" t="str">
        <f t="shared" si="219"/>
        <v>S</v>
      </c>
      <c r="BK87" s="40">
        <v>21.0</v>
      </c>
      <c r="BL87" s="41" t="str">
        <f t="shared" si="220"/>
        <v>S</v>
      </c>
      <c r="BM87" s="41"/>
    </row>
    <row r="88">
      <c r="A88" s="18" t="s">
        <v>731</v>
      </c>
      <c r="B88" s="19">
        <v>77.0</v>
      </c>
      <c r="C88" s="18" t="s">
        <v>1289</v>
      </c>
      <c r="D88" s="18" t="s">
        <v>705</v>
      </c>
      <c r="E88" s="18" t="s">
        <v>572</v>
      </c>
      <c r="F88" s="18" t="s">
        <v>192</v>
      </c>
      <c r="G88" s="20" t="s">
        <v>1290</v>
      </c>
      <c r="H88" s="59" t="s">
        <v>1291</v>
      </c>
      <c r="I88" s="80" t="s">
        <v>481</v>
      </c>
      <c r="J88" s="81" t="s">
        <v>205</v>
      </c>
      <c r="K88" s="82" t="s">
        <v>208</v>
      </c>
      <c r="L88" s="82" t="s">
        <v>208</v>
      </c>
      <c r="M88" s="26">
        <v>6.0</v>
      </c>
      <c r="N88" s="26" t="str">
        <f t="shared" si="199"/>
        <v>R</v>
      </c>
      <c r="O88" s="26">
        <v>6.0</v>
      </c>
      <c r="P88" s="26" t="str">
        <f t="shared" si="200"/>
        <v>R</v>
      </c>
      <c r="Q88" s="26">
        <v>23.0</v>
      </c>
      <c r="R88" s="26" t="str">
        <f t="shared" si="201"/>
        <v>S</v>
      </c>
      <c r="S88" s="32" t="s">
        <v>357</v>
      </c>
      <c r="T88" s="32" t="s">
        <v>357</v>
      </c>
      <c r="U88" s="26">
        <v>28.0</v>
      </c>
      <c r="V88" s="26" t="str">
        <f t="shared" si="202"/>
        <v>S</v>
      </c>
      <c r="W88" s="26">
        <v>22.0</v>
      </c>
      <c r="X88" s="26" t="str">
        <f t="shared" si="203"/>
        <v>S</v>
      </c>
      <c r="Y88" s="26">
        <v>20.0</v>
      </c>
      <c r="Z88" s="26" t="str">
        <f t="shared" si="204"/>
        <v>S</v>
      </c>
      <c r="AA88" s="32" t="s">
        <v>299</v>
      </c>
      <c r="AB88" s="33">
        <v>24.0</v>
      </c>
      <c r="AC88" s="33" t="str">
        <f t="shared" si="205"/>
        <v>S</v>
      </c>
      <c r="AD88" s="33">
        <v>6.0</v>
      </c>
      <c r="AE88" s="33" t="str">
        <f t="shared" si="206"/>
        <v>R</v>
      </c>
      <c r="AF88" s="33">
        <v>26.0</v>
      </c>
      <c r="AG88" s="33" t="str">
        <f t="shared" si="207"/>
        <v>S</v>
      </c>
      <c r="AH88" s="33">
        <v>24.0</v>
      </c>
      <c r="AI88" s="33" t="str">
        <f t="shared" si="208"/>
        <v>S</v>
      </c>
      <c r="AJ88" s="33">
        <v>33.0</v>
      </c>
      <c r="AK88" s="33" t="str">
        <f t="shared" si="209"/>
        <v>S</v>
      </c>
      <c r="AL88" s="33" t="s">
        <v>299</v>
      </c>
      <c r="AM88" s="36">
        <v>31.0</v>
      </c>
      <c r="AN88" s="36" t="str">
        <f t="shared" si="210"/>
        <v>S</v>
      </c>
      <c r="AO88" s="36">
        <v>29.0</v>
      </c>
      <c r="AP88" s="36" t="str">
        <f t="shared" si="211"/>
        <v>S</v>
      </c>
      <c r="AQ88" s="36">
        <v>22.0</v>
      </c>
      <c r="AR88" s="36" t="str">
        <f t="shared" si="212"/>
        <v>S</v>
      </c>
      <c r="AS88" s="36" t="s">
        <v>300</v>
      </c>
      <c r="AT88" s="37">
        <v>28.0</v>
      </c>
      <c r="AU88" s="37" t="str">
        <f t="shared" si="213"/>
        <v>S</v>
      </c>
      <c r="AV88" s="33">
        <v>20.0</v>
      </c>
      <c r="AW88" s="33" t="str">
        <f t="shared" si="214"/>
        <v>S</v>
      </c>
      <c r="AX88" s="33">
        <v>20.0</v>
      </c>
      <c r="AY88" s="33" t="str">
        <f t="shared" si="215"/>
        <v>S</v>
      </c>
      <c r="AZ88" s="33" t="s">
        <v>300</v>
      </c>
      <c r="BA88" s="26">
        <v>16.0</v>
      </c>
      <c r="BB88" s="26" t="str">
        <f t="shared" si="216"/>
        <v>R</v>
      </c>
      <c r="BC88" s="37">
        <v>30.0</v>
      </c>
      <c r="BD88" s="37" t="str">
        <f t="shared" si="217"/>
        <v>S</v>
      </c>
      <c r="BE88" s="36">
        <v>26.0</v>
      </c>
      <c r="BF88" s="36" t="str">
        <f t="shared" si="218"/>
        <v>S</v>
      </c>
      <c r="BG88" s="39" t="s">
        <v>357</v>
      </c>
      <c r="BH88" s="39" t="s">
        <v>357</v>
      </c>
      <c r="BI88" s="36">
        <v>24.0</v>
      </c>
      <c r="BJ88" s="36" t="str">
        <f t="shared" si="219"/>
        <v>S</v>
      </c>
      <c r="BK88" s="40">
        <v>20.0</v>
      </c>
      <c r="BL88" s="41" t="str">
        <f t="shared" si="220"/>
        <v>S</v>
      </c>
      <c r="BM88" s="41"/>
    </row>
    <row r="89">
      <c r="A89" s="18" t="s">
        <v>731</v>
      </c>
      <c r="B89" s="18" t="s">
        <v>444</v>
      </c>
      <c r="C89" s="18" t="s">
        <v>1292</v>
      </c>
      <c r="D89" s="18" t="s">
        <v>705</v>
      </c>
      <c r="E89" s="18" t="s">
        <v>572</v>
      </c>
      <c r="F89" s="18" t="s">
        <v>192</v>
      </c>
      <c r="G89" s="20" t="s">
        <v>1293</v>
      </c>
      <c r="H89" s="59" t="s">
        <v>785</v>
      </c>
      <c r="I89" s="80" t="s">
        <v>481</v>
      </c>
      <c r="J89" s="81" t="s">
        <v>205</v>
      </c>
      <c r="K89" s="82" t="s">
        <v>208</v>
      </c>
      <c r="L89" s="82" t="s">
        <v>208</v>
      </c>
      <c r="M89" s="26">
        <v>6.0</v>
      </c>
      <c r="N89" s="26" t="str">
        <f t="shared" si="199"/>
        <v>R</v>
      </c>
      <c r="O89" s="26">
        <v>10.0</v>
      </c>
      <c r="P89" s="26" t="str">
        <f t="shared" si="200"/>
        <v>R</v>
      </c>
      <c r="Q89" s="26">
        <v>27.0</v>
      </c>
      <c r="R89" s="26" t="str">
        <f t="shared" si="201"/>
        <v>S</v>
      </c>
      <c r="S89" s="32" t="s">
        <v>357</v>
      </c>
      <c r="T89" s="32" t="s">
        <v>357</v>
      </c>
      <c r="U89" s="26">
        <v>30.0</v>
      </c>
      <c r="V89" s="26" t="str">
        <f t="shared" si="202"/>
        <v>S</v>
      </c>
      <c r="W89" s="26">
        <v>28.0</v>
      </c>
      <c r="X89" s="26" t="str">
        <f t="shared" si="203"/>
        <v>S</v>
      </c>
      <c r="Y89" s="26">
        <v>28.0</v>
      </c>
      <c r="Z89" s="26" t="str">
        <f t="shared" si="204"/>
        <v>S</v>
      </c>
      <c r="AA89" s="32" t="s">
        <v>299</v>
      </c>
      <c r="AB89" s="33">
        <v>26.0</v>
      </c>
      <c r="AC89" s="33" t="str">
        <f t="shared" si="205"/>
        <v>S</v>
      </c>
      <c r="AD89" s="33">
        <v>6.0</v>
      </c>
      <c r="AE89" s="33" t="str">
        <f t="shared" si="206"/>
        <v>R</v>
      </c>
      <c r="AF89" s="33">
        <v>30.0</v>
      </c>
      <c r="AG89" s="33" t="str">
        <f t="shared" si="207"/>
        <v>S</v>
      </c>
      <c r="AH89" s="33">
        <v>27.0</v>
      </c>
      <c r="AI89" s="33" t="str">
        <f t="shared" si="208"/>
        <v>S</v>
      </c>
      <c r="AJ89" s="33">
        <v>36.0</v>
      </c>
      <c r="AK89" s="33" t="str">
        <f t="shared" si="209"/>
        <v>S</v>
      </c>
      <c r="AL89" s="33" t="s">
        <v>299</v>
      </c>
      <c r="AM89" s="36">
        <v>33.0</v>
      </c>
      <c r="AN89" s="36" t="str">
        <f t="shared" si="210"/>
        <v>S</v>
      </c>
      <c r="AO89" s="36">
        <v>32.0</v>
      </c>
      <c r="AP89" s="36" t="str">
        <f t="shared" si="211"/>
        <v>S</v>
      </c>
      <c r="AQ89" s="36">
        <v>26.0</v>
      </c>
      <c r="AR89" s="36" t="str">
        <f t="shared" si="212"/>
        <v>S</v>
      </c>
      <c r="AS89" s="36" t="s">
        <v>300</v>
      </c>
      <c r="AT89" s="37">
        <v>32.0</v>
      </c>
      <c r="AU89" s="37" t="str">
        <f t="shared" si="213"/>
        <v>S</v>
      </c>
      <c r="AV89" s="33">
        <v>23.0</v>
      </c>
      <c r="AW89" s="33" t="str">
        <f t="shared" si="214"/>
        <v>S</v>
      </c>
      <c r="AX89" s="33">
        <v>22.0</v>
      </c>
      <c r="AY89" s="33" t="str">
        <f t="shared" si="215"/>
        <v>S</v>
      </c>
      <c r="AZ89" s="33" t="s">
        <v>300</v>
      </c>
      <c r="BA89" s="26">
        <v>18.0</v>
      </c>
      <c r="BB89" s="26" t="str">
        <f t="shared" si="216"/>
        <v>R</v>
      </c>
      <c r="BC89" s="37">
        <v>35.0</v>
      </c>
      <c r="BD89" s="37" t="str">
        <f t="shared" si="217"/>
        <v>S</v>
      </c>
      <c r="BE89" s="36">
        <v>33.0</v>
      </c>
      <c r="BF89" s="36" t="str">
        <f t="shared" si="218"/>
        <v>S</v>
      </c>
      <c r="BG89" s="39" t="s">
        <v>357</v>
      </c>
      <c r="BH89" s="39" t="s">
        <v>357</v>
      </c>
      <c r="BI89" s="36">
        <v>29.0</v>
      </c>
      <c r="BJ89" s="36" t="str">
        <f t="shared" si="219"/>
        <v>S</v>
      </c>
      <c r="BK89" s="40">
        <v>22.0</v>
      </c>
      <c r="BL89" s="41" t="str">
        <f t="shared" si="220"/>
        <v>S</v>
      </c>
      <c r="BM89" s="41"/>
    </row>
    <row r="90">
      <c r="A90" s="18" t="s">
        <v>1294</v>
      </c>
      <c r="B90" s="19">
        <v>78.0</v>
      </c>
      <c r="C90" s="18" t="s">
        <v>1295</v>
      </c>
      <c r="D90" s="18" t="s">
        <v>190</v>
      </c>
      <c r="E90" s="18" t="s">
        <v>190</v>
      </c>
      <c r="F90" s="18" t="s">
        <v>192</v>
      </c>
      <c r="G90" s="20" t="s">
        <v>1296</v>
      </c>
      <c r="H90" s="22" t="s">
        <v>198</v>
      </c>
      <c r="I90" s="84" t="s">
        <v>37</v>
      </c>
      <c r="J90" s="81" t="s">
        <v>205</v>
      </c>
      <c r="K90" s="81" t="s">
        <v>205</v>
      </c>
      <c r="L90" s="81" t="s">
        <v>208</v>
      </c>
      <c r="M90" s="26">
        <v>6.0</v>
      </c>
      <c r="N90" s="26" t="str">
        <f t="shared" si="199"/>
        <v>R</v>
      </c>
      <c r="O90" s="26">
        <v>22.0</v>
      </c>
      <c r="P90" s="26" t="str">
        <f t="shared" si="200"/>
        <v>S</v>
      </c>
      <c r="Q90" s="26">
        <v>6.0</v>
      </c>
      <c r="R90" s="26" t="str">
        <f t="shared" si="201"/>
        <v>R</v>
      </c>
      <c r="S90" s="32" t="s">
        <v>357</v>
      </c>
      <c r="T90" s="32" t="s">
        <v>357</v>
      </c>
      <c r="U90" s="26">
        <v>10.0</v>
      </c>
      <c r="V90" s="26" t="str">
        <f t="shared" si="202"/>
        <v>R</v>
      </c>
      <c r="W90" s="26">
        <v>27.0</v>
      </c>
      <c r="X90" s="26" t="str">
        <f t="shared" si="203"/>
        <v>S</v>
      </c>
      <c r="Y90" s="26">
        <v>26.0</v>
      </c>
      <c r="Z90" s="26" t="str">
        <f t="shared" si="204"/>
        <v>S</v>
      </c>
      <c r="AA90" s="32" t="s">
        <v>299</v>
      </c>
      <c r="AB90" s="33">
        <v>6.0</v>
      </c>
      <c r="AC90" s="33" t="str">
        <f t="shared" si="205"/>
        <v>R</v>
      </c>
      <c r="AD90" s="33">
        <v>28.0</v>
      </c>
      <c r="AE90" s="33" t="str">
        <f t="shared" si="206"/>
        <v>S</v>
      </c>
      <c r="AF90" s="33">
        <v>20.0</v>
      </c>
      <c r="AG90" s="33" t="str">
        <f t="shared" si="207"/>
        <v>I</v>
      </c>
      <c r="AH90" s="33">
        <v>27.0</v>
      </c>
      <c r="AI90" s="33" t="str">
        <f t="shared" si="208"/>
        <v>S</v>
      </c>
      <c r="AJ90" s="33">
        <v>23.0</v>
      </c>
      <c r="AK90" s="33" t="str">
        <f t="shared" si="209"/>
        <v>R</v>
      </c>
      <c r="AL90" s="33" t="s">
        <v>299</v>
      </c>
      <c r="AM90" s="36">
        <v>8.0</v>
      </c>
      <c r="AN90" s="36" t="str">
        <f t="shared" si="210"/>
        <v>R</v>
      </c>
      <c r="AO90" s="36">
        <v>12.0</v>
      </c>
      <c r="AP90" s="36" t="str">
        <f t="shared" si="211"/>
        <v>R</v>
      </c>
      <c r="AQ90" s="36">
        <v>6.0</v>
      </c>
      <c r="AR90" s="36" t="str">
        <f t="shared" si="212"/>
        <v>R</v>
      </c>
      <c r="AS90" s="36" t="s">
        <v>299</v>
      </c>
      <c r="AT90" s="37">
        <v>30.0</v>
      </c>
      <c r="AU90" s="37" t="str">
        <f t="shared" si="213"/>
        <v>S</v>
      </c>
      <c r="AV90" s="33">
        <v>21.0</v>
      </c>
      <c r="AW90" s="33" t="str">
        <f t="shared" si="214"/>
        <v>S</v>
      </c>
      <c r="AX90" s="33">
        <v>22.0</v>
      </c>
      <c r="AY90" s="33" t="str">
        <f t="shared" si="215"/>
        <v>S</v>
      </c>
      <c r="AZ90" s="33" t="s">
        <v>300</v>
      </c>
      <c r="BA90" s="26">
        <v>20.0</v>
      </c>
      <c r="BB90" s="26" t="str">
        <f t="shared" si="216"/>
        <v>S</v>
      </c>
      <c r="BC90" s="37">
        <v>17.0</v>
      </c>
      <c r="BD90" s="37" t="str">
        <f t="shared" si="217"/>
        <v>R</v>
      </c>
      <c r="BE90" s="36">
        <v>33.0</v>
      </c>
      <c r="BF90" s="36" t="str">
        <f t="shared" si="218"/>
        <v>S</v>
      </c>
      <c r="BG90" s="39" t="s">
        <v>357</v>
      </c>
      <c r="BH90" s="39" t="s">
        <v>357</v>
      </c>
      <c r="BI90" s="36">
        <v>32.0</v>
      </c>
      <c r="BJ90" s="36" t="str">
        <f t="shared" si="219"/>
        <v>S</v>
      </c>
      <c r="BK90" s="40">
        <v>21.0</v>
      </c>
      <c r="BL90" s="41" t="str">
        <f t="shared" si="220"/>
        <v>S</v>
      </c>
      <c r="BM90" s="41"/>
    </row>
    <row r="91">
      <c r="A91" s="18" t="s">
        <v>1294</v>
      </c>
      <c r="B91" s="18" t="s">
        <v>444</v>
      </c>
      <c r="C91" s="18" t="s">
        <v>1297</v>
      </c>
      <c r="D91" s="18" t="s">
        <v>190</v>
      </c>
      <c r="E91" s="18" t="s">
        <v>190</v>
      </c>
      <c r="F91" s="18" t="s">
        <v>192</v>
      </c>
      <c r="G91" s="20" t="s">
        <v>1298</v>
      </c>
      <c r="H91" s="22" t="s">
        <v>198</v>
      </c>
      <c r="I91" s="84" t="s">
        <v>481</v>
      </c>
      <c r="J91" s="81" t="s">
        <v>205</v>
      </c>
      <c r="K91" s="82" t="s">
        <v>208</v>
      </c>
      <c r="L91" s="82" t="s">
        <v>208</v>
      </c>
      <c r="M91" s="26">
        <v>6.0</v>
      </c>
      <c r="N91" s="26" t="str">
        <f t="shared" si="199"/>
        <v>R</v>
      </c>
      <c r="O91" s="26">
        <v>14.0</v>
      </c>
      <c r="P91" s="26" t="str">
        <f t="shared" si="200"/>
        <v>R</v>
      </c>
      <c r="Q91" s="26">
        <v>6.0</v>
      </c>
      <c r="R91" s="26" t="str">
        <f t="shared" si="201"/>
        <v>R</v>
      </c>
      <c r="S91" s="32" t="s">
        <v>357</v>
      </c>
      <c r="T91" s="32" t="s">
        <v>357</v>
      </c>
      <c r="U91" s="26">
        <v>6.0</v>
      </c>
      <c r="V91" s="26" t="str">
        <f t="shared" si="202"/>
        <v>R</v>
      </c>
      <c r="W91" s="26">
        <v>8.0</v>
      </c>
      <c r="X91" s="26" t="str">
        <f t="shared" si="203"/>
        <v>R</v>
      </c>
      <c r="Y91" s="26">
        <v>6.0</v>
      </c>
      <c r="Z91" s="26" t="str">
        <f t="shared" si="204"/>
        <v>R</v>
      </c>
      <c r="AA91" s="32" t="s">
        <v>299</v>
      </c>
      <c r="AB91" s="33">
        <v>6.0</v>
      </c>
      <c r="AC91" s="33" t="str">
        <f t="shared" si="205"/>
        <v>R</v>
      </c>
      <c r="AD91" s="33">
        <v>13.0</v>
      </c>
      <c r="AE91" s="33" t="str">
        <f t="shared" si="206"/>
        <v>R</v>
      </c>
      <c r="AF91" s="33">
        <v>6.0</v>
      </c>
      <c r="AG91" s="33" t="str">
        <f t="shared" si="207"/>
        <v>R</v>
      </c>
      <c r="AH91" s="33">
        <v>18.0</v>
      </c>
      <c r="AI91" s="33" t="str">
        <f t="shared" si="208"/>
        <v>S</v>
      </c>
      <c r="AJ91" s="33">
        <v>8.0</v>
      </c>
      <c r="AK91" s="33" t="str">
        <f t="shared" si="209"/>
        <v>R</v>
      </c>
      <c r="AL91" s="33" t="s">
        <v>299</v>
      </c>
      <c r="AM91" s="36">
        <v>6.0</v>
      </c>
      <c r="AN91" s="36" t="str">
        <f t="shared" si="210"/>
        <v>R</v>
      </c>
      <c r="AO91" s="36">
        <v>6.0</v>
      </c>
      <c r="AP91" s="36" t="str">
        <f t="shared" si="211"/>
        <v>R</v>
      </c>
      <c r="AQ91" s="36">
        <v>6.0</v>
      </c>
      <c r="AR91" s="36" t="str">
        <f t="shared" si="212"/>
        <v>R</v>
      </c>
      <c r="AS91" s="36" t="s">
        <v>299</v>
      </c>
      <c r="AT91" s="37">
        <v>28.0</v>
      </c>
      <c r="AU91" s="37" t="str">
        <f t="shared" si="213"/>
        <v>S</v>
      </c>
      <c r="AV91" s="33">
        <v>22.0</v>
      </c>
      <c r="AW91" s="33" t="str">
        <f t="shared" si="214"/>
        <v>S</v>
      </c>
      <c r="AX91" s="33">
        <v>22.0</v>
      </c>
      <c r="AY91" s="33" t="str">
        <f t="shared" si="215"/>
        <v>S</v>
      </c>
      <c r="AZ91" s="33" t="s">
        <v>300</v>
      </c>
      <c r="BA91" s="26">
        <v>6.0</v>
      </c>
      <c r="BB91" s="26" t="str">
        <f t="shared" si="216"/>
        <v>R</v>
      </c>
      <c r="BC91" s="37">
        <v>6.0</v>
      </c>
      <c r="BD91" s="37" t="str">
        <f t="shared" si="217"/>
        <v>R</v>
      </c>
      <c r="BE91" s="36">
        <v>27.0</v>
      </c>
      <c r="BF91" s="36" t="str">
        <f t="shared" si="218"/>
        <v>S</v>
      </c>
      <c r="BG91" s="39" t="s">
        <v>357</v>
      </c>
      <c r="BH91" s="39" t="s">
        <v>357</v>
      </c>
      <c r="BI91" s="36">
        <v>31.0</v>
      </c>
      <c r="BJ91" s="36" t="str">
        <f t="shared" si="219"/>
        <v>S</v>
      </c>
      <c r="BK91" s="40">
        <v>22.0</v>
      </c>
      <c r="BL91" s="41" t="str">
        <f t="shared" si="220"/>
        <v>S</v>
      </c>
      <c r="BM91" s="41"/>
    </row>
    <row r="92">
      <c r="A92" s="18" t="s">
        <v>1294</v>
      </c>
      <c r="B92" s="18" t="s">
        <v>444</v>
      </c>
      <c r="C92" s="18" t="s">
        <v>1299</v>
      </c>
      <c r="D92" s="18" t="s">
        <v>190</v>
      </c>
      <c r="E92" s="18" t="s">
        <v>190</v>
      </c>
      <c r="F92" s="18" t="s">
        <v>192</v>
      </c>
      <c r="G92" s="20" t="s">
        <v>1300</v>
      </c>
      <c r="H92" s="42" t="s">
        <v>479</v>
      </c>
      <c r="I92" s="80" t="s">
        <v>481</v>
      </c>
      <c r="J92" s="82" t="s">
        <v>205</v>
      </c>
      <c r="K92" s="82" t="s">
        <v>208</v>
      </c>
      <c r="L92" s="81" t="s">
        <v>208</v>
      </c>
      <c r="M92" s="26">
        <v>17.0</v>
      </c>
      <c r="N92" s="26" t="str">
        <f t="shared" si="199"/>
        <v>R</v>
      </c>
      <c r="O92" s="26">
        <v>28.0</v>
      </c>
      <c r="P92" s="26" t="str">
        <f t="shared" si="200"/>
        <v>S</v>
      </c>
      <c r="Q92" s="26">
        <v>24.0</v>
      </c>
      <c r="R92" s="26" t="str">
        <f t="shared" si="201"/>
        <v>S</v>
      </c>
      <c r="S92" s="32" t="s">
        <v>357</v>
      </c>
      <c r="T92" s="32" t="s">
        <v>357</v>
      </c>
      <c r="U92" s="26">
        <v>28.0</v>
      </c>
      <c r="V92" s="26" t="str">
        <f t="shared" si="202"/>
        <v>S</v>
      </c>
      <c r="W92" s="26">
        <v>30.0</v>
      </c>
      <c r="X92" s="26" t="str">
        <f t="shared" si="203"/>
        <v>S</v>
      </c>
      <c r="Y92" s="26">
        <v>31.0</v>
      </c>
      <c r="Z92" s="26" t="str">
        <f t="shared" si="204"/>
        <v>S</v>
      </c>
      <c r="AA92" s="32" t="s">
        <v>299</v>
      </c>
      <c r="AB92" s="33">
        <v>35.0</v>
      </c>
      <c r="AC92" s="33" t="str">
        <f t="shared" si="205"/>
        <v>S</v>
      </c>
      <c r="AD92" s="33">
        <v>31.0</v>
      </c>
      <c r="AE92" s="33" t="str">
        <f t="shared" si="206"/>
        <v>S</v>
      </c>
      <c r="AF92" s="33">
        <v>34.0</v>
      </c>
      <c r="AG92" s="33" t="str">
        <f t="shared" si="207"/>
        <v>S</v>
      </c>
      <c r="AH92" s="33">
        <v>33.0</v>
      </c>
      <c r="AI92" s="33" t="str">
        <f t="shared" si="208"/>
        <v>S</v>
      </c>
      <c r="AJ92" s="33">
        <v>38.0</v>
      </c>
      <c r="AK92" s="33" t="str">
        <f t="shared" si="209"/>
        <v>S</v>
      </c>
      <c r="AL92" s="33" t="s">
        <v>300</v>
      </c>
      <c r="AM92" s="36">
        <v>25.0</v>
      </c>
      <c r="AN92" s="36" t="str">
        <f t="shared" si="210"/>
        <v>S</v>
      </c>
      <c r="AO92" s="36">
        <v>24.0</v>
      </c>
      <c r="AP92" s="36" t="str">
        <f t="shared" si="211"/>
        <v>S</v>
      </c>
      <c r="AQ92" s="36">
        <v>18.0</v>
      </c>
      <c r="AR92" s="36" t="str">
        <f t="shared" si="212"/>
        <v>S</v>
      </c>
      <c r="AS92" s="36" t="s">
        <v>300</v>
      </c>
      <c r="AT92" s="37">
        <v>6.0</v>
      </c>
      <c r="AU92" s="37" t="str">
        <f t="shared" si="213"/>
        <v>R</v>
      </c>
      <c r="AV92" s="33">
        <v>24.0</v>
      </c>
      <c r="AW92" s="33" t="str">
        <f t="shared" si="214"/>
        <v>S</v>
      </c>
      <c r="AX92" s="33">
        <v>19.0</v>
      </c>
      <c r="AY92" s="33" t="str">
        <f t="shared" si="215"/>
        <v>S</v>
      </c>
      <c r="AZ92" s="33" t="s">
        <v>300</v>
      </c>
      <c r="BA92" s="26">
        <v>15.0</v>
      </c>
      <c r="BB92" s="26" t="str">
        <f t="shared" si="216"/>
        <v>R</v>
      </c>
      <c r="BC92" s="37">
        <v>38.0</v>
      </c>
      <c r="BD92" s="37" t="str">
        <f t="shared" si="217"/>
        <v>S</v>
      </c>
      <c r="BE92" s="36">
        <v>37.0</v>
      </c>
      <c r="BF92" s="36" t="str">
        <f t="shared" si="218"/>
        <v>S</v>
      </c>
      <c r="BG92" s="39" t="s">
        <v>357</v>
      </c>
      <c r="BH92" s="39" t="s">
        <v>357</v>
      </c>
      <c r="BI92" s="36">
        <v>34.0</v>
      </c>
      <c r="BJ92" s="36" t="str">
        <f t="shared" si="219"/>
        <v>S</v>
      </c>
      <c r="BK92" s="40">
        <v>25.0</v>
      </c>
      <c r="BL92" s="41" t="str">
        <f t="shared" si="220"/>
        <v>S</v>
      </c>
      <c r="BM92" s="41"/>
    </row>
    <row r="93">
      <c r="A93" s="18" t="s">
        <v>1294</v>
      </c>
      <c r="B93" s="18" t="s">
        <v>444</v>
      </c>
      <c r="C93" s="18" t="s">
        <v>1301</v>
      </c>
      <c r="D93" s="18" t="s">
        <v>190</v>
      </c>
      <c r="E93" s="18" t="s">
        <v>190</v>
      </c>
      <c r="F93" s="18" t="s">
        <v>192</v>
      </c>
      <c r="G93" s="20" t="s">
        <v>1302</v>
      </c>
      <c r="H93" s="42" t="s">
        <v>479</v>
      </c>
      <c r="I93" s="84" t="s">
        <v>37</v>
      </c>
      <c r="J93" s="81" t="s">
        <v>205</v>
      </c>
      <c r="K93" s="81" t="s">
        <v>205</v>
      </c>
      <c r="L93" s="81" t="s">
        <v>208</v>
      </c>
      <c r="M93" s="26">
        <v>6.0</v>
      </c>
      <c r="N93" s="26" t="str">
        <f t="shared" si="199"/>
        <v>R</v>
      </c>
      <c r="O93" s="26">
        <v>25.0</v>
      </c>
      <c r="P93" s="26" t="str">
        <f t="shared" si="200"/>
        <v>S</v>
      </c>
      <c r="Q93" s="26">
        <v>6.0</v>
      </c>
      <c r="R93" s="26" t="str">
        <f t="shared" si="201"/>
        <v>R</v>
      </c>
      <c r="S93" s="32" t="s">
        <v>357</v>
      </c>
      <c r="T93" s="32" t="s">
        <v>357</v>
      </c>
      <c r="U93" s="26">
        <v>12.0</v>
      </c>
      <c r="V93" s="26" t="str">
        <f t="shared" si="202"/>
        <v>R</v>
      </c>
      <c r="W93" s="26">
        <v>26.0</v>
      </c>
      <c r="X93" s="26" t="str">
        <f t="shared" si="203"/>
        <v>S</v>
      </c>
      <c r="Y93" s="26">
        <v>25.0</v>
      </c>
      <c r="Z93" s="26" t="str">
        <f t="shared" si="204"/>
        <v>S</v>
      </c>
      <c r="AA93" s="32" t="s">
        <v>299</v>
      </c>
      <c r="AB93" s="33">
        <v>6.0</v>
      </c>
      <c r="AC93" s="33" t="str">
        <f t="shared" si="205"/>
        <v>R</v>
      </c>
      <c r="AD93" s="33">
        <v>28.0</v>
      </c>
      <c r="AE93" s="33" t="str">
        <f t="shared" si="206"/>
        <v>S</v>
      </c>
      <c r="AF93" s="33">
        <v>17.0</v>
      </c>
      <c r="AG93" s="33" t="str">
        <f t="shared" si="207"/>
        <v>R</v>
      </c>
      <c r="AH93" s="33">
        <v>25.0</v>
      </c>
      <c r="AI93" s="33" t="str">
        <f t="shared" si="208"/>
        <v>S</v>
      </c>
      <c r="AJ93" s="33">
        <v>23.0</v>
      </c>
      <c r="AK93" s="33" t="str">
        <f t="shared" si="209"/>
        <v>R</v>
      </c>
      <c r="AL93" s="33" t="s">
        <v>299</v>
      </c>
      <c r="AM93" s="36">
        <v>8.0</v>
      </c>
      <c r="AN93" s="36" t="str">
        <f t="shared" si="210"/>
        <v>R</v>
      </c>
      <c r="AO93" s="36">
        <v>12.0</v>
      </c>
      <c r="AP93" s="36" t="str">
        <f t="shared" si="211"/>
        <v>R</v>
      </c>
      <c r="AQ93" s="36">
        <v>6.0</v>
      </c>
      <c r="AR93" s="36" t="str">
        <f t="shared" si="212"/>
        <v>R</v>
      </c>
      <c r="AS93" s="36" t="s">
        <v>299</v>
      </c>
      <c r="AT93" s="37">
        <v>31.0</v>
      </c>
      <c r="AU93" s="37" t="str">
        <f t="shared" si="213"/>
        <v>S</v>
      </c>
      <c r="AV93" s="33">
        <v>22.0</v>
      </c>
      <c r="AW93" s="33" t="str">
        <f t="shared" si="214"/>
        <v>S</v>
      </c>
      <c r="AX93" s="33">
        <v>21.0</v>
      </c>
      <c r="AY93" s="33" t="str">
        <f t="shared" si="215"/>
        <v>S</v>
      </c>
      <c r="AZ93" s="33" t="s">
        <v>300</v>
      </c>
      <c r="BA93" s="26">
        <v>18.0</v>
      </c>
      <c r="BB93" s="26" t="str">
        <f t="shared" si="216"/>
        <v>R</v>
      </c>
      <c r="BC93" s="37">
        <v>16.0</v>
      </c>
      <c r="BD93" s="37" t="str">
        <f t="shared" si="217"/>
        <v>R</v>
      </c>
      <c r="BE93" s="36">
        <v>30.0</v>
      </c>
      <c r="BF93" s="36" t="str">
        <f t="shared" si="218"/>
        <v>S</v>
      </c>
      <c r="BG93" s="39" t="s">
        <v>357</v>
      </c>
      <c r="BH93" s="39" t="s">
        <v>357</v>
      </c>
      <c r="BI93" s="36">
        <v>30.0</v>
      </c>
      <c r="BJ93" s="36" t="str">
        <f t="shared" si="219"/>
        <v>S</v>
      </c>
      <c r="BK93" s="40">
        <v>22.0</v>
      </c>
      <c r="BL93" s="41" t="str">
        <f t="shared" si="220"/>
        <v>S</v>
      </c>
      <c r="BM93" s="41"/>
    </row>
    <row r="94">
      <c r="A94" s="18" t="s">
        <v>1294</v>
      </c>
      <c r="B94" s="19">
        <v>79.0</v>
      </c>
      <c r="C94" s="18" t="s">
        <v>1303</v>
      </c>
      <c r="D94" s="18" t="s">
        <v>571</v>
      </c>
      <c r="E94" s="18" t="s">
        <v>572</v>
      </c>
      <c r="F94" s="18" t="s">
        <v>573</v>
      </c>
      <c r="G94" s="20" t="s">
        <v>357</v>
      </c>
      <c r="H94" s="47" t="s">
        <v>357</v>
      </c>
      <c r="I94" s="83" t="s">
        <v>357</v>
      </c>
      <c r="J94" s="82" t="s">
        <v>208</v>
      </c>
      <c r="K94" s="82" t="s">
        <v>208</v>
      </c>
      <c r="L94" s="82" t="s">
        <v>208</v>
      </c>
      <c r="M94" s="32" t="s">
        <v>357</v>
      </c>
      <c r="N94" s="32" t="s">
        <v>357</v>
      </c>
      <c r="O94" s="32" t="s">
        <v>357</v>
      </c>
      <c r="P94" s="32" t="s">
        <v>357</v>
      </c>
      <c r="Q94" s="32" t="s">
        <v>357</v>
      </c>
      <c r="R94" s="32" t="s">
        <v>357</v>
      </c>
      <c r="S94" s="32" t="s">
        <v>357</v>
      </c>
      <c r="T94" s="32" t="s">
        <v>357</v>
      </c>
      <c r="U94" s="32" t="s">
        <v>357</v>
      </c>
      <c r="V94" s="32" t="s">
        <v>357</v>
      </c>
      <c r="W94" s="32" t="s">
        <v>357</v>
      </c>
      <c r="X94" s="32" t="s">
        <v>357</v>
      </c>
      <c r="Y94" s="32" t="s">
        <v>357</v>
      </c>
      <c r="Z94" s="32" t="s">
        <v>357</v>
      </c>
      <c r="AA94" s="32" t="s">
        <v>357</v>
      </c>
      <c r="AB94" s="49" t="s">
        <v>357</v>
      </c>
      <c r="AC94" s="49" t="s">
        <v>357</v>
      </c>
      <c r="AD94" s="49" t="s">
        <v>357</v>
      </c>
      <c r="AE94" s="49" t="s">
        <v>357</v>
      </c>
      <c r="AF94" s="49" t="s">
        <v>357</v>
      </c>
      <c r="AG94" s="49" t="s">
        <v>357</v>
      </c>
      <c r="AH94" s="49" t="s">
        <v>357</v>
      </c>
      <c r="AI94" s="49" t="s">
        <v>357</v>
      </c>
      <c r="AJ94" s="49" t="s">
        <v>357</v>
      </c>
      <c r="AK94" s="49" t="s">
        <v>357</v>
      </c>
      <c r="AL94" s="49" t="s">
        <v>357</v>
      </c>
      <c r="AM94" s="39" t="s">
        <v>357</v>
      </c>
      <c r="AN94" s="39" t="s">
        <v>357</v>
      </c>
      <c r="AO94" s="39" t="s">
        <v>357</v>
      </c>
      <c r="AP94" s="39" t="s">
        <v>357</v>
      </c>
      <c r="AQ94" s="39" t="s">
        <v>357</v>
      </c>
      <c r="AR94" s="39" t="s">
        <v>357</v>
      </c>
      <c r="AS94" s="39" t="s">
        <v>357</v>
      </c>
      <c r="AT94" s="50" t="s">
        <v>357</v>
      </c>
      <c r="AU94" s="50" t="s">
        <v>357</v>
      </c>
      <c r="AV94" s="49" t="s">
        <v>357</v>
      </c>
      <c r="AW94" s="49" t="s">
        <v>357</v>
      </c>
      <c r="AX94" s="49" t="s">
        <v>357</v>
      </c>
      <c r="AY94" s="49" t="s">
        <v>357</v>
      </c>
      <c r="AZ94" s="49" t="s">
        <v>357</v>
      </c>
      <c r="BA94" s="32" t="s">
        <v>357</v>
      </c>
      <c r="BB94" s="32" t="s">
        <v>357</v>
      </c>
      <c r="BC94" s="50" t="s">
        <v>357</v>
      </c>
      <c r="BD94" s="50" t="s">
        <v>357</v>
      </c>
      <c r="BE94" s="39" t="s">
        <v>357</v>
      </c>
      <c r="BF94" s="39" t="s">
        <v>357</v>
      </c>
      <c r="BG94" s="39" t="s">
        <v>357</v>
      </c>
      <c r="BH94" s="39" t="s">
        <v>357</v>
      </c>
      <c r="BI94" s="39" t="s">
        <v>357</v>
      </c>
      <c r="BJ94" s="39" t="s">
        <v>357</v>
      </c>
      <c r="BK94" s="41" t="s">
        <v>357</v>
      </c>
      <c r="BL94" s="41" t="s">
        <v>357</v>
      </c>
      <c r="BM94" s="41"/>
    </row>
    <row r="95">
      <c r="A95" s="18" t="s">
        <v>1294</v>
      </c>
      <c r="B95" s="19">
        <v>80.0</v>
      </c>
      <c r="C95" s="18" t="s">
        <v>1304</v>
      </c>
      <c r="D95" s="18" t="s">
        <v>705</v>
      </c>
      <c r="E95" s="18" t="s">
        <v>572</v>
      </c>
      <c r="F95" s="18" t="s">
        <v>573</v>
      </c>
      <c r="G95" s="20" t="s">
        <v>357</v>
      </c>
      <c r="H95" s="47" t="s">
        <v>357</v>
      </c>
      <c r="I95" s="83" t="s">
        <v>357</v>
      </c>
      <c r="J95" s="82" t="s">
        <v>208</v>
      </c>
      <c r="K95" s="82" t="s">
        <v>208</v>
      </c>
      <c r="L95" s="82" t="s">
        <v>208</v>
      </c>
      <c r="M95" s="32" t="s">
        <v>357</v>
      </c>
      <c r="N95" s="32" t="s">
        <v>357</v>
      </c>
      <c r="O95" s="32" t="s">
        <v>357</v>
      </c>
      <c r="P95" s="32" t="s">
        <v>357</v>
      </c>
      <c r="Q95" s="32" t="s">
        <v>357</v>
      </c>
      <c r="R95" s="32" t="s">
        <v>357</v>
      </c>
      <c r="S95" s="32" t="s">
        <v>357</v>
      </c>
      <c r="T95" s="32" t="s">
        <v>357</v>
      </c>
      <c r="U95" s="32" t="s">
        <v>357</v>
      </c>
      <c r="V95" s="32" t="s">
        <v>357</v>
      </c>
      <c r="W95" s="32" t="s">
        <v>357</v>
      </c>
      <c r="X95" s="32" t="s">
        <v>357</v>
      </c>
      <c r="Y95" s="32" t="s">
        <v>357</v>
      </c>
      <c r="Z95" s="32" t="s">
        <v>357</v>
      </c>
      <c r="AA95" s="32" t="s">
        <v>357</v>
      </c>
      <c r="AB95" s="49" t="s">
        <v>357</v>
      </c>
      <c r="AC95" s="49" t="s">
        <v>357</v>
      </c>
      <c r="AD95" s="49" t="s">
        <v>357</v>
      </c>
      <c r="AE95" s="49" t="s">
        <v>357</v>
      </c>
      <c r="AF95" s="49" t="s">
        <v>357</v>
      </c>
      <c r="AG95" s="49" t="s">
        <v>357</v>
      </c>
      <c r="AH95" s="49" t="s">
        <v>357</v>
      </c>
      <c r="AI95" s="49" t="s">
        <v>357</v>
      </c>
      <c r="AJ95" s="49" t="s">
        <v>357</v>
      </c>
      <c r="AK95" s="49" t="s">
        <v>357</v>
      </c>
      <c r="AL95" s="49" t="s">
        <v>357</v>
      </c>
      <c r="AM95" s="39" t="s">
        <v>357</v>
      </c>
      <c r="AN95" s="39" t="s">
        <v>357</v>
      </c>
      <c r="AO95" s="39" t="s">
        <v>357</v>
      </c>
      <c r="AP95" s="39" t="s">
        <v>357</v>
      </c>
      <c r="AQ95" s="39" t="s">
        <v>357</v>
      </c>
      <c r="AR95" s="39" t="s">
        <v>357</v>
      </c>
      <c r="AS95" s="39" t="s">
        <v>357</v>
      </c>
      <c r="AT95" s="50" t="s">
        <v>357</v>
      </c>
      <c r="AU95" s="50" t="s">
        <v>357</v>
      </c>
      <c r="AV95" s="49" t="s">
        <v>357</v>
      </c>
      <c r="AW95" s="49" t="s">
        <v>357</v>
      </c>
      <c r="AX95" s="49" t="s">
        <v>357</v>
      </c>
      <c r="AY95" s="49" t="s">
        <v>357</v>
      </c>
      <c r="AZ95" s="49" t="s">
        <v>357</v>
      </c>
      <c r="BA95" s="32" t="s">
        <v>357</v>
      </c>
      <c r="BB95" s="32" t="s">
        <v>357</v>
      </c>
      <c r="BC95" s="50" t="s">
        <v>357</v>
      </c>
      <c r="BD95" s="50" t="s">
        <v>357</v>
      </c>
      <c r="BE95" s="39" t="s">
        <v>357</v>
      </c>
      <c r="BF95" s="39" t="s">
        <v>357</v>
      </c>
      <c r="BG95" s="39" t="s">
        <v>357</v>
      </c>
      <c r="BH95" s="39" t="s">
        <v>357</v>
      </c>
      <c r="BI95" s="39" t="s">
        <v>357</v>
      </c>
      <c r="BJ95" s="39" t="s">
        <v>357</v>
      </c>
      <c r="BK95" s="41" t="s">
        <v>357</v>
      </c>
      <c r="BL95" s="41" t="s">
        <v>357</v>
      </c>
      <c r="BM95" s="41"/>
    </row>
    <row r="96">
      <c r="A96" s="18" t="s">
        <v>1294</v>
      </c>
      <c r="B96" s="19">
        <v>81.0</v>
      </c>
      <c r="C96" s="18" t="s">
        <v>1305</v>
      </c>
      <c r="D96" s="18" t="s">
        <v>853</v>
      </c>
      <c r="E96" s="18" t="s">
        <v>103</v>
      </c>
      <c r="F96" s="18" t="s">
        <v>573</v>
      </c>
      <c r="G96" s="20" t="s">
        <v>357</v>
      </c>
      <c r="H96" s="47" t="s">
        <v>357</v>
      </c>
      <c r="I96" s="83" t="s">
        <v>357</v>
      </c>
      <c r="J96" s="82" t="s">
        <v>208</v>
      </c>
      <c r="K96" s="82" t="s">
        <v>208</v>
      </c>
      <c r="L96" s="82" t="s">
        <v>208</v>
      </c>
      <c r="M96" s="32" t="s">
        <v>357</v>
      </c>
      <c r="N96" s="32" t="s">
        <v>357</v>
      </c>
      <c r="O96" s="32" t="s">
        <v>357</v>
      </c>
      <c r="P96" s="32" t="s">
        <v>357</v>
      </c>
      <c r="Q96" s="32" t="s">
        <v>357</v>
      </c>
      <c r="R96" s="32" t="s">
        <v>357</v>
      </c>
      <c r="S96" s="32" t="s">
        <v>357</v>
      </c>
      <c r="T96" s="32" t="s">
        <v>357</v>
      </c>
      <c r="U96" s="32" t="s">
        <v>357</v>
      </c>
      <c r="V96" s="32" t="s">
        <v>357</v>
      </c>
      <c r="W96" s="32" t="s">
        <v>357</v>
      </c>
      <c r="X96" s="32" t="s">
        <v>357</v>
      </c>
      <c r="Y96" s="32" t="s">
        <v>357</v>
      </c>
      <c r="Z96" s="32" t="s">
        <v>357</v>
      </c>
      <c r="AA96" s="32" t="s">
        <v>357</v>
      </c>
      <c r="AB96" s="49" t="s">
        <v>357</v>
      </c>
      <c r="AC96" s="49" t="s">
        <v>357</v>
      </c>
      <c r="AD96" s="49" t="s">
        <v>357</v>
      </c>
      <c r="AE96" s="49" t="s">
        <v>357</v>
      </c>
      <c r="AF96" s="49" t="s">
        <v>357</v>
      </c>
      <c r="AG96" s="49" t="s">
        <v>357</v>
      </c>
      <c r="AH96" s="49" t="s">
        <v>357</v>
      </c>
      <c r="AI96" s="49" t="s">
        <v>357</v>
      </c>
      <c r="AJ96" s="49" t="s">
        <v>357</v>
      </c>
      <c r="AK96" s="49" t="s">
        <v>357</v>
      </c>
      <c r="AL96" s="49" t="s">
        <v>357</v>
      </c>
      <c r="AM96" s="39" t="s">
        <v>357</v>
      </c>
      <c r="AN96" s="39" t="s">
        <v>357</v>
      </c>
      <c r="AO96" s="39" t="s">
        <v>357</v>
      </c>
      <c r="AP96" s="39" t="s">
        <v>357</v>
      </c>
      <c r="AQ96" s="39" t="s">
        <v>357</v>
      </c>
      <c r="AR96" s="39" t="s">
        <v>357</v>
      </c>
      <c r="AS96" s="39" t="s">
        <v>357</v>
      </c>
      <c r="AT96" s="50" t="s">
        <v>357</v>
      </c>
      <c r="AU96" s="50" t="s">
        <v>357</v>
      </c>
      <c r="AV96" s="49" t="s">
        <v>357</v>
      </c>
      <c r="AW96" s="49" t="s">
        <v>357</v>
      </c>
      <c r="AX96" s="49" t="s">
        <v>357</v>
      </c>
      <c r="AY96" s="49" t="s">
        <v>357</v>
      </c>
      <c r="AZ96" s="49" t="s">
        <v>357</v>
      </c>
      <c r="BA96" s="32" t="s">
        <v>357</v>
      </c>
      <c r="BB96" s="32" t="s">
        <v>357</v>
      </c>
      <c r="BC96" s="50" t="s">
        <v>357</v>
      </c>
      <c r="BD96" s="50" t="s">
        <v>357</v>
      </c>
      <c r="BE96" s="39" t="s">
        <v>357</v>
      </c>
      <c r="BF96" s="39" t="s">
        <v>357</v>
      </c>
      <c r="BG96" s="39" t="s">
        <v>357</v>
      </c>
      <c r="BH96" s="39" t="s">
        <v>357</v>
      </c>
      <c r="BI96" s="39" t="s">
        <v>357</v>
      </c>
      <c r="BJ96" s="39" t="s">
        <v>357</v>
      </c>
      <c r="BK96" s="41" t="s">
        <v>357</v>
      </c>
      <c r="BL96" s="41" t="s">
        <v>357</v>
      </c>
      <c r="BM96" s="41"/>
    </row>
    <row r="97">
      <c r="A97" s="18" t="s">
        <v>768</v>
      </c>
      <c r="B97" s="19">
        <v>82.0</v>
      </c>
      <c r="C97" s="18" t="s">
        <v>1306</v>
      </c>
      <c r="D97" s="18" t="s">
        <v>190</v>
      </c>
      <c r="E97" s="18" t="s">
        <v>190</v>
      </c>
      <c r="F97" s="18" t="s">
        <v>192</v>
      </c>
      <c r="G97" s="20" t="s">
        <v>1307</v>
      </c>
      <c r="H97" s="22" t="s">
        <v>198</v>
      </c>
      <c r="I97" s="80" t="s">
        <v>1011</v>
      </c>
      <c r="J97" s="82" t="s">
        <v>208</v>
      </c>
      <c r="K97" s="82" t="s">
        <v>208</v>
      </c>
      <c r="L97" s="81" t="s">
        <v>208</v>
      </c>
      <c r="M97" s="26">
        <v>6.0</v>
      </c>
      <c r="N97" s="26" t="str">
        <f t="shared" ref="N97:N102" si="221">IF((M97&gt;=19),"S",IF(AND(M97&lt;19),"R", "NA"))</f>
        <v>R</v>
      </c>
      <c r="O97" s="26">
        <v>26.0</v>
      </c>
      <c r="P97" s="26" t="str">
        <f t="shared" ref="P97:P102" si="222">IF((O97&gt;=19),"S",IF(AND(O97&lt;19),"R", "NA"))</f>
        <v>S</v>
      </c>
      <c r="Q97" s="26">
        <v>6.0</v>
      </c>
      <c r="R97" s="26" t="str">
        <f t="shared" ref="R97:R102" si="223">IF((Q97&gt;=23),"S",IF(AND(Q97&lt;23),"R","NA"))</f>
        <v>R</v>
      </c>
      <c r="S97" s="32" t="s">
        <v>357</v>
      </c>
      <c r="T97" s="32" t="s">
        <v>357</v>
      </c>
      <c r="U97" s="26">
        <v>17.0</v>
      </c>
      <c r="V97" s="26" t="str">
        <f t="shared" ref="V97:V102" si="224">IF((U97&gt;=20),"S",IF(AND(U97&lt;20),"R", "NA"))</f>
        <v>R</v>
      </c>
      <c r="W97" s="26">
        <v>29.0</v>
      </c>
      <c r="X97" s="26" t="str">
        <f t="shared" ref="X97:X102" si="225">IF((W97&gt;=20),"S",IF(AND(W97&lt;20),"R", "NA"))</f>
        <v>S</v>
      </c>
      <c r="Y97" s="26">
        <v>26.0</v>
      </c>
      <c r="Z97" s="26" t="str">
        <f t="shared" ref="Z97:Z102" si="226">IF((Y97&gt;=20),"S",IF(AND(Y97&lt;20,Y97&gt;=17),"I",IF(AND(Y97&lt;17),"R","NA")))</f>
        <v>S</v>
      </c>
      <c r="AA97" s="32" t="s">
        <v>299</v>
      </c>
      <c r="AB97" s="33">
        <v>9.0</v>
      </c>
      <c r="AC97" s="33" t="str">
        <f t="shared" ref="AC97:AC102" si="227">IF((AB97&gt;=20),"S",IF(AND(AB97&lt;20,AB97&gt;=17),"I",IF(AND(AB97&lt;17),"R","NA")))</f>
        <v>R</v>
      </c>
      <c r="AD97" s="33">
        <v>27.0</v>
      </c>
      <c r="AE97" s="33" t="str">
        <f t="shared" ref="AE97:AE102" si="228">IF((AD97&gt;=18),"S",IF(AND(AD97&lt;18),"R", "NA"))</f>
        <v>S</v>
      </c>
      <c r="AF97" s="33">
        <v>23.0</v>
      </c>
      <c r="AG97" s="33" t="str">
        <f t="shared" ref="AG97:AG102" si="229">IF((AF97&gt;=22),"S",IF(AND(AF97&lt;22,AF97&gt;=19),"I",IF(AND(AF97&lt;19),"R","NA")))</f>
        <v>S</v>
      </c>
      <c r="AH97" s="33">
        <v>29.0</v>
      </c>
      <c r="AI97" s="33" t="str">
        <f t="shared" ref="AI97:AI102" si="230">IF((AH97&gt;=13),"S",IF(AND(AH97&lt;13),"R", "NA"))</f>
        <v>S</v>
      </c>
      <c r="AJ97" s="33">
        <v>25.0</v>
      </c>
      <c r="AK97" s="33" t="str">
        <f t="shared" ref="AK97:AK102" si="231">IF((AJ97&gt;=27),"S",IF(AND(AJ97&lt;27,AJ97&gt;=24),"I",IF(AND(AJ97&lt;24),"R","NA")))</f>
        <v>I</v>
      </c>
      <c r="AL97" s="33" t="s">
        <v>299</v>
      </c>
      <c r="AM97" s="36">
        <v>26.0</v>
      </c>
      <c r="AN97" s="36" t="str">
        <f t="shared" ref="AN97:AN102" si="232">IF((AM97&gt;=25),"S",IF(AND(AM97&lt;25,AM97&gt;=22),"I",IF(AND(AM97&lt;22),"R","NA")))</f>
        <v>S</v>
      </c>
      <c r="AO97" s="36">
        <v>25.0</v>
      </c>
      <c r="AP97" s="36" t="str">
        <f t="shared" ref="AP97:AP102" si="233">IF((AO97&gt;=23),"S",IF(AND(AO97&lt;23,AO97&gt;=19),"I",IF(AND(AO97&lt;19),"R","NA")))</f>
        <v>S</v>
      </c>
      <c r="AQ97" s="36">
        <v>23.0</v>
      </c>
      <c r="AR97" s="36" t="str">
        <f t="shared" ref="AR97:AR102" si="234">IF((AQ97&gt;=14),"S",IF(AND(AQ97&lt;14),"R","NA"))</f>
        <v>S</v>
      </c>
      <c r="AS97" s="36" t="s">
        <v>300</v>
      </c>
      <c r="AT97" s="37">
        <v>32.0</v>
      </c>
      <c r="AU97" s="37" t="str">
        <f t="shared" ref="AU97:AU102" si="235">IF((AT97&gt;=14),"S",IF(AND(AT97&lt;14,AT97&gt;=11),"I",IF(AND(AT97&lt;11),"R","NA")))</f>
        <v>S</v>
      </c>
      <c r="AV97" s="33">
        <v>20.0</v>
      </c>
      <c r="AW97" s="33" t="str">
        <f t="shared" ref="AW97:AW102" si="236">IF((AV97&gt;=18),"S",IF(AND(AV97&lt;18),"R", "NA"))</f>
        <v>S</v>
      </c>
      <c r="AX97" s="33">
        <v>21.0</v>
      </c>
      <c r="AY97" s="33" t="str">
        <f t="shared" ref="AY97:AY102" si="237">IF((AX97&gt;=16),"S",IF(AND(AX97&lt;16),"R", "NA"))</f>
        <v>S</v>
      </c>
      <c r="AZ97" s="33" t="s">
        <v>300</v>
      </c>
      <c r="BA97" s="26">
        <v>20.0</v>
      </c>
      <c r="BB97" s="26" t="str">
        <f t="shared" ref="BB97:BB102" si="238">IF((BA97&gt;=20),"S",IF(AND(BA97&lt;20),"R", "NA"))</f>
        <v>S</v>
      </c>
      <c r="BC97" s="37">
        <v>22.0</v>
      </c>
      <c r="BD97" s="37" t="str">
        <f t="shared" ref="BD97:BD102" si="239">IF((BC97&gt;=26),"S",IF(AND(BC97&lt;26,BC97&gt;=21),"I",IF(AND(BC97&lt;21),"R","NA")))</f>
        <v>I</v>
      </c>
      <c r="BE97" s="36">
        <v>32.0</v>
      </c>
      <c r="BF97" s="36" t="str">
        <f t="shared" ref="BF97:BF102" si="240">IF((BE97&gt;=23),"S",IF(AND(BE97&lt;23),"R","NA"))</f>
        <v>S</v>
      </c>
      <c r="BG97" s="39" t="s">
        <v>357</v>
      </c>
      <c r="BH97" s="39" t="s">
        <v>357</v>
      </c>
      <c r="BI97" s="36">
        <v>30.0</v>
      </c>
      <c r="BJ97" s="36" t="str">
        <f t="shared" ref="BJ97:BJ102" si="241">IF((BI97&gt;=22),"S",IF(AND(BI97&lt;22,BI97&gt;=19),"I",IF(AND(BI97&lt;19),"R","NA")))</f>
        <v>S</v>
      </c>
      <c r="BK97" s="40">
        <v>21.0</v>
      </c>
      <c r="BL97" s="41" t="str">
        <f t="shared" ref="BL97:BL102" si="242">IF((BK97&gt;=17),"S",IF(AND(BK97&lt;17),"R", "NA"))</f>
        <v>S</v>
      </c>
      <c r="BM97" s="41"/>
    </row>
    <row r="98">
      <c r="A98" s="18" t="s">
        <v>768</v>
      </c>
      <c r="B98" s="18" t="s">
        <v>444</v>
      </c>
      <c r="C98" s="18" t="s">
        <v>1308</v>
      </c>
      <c r="D98" s="18" t="s">
        <v>190</v>
      </c>
      <c r="E98" s="18" t="s">
        <v>190</v>
      </c>
      <c r="F98" s="18" t="s">
        <v>192</v>
      </c>
      <c r="G98" s="20" t="s">
        <v>1309</v>
      </c>
      <c r="H98" s="22" t="s">
        <v>198</v>
      </c>
      <c r="I98" s="80" t="s">
        <v>1011</v>
      </c>
      <c r="J98" s="82" t="s">
        <v>208</v>
      </c>
      <c r="K98" s="82" t="s">
        <v>208</v>
      </c>
      <c r="L98" s="81" t="s">
        <v>208</v>
      </c>
      <c r="M98" s="26">
        <v>26.0</v>
      </c>
      <c r="N98" s="26" t="str">
        <f t="shared" si="221"/>
        <v>S</v>
      </c>
      <c r="O98" s="26">
        <v>25.0</v>
      </c>
      <c r="P98" s="26" t="str">
        <f t="shared" si="222"/>
        <v>S</v>
      </c>
      <c r="Q98" s="26">
        <v>32.0</v>
      </c>
      <c r="R98" s="26" t="str">
        <f t="shared" si="223"/>
        <v>S</v>
      </c>
      <c r="S98" s="32" t="s">
        <v>357</v>
      </c>
      <c r="T98" s="32" t="s">
        <v>357</v>
      </c>
      <c r="U98" s="26">
        <v>33.0</v>
      </c>
      <c r="V98" s="26" t="str">
        <f t="shared" si="224"/>
        <v>S</v>
      </c>
      <c r="W98" s="26">
        <v>30.0</v>
      </c>
      <c r="X98" s="26" t="str">
        <f t="shared" si="225"/>
        <v>S</v>
      </c>
      <c r="Y98" s="26">
        <v>28.0</v>
      </c>
      <c r="Z98" s="26" t="str">
        <f t="shared" si="226"/>
        <v>S</v>
      </c>
      <c r="AA98" s="32" t="s">
        <v>300</v>
      </c>
      <c r="AB98" s="33">
        <v>32.0</v>
      </c>
      <c r="AC98" s="33" t="str">
        <f t="shared" si="227"/>
        <v>S</v>
      </c>
      <c r="AD98" s="33">
        <v>30.0</v>
      </c>
      <c r="AE98" s="33" t="str">
        <f t="shared" si="228"/>
        <v>S</v>
      </c>
      <c r="AF98" s="33">
        <v>33.0</v>
      </c>
      <c r="AG98" s="33" t="str">
        <f t="shared" si="229"/>
        <v>S</v>
      </c>
      <c r="AH98" s="33">
        <v>32.0</v>
      </c>
      <c r="AI98" s="33" t="str">
        <f t="shared" si="230"/>
        <v>S</v>
      </c>
      <c r="AJ98" s="33">
        <v>38.0</v>
      </c>
      <c r="AK98" s="33" t="str">
        <f t="shared" si="231"/>
        <v>S</v>
      </c>
      <c r="AL98" s="33" t="s">
        <v>300</v>
      </c>
      <c r="AM98" s="36">
        <v>30.0</v>
      </c>
      <c r="AN98" s="36" t="str">
        <f t="shared" si="232"/>
        <v>S</v>
      </c>
      <c r="AO98" s="36">
        <v>27.0</v>
      </c>
      <c r="AP98" s="36" t="str">
        <f t="shared" si="233"/>
        <v>S</v>
      </c>
      <c r="AQ98" s="36">
        <v>6.0</v>
      </c>
      <c r="AR98" s="36" t="str">
        <f t="shared" si="234"/>
        <v>R</v>
      </c>
      <c r="AS98" s="36" t="s">
        <v>299</v>
      </c>
      <c r="AT98" s="37">
        <v>35.0</v>
      </c>
      <c r="AU98" s="37" t="str">
        <f t="shared" si="235"/>
        <v>S</v>
      </c>
      <c r="AV98" s="33">
        <v>24.0</v>
      </c>
      <c r="AW98" s="33" t="str">
        <f t="shared" si="236"/>
        <v>S</v>
      </c>
      <c r="AX98" s="33">
        <v>23.0</v>
      </c>
      <c r="AY98" s="33" t="str">
        <f t="shared" si="237"/>
        <v>S</v>
      </c>
      <c r="AZ98" s="33" t="s">
        <v>300</v>
      </c>
      <c r="BA98" s="26">
        <v>24.0</v>
      </c>
      <c r="BB98" s="26" t="str">
        <f t="shared" si="238"/>
        <v>S</v>
      </c>
      <c r="BC98" s="37">
        <v>39.0</v>
      </c>
      <c r="BD98" s="37" t="str">
        <f t="shared" si="239"/>
        <v>S</v>
      </c>
      <c r="BE98" s="36">
        <v>36.0</v>
      </c>
      <c r="BF98" s="36" t="str">
        <f t="shared" si="240"/>
        <v>S</v>
      </c>
      <c r="BG98" s="39" t="s">
        <v>357</v>
      </c>
      <c r="BH98" s="39" t="s">
        <v>357</v>
      </c>
      <c r="BI98" s="36">
        <v>35.0</v>
      </c>
      <c r="BJ98" s="36" t="str">
        <f t="shared" si="241"/>
        <v>S</v>
      </c>
      <c r="BK98" s="40">
        <v>24.0</v>
      </c>
      <c r="BL98" s="41" t="str">
        <f t="shared" si="242"/>
        <v>S</v>
      </c>
      <c r="BM98" s="41"/>
    </row>
    <row r="99">
      <c r="A99" s="18" t="s">
        <v>768</v>
      </c>
      <c r="B99" s="18" t="s">
        <v>444</v>
      </c>
      <c r="C99" s="18" t="s">
        <v>1310</v>
      </c>
      <c r="D99" s="18" t="s">
        <v>190</v>
      </c>
      <c r="E99" s="18" t="s">
        <v>190</v>
      </c>
      <c r="F99" s="18" t="s">
        <v>192</v>
      </c>
      <c r="G99" s="20" t="s">
        <v>1311</v>
      </c>
      <c r="H99" s="42" t="s">
        <v>479</v>
      </c>
      <c r="I99" s="80" t="s">
        <v>1011</v>
      </c>
      <c r="J99" s="82" t="s">
        <v>208</v>
      </c>
      <c r="K99" s="82" t="s">
        <v>208</v>
      </c>
      <c r="L99" s="81" t="s">
        <v>208</v>
      </c>
      <c r="M99" s="26">
        <v>11.0</v>
      </c>
      <c r="N99" s="26" t="str">
        <f t="shared" si="221"/>
        <v>R</v>
      </c>
      <c r="O99" s="26">
        <v>26.0</v>
      </c>
      <c r="P99" s="26" t="str">
        <f t="shared" si="222"/>
        <v>S</v>
      </c>
      <c r="Q99" s="26">
        <v>17.0</v>
      </c>
      <c r="R99" s="26" t="str">
        <f t="shared" si="223"/>
        <v>R</v>
      </c>
      <c r="S99" s="32" t="s">
        <v>357</v>
      </c>
      <c r="T99" s="32" t="s">
        <v>357</v>
      </c>
      <c r="U99" s="26">
        <v>26.0</v>
      </c>
      <c r="V99" s="26" t="str">
        <f t="shared" si="224"/>
        <v>S</v>
      </c>
      <c r="W99" s="26">
        <v>25.0</v>
      </c>
      <c r="X99" s="26" t="str">
        <f t="shared" si="225"/>
        <v>S</v>
      </c>
      <c r="Y99" s="26">
        <v>26.0</v>
      </c>
      <c r="Z99" s="26" t="str">
        <f t="shared" si="226"/>
        <v>S</v>
      </c>
      <c r="AA99" s="32" t="s">
        <v>299</v>
      </c>
      <c r="AB99" s="33">
        <v>29.0</v>
      </c>
      <c r="AC99" s="33" t="str">
        <f t="shared" si="227"/>
        <v>S</v>
      </c>
      <c r="AD99" s="33">
        <v>25.0</v>
      </c>
      <c r="AE99" s="33" t="str">
        <f t="shared" si="228"/>
        <v>S</v>
      </c>
      <c r="AF99" s="33">
        <v>30.0</v>
      </c>
      <c r="AG99" s="33" t="str">
        <f t="shared" si="229"/>
        <v>S</v>
      </c>
      <c r="AH99" s="33">
        <v>27.0</v>
      </c>
      <c r="AI99" s="33" t="str">
        <f t="shared" si="230"/>
        <v>S</v>
      </c>
      <c r="AJ99" s="33">
        <v>34.0</v>
      </c>
      <c r="AK99" s="33" t="str">
        <f t="shared" si="231"/>
        <v>S</v>
      </c>
      <c r="AL99" s="33" t="s">
        <v>300</v>
      </c>
      <c r="AM99" s="36">
        <v>30.0</v>
      </c>
      <c r="AN99" s="36" t="str">
        <f t="shared" si="232"/>
        <v>S</v>
      </c>
      <c r="AO99" s="36">
        <v>30.0</v>
      </c>
      <c r="AP99" s="36" t="str">
        <f t="shared" si="233"/>
        <v>S</v>
      </c>
      <c r="AQ99" s="36">
        <v>21.0</v>
      </c>
      <c r="AR99" s="36" t="str">
        <f t="shared" si="234"/>
        <v>S</v>
      </c>
      <c r="AS99" s="36" t="s">
        <v>300</v>
      </c>
      <c r="AT99" s="37">
        <v>29.0</v>
      </c>
      <c r="AU99" s="37" t="str">
        <f t="shared" si="235"/>
        <v>S</v>
      </c>
      <c r="AV99" s="33">
        <v>23.0</v>
      </c>
      <c r="AW99" s="33" t="str">
        <f t="shared" si="236"/>
        <v>S</v>
      </c>
      <c r="AX99" s="33">
        <v>22.0</v>
      </c>
      <c r="AY99" s="33" t="str">
        <f t="shared" si="237"/>
        <v>S</v>
      </c>
      <c r="AZ99" s="33" t="s">
        <v>300</v>
      </c>
      <c r="BA99" s="26">
        <v>13.0</v>
      </c>
      <c r="BB99" s="26" t="str">
        <f t="shared" si="238"/>
        <v>R</v>
      </c>
      <c r="BC99" s="37">
        <v>34.0</v>
      </c>
      <c r="BD99" s="37" t="str">
        <f t="shared" si="239"/>
        <v>S</v>
      </c>
      <c r="BE99" s="36">
        <v>32.0</v>
      </c>
      <c r="BF99" s="36" t="str">
        <f t="shared" si="240"/>
        <v>S</v>
      </c>
      <c r="BG99" s="39" t="s">
        <v>357</v>
      </c>
      <c r="BH99" s="39" t="s">
        <v>357</v>
      </c>
      <c r="BI99" s="36">
        <v>28.0</v>
      </c>
      <c r="BJ99" s="36" t="str">
        <f t="shared" si="241"/>
        <v>S</v>
      </c>
      <c r="BK99" s="40">
        <v>23.0</v>
      </c>
      <c r="BL99" s="41" t="str">
        <f t="shared" si="242"/>
        <v>S</v>
      </c>
      <c r="BM99" s="41"/>
    </row>
    <row r="100">
      <c r="A100" s="18" t="s">
        <v>768</v>
      </c>
      <c r="B100" s="19">
        <v>83.0</v>
      </c>
      <c r="C100" s="18" t="s">
        <v>1312</v>
      </c>
      <c r="D100" s="18" t="s">
        <v>571</v>
      </c>
      <c r="E100" s="18" t="s">
        <v>572</v>
      </c>
      <c r="F100" s="18" t="s">
        <v>192</v>
      </c>
      <c r="G100" s="20" t="s">
        <v>1313</v>
      </c>
      <c r="H100" s="42" t="s">
        <v>479</v>
      </c>
      <c r="I100" s="80" t="s">
        <v>481</v>
      </c>
      <c r="J100" s="81" t="s">
        <v>205</v>
      </c>
      <c r="K100" s="82" t="s">
        <v>208</v>
      </c>
      <c r="L100" s="81" t="s">
        <v>208</v>
      </c>
      <c r="M100" s="26">
        <v>6.0</v>
      </c>
      <c r="N100" s="26" t="str">
        <f t="shared" si="221"/>
        <v>R</v>
      </c>
      <c r="O100" s="26">
        <v>24.0</v>
      </c>
      <c r="P100" s="26" t="str">
        <f t="shared" si="222"/>
        <v>S</v>
      </c>
      <c r="Q100" s="26">
        <v>6.0</v>
      </c>
      <c r="R100" s="26" t="str">
        <f t="shared" si="223"/>
        <v>R</v>
      </c>
      <c r="S100" s="32" t="s">
        <v>357</v>
      </c>
      <c r="T100" s="32" t="s">
        <v>357</v>
      </c>
      <c r="U100" s="26">
        <v>14.0</v>
      </c>
      <c r="V100" s="26" t="str">
        <f t="shared" si="224"/>
        <v>R</v>
      </c>
      <c r="W100" s="26">
        <v>27.0</v>
      </c>
      <c r="X100" s="26" t="str">
        <f t="shared" si="225"/>
        <v>S</v>
      </c>
      <c r="Y100" s="26">
        <v>29.0</v>
      </c>
      <c r="Z100" s="26" t="str">
        <f t="shared" si="226"/>
        <v>S</v>
      </c>
      <c r="AA100" s="32" t="s">
        <v>299</v>
      </c>
      <c r="AB100" s="33">
        <v>6.0</v>
      </c>
      <c r="AC100" s="33" t="str">
        <f t="shared" si="227"/>
        <v>R</v>
      </c>
      <c r="AD100" s="33">
        <v>26.0</v>
      </c>
      <c r="AE100" s="33" t="str">
        <f t="shared" si="228"/>
        <v>S</v>
      </c>
      <c r="AF100" s="33">
        <v>22.0</v>
      </c>
      <c r="AG100" s="33" t="str">
        <f t="shared" si="229"/>
        <v>S</v>
      </c>
      <c r="AH100" s="33">
        <v>28.0</v>
      </c>
      <c r="AI100" s="33" t="str">
        <f t="shared" si="230"/>
        <v>S</v>
      </c>
      <c r="AJ100" s="33">
        <v>25.0</v>
      </c>
      <c r="AK100" s="33" t="str">
        <f t="shared" si="231"/>
        <v>I</v>
      </c>
      <c r="AL100" s="33" t="s">
        <v>299</v>
      </c>
      <c r="AM100" s="36">
        <v>22.0</v>
      </c>
      <c r="AN100" s="36" t="str">
        <f t="shared" si="232"/>
        <v>I</v>
      </c>
      <c r="AO100" s="36">
        <v>22.0</v>
      </c>
      <c r="AP100" s="36" t="str">
        <f t="shared" si="233"/>
        <v>I</v>
      </c>
      <c r="AQ100" s="36">
        <v>20.0</v>
      </c>
      <c r="AR100" s="36" t="str">
        <f t="shared" si="234"/>
        <v>S</v>
      </c>
      <c r="AS100" s="36" t="s">
        <v>300</v>
      </c>
      <c r="AT100" s="37">
        <v>28.0</v>
      </c>
      <c r="AU100" s="37" t="str">
        <f t="shared" si="235"/>
        <v>S</v>
      </c>
      <c r="AV100" s="33">
        <v>20.0</v>
      </c>
      <c r="AW100" s="33" t="str">
        <f t="shared" si="236"/>
        <v>S</v>
      </c>
      <c r="AX100" s="33">
        <v>22.0</v>
      </c>
      <c r="AY100" s="33" t="str">
        <f t="shared" si="237"/>
        <v>S</v>
      </c>
      <c r="AZ100" s="33" t="s">
        <v>300</v>
      </c>
      <c r="BA100" s="26">
        <v>17.0</v>
      </c>
      <c r="BB100" s="26" t="str">
        <f t="shared" si="238"/>
        <v>R</v>
      </c>
      <c r="BC100" s="37">
        <v>22.0</v>
      </c>
      <c r="BD100" s="37" t="str">
        <f t="shared" si="239"/>
        <v>I</v>
      </c>
      <c r="BE100" s="36">
        <v>29.0</v>
      </c>
      <c r="BF100" s="36" t="str">
        <f t="shared" si="240"/>
        <v>S</v>
      </c>
      <c r="BG100" s="39" t="s">
        <v>357</v>
      </c>
      <c r="BH100" s="39" t="s">
        <v>357</v>
      </c>
      <c r="BI100" s="36">
        <v>30.0</v>
      </c>
      <c r="BJ100" s="36" t="str">
        <f t="shared" si="241"/>
        <v>S</v>
      </c>
      <c r="BK100" s="40">
        <v>21.0</v>
      </c>
      <c r="BL100" s="41" t="str">
        <f t="shared" si="242"/>
        <v>S</v>
      </c>
      <c r="BM100" s="41"/>
    </row>
    <row r="101">
      <c r="A101" s="18" t="s">
        <v>768</v>
      </c>
      <c r="B101" s="18" t="s">
        <v>444</v>
      </c>
      <c r="C101" s="18" t="s">
        <v>1314</v>
      </c>
      <c r="D101" s="18" t="s">
        <v>571</v>
      </c>
      <c r="E101" s="18" t="s">
        <v>572</v>
      </c>
      <c r="F101" s="18" t="s">
        <v>192</v>
      </c>
      <c r="G101" s="20" t="s">
        <v>1315</v>
      </c>
      <c r="H101" s="42" t="s">
        <v>479</v>
      </c>
      <c r="I101" s="80" t="s">
        <v>1011</v>
      </c>
      <c r="J101" s="82" t="s">
        <v>208</v>
      </c>
      <c r="K101" s="82" t="s">
        <v>208</v>
      </c>
      <c r="L101" s="81" t="s">
        <v>208</v>
      </c>
      <c r="M101" s="26">
        <v>12.0</v>
      </c>
      <c r="N101" s="26" t="str">
        <f t="shared" si="221"/>
        <v>R</v>
      </c>
      <c r="O101" s="26">
        <v>27.0</v>
      </c>
      <c r="P101" s="26" t="str">
        <f t="shared" si="222"/>
        <v>S</v>
      </c>
      <c r="Q101" s="26">
        <v>18.0</v>
      </c>
      <c r="R101" s="26" t="str">
        <f t="shared" si="223"/>
        <v>R</v>
      </c>
      <c r="S101" s="32" t="s">
        <v>357</v>
      </c>
      <c r="T101" s="32" t="s">
        <v>357</v>
      </c>
      <c r="U101" s="26">
        <v>25.0</v>
      </c>
      <c r="V101" s="26" t="str">
        <f t="shared" si="224"/>
        <v>S</v>
      </c>
      <c r="W101" s="26">
        <v>28.0</v>
      </c>
      <c r="X101" s="26" t="str">
        <f t="shared" si="225"/>
        <v>S</v>
      </c>
      <c r="Y101" s="26">
        <v>29.0</v>
      </c>
      <c r="Z101" s="26" t="str">
        <f t="shared" si="226"/>
        <v>S</v>
      </c>
      <c r="AA101" s="32" t="s">
        <v>299</v>
      </c>
      <c r="AB101" s="33">
        <v>30.0</v>
      </c>
      <c r="AC101" s="33" t="str">
        <f t="shared" si="227"/>
        <v>S</v>
      </c>
      <c r="AD101" s="33">
        <v>28.0</v>
      </c>
      <c r="AE101" s="33" t="str">
        <f t="shared" si="228"/>
        <v>S</v>
      </c>
      <c r="AF101" s="33">
        <v>30.0</v>
      </c>
      <c r="AG101" s="33" t="str">
        <f t="shared" si="229"/>
        <v>S</v>
      </c>
      <c r="AH101" s="33">
        <v>30.0</v>
      </c>
      <c r="AI101" s="33" t="str">
        <f t="shared" si="230"/>
        <v>S</v>
      </c>
      <c r="AJ101" s="33">
        <v>36.0</v>
      </c>
      <c r="AK101" s="33" t="str">
        <f t="shared" si="231"/>
        <v>S</v>
      </c>
      <c r="AL101" s="33" t="s">
        <v>300</v>
      </c>
      <c r="AM101" s="36">
        <v>30.0</v>
      </c>
      <c r="AN101" s="36" t="str">
        <f t="shared" si="232"/>
        <v>S</v>
      </c>
      <c r="AO101" s="36">
        <v>29.0</v>
      </c>
      <c r="AP101" s="36" t="str">
        <f t="shared" si="233"/>
        <v>S</v>
      </c>
      <c r="AQ101" s="36">
        <v>22.0</v>
      </c>
      <c r="AR101" s="36" t="str">
        <f t="shared" si="234"/>
        <v>S</v>
      </c>
      <c r="AS101" s="36" t="s">
        <v>300</v>
      </c>
      <c r="AT101" s="37">
        <v>19.0</v>
      </c>
      <c r="AU101" s="37" t="str">
        <f t="shared" si="235"/>
        <v>S</v>
      </c>
      <c r="AV101" s="33">
        <v>22.0</v>
      </c>
      <c r="AW101" s="33" t="str">
        <f t="shared" si="236"/>
        <v>S</v>
      </c>
      <c r="AX101" s="33">
        <v>23.0</v>
      </c>
      <c r="AY101" s="33" t="str">
        <f t="shared" si="237"/>
        <v>S</v>
      </c>
      <c r="AZ101" s="33" t="s">
        <v>300</v>
      </c>
      <c r="BA101" s="26">
        <v>17.0</v>
      </c>
      <c r="BB101" s="26" t="str">
        <f t="shared" si="238"/>
        <v>R</v>
      </c>
      <c r="BC101" s="37">
        <v>38.0</v>
      </c>
      <c r="BD101" s="37" t="str">
        <f t="shared" si="239"/>
        <v>S</v>
      </c>
      <c r="BE101" s="36">
        <v>31.0</v>
      </c>
      <c r="BF101" s="36" t="str">
        <f t="shared" si="240"/>
        <v>S</v>
      </c>
      <c r="BG101" s="39" t="s">
        <v>357</v>
      </c>
      <c r="BH101" s="39" t="s">
        <v>357</v>
      </c>
      <c r="BI101" s="36">
        <v>30.0</v>
      </c>
      <c r="BJ101" s="36" t="str">
        <f t="shared" si="241"/>
        <v>S</v>
      </c>
      <c r="BK101" s="40">
        <v>22.0</v>
      </c>
      <c r="BL101" s="41" t="str">
        <f t="shared" si="242"/>
        <v>S</v>
      </c>
      <c r="BM101" s="41"/>
    </row>
    <row r="102">
      <c r="A102" s="18" t="s">
        <v>768</v>
      </c>
      <c r="B102" s="18" t="s">
        <v>444</v>
      </c>
      <c r="C102" s="18" t="s">
        <v>1316</v>
      </c>
      <c r="D102" s="18" t="s">
        <v>571</v>
      </c>
      <c r="E102" s="18" t="s">
        <v>572</v>
      </c>
      <c r="F102" s="18" t="s">
        <v>192</v>
      </c>
      <c r="G102" s="20" t="s">
        <v>1317</v>
      </c>
      <c r="H102" s="59" t="s">
        <v>1092</v>
      </c>
      <c r="I102" s="80" t="s">
        <v>1011</v>
      </c>
      <c r="J102" s="82" t="s">
        <v>208</v>
      </c>
      <c r="K102" s="82" t="s">
        <v>208</v>
      </c>
      <c r="L102" s="81" t="s">
        <v>208</v>
      </c>
      <c r="M102" s="26">
        <v>29.0</v>
      </c>
      <c r="N102" s="26" t="str">
        <f t="shared" si="221"/>
        <v>S</v>
      </c>
      <c r="O102" s="26">
        <v>27.0</v>
      </c>
      <c r="P102" s="26" t="str">
        <f t="shared" si="222"/>
        <v>S</v>
      </c>
      <c r="Q102" s="26">
        <v>32.0</v>
      </c>
      <c r="R102" s="26" t="str">
        <f t="shared" si="223"/>
        <v>S</v>
      </c>
      <c r="S102" s="32" t="s">
        <v>357</v>
      </c>
      <c r="T102" s="32" t="s">
        <v>357</v>
      </c>
      <c r="U102" s="26">
        <v>25.0</v>
      </c>
      <c r="V102" s="26" t="str">
        <f t="shared" si="224"/>
        <v>S</v>
      </c>
      <c r="W102" s="26">
        <v>28.0</v>
      </c>
      <c r="X102" s="26" t="str">
        <f t="shared" si="225"/>
        <v>S</v>
      </c>
      <c r="Y102" s="26">
        <v>27.0</v>
      </c>
      <c r="Z102" s="26" t="str">
        <f t="shared" si="226"/>
        <v>S</v>
      </c>
      <c r="AA102" s="32" t="s">
        <v>300</v>
      </c>
      <c r="AB102" s="33">
        <v>27.0</v>
      </c>
      <c r="AC102" s="33" t="str">
        <f t="shared" si="227"/>
        <v>S</v>
      </c>
      <c r="AD102" s="33">
        <v>30.0</v>
      </c>
      <c r="AE102" s="33" t="str">
        <f t="shared" si="228"/>
        <v>S</v>
      </c>
      <c r="AF102" s="33">
        <v>29.0</v>
      </c>
      <c r="AG102" s="33" t="str">
        <f t="shared" si="229"/>
        <v>S</v>
      </c>
      <c r="AH102" s="33">
        <v>29.0</v>
      </c>
      <c r="AI102" s="33" t="str">
        <f t="shared" si="230"/>
        <v>S</v>
      </c>
      <c r="AJ102" s="33">
        <v>33.0</v>
      </c>
      <c r="AK102" s="33" t="str">
        <f t="shared" si="231"/>
        <v>S</v>
      </c>
      <c r="AL102" s="33" t="s">
        <v>300</v>
      </c>
      <c r="AM102" s="36">
        <v>31.0</v>
      </c>
      <c r="AN102" s="36" t="str">
        <f t="shared" si="232"/>
        <v>S</v>
      </c>
      <c r="AO102" s="36">
        <v>27.0</v>
      </c>
      <c r="AP102" s="36" t="str">
        <f t="shared" si="233"/>
        <v>S</v>
      </c>
      <c r="AQ102" s="36">
        <v>19.0</v>
      </c>
      <c r="AR102" s="36" t="str">
        <f t="shared" si="234"/>
        <v>S</v>
      </c>
      <c r="AS102" s="36" t="s">
        <v>300</v>
      </c>
      <c r="AT102" s="37">
        <v>30.0</v>
      </c>
      <c r="AU102" s="37" t="str">
        <f t="shared" si="235"/>
        <v>S</v>
      </c>
      <c r="AV102" s="33">
        <v>22.0</v>
      </c>
      <c r="AW102" s="33" t="str">
        <f t="shared" si="236"/>
        <v>S</v>
      </c>
      <c r="AX102" s="33">
        <v>22.0</v>
      </c>
      <c r="AY102" s="33" t="str">
        <f t="shared" si="237"/>
        <v>S</v>
      </c>
      <c r="AZ102" s="33" t="s">
        <v>300</v>
      </c>
      <c r="BA102" s="26">
        <v>15.0</v>
      </c>
      <c r="BB102" s="26" t="str">
        <f t="shared" si="238"/>
        <v>R</v>
      </c>
      <c r="BC102" s="37">
        <v>36.0</v>
      </c>
      <c r="BD102" s="37" t="str">
        <f t="shared" si="239"/>
        <v>S</v>
      </c>
      <c r="BE102" s="36">
        <v>34.0</v>
      </c>
      <c r="BF102" s="36" t="str">
        <f t="shared" si="240"/>
        <v>S</v>
      </c>
      <c r="BG102" s="39" t="s">
        <v>357</v>
      </c>
      <c r="BH102" s="39" t="s">
        <v>357</v>
      </c>
      <c r="BI102" s="36">
        <v>33.0</v>
      </c>
      <c r="BJ102" s="36" t="str">
        <f t="shared" si="241"/>
        <v>S</v>
      </c>
      <c r="BK102" s="40">
        <v>22.0</v>
      </c>
      <c r="BL102" s="41" t="str">
        <f t="shared" si="242"/>
        <v>S</v>
      </c>
      <c r="BM102" s="41"/>
    </row>
    <row r="103">
      <c r="A103" s="18" t="s">
        <v>768</v>
      </c>
      <c r="B103" s="19">
        <v>84.0</v>
      </c>
      <c r="C103" s="18" t="s">
        <v>1318</v>
      </c>
      <c r="D103" s="18" t="s">
        <v>705</v>
      </c>
      <c r="E103" s="18" t="s">
        <v>572</v>
      </c>
      <c r="F103" s="18" t="s">
        <v>573</v>
      </c>
      <c r="G103" s="20" t="s">
        <v>357</v>
      </c>
      <c r="H103" s="47" t="s">
        <v>357</v>
      </c>
      <c r="I103" s="83" t="s">
        <v>357</v>
      </c>
      <c r="J103" s="82" t="s">
        <v>208</v>
      </c>
      <c r="K103" s="82" t="s">
        <v>208</v>
      </c>
      <c r="L103" s="82" t="s">
        <v>208</v>
      </c>
      <c r="M103" s="32" t="s">
        <v>357</v>
      </c>
      <c r="N103" s="32" t="s">
        <v>357</v>
      </c>
      <c r="O103" s="32" t="s">
        <v>357</v>
      </c>
      <c r="P103" s="32" t="s">
        <v>357</v>
      </c>
      <c r="Q103" s="32" t="s">
        <v>357</v>
      </c>
      <c r="R103" s="32" t="s">
        <v>357</v>
      </c>
      <c r="S103" s="32" t="s">
        <v>357</v>
      </c>
      <c r="T103" s="32" t="s">
        <v>357</v>
      </c>
      <c r="U103" s="32" t="s">
        <v>357</v>
      </c>
      <c r="V103" s="32" t="s">
        <v>357</v>
      </c>
      <c r="W103" s="32" t="s">
        <v>357</v>
      </c>
      <c r="X103" s="32" t="s">
        <v>357</v>
      </c>
      <c r="Y103" s="32" t="s">
        <v>357</v>
      </c>
      <c r="Z103" s="32" t="s">
        <v>357</v>
      </c>
      <c r="AA103" s="32" t="s">
        <v>357</v>
      </c>
      <c r="AB103" s="49" t="s">
        <v>357</v>
      </c>
      <c r="AC103" s="49" t="s">
        <v>357</v>
      </c>
      <c r="AD103" s="49" t="s">
        <v>357</v>
      </c>
      <c r="AE103" s="49" t="s">
        <v>357</v>
      </c>
      <c r="AF103" s="49" t="s">
        <v>357</v>
      </c>
      <c r="AG103" s="49" t="s">
        <v>357</v>
      </c>
      <c r="AH103" s="49" t="s">
        <v>357</v>
      </c>
      <c r="AI103" s="49" t="s">
        <v>357</v>
      </c>
      <c r="AJ103" s="49" t="s">
        <v>357</v>
      </c>
      <c r="AK103" s="49" t="s">
        <v>357</v>
      </c>
      <c r="AL103" s="49" t="s">
        <v>357</v>
      </c>
      <c r="AM103" s="39" t="s">
        <v>357</v>
      </c>
      <c r="AN103" s="39" t="s">
        <v>357</v>
      </c>
      <c r="AO103" s="39" t="s">
        <v>357</v>
      </c>
      <c r="AP103" s="39" t="s">
        <v>357</v>
      </c>
      <c r="AQ103" s="39" t="s">
        <v>357</v>
      </c>
      <c r="AR103" s="39" t="s">
        <v>357</v>
      </c>
      <c r="AS103" s="39" t="s">
        <v>357</v>
      </c>
      <c r="AT103" s="50" t="s">
        <v>357</v>
      </c>
      <c r="AU103" s="50" t="s">
        <v>357</v>
      </c>
      <c r="AV103" s="49" t="s">
        <v>357</v>
      </c>
      <c r="AW103" s="49" t="s">
        <v>357</v>
      </c>
      <c r="AX103" s="49" t="s">
        <v>357</v>
      </c>
      <c r="AY103" s="49" t="s">
        <v>357</v>
      </c>
      <c r="AZ103" s="49" t="s">
        <v>357</v>
      </c>
      <c r="BA103" s="32" t="s">
        <v>357</v>
      </c>
      <c r="BB103" s="32" t="s">
        <v>357</v>
      </c>
      <c r="BC103" s="50" t="s">
        <v>357</v>
      </c>
      <c r="BD103" s="50" t="s">
        <v>357</v>
      </c>
      <c r="BE103" s="39" t="s">
        <v>357</v>
      </c>
      <c r="BF103" s="39" t="s">
        <v>357</v>
      </c>
      <c r="BG103" s="39" t="s">
        <v>357</v>
      </c>
      <c r="BH103" s="39" t="s">
        <v>357</v>
      </c>
      <c r="BI103" s="39" t="s">
        <v>357</v>
      </c>
      <c r="BJ103" s="39" t="s">
        <v>357</v>
      </c>
      <c r="BK103" s="41" t="s">
        <v>357</v>
      </c>
      <c r="BL103" s="41" t="s">
        <v>357</v>
      </c>
      <c r="BM103" s="41"/>
    </row>
    <row r="104">
      <c r="A104" s="18" t="s">
        <v>768</v>
      </c>
      <c r="B104" s="19">
        <v>85.0</v>
      </c>
      <c r="C104" s="18" t="s">
        <v>1319</v>
      </c>
      <c r="D104" s="18" t="s">
        <v>182</v>
      </c>
      <c r="E104" s="18" t="s">
        <v>103</v>
      </c>
      <c r="F104" s="18" t="s">
        <v>192</v>
      </c>
      <c r="G104" s="20" t="s">
        <v>1320</v>
      </c>
      <c r="H104" s="22" t="s">
        <v>198</v>
      </c>
      <c r="I104" s="84" t="s">
        <v>37</v>
      </c>
      <c r="J104" s="81" t="s">
        <v>205</v>
      </c>
      <c r="K104" s="81" t="s">
        <v>205</v>
      </c>
      <c r="L104" s="81" t="s">
        <v>208</v>
      </c>
      <c r="M104" s="26">
        <v>6.0</v>
      </c>
      <c r="N104" s="26" t="str">
        <f t="shared" ref="N104:N125" si="243">IF((M104&gt;=19),"S",IF(AND(M104&lt;19),"R", "NA"))</f>
        <v>R</v>
      </c>
      <c r="O104" s="26">
        <v>27.0</v>
      </c>
      <c r="P104" s="26" t="str">
        <f t="shared" ref="P104:P125" si="244">IF((O104&gt;=19),"S",IF(AND(O104&lt;19),"R", "NA"))</f>
        <v>S</v>
      </c>
      <c r="Q104" s="26">
        <v>6.0</v>
      </c>
      <c r="R104" s="26" t="str">
        <f t="shared" ref="R104:R125" si="245">IF((Q104&gt;=23),"S",IF(AND(Q104&lt;23),"R","NA"))</f>
        <v>R</v>
      </c>
      <c r="S104" s="32" t="s">
        <v>357</v>
      </c>
      <c r="T104" s="32" t="s">
        <v>357</v>
      </c>
      <c r="U104" s="26">
        <v>11.0</v>
      </c>
      <c r="V104" s="26" t="str">
        <f t="shared" ref="V104:V125" si="246">IF((U104&gt;=20),"S",IF(AND(U104&lt;20),"R", "NA"))</f>
        <v>R</v>
      </c>
      <c r="W104" s="26">
        <v>26.0</v>
      </c>
      <c r="X104" s="26" t="str">
        <f t="shared" ref="X104:X125" si="247">IF((W104&gt;=20),"S",IF(AND(W104&lt;20),"R", "NA"))</f>
        <v>S</v>
      </c>
      <c r="Y104" s="26">
        <v>27.0</v>
      </c>
      <c r="Z104" s="26" t="str">
        <f t="shared" ref="Z104:Z125" si="248">IF((Y104&gt;=20),"S",IF(AND(Y104&lt;20,Y104&gt;=17),"I",IF(AND(Y104&lt;17),"R","NA")))</f>
        <v>S</v>
      </c>
      <c r="AA104" s="32" t="s">
        <v>299</v>
      </c>
      <c r="AB104" s="33">
        <v>6.0</v>
      </c>
      <c r="AC104" s="33" t="str">
        <f t="shared" ref="AC104:AC125" si="249">IF((AB104&gt;=20),"S",IF(AND(AB104&lt;20,AB104&gt;=17),"I",IF(AND(AB104&lt;17),"R","NA")))</f>
        <v>R</v>
      </c>
      <c r="AD104" s="33">
        <v>22.0</v>
      </c>
      <c r="AE104" s="33" t="str">
        <f t="shared" ref="AE104:AE125" si="250">IF((AD104&gt;=18),"S",IF(AND(AD104&lt;18),"R", "NA"))</f>
        <v>S</v>
      </c>
      <c r="AF104" s="33">
        <v>18.0</v>
      </c>
      <c r="AG104" s="33" t="str">
        <f t="shared" ref="AG104:AG125" si="251">IF((AF104&gt;=22),"S",IF(AND(AF104&lt;22,AF104&gt;=19),"I",IF(AND(AF104&lt;19),"R","NA")))</f>
        <v>R</v>
      </c>
      <c r="AH104" s="33">
        <v>30.0</v>
      </c>
      <c r="AI104" s="33" t="str">
        <f t="shared" ref="AI104:AI125" si="252">IF((AH104&gt;=13),"S",IF(AND(AH104&lt;13),"R", "NA"))</f>
        <v>S</v>
      </c>
      <c r="AJ104" s="33">
        <v>22.0</v>
      </c>
      <c r="AK104" s="33" t="str">
        <f t="shared" ref="AK104:AK125" si="253">IF((AJ104&gt;=27),"S",IF(AND(AJ104&lt;27,AJ104&gt;=24),"I",IF(AND(AJ104&lt;24),"R","NA")))</f>
        <v>R</v>
      </c>
      <c r="AL104" s="33" t="s">
        <v>299</v>
      </c>
      <c r="AM104" s="36">
        <v>18.0</v>
      </c>
      <c r="AN104" s="36" t="str">
        <f t="shared" ref="AN104:AN125" si="254">IF((AM104&gt;=25),"S",IF(AND(AM104&lt;25,AM104&gt;=22),"I",IF(AND(AM104&lt;22),"R","NA")))</f>
        <v>R</v>
      </c>
      <c r="AO104" s="36">
        <v>15.0</v>
      </c>
      <c r="AP104" s="36" t="str">
        <f t="shared" ref="AP104:AP125" si="255">IF((AO104&gt;=23),"S",IF(AND(AO104&lt;23,AO104&gt;=19),"I",IF(AND(AO104&lt;19),"R","NA")))</f>
        <v>R</v>
      </c>
      <c r="AQ104" s="36">
        <v>6.0</v>
      </c>
      <c r="AR104" s="36" t="str">
        <f t="shared" ref="AR104:AR125" si="256">IF((AQ104&gt;=14),"S",IF(AND(AQ104&lt;14),"R","NA"))</f>
        <v>R</v>
      </c>
      <c r="AS104" s="36" t="s">
        <v>299</v>
      </c>
      <c r="AT104" s="37">
        <v>34.0</v>
      </c>
      <c r="AU104" s="37" t="str">
        <f t="shared" ref="AU104:AU125" si="257">IF((AT104&gt;=14),"S",IF(AND(AT104&lt;14,AT104&gt;=11),"I",IF(AND(AT104&lt;11),"R","NA")))</f>
        <v>S</v>
      </c>
      <c r="AV104" s="33">
        <v>22.0</v>
      </c>
      <c r="AW104" s="33" t="str">
        <f t="shared" ref="AW104:AW125" si="258">IF((AV104&gt;=18),"S",IF(AND(AV104&lt;18),"R", "NA"))</f>
        <v>S</v>
      </c>
      <c r="AX104" s="33">
        <v>24.0</v>
      </c>
      <c r="AY104" s="33" t="str">
        <f t="shared" ref="AY104:AY125" si="259">IF((AX104&gt;=16),"S",IF(AND(AX104&lt;16),"R", "NA"))</f>
        <v>S</v>
      </c>
      <c r="AZ104" s="33" t="s">
        <v>300</v>
      </c>
      <c r="BA104" s="26">
        <v>19.0</v>
      </c>
      <c r="BB104" s="26" t="str">
        <f t="shared" ref="BB104:BB125" si="260">IF((BA104&gt;=20),"S",IF(AND(BA104&lt;20),"R", "NA"))</f>
        <v>R</v>
      </c>
      <c r="BC104" s="37">
        <v>16.0</v>
      </c>
      <c r="BD104" s="37" t="str">
        <f t="shared" ref="BD104:BD125" si="261">IF((BC104&gt;=26),"S",IF(AND(BC104&lt;26,BC104&gt;=21),"I",IF(AND(BC104&lt;21),"R","NA")))</f>
        <v>R</v>
      </c>
      <c r="BE104" s="36">
        <v>30.0</v>
      </c>
      <c r="BF104" s="36" t="str">
        <f t="shared" ref="BF104:BF125" si="262">IF((BE104&gt;=23),"S",IF(AND(BE104&lt;23),"R","NA"))</f>
        <v>S</v>
      </c>
      <c r="BG104" s="39" t="s">
        <v>357</v>
      </c>
      <c r="BH104" s="39" t="s">
        <v>357</v>
      </c>
      <c r="BI104" s="36">
        <v>31.0</v>
      </c>
      <c r="BJ104" s="36" t="str">
        <f t="shared" ref="BJ104:BJ125" si="263">IF((BI104&gt;=22),"S",IF(AND(BI104&lt;22,BI104&gt;=19),"I",IF(AND(BI104&lt;19),"R","NA")))</f>
        <v>S</v>
      </c>
      <c r="BK104" s="40">
        <v>22.0</v>
      </c>
      <c r="BL104" s="41" t="str">
        <f t="shared" ref="BL104:BL125" si="264">IF((BK104&gt;=17),"S",IF(AND(BK104&lt;17),"R", "NA"))</f>
        <v>S</v>
      </c>
      <c r="BM104" s="41"/>
    </row>
    <row r="105">
      <c r="A105" s="18" t="s">
        <v>768</v>
      </c>
      <c r="B105" s="18" t="s">
        <v>444</v>
      </c>
      <c r="C105" s="18" t="s">
        <v>1321</v>
      </c>
      <c r="D105" s="18" t="s">
        <v>182</v>
      </c>
      <c r="E105" s="18" t="s">
        <v>103</v>
      </c>
      <c r="F105" s="18" t="s">
        <v>192</v>
      </c>
      <c r="G105" s="20" t="s">
        <v>1322</v>
      </c>
      <c r="H105" s="42" t="s">
        <v>479</v>
      </c>
      <c r="I105" s="80" t="s">
        <v>481</v>
      </c>
      <c r="J105" s="82" t="s">
        <v>205</v>
      </c>
      <c r="K105" s="82" t="s">
        <v>208</v>
      </c>
      <c r="L105" s="81" t="s">
        <v>208</v>
      </c>
      <c r="M105" s="26">
        <v>6.0</v>
      </c>
      <c r="N105" s="26" t="str">
        <f t="shared" si="243"/>
        <v>R</v>
      </c>
      <c r="O105" s="26">
        <v>21.0</v>
      </c>
      <c r="P105" s="26" t="str">
        <f t="shared" si="244"/>
        <v>S</v>
      </c>
      <c r="Q105" s="26">
        <v>6.0</v>
      </c>
      <c r="R105" s="26" t="str">
        <f t="shared" si="245"/>
        <v>R</v>
      </c>
      <c r="S105" s="32" t="s">
        <v>357</v>
      </c>
      <c r="T105" s="32" t="s">
        <v>357</v>
      </c>
      <c r="U105" s="26">
        <v>15.0</v>
      </c>
      <c r="V105" s="26" t="str">
        <f t="shared" si="246"/>
        <v>R</v>
      </c>
      <c r="W105" s="26">
        <v>27.0</v>
      </c>
      <c r="X105" s="26" t="str">
        <f t="shared" si="247"/>
        <v>S</v>
      </c>
      <c r="Y105" s="26">
        <v>22.0</v>
      </c>
      <c r="Z105" s="26" t="str">
        <f t="shared" si="248"/>
        <v>S</v>
      </c>
      <c r="AA105" s="32" t="s">
        <v>299</v>
      </c>
      <c r="AB105" s="33">
        <v>10.0</v>
      </c>
      <c r="AC105" s="33" t="str">
        <f t="shared" si="249"/>
        <v>R</v>
      </c>
      <c r="AD105" s="33">
        <v>26.0</v>
      </c>
      <c r="AE105" s="33" t="str">
        <f t="shared" si="250"/>
        <v>S</v>
      </c>
      <c r="AF105" s="33">
        <v>20.0</v>
      </c>
      <c r="AG105" s="33" t="str">
        <f t="shared" si="251"/>
        <v>I</v>
      </c>
      <c r="AH105" s="33">
        <v>30.0</v>
      </c>
      <c r="AI105" s="33" t="str">
        <f t="shared" si="252"/>
        <v>S</v>
      </c>
      <c r="AJ105" s="33">
        <v>26.0</v>
      </c>
      <c r="AK105" s="33" t="str">
        <f t="shared" si="253"/>
        <v>I</v>
      </c>
      <c r="AL105" s="33" t="s">
        <v>299</v>
      </c>
      <c r="AM105" s="36">
        <v>25.0</v>
      </c>
      <c r="AN105" s="36" t="str">
        <f t="shared" si="254"/>
        <v>S</v>
      </c>
      <c r="AO105" s="36">
        <v>19.0</v>
      </c>
      <c r="AP105" s="36" t="str">
        <f t="shared" si="255"/>
        <v>I</v>
      </c>
      <c r="AQ105" s="36">
        <v>22.0</v>
      </c>
      <c r="AR105" s="36" t="str">
        <f t="shared" si="256"/>
        <v>S</v>
      </c>
      <c r="AS105" s="36" t="s">
        <v>300</v>
      </c>
      <c r="AT105" s="37">
        <v>6.0</v>
      </c>
      <c r="AU105" s="37" t="str">
        <f t="shared" si="257"/>
        <v>R</v>
      </c>
      <c r="AV105" s="33">
        <v>23.0</v>
      </c>
      <c r="AW105" s="33" t="str">
        <f t="shared" si="258"/>
        <v>S</v>
      </c>
      <c r="AX105" s="33">
        <v>24.0</v>
      </c>
      <c r="AY105" s="33" t="str">
        <f t="shared" si="259"/>
        <v>S</v>
      </c>
      <c r="AZ105" s="33" t="s">
        <v>300</v>
      </c>
      <c r="BA105" s="26">
        <v>18.0</v>
      </c>
      <c r="BB105" s="26" t="str">
        <f t="shared" si="260"/>
        <v>R</v>
      </c>
      <c r="BC105" s="37">
        <v>21.0</v>
      </c>
      <c r="BD105" s="37" t="str">
        <f t="shared" si="261"/>
        <v>I</v>
      </c>
      <c r="BE105" s="36">
        <v>33.0</v>
      </c>
      <c r="BF105" s="36" t="str">
        <f t="shared" si="262"/>
        <v>S</v>
      </c>
      <c r="BG105" s="39" t="s">
        <v>357</v>
      </c>
      <c r="BH105" s="39" t="s">
        <v>357</v>
      </c>
      <c r="BI105" s="36">
        <v>30.0</v>
      </c>
      <c r="BJ105" s="36" t="str">
        <f t="shared" si="263"/>
        <v>S</v>
      </c>
      <c r="BK105" s="40">
        <v>23.0</v>
      </c>
      <c r="BL105" s="41" t="str">
        <f t="shared" si="264"/>
        <v>S</v>
      </c>
      <c r="BM105" s="41"/>
    </row>
    <row r="106">
      <c r="A106" s="18" t="s">
        <v>768</v>
      </c>
      <c r="B106" s="18" t="s">
        <v>444</v>
      </c>
      <c r="C106" s="18" t="s">
        <v>1323</v>
      </c>
      <c r="D106" s="18" t="s">
        <v>182</v>
      </c>
      <c r="E106" s="18" t="s">
        <v>103</v>
      </c>
      <c r="F106" s="18" t="s">
        <v>192</v>
      </c>
      <c r="G106" s="20" t="s">
        <v>1324</v>
      </c>
      <c r="H106" s="22" t="s">
        <v>198</v>
      </c>
      <c r="I106" s="80" t="s">
        <v>1011</v>
      </c>
      <c r="J106" s="82" t="s">
        <v>208</v>
      </c>
      <c r="K106" s="82" t="s">
        <v>208</v>
      </c>
      <c r="L106" s="81" t="s">
        <v>208</v>
      </c>
      <c r="M106" s="26">
        <v>24.0</v>
      </c>
      <c r="N106" s="26" t="str">
        <f t="shared" si="243"/>
        <v>S</v>
      </c>
      <c r="O106" s="26">
        <v>27.0</v>
      </c>
      <c r="P106" s="26" t="str">
        <f t="shared" si="244"/>
        <v>S</v>
      </c>
      <c r="Q106" s="26">
        <v>32.0</v>
      </c>
      <c r="R106" s="26" t="str">
        <f t="shared" si="245"/>
        <v>S</v>
      </c>
      <c r="S106" s="32" t="s">
        <v>357</v>
      </c>
      <c r="T106" s="32" t="s">
        <v>357</v>
      </c>
      <c r="U106" s="26">
        <v>30.0</v>
      </c>
      <c r="V106" s="26" t="str">
        <f t="shared" si="246"/>
        <v>S</v>
      </c>
      <c r="W106" s="26">
        <v>29.0</v>
      </c>
      <c r="X106" s="26" t="str">
        <f t="shared" si="247"/>
        <v>S</v>
      </c>
      <c r="Y106" s="26">
        <v>27.0</v>
      </c>
      <c r="Z106" s="26" t="str">
        <f t="shared" si="248"/>
        <v>S</v>
      </c>
      <c r="AA106" s="32" t="s">
        <v>300</v>
      </c>
      <c r="AB106" s="33">
        <v>30.0</v>
      </c>
      <c r="AC106" s="33" t="str">
        <f t="shared" si="249"/>
        <v>S</v>
      </c>
      <c r="AD106" s="33">
        <v>28.0</v>
      </c>
      <c r="AE106" s="33" t="str">
        <f t="shared" si="250"/>
        <v>S</v>
      </c>
      <c r="AF106" s="33">
        <v>30.0</v>
      </c>
      <c r="AG106" s="33" t="str">
        <f t="shared" si="251"/>
        <v>S</v>
      </c>
      <c r="AH106" s="33">
        <v>31.0</v>
      </c>
      <c r="AI106" s="33" t="str">
        <f t="shared" si="252"/>
        <v>S</v>
      </c>
      <c r="AJ106" s="33">
        <v>32.0</v>
      </c>
      <c r="AK106" s="33" t="str">
        <f t="shared" si="253"/>
        <v>S</v>
      </c>
      <c r="AL106" s="33" t="s">
        <v>300</v>
      </c>
      <c r="AM106" s="36">
        <v>38.0</v>
      </c>
      <c r="AN106" s="36" t="str">
        <f t="shared" si="254"/>
        <v>S</v>
      </c>
      <c r="AO106" s="36">
        <v>36.0</v>
      </c>
      <c r="AP106" s="36" t="str">
        <f t="shared" si="255"/>
        <v>S</v>
      </c>
      <c r="AQ106" s="36">
        <v>27.0</v>
      </c>
      <c r="AR106" s="36" t="str">
        <f t="shared" si="256"/>
        <v>S</v>
      </c>
      <c r="AS106" s="36" t="s">
        <v>300</v>
      </c>
      <c r="AT106" s="37">
        <v>31.0</v>
      </c>
      <c r="AU106" s="37" t="str">
        <f t="shared" si="257"/>
        <v>S</v>
      </c>
      <c r="AV106" s="33">
        <v>22.0</v>
      </c>
      <c r="AW106" s="33" t="str">
        <f t="shared" si="258"/>
        <v>S</v>
      </c>
      <c r="AX106" s="33">
        <v>20.0</v>
      </c>
      <c r="AY106" s="33" t="str">
        <f t="shared" si="259"/>
        <v>S</v>
      </c>
      <c r="AZ106" s="33" t="s">
        <v>300</v>
      </c>
      <c r="BA106" s="26">
        <v>25.0</v>
      </c>
      <c r="BB106" s="26" t="str">
        <f t="shared" si="260"/>
        <v>S</v>
      </c>
      <c r="BC106" s="37">
        <v>35.0</v>
      </c>
      <c r="BD106" s="37" t="str">
        <f t="shared" si="261"/>
        <v>S</v>
      </c>
      <c r="BE106" s="36">
        <v>33.0</v>
      </c>
      <c r="BF106" s="36" t="str">
        <f t="shared" si="262"/>
        <v>S</v>
      </c>
      <c r="BG106" s="39" t="s">
        <v>357</v>
      </c>
      <c r="BH106" s="39" t="s">
        <v>357</v>
      </c>
      <c r="BI106" s="36">
        <v>30.0</v>
      </c>
      <c r="BJ106" s="36" t="str">
        <f t="shared" si="263"/>
        <v>S</v>
      </c>
      <c r="BK106" s="40">
        <v>20.0</v>
      </c>
      <c r="BL106" s="41" t="str">
        <f t="shared" si="264"/>
        <v>S</v>
      </c>
      <c r="BM106" s="41"/>
    </row>
    <row r="107">
      <c r="A107" s="18" t="s">
        <v>768</v>
      </c>
      <c r="B107" s="18" t="s">
        <v>444</v>
      </c>
      <c r="C107" s="18" t="s">
        <v>1325</v>
      </c>
      <c r="D107" s="18" t="s">
        <v>182</v>
      </c>
      <c r="E107" s="18" t="s">
        <v>103</v>
      </c>
      <c r="F107" s="18" t="s">
        <v>192</v>
      </c>
      <c r="G107" s="20" t="s">
        <v>1326</v>
      </c>
      <c r="H107" s="57" t="s">
        <v>765</v>
      </c>
      <c r="I107" s="80" t="s">
        <v>1011</v>
      </c>
      <c r="J107" s="82" t="s">
        <v>208</v>
      </c>
      <c r="K107" s="82" t="s">
        <v>208</v>
      </c>
      <c r="L107" s="81" t="s">
        <v>208</v>
      </c>
      <c r="M107" s="26">
        <v>10.0</v>
      </c>
      <c r="N107" s="26" t="str">
        <f t="shared" si="243"/>
        <v>R</v>
      </c>
      <c r="O107" s="26">
        <v>29.0</v>
      </c>
      <c r="P107" s="26" t="str">
        <f t="shared" si="244"/>
        <v>S</v>
      </c>
      <c r="Q107" s="26">
        <v>16.0</v>
      </c>
      <c r="R107" s="26" t="str">
        <f t="shared" si="245"/>
        <v>R</v>
      </c>
      <c r="S107" s="32" t="s">
        <v>357</v>
      </c>
      <c r="T107" s="32" t="s">
        <v>357</v>
      </c>
      <c r="U107" s="26">
        <v>27.0</v>
      </c>
      <c r="V107" s="26" t="str">
        <f t="shared" si="246"/>
        <v>S</v>
      </c>
      <c r="W107" s="26">
        <v>25.0</v>
      </c>
      <c r="X107" s="26" t="str">
        <f t="shared" si="247"/>
        <v>S</v>
      </c>
      <c r="Y107" s="26">
        <v>26.0</v>
      </c>
      <c r="Z107" s="26" t="str">
        <f t="shared" si="248"/>
        <v>S</v>
      </c>
      <c r="AA107" s="32" t="s">
        <v>299</v>
      </c>
      <c r="AB107" s="33">
        <v>30.0</v>
      </c>
      <c r="AC107" s="33" t="str">
        <f t="shared" si="249"/>
        <v>S</v>
      </c>
      <c r="AD107" s="33">
        <v>25.0</v>
      </c>
      <c r="AE107" s="33" t="str">
        <f t="shared" si="250"/>
        <v>S</v>
      </c>
      <c r="AF107" s="33">
        <v>28.0</v>
      </c>
      <c r="AG107" s="33" t="str">
        <f t="shared" si="251"/>
        <v>S</v>
      </c>
      <c r="AH107" s="33">
        <v>28.0</v>
      </c>
      <c r="AI107" s="33" t="str">
        <f t="shared" si="252"/>
        <v>S</v>
      </c>
      <c r="AJ107" s="33">
        <v>31.0</v>
      </c>
      <c r="AK107" s="33" t="str">
        <f t="shared" si="253"/>
        <v>S</v>
      </c>
      <c r="AL107" s="33" t="s">
        <v>300</v>
      </c>
      <c r="AM107" s="36">
        <v>28.0</v>
      </c>
      <c r="AN107" s="36" t="str">
        <f t="shared" si="254"/>
        <v>S</v>
      </c>
      <c r="AO107" s="36">
        <v>30.0</v>
      </c>
      <c r="AP107" s="36" t="str">
        <f t="shared" si="255"/>
        <v>S</v>
      </c>
      <c r="AQ107" s="36">
        <v>25.0</v>
      </c>
      <c r="AR107" s="36" t="str">
        <f t="shared" si="256"/>
        <v>S</v>
      </c>
      <c r="AS107" s="36" t="s">
        <v>300</v>
      </c>
      <c r="AT107" s="37">
        <v>29.0</v>
      </c>
      <c r="AU107" s="37" t="str">
        <f t="shared" si="257"/>
        <v>S</v>
      </c>
      <c r="AV107" s="33">
        <v>21.0</v>
      </c>
      <c r="AW107" s="33" t="str">
        <f t="shared" si="258"/>
        <v>S</v>
      </c>
      <c r="AX107" s="33">
        <v>20.0</v>
      </c>
      <c r="AY107" s="33" t="str">
        <f t="shared" si="259"/>
        <v>S</v>
      </c>
      <c r="AZ107" s="33" t="s">
        <v>300</v>
      </c>
      <c r="BA107" s="26">
        <v>26.0</v>
      </c>
      <c r="BB107" s="26" t="str">
        <f t="shared" si="260"/>
        <v>S</v>
      </c>
      <c r="BC107" s="37">
        <v>30.0</v>
      </c>
      <c r="BD107" s="37" t="str">
        <f t="shared" si="261"/>
        <v>S</v>
      </c>
      <c r="BE107" s="36">
        <v>31.0</v>
      </c>
      <c r="BF107" s="36" t="str">
        <f t="shared" si="262"/>
        <v>S</v>
      </c>
      <c r="BG107" s="39" t="s">
        <v>357</v>
      </c>
      <c r="BH107" s="39" t="s">
        <v>357</v>
      </c>
      <c r="BI107" s="36">
        <v>28.0</v>
      </c>
      <c r="BJ107" s="36" t="str">
        <f t="shared" si="263"/>
        <v>S</v>
      </c>
      <c r="BK107" s="40">
        <v>20.0</v>
      </c>
      <c r="BL107" s="41" t="str">
        <f t="shared" si="264"/>
        <v>S</v>
      </c>
      <c r="BM107" s="41"/>
    </row>
    <row r="108">
      <c r="A108" s="18" t="s">
        <v>768</v>
      </c>
      <c r="B108" s="19">
        <v>86.0</v>
      </c>
      <c r="C108" s="18" t="s">
        <v>1327</v>
      </c>
      <c r="D108" s="18" t="s">
        <v>555</v>
      </c>
      <c r="E108" s="18" t="s">
        <v>103</v>
      </c>
      <c r="F108" s="18" t="s">
        <v>192</v>
      </c>
      <c r="G108" s="20" t="s">
        <v>1328</v>
      </c>
      <c r="H108" s="22" t="s">
        <v>198</v>
      </c>
      <c r="I108" s="80" t="s">
        <v>481</v>
      </c>
      <c r="J108" s="82" t="s">
        <v>205</v>
      </c>
      <c r="K108" s="82" t="s">
        <v>208</v>
      </c>
      <c r="L108" s="81" t="s">
        <v>208</v>
      </c>
      <c r="M108" s="26">
        <v>6.0</v>
      </c>
      <c r="N108" s="26" t="str">
        <f t="shared" si="243"/>
        <v>R</v>
      </c>
      <c r="O108" s="26">
        <v>23.0</v>
      </c>
      <c r="P108" s="26" t="str">
        <f t="shared" si="244"/>
        <v>S</v>
      </c>
      <c r="Q108" s="26">
        <v>6.0</v>
      </c>
      <c r="R108" s="26" t="str">
        <f t="shared" si="245"/>
        <v>R</v>
      </c>
      <c r="S108" s="32" t="s">
        <v>357</v>
      </c>
      <c r="T108" s="32" t="s">
        <v>357</v>
      </c>
      <c r="U108" s="26">
        <v>10.0</v>
      </c>
      <c r="V108" s="26" t="str">
        <f t="shared" si="246"/>
        <v>R</v>
      </c>
      <c r="W108" s="26">
        <v>26.0</v>
      </c>
      <c r="X108" s="26" t="str">
        <f t="shared" si="247"/>
        <v>S</v>
      </c>
      <c r="Y108" s="26">
        <v>25.0</v>
      </c>
      <c r="Z108" s="26" t="str">
        <f t="shared" si="248"/>
        <v>S</v>
      </c>
      <c r="AA108" s="32" t="s">
        <v>299</v>
      </c>
      <c r="AB108" s="33">
        <v>6.0</v>
      </c>
      <c r="AC108" s="33" t="str">
        <f t="shared" si="249"/>
        <v>R</v>
      </c>
      <c r="AD108" s="33">
        <v>26.0</v>
      </c>
      <c r="AE108" s="33" t="str">
        <f t="shared" si="250"/>
        <v>S</v>
      </c>
      <c r="AF108" s="33">
        <v>19.0</v>
      </c>
      <c r="AG108" s="33" t="str">
        <f t="shared" si="251"/>
        <v>I</v>
      </c>
      <c r="AH108" s="33">
        <v>29.0</v>
      </c>
      <c r="AI108" s="33" t="str">
        <f t="shared" si="252"/>
        <v>S</v>
      </c>
      <c r="AJ108" s="33">
        <v>24.0</v>
      </c>
      <c r="AK108" s="33" t="str">
        <f t="shared" si="253"/>
        <v>I</v>
      </c>
      <c r="AL108" s="33" t="s">
        <v>299</v>
      </c>
      <c r="AM108" s="36">
        <v>26.0</v>
      </c>
      <c r="AN108" s="36" t="str">
        <f t="shared" si="254"/>
        <v>S</v>
      </c>
      <c r="AO108" s="36">
        <v>23.0</v>
      </c>
      <c r="AP108" s="36" t="str">
        <f t="shared" si="255"/>
        <v>S</v>
      </c>
      <c r="AQ108" s="36">
        <v>18.0</v>
      </c>
      <c r="AR108" s="36" t="str">
        <f t="shared" si="256"/>
        <v>S</v>
      </c>
      <c r="AS108" s="36" t="s">
        <v>300</v>
      </c>
      <c r="AT108" s="37">
        <v>6.0</v>
      </c>
      <c r="AU108" s="37" t="str">
        <f t="shared" si="257"/>
        <v>R</v>
      </c>
      <c r="AV108" s="33">
        <v>22.0</v>
      </c>
      <c r="AW108" s="33" t="str">
        <f t="shared" si="258"/>
        <v>S</v>
      </c>
      <c r="AX108" s="33">
        <v>22.0</v>
      </c>
      <c r="AY108" s="33" t="str">
        <f t="shared" si="259"/>
        <v>S</v>
      </c>
      <c r="AZ108" s="33" t="s">
        <v>300</v>
      </c>
      <c r="BA108" s="26">
        <v>8.0</v>
      </c>
      <c r="BB108" s="26" t="str">
        <f t="shared" si="260"/>
        <v>R</v>
      </c>
      <c r="BC108" s="37">
        <v>18.0</v>
      </c>
      <c r="BD108" s="37" t="str">
        <f t="shared" si="261"/>
        <v>R</v>
      </c>
      <c r="BE108" s="36">
        <v>30.0</v>
      </c>
      <c r="BF108" s="36" t="str">
        <f t="shared" si="262"/>
        <v>S</v>
      </c>
      <c r="BG108" s="39" t="s">
        <v>357</v>
      </c>
      <c r="BH108" s="39" t="s">
        <v>357</v>
      </c>
      <c r="BI108" s="36">
        <v>30.0</v>
      </c>
      <c r="BJ108" s="36" t="str">
        <f t="shared" si="263"/>
        <v>S</v>
      </c>
      <c r="BK108" s="40">
        <v>23.0</v>
      </c>
      <c r="BL108" s="41" t="str">
        <f t="shared" si="264"/>
        <v>S</v>
      </c>
      <c r="BM108" s="41"/>
    </row>
    <row r="109">
      <c r="A109" s="18" t="s">
        <v>768</v>
      </c>
      <c r="B109" s="18" t="s">
        <v>444</v>
      </c>
      <c r="C109" s="18" t="s">
        <v>1329</v>
      </c>
      <c r="D109" s="18" t="s">
        <v>555</v>
      </c>
      <c r="E109" s="18" t="s">
        <v>103</v>
      </c>
      <c r="F109" s="18" t="s">
        <v>192</v>
      </c>
      <c r="G109" s="20" t="s">
        <v>1330</v>
      </c>
      <c r="H109" s="42" t="s">
        <v>479</v>
      </c>
      <c r="I109" s="80" t="s">
        <v>481</v>
      </c>
      <c r="J109" s="82" t="s">
        <v>205</v>
      </c>
      <c r="K109" s="82" t="s">
        <v>208</v>
      </c>
      <c r="L109" s="81" t="s">
        <v>208</v>
      </c>
      <c r="M109" s="26">
        <v>6.0</v>
      </c>
      <c r="N109" s="26" t="str">
        <f t="shared" si="243"/>
        <v>R</v>
      </c>
      <c r="O109" s="26">
        <v>25.0</v>
      </c>
      <c r="P109" s="26" t="str">
        <f t="shared" si="244"/>
        <v>S</v>
      </c>
      <c r="Q109" s="26">
        <v>6.0</v>
      </c>
      <c r="R109" s="26" t="str">
        <f t="shared" si="245"/>
        <v>R</v>
      </c>
      <c r="S109" s="32" t="s">
        <v>357</v>
      </c>
      <c r="T109" s="32" t="s">
        <v>357</v>
      </c>
      <c r="U109" s="26">
        <v>13.0</v>
      </c>
      <c r="V109" s="26" t="str">
        <f t="shared" si="246"/>
        <v>R</v>
      </c>
      <c r="W109" s="26">
        <v>27.0</v>
      </c>
      <c r="X109" s="26" t="str">
        <f t="shared" si="247"/>
        <v>S</v>
      </c>
      <c r="Y109" s="26">
        <v>32.0</v>
      </c>
      <c r="Z109" s="26" t="str">
        <f t="shared" si="248"/>
        <v>S</v>
      </c>
      <c r="AA109" s="32" t="s">
        <v>299</v>
      </c>
      <c r="AB109" s="33">
        <v>6.0</v>
      </c>
      <c r="AC109" s="33" t="str">
        <f t="shared" si="249"/>
        <v>R</v>
      </c>
      <c r="AD109" s="33">
        <v>25.0</v>
      </c>
      <c r="AE109" s="33" t="str">
        <f t="shared" si="250"/>
        <v>S</v>
      </c>
      <c r="AF109" s="33">
        <v>30.0</v>
      </c>
      <c r="AG109" s="33" t="str">
        <f t="shared" si="251"/>
        <v>S</v>
      </c>
      <c r="AH109" s="33">
        <v>30.0</v>
      </c>
      <c r="AI109" s="33" t="str">
        <f t="shared" si="252"/>
        <v>S</v>
      </c>
      <c r="AJ109" s="33">
        <v>25.0</v>
      </c>
      <c r="AK109" s="33" t="str">
        <f t="shared" si="253"/>
        <v>I</v>
      </c>
      <c r="AL109" s="33" t="s">
        <v>299</v>
      </c>
      <c r="AM109" s="36">
        <v>25.0</v>
      </c>
      <c r="AN109" s="36" t="str">
        <f t="shared" si="254"/>
        <v>S</v>
      </c>
      <c r="AO109" s="36">
        <v>24.0</v>
      </c>
      <c r="AP109" s="36" t="str">
        <f t="shared" si="255"/>
        <v>S</v>
      </c>
      <c r="AQ109" s="36">
        <v>17.0</v>
      </c>
      <c r="AR109" s="36" t="str">
        <f t="shared" si="256"/>
        <v>S</v>
      </c>
      <c r="AS109" s="36" t="s">
        <v>300</v>
      </c>
      <c r="AT109" s="37">
        <v>6.0</v>
      </c>
      <c r="AU109" s="37" t="str">
        <f t="shared" si="257"/>
        <v>R</v>
      </c>
      <c r="AV109" s="33">
        <v>24.0</v>
      </c>
      <c r="AW109" s="33" t="str">
        <f t="shared" si="258"/>
        <v>S</v>
      </c>
      <c r="AX109" s="33">
        <v>25.0</v>
      </c>
      <c r="AY109" s="33" t="str">
        <f t="shared" si="259"/>
        <v>S</v>
      </c>
      <c r="AZ109" s="33" t="s">
        <v>300</v>
      </c>
      <c r="BA109" s="26">
        <v>16.0</v>
      </c>
      <c r="BB109" s="26" t="str">
        <f t="shared" si="260"/>
        <v>R</v>
      </c>
      <c r="BC109" s="37">
        <v>25.0</v>
      </c>
      <c r="BD109" s="37" t="str">
        <f t="shared" si="261"/>
        <v>I</v>
      </c>
      <c r="BE109" s="36">
        <v>32.0</v>
      </c>
      <c r="BF109" s="36" t="str">
        <f t="shared" si="262"/>
        <v>S</v>
      </c>
      <c r="BG109" s="39" t="s">
        <v>357</v>
      </c>
      <c r="BH109" s="39" t="s">
        <v>357</v>
      </c>
      <c r="BI109" s="36">
        <v>31.0</v>
      </c>
      <c r="BJ109" s="36" t="str">
        <f t="shared" si="263"/>
        <v>S</v>
      </c>
      <c r="BK109" s="40">
        <v>24.0</v>
      </c>
      <c r="BL109" s="41" t="str">
        <f t="shared" si="264"/>
        <v>S</v>
      </c>
      <c r="BM109" s="41"/>
    </row>
    <row r="110">
      <c r="A110" s="18" t="s">
        <v>768</v>
      </c>
      <c r="B110" s="18" t="s">
        <v>444</v>
      </c>
      <c r="C110" s="18" t="s">
        <v>1331</v>
      </c>
      <c r="D110" s="18" t="s">
        <v>555</v>
      </c>
      <c r="E110" s="18" t="s">
        <v>103</v>
      </c>
      <c r="F110" s="18" t="s">
        <v>192</v>
      </c>
      <c r="G110" s="20" t="s">
        <v>1332</v>
      </c>
      <c r="H110" s="57" t="s">
        <v>765</v>
      </c>
      <c r="I110" s="80" t="s">
        <v>481</v>
      </c>
      <c r="J110" s="82" t="s">
        <v>205</v>
      </c>
      <c r="K110" s="82" t="s">
        <v>208</v>
      </c>
      <c r="L110" s="81" t="s">
        <v>208</v>
      </c>
      <c r="M110" s="26">
        <v>6.0</v>
      </c>
      <c r="N110" s="26" t="str">
        <f t="shared" si="243"/>
        <v>R</v>
      </c>
      <c r="O110" s="26">
        <v>25.0</v>
      </c>
      <c r="P110" s="26" t="str">
        <f t="shared" si="244"/>
        <v>S</v>
      </c>
      <c r="Q110" s="26">
        <v>6.0</v>
      </c>
      <c r="R110" s="26" t="str">
        <f t="shared" si="245"/>
        <v>R</v>
      </c>
      <c r="S110" s="32" t="s">
        <v>357</v>
      </c>
      <c r="T110" s="32" t="s">
        <v>357</v>
      </c>
      <c r="U110" s="26">
        <v>15.0</v>
      </c>
      <c r="V110" s="26" t="str">
        <f t="shared" si="246"/>
        <v>R</v>
      </c>
      <c r="W110" s="26">
        <v>29.0</v>
      </c>
      <c r="X110" s="26" t="str">
        <f t="shared" si="247"/>
        <v>S</v>
      </c>
      <c r="Y110" s="26">
        <v>31.0</v>
      </c>
      <c r="Z110" s="26" t="str">
        <f t="shared" si="248"/>
        <v>S</v>
      </c>
      <c r="AA110" s="32" t="s">
        <v>299</v>
      </c>
      <c r="AB110" s="33">
        <v>15.0</v>
      </c>
      <c r="AC110" s="33" t="str">
        <f t="shared" si="249"/>
        <v>R</v>
      </c>
      <c r="AD110" s="33">
        <v>29.0</v>
      </c>
      <c r="AE110" s="33" t="str">
        <f t="shared" si="250"/>
        <v>S</v>
      </c>
      <c r="AF110" s="33">
        <v>30.0</v>
      </c>
      <c r="AG110" s="33" t="str">
        <f t="shared" si="251"/>
        <v>S</v>
      </c>
      <c r="AH110" s="33">
        <v>34.0</v>
      </c>
      <c r="AI110" s="33" t="str">
        <f t="shared" si="252"/>
        <v>S</v>
      </c>
      <c r="AJ110" s="33">
        <v>34.0</v>
      </c>
      <c r="AK110" s="33" t="str">
        <f t="shared" si="253"/>
        <v>S</v>
      </c>
      <c r="AL110" s="33" t="s">
        <v>299</v>
      </c>
      <c r="AM110" s="36">
        <v>32.0</v>
      </c>
      <c r="AN110" s="36" t="str">
        <f t="shared" si="254"/>
        <v>S</v>
      </c>
      <c r="AO110" s="36">
        <v>30.0</v>
      </c>
      <c r="AP110" s="36" t="str">
        <f t="shared" si="255"/>
        <v>S</v>
      </c>
      <c r="AQ110" s="36">
        <v>18.0</v>
      </c>
      <c r="AR110" s="36" t="str">
        <f t="shared" si="256"/>
        <v>S</v>
      </c>
      <c r="AS110" s="36" t="s">
        <v>300</v>
      </c>
      <c r="AT110" s="37">
        <v>6.0</v>
      </c>
      <c r="AU110" s="37" t="str">
        <f t="shared" si="257"/>
        <v>R</v>
      </c>
      <c r="AV110" s="33">
        <v>24.0</v>
      </c>
      <c r="AW110" s="33" t="str">
        <f t="shared" si="258"/>
        <v>S</v>
      </c>
      <c r="AX110" s="33">
        <v>25.0</v>
      </c>
      <c r="AY110" s="33" t="str">
        <f t="shared" si="259"/>
        <v>S</v>
      </c>
      <c r="AZ110" s="33" t="s">
        <v>300</v>
      </c>
      <c r="BA110" s="26">
        <v>15.0</v>
      </c>
      <c r="BB110" s="26" t="str">
        <f t="shared" si="260"/>
        <v>R</v>
      </c>
      <c r="BC110" s="37">
        <v>30.0</v>
      </c>
      <c r="BD110" s="37" t="str">
        <f t="shared" si="261"/>
        <v>S</v>
      </c>
      <c r="BE110" s="36">
        <v>34.0</v>
      </c>
      <c r="BF110" s="36" t="str">
        <f t="shared" si="262"/>
        <v>S</v>
      </c>
      <c r="BG110" s="39" t="s">
        <v>357</v>
      </c>
      <c r="BH110" s="39" t="s">
        <v>357</v>
      </c>
      <c r="BI110" s="36">
        <v>34.0</v>
      </c>
      <c r="BJ110" s="36" t="str">
        <f t="shared" si="263"/>
        <v>S</v>
      </c>
      <c r="BK110" s="40">
        <v>24.0</v>
      </c>
      <c r="BL110" s="41" t="str">
        <f t="shared" si="264"/>
        <v>S</v>
      </c>
      <c r="BM110" s="41"/>
    </row>
    <row r="111">
      <c r="A111" s="18" t="s">
        <v>786</v>
      </c>
      <c r="B111" s="19">
        <v>92.0</v>
      </c>
      <c r="C111" s="18" t="s">
        <v>1333</v>
      </c>
      <c r="D111" s="18" t="s">
        <v>190</v>
      </c>
      <c r="E111" s="18" t="s">
        <v>190</v>
      </c>
      <c r="F111" s="18" t="s">
        <v>192</v>
      </c>
      <c r="G111" s="20" t="s">
        <v>1334</v>
      </c>
      <c r="H111" s="42" t="s">
        <v>479</v>
      </c>
      <c r="I111" s="84" t="s">
        <v>37</v>
      </c>
      <c r="J111" s="81" t="s">
        <v>205</v>
      </c>
      <c r="K111" s="81" t="s">
        <v>205</v>
      </c>
      <c r="L111" s="81" t="s">
        <v>208</v>
      </c>
      <c r="M111" s="26">
        <v>6.0</v>
      </c>
      <c r="N111" s="26" t="str">
        <f t="shared" si="243"/>
        <v>R</v>
      </c>
      <c r="O111" s="26">
        <v>23.0</v>
      </c>
      <c r="P111" s="26" t="str">
        <f t="shared" si="244"/>
        <v>S</v>
      </c>
      <c r="Q111" s="26">
        <v>6.0</v>
      </c>
      <c r="R111" s="26" t="str">
        <f t="shared" si="245"/>
        <v>R</v>
      </c>
      <c r="S111" s="32" t="s">
        <v>357</v>
      </c>
      <c r="T111" s="32" t="s">
        <v>357</v>
      </c>
      <c r="U111" s="26">
        <v>13.0</v>
      </c>
      <c r="V111" s="26" t="str">
        <f t="shared" si="246"/>
        <v>R</v>
      </c>
      <c r="W111" s="26">
        <v>25.0</v>
      </c>
      <c r="X111" s="26" t="str">
        <f t="shared" si="247"/>
        <v>S</v>
      </c>
      <c r="Y111" s="26">
        <v>26.0</v>
      </c>
      <c r="Z111" s="26" t="str">
        <f t="shared" si="248"/>
        <v>S</v>
      </c>
      <c r="AA111" s="32" t="s">
        <v>299</v>
      </c>
      <c r="AB111" s="33">
        <v>6.0</v>
      </c>
      <c r="AC111" s="33" t="str">
        <f t="shared" si="249"/>
        <v>R</v>
      </c>
      <c r="AD111" s="33">
        <v>26.0</v>
      </c>
      <c r="AE111" s="33" t="str">
        <f t="shared" si="250"/>
        <v>S</v>
      </c>
      <c r="AF111" s="33">
        <v>20.0</v>
      </c>
      <c r="AG111" s="33" t="str">
        <f t="shared" si="251"/>
        <v>I</v>
      </c>
      <c r="AH111" s="33">
        <v>29.0</v>
      </c>
      <c r="AI111" s="33" t="str">
        <f t="shared" si="252"/>
        <v>S</v>
      </c>
      <c r="AJ111" s="33">
        <v>23.0</v>
      </c>
      <c r="AK111" s="33" t="str">
        <f t="shared" si="253"/>
        <v>R</v>
      </c>
      <c r="AL111" s="33" t="s">
        <v>299</v>
      </c>
      <c r="AM111" s="36">
        <v>24.0</v>
      </c>
      <c r="AN111" s="36" t="str">
        <f t="shared" si="254"/>
        <v>I</v>
      </c>
      <c r="AO111" s="36">
        <v>22.0</v>
      </c>
      <c r="AP111" s="36" t="str">
        <f t="shared" si="255"/>
        <v>I</v>
      </c>
      <c r="AQ111" s="36">
        <v>19.0</v>
      </c>
      <c r="AR111" s="36" t="str">
        <f t="shared" si="256"/>
        <v>S</v>
      </c>
      <c r="AS111" s="36" t="s">
        <v>300</v>
      </c>
      <c r="AT111" s="37">
        <v>6.0</v>
      </c>
      <c r="AU111" s="37" t="str">
        <f t="shared" si="257"/>
        <v>R</v>
      </c>
      <c r="AV111" s="33">
        <v>23.0</v>
      </c>
      <c r="AW111" s="33" t="str">
        <f t="shared" si="258"/>
        <v>S</v>
      </c>
      <c r="AX111" s="33">
        <v>20.0</v>
      </c>
      <c r="AY111" s="33" t="str">
        <f t="shared" si="259"/>
        <v>S</v>
      </c>
      <c r="AZ111" s="33" t="s">
        <v>300</v>
      </c>
      <c r="BA111" s="26">
        <v>16.0</v>
      </c>
      <c r="BB111" s="26" t="str">
        <f t="shared" si="260"/>
        <v>R</v>
      </c>
      <c r="BC111" s="37">
        <v>20.0</v>
      </c>
      <c r="BD111" s="37" t="str">
        <f t="shared" si="261"/>
        <v>R</v>
      </c>
      <c r="BE111" s="36">
        <v>28.0</v>
      </c>
      <c r="BF111" s="36" t="str">
        <f t="shared" si="262"/>
        <v>S</v>
      </c>
      <c r="BG111" s="39" t="s">
        <v>357</v>
      </c>
      <c r="BH111" s="39" t="s">
        <v>357</v>
      </c>
      <c r="BI111" s="36">
        <v>28.0</v>
      </c>
      <c r="BJ111" s="36" t="str">
        <f t="shared" si="263"/>
        <v>S</v>
      </c>
      <c r="BK111" s="40">
        <v>22.0</v>
      </c>
      <c r="BL111" s="41" t="str">
        <f t="shared" si="264"/>
        <v>S</v>
      </c>
      <c r="BM111" s="41"/>
    </row>
    <row r="112">
      <c r="A112" s="18" t="s">
        <v>786</v>
      </c>
      <c r="B112" s="18" t="s">
        <v>444</v>
      </c>
      <c r="C112" s="18" t="s">
        <v>1335</v>
      </c>
      <c r="D112" s="18" t="s">
        <v>190</v>
      </c>
      <c r="E112" s="18" t="s">
        <v>190</v>
      </c>
      <c r="F112" s="18" t="s">
        <v>192</v>
      </c>
      <c r="G112" s="20" t="s">
        <v>1336</v>
      </c>
      <c r="H112" s="42" t="s">
        <v>479</v>
      </c>
      <c r="I112" s="80" t="s">
        <v>481</v>
      </c>
      <c r="J112" s="82" t="s">
        <v>205</v>
      </c>
      <c r="K112" s="82" t="s">
        <v>208</v>
      </c>
      <c r="L112" s="81" t="s">
        <v>208</v>
      </c>
      <c r="M112" s="26">
        <v>6.0</v>
      </c>
      <c r="N112" s="26" t="str">
        <f t="shared" si="243"/>
        <v>R</v>
      </c>
      <c r="O112" s="26">
        <v>24.0</v>
      </c>
      <c r="P112" s="26" t="str">
        <f t="shared" si="244"/>
        <v>S</v>
      </c>
      <c r="Q112" s="26">
        <v>6.0</v>
      </c>
      <c r="R112" s="26" t="str">
        <f t="shared" si="245"/>
        <v>R</v>
      </c>
      <c r="S112" s="32" t="s">
        <v>357</v>
      </c>
      <c r="T112" s="32" t="s">
        <v>357</v>
      </c>
      <c r="U112" s="26">
        <v>13.0</v>
      </c>
      <c r="V112" s="26" t="str">
        <f t="shared" si="246"/>
        <v>R</v>
      </c>
      <c r="W112" s="26">
        <v>26.0</v>
      </c>
      <c r="X112" s="26" t="str">
        <f t="shared" si="247"/>
        <v>S</v>
      </c>
      <c r="Y112" s="26">
        <v>28.0</v>
      </c>
      <c r="Z112" s="26" t="str">
        <f t="shared" si="248"/>
        <v>S</v>
      </c>
      <c r="AA112" s="32" t="s">
        <v>299</v>
      </c>
      <c r="AB112" s="33">
        <v>9.0</v>
      </c>
      <c r="AC112" s="33" t="str">
        <f t="shared" si="249"/>
        <v>R</v>
      </c>
      <c r="AD112" s="33">
        <v>27.0</v>
      </c>
      <c r="AE112" s="33" t="str">
        <f t="shared" si="250"/>
        <v>S</v>
      </c>
      <c r="AF112" s="33">
        <v>21.0</v>
      </c>
      <c r="AG112" s="33" t="str">
        <f t="shared" si="251"/>
        <v>I</v>
      </c>
      <c r="AH112" s="33">
        <v>30.0</v>
      </c>
      <c r="AI112" s="33" t="str">
        <f t="shared" si="252"/>
        <v>S</v>
      </c>
      <c r="AJ112" s="33">
        <v>25.0</v>
      </c>
      <c r="AK112" s="33" t="str">
        <f t="shared" si="253"/>
        <v>I</v>
      </c>
      <c r="AL112" s="33" t="s">
        <v>299</v>
      </c>
      <c r="AM112" s="36">
        <v>23.0</v>
      </c>
      <c r="AN112" s="36" t="str">
        <f t="shared" si="254"/>
        <v>I</v>
      </c>
      <c r="AO112" s="36">
        <v>22.0</v>
      </c>
      <c r="AP112" s="36" t="str">
        <f t="shared" si="255"/>
        <v>I</v>
      </c>
      <c r="AQ112" s="36">
        <v>18.0</v>
      </c>
      <c r="AR112" s="36" t="str">
        <f t="shared" si="256"/>
        <v>S</v>
      </c>
      <c r="AS112" s="36" t="s">
        <v>300</v>
      </c>
      <c r="AT112" s="37">
        <v>6.0</v>
      </c>
      <c r="AU112" s="37" t="str">
        <f t="shared" si="257"/>
        <v>R</v>
      </c>
      <c r="AV112" s="33">
        <v>21.0</v>
      </c>
      <c r="AW112" s="33" t="str">
        <f t="shared" si="258"/>
        <v>S</v>
      </c>
      <c r="AX112" s="33">
        <v>22.0</v>
      </c>
      <c r="AY112" s="33" t="str">
        <f t="shared" si="259"/>
        <v>S</v>
      </c>
      <c r="AZ112" s="33" t="s">
        <v>300</v>
      </c>
      <c r="BA112" s="26">
        <v>15.0</v>
      </c>
      <c r="BB112" s="26" t="str">
        <f t="shared" si="260"/>
        <v>R</v>
      </c>
      <c r="BC112" s="37">
        <v>23.0</v>
      </c>
      <c r="BD112" s="37" t="str">
        <f t="shared" si="261"/>
        <v>I</v>
      </c>
      <c r="BE112" s="36">
        <v>29.0</v>
      </c>
      <c r="BF112" s="36" t="str">
        <f t="shared" si="262"/>
        <v>S</v>
      </c>
      <c r="BG112" s="39" t="s">
        <v>357</v>
      </c>
      <c r="BH112" s="39" t="s">
        <v>357</v>
      </c>
      <c r="BI112" s="36">
        <v>30.0</v>
      </c>
      <c r="BJ112" s="36" t="str">
        <f t="shared" si="263"/>
        <v>S</v>
      </c>
      <c r="BK112" s="40">
        <v>22.0</v>
      </c>
      <c r="BL112" s="41" t="str">
        <f t="shared" si="264"/>
        <v>S</v>
      </c>
      <c r="BM112" s="41"/>
    </row>
    <row r="113">
      <c r="A113" s="18" t="s">
        <v>786</v>
      </c>
      <c r="B113" s="19">
        <v>93.0</v>
      </c>
      <c r="C113" s="18" t="s">
        <v>1337</v>
      </c>
      <c r="D113" s="18" t="s">
        <v>190</v>
      </c>
      <c r="E113" s="18" t="s">
        <v>190</v>
      </c>
      <c r="F113" s="18" t="s">
        <v>192</v>
      </c>
      <c r="G113" s="20" t="s">
        <v>1338</v>
      </c>
      <c r="H113" s="22" t="s">
        <v>198</v>
      </c>
      <c r="I113" s="80" t="s">
        <v>481</v>
      </c>
      <c r="J113" s="82" t="s">
        <v>205</v>
      </c>
      <c r="K113" s="82" t="s">
        <v>208</v>
      </c>
      <c r="L113" s="81" t="s">
        <v>208</v>
      </c>
      <c r="M113" s="26">
        <v>6.0</v>
      </c>
      <c r="N113" s="26" t="str">
        <f t="shared" si="243"/>
        <v>R</v>
      </c>
      <c r="O113" s="26">
        <v>22.0</v>
      </c>
      <c r="P113" s="26" t="str">
        <f t="shared" si="244"/>
        <v>S</v>
      </c>
      <c r="Q113" s="26">
        <v>6.0</v>
      </c>
      <c r="R113" s="26" t="str">
        <f t="shared" si="245"/>
        <v>R</v>
      </c>
      <c r="S113" s="32" t="s">
        <v>357</v>
      </c>
      <c r="T113" s="32" t="s">
        <v>357</v>
      </c>
      <c r="U113" s="26">
        <v>15.0</v>
      </c>
      <c r="V113" s="26" t="str">
        <f t="shared" si="246"/>
        <v>R</v>
      </c>
      <c r="W113" s="26">
        <v>22.0</v>
      </c>
      <c r="X113" s="26" t="str">
        <f t="shared" si="247"/>
        <v>S</v>
      </c>
      <c r="Y113" s="26">
        <v>25.0</v>
      </c>
      <c r="Z113" s="26" t="str">
        <f t="shared" si="248"/>
        <v>S</v>
      </c>
      <c r="AA113" s="32" t="s">
        <v>299</v>
      </c>
      <c r="AB113" s="33">
        <v>12.0</v>
      </c>
      <c r="AC113" s="33" t="str">
        <f t="shared" si="249"/>
        <v>R</v>
      </c>
      <c r="AD113" s="33">
        <v>26.0</v>
      </c>
      <c r="AE113" s="33" t="str">
        <f t="shared" si="250"/>
        <v>S</v>
      </c>
      <c r="AF113" s="33">
        <v>21.0</v>
      </c>
      <c r="AG113" s="33" t="str">
        <f t="shared" si="251"/>
        <v>I</v>
      </c>
      <c r="AH113" s="33">
        <v>18.0</v>
      </c>
      <c r="AI113" s="33" t="str">
        <f t="shared" si="252"/>
        <v>S</v>
      </c>
      <c r="AJ113" s="33">
        <v>31.0</v>
      </c>
      <c r="AK113" s="33" t="str">
        <f t="shared" si="253"/>
        <v>S</v>
      </c>
      <c r="AL113" s="33" t="s">
        <v>299</v>
      </c>
      <c r="AM113" s="36">
        <v>30.0</v>
      </c>
      <c r="AN113" s="36" t="str">
        <f t="shared" si="254"/>
        <v>S</v>
      </c>
      <c r="AO113" s="36">
        <v>25.0</v>
      </c>
      <c r="AP113" s="36" t="str">
        <f t="shared" si="255"/>
        <v>S</v>
      </c>
      <c r="AQ113" s="36">
        <v>19.0</v>
      </c>
      <c r="AR113" s="36" t="str">
        <f t="shared" si="256"/>
        <v>S</v>
      </c>
      <c r="AS113" s="36" t="s">
        <v>300</v>
      </c>
      <c r="AT113" s="37">
        <v>6.0</v>
      </c>
      <c r="AU113" s="37" t="str">
        <f t="shared" si="257"/>
        <v>R</v>
      </c>
      <c r="AV113" s="33">
        <v>21.0</v>
      </c>
      <c r="AW113" s="33" t="str">
        <f t="shared" si="258"/>
        <v>S</v>
      </c>
      <c r="AX113" s="33">
        <v>20.0</v>
      </c>
      <c r="AY113" s="33" t="str">
        <f t="shared" si="259"/>
        <v>S</v>
      </c>
      <c r="AZ113" s="33" t="s">
        <v>300</v>
      </c>
      <c r="BA113" s="26">
        <v>28.0</v>
      </c>
      <c r="BB113" s="26" t="str">
        <f t="shared" si="260"/>
        <v>S</v>
      </c>
      <c r="BC113" s="37">
        <v>22.0</v>
      </c>
      <c r="BD113" s="37" t="str">
        <f t="shared" si="261"/>
        <v>I</v>
      </c>
      <c r="BE113" s="36">
        <v>33.0</v>
      </c>
      <c r="BF113" s="36" t="str">
        <f t="shared" si="262"/>
        <v>S</v>
      </c>
      <c r="BG113" s="39" t="s">
        <v>357</v>
      </c>
      <c r="BH113" s="39" t="s">
        <v>357</v>
      </c>
      <c r="BI113" s="36">
        <v>32.0</v>
      </c>
      <c r="BJ113" s="36" t="str">
        <f t="shared" si="263"/>
        <v>S</v>
      </c>
      <c r="BK113" s="40">
        <v>20.0</v>
      </c>
      <c r="BL113" s="41" t="str">
        <f t="shared" si="264"/>
        <v>S</v>
      </c>
      <c r="BM113" s="41"/>
    </row>
    <row r="114">
      <c r="A114" s="18" t="s">
        <v>786</v>
      </c>
      <c r="B114" s="18" t="s">
        <v>444</v>
      </c>
      <c r="C114" s="18" t="s">
        <v>1339</v>
      </c>
      <c r="D114" s="18" t="s">
        <v>190</v>
      </c>
      <c r="E114" s="18" t="s">
        <v>190</v>
      </c>
      <c r="F114" s="18" t="s">
        <v>192</v>
      </c>
      <c r="G114" s="20" t="s">
        <v>1340</v>
      </c>
      <c r="H114" s="42" t="s">
        <v>479</v>
      </c>
      <c r="I114" s="80" t="s">
        <v>481</v>
      </c>
      <c r="J114" s="82" t="s">
        <v>205</v>
      </c>
      <c r="K114" s="82" t="s">
        <v>208</v>
      </c>
      <c r="L114" s="81" t="s">
        <v>208</v>
      </c>
      <c r="M114" s="26">
        <v>6.0</v>
      </c>
      <c r="N114" s="26" t="str">
        <f t="shared" si="243"/>
        <v>R</v>
      </c>
      <c r="O114" s="26">
        <v>24.0</v>
      </c>
      <c r="P114" s="26" t="str">
        <f t="shared" si="244"/>
        <v>S</v>
      </c>
      <c r="Q114" s="26">
        <v>6.0</v>
      </c>
      <c r="R114" s="26" t="str">
        <f t="shared" si="245"/>
        <v>R</v>
      </c>
      <c r="S114" s="32" t="s">
        <v>357</v>
      </c>
      <c r="T114" s="32" t="s">
        <v>357</v>
      </c>
      <c r="U114" s="26">
        <v>15.0</v>
      </c>
      <c r="V114" s="26" t="str">
        <f t="shared" si="246"/>
        <v>R</v>
      </c>
      <c r="W114" s="26">
        <v>26.0</v>
      </c>
      <c r="X114" s="26" t="str">
        <f t="shared" si="247"/>
        <v>S</v>
      </c>
      <c r="Y114" s="26">
        <v>28.0</v>
      </c>
      <c r="Z114" s="26" t="str">
        <f t="shared" si="248"/>
        <v>S</v>
      </c>
      <c r="AA114" s="32" t="s">
        <v>299</v>
      </c>
      <c r="AB114" s="33">
        <v>8.0</v>
      </c>
      <c r="AC114" s="33" t="str">
        <f t="shared" si="249"/>
        <v>R</v>
      </c>
      <c r="AD114" s="33">
        <v>25.0</v>
      </c>
      <c r="AE114" s="33" t="str">
        <f t="shared" si="250"/>
        <v>S</v>
      </c>
      <c r="AF114" s="33">
        <v>21.0</v>
      </c>
      <c r="AG114" s="33" t="str">
        <f t="shared" si="251"/>
        <v>I</v>
      </c>
      <c r="AH114" s="33">
        <v>30.0</v>
      </c>
      <c r="AI114" s="33" t="str">
        <f t="shared" si="252"/>
        <v>S</v>
      </c>
      <c r="AJ114" s="33">
        <v>25.0</v>
      </c>
      <c r="AK114" s="33" t="str">
        <f t="shared" si="253"/>
        <v>I</v>
      </c>
      <c r="AL114" s="33" t="s">
        <v>299</v>
      </c>
      <c r="AM114" s="36">
        <v>24.0</v>
      </c>
      <c r="AN114" s="36" t="str">
        <f t="shared" si="254"/>
        <v>I</v>
      </c>
      <c r="AO114" s="36">
        <v>22.0</v>
      </c>
      <c r="AP114" s="36" t="str">
        <f t="shared" si="255"/>
        <v>I</v>
      </c>
      <c r="AQ114" s="36">
        <v>20.0</v>
      </c>
      <c r="AR114" s="36" t="str">
        <f t="shared" si="256"/>
        <v>S</v>
      </c>
      <c r="AS114" s="36" t="s">
        <v>300</v>
      </c>
      <c r="AT114" s="37">
        <v>6.0</v>
      </c>
      <c r="AU114" s="37" t="str">
        <f t="shared" si="257"/>
        <v>R</v>
      </c>
      <c r="AV114" s="33">
        <v>22.0</v>
      </c>
      <c r="AW114" s="33" t="str">
        <f t="shared" si="258"/>
        <v>S</v>
      </c>
      <c r="AX114" s="33">
        <v>20.0</v>
      </c>
      <c r="AY114" s="33" t="str">
        <f t="shared" si="259"/>
        <v>S</v>
      </c>
      <c r="AZ114" s="33" t="s">
        <v>300</v>
      </c>
      <c r="BA114" s="26">
        <v>15.0</v>
      </c>
      <c r="BB114" s="26" t="str">
        <f t="shared" si="260"/>
        <v>R</v>
      </c>
      <c r="BC114" s="37">
        <v>22.0</v>
      </c>
      <c r="BD114" s="37" t="str">
        <f t="shared" si="261"/>
        <v>I</v>
      </c>
      <c r="BE114" s="36">
        <v>28.0</v>
      </c>
      <c r="BF114" s="36" t="str">
        <f t="shared" si="262"/>
        <v>S</v>
      </c>
      <c r="BG114" s="39" t="s">
        <v>357</v>
      </c>
      <c r="BH114" s="39" t="s">
        <v>357</v>
      </c>
      <c r="BI114" s="36">
        <v>29.0</v>
      </c>
      <c r="BJ114" s="36" t="str">
        <f t="shared" si="263"/>
        <v>S</v>
      </c>
      <c r="BK114" s="40">
        <v>23.0</v>
      </c>
      <c r="BL114" s="41" t="str">
        <f t="shared" si="264"/>
        <v>S</v>
      </c>
      <c r="BM114" s="41"/>
    </row>
    <row r="115">
      <c r="A115" s="18" t="s">
        <v>786</v>
      </c>
      <c r="B115" s="18" t="s">
        <v>444</v>
      </c>
      <c r="C115" s="18" t="s">
        <v>1341</v>
      </c>
      <c r="D115" s="18" t="s">
        <v>190</v>
      </c>
      <c r="E115" s="18" t="s">
        <v>190</v>
      </c>
      <c r="F115" s="18" t="s">
        <v>192</v>
      </c>
      <c r="G115" s="20" t="s">
        <v>1342</v>
      </c>
      <c r="H115" s="22" t="s">
        <v>198</v>
      </c>
      <c r="I115" s="84" t="s">
        <v>481</v>
      </c>
      <c r="J115" s="81" t="s">
        <v>205</v>
      </c>
      <c r="K115" s="82" t="s">
        <v>208</v>
      </c>
      <c r="L115" s="82" t="s">
        <v>208</v>
      </c>
      <c r="M115" s="26">
        <v>6.0</v>
      </c>
      <c r="N115" s="26" t="str">
        <f t="shared" si="243"/>
        <v>R</v>
      </c>
      <c r="O115" s="26">
        <v>6.0</v>
      </c>
      <c r="P115" s="26" t="str">
        <f t="shared" si="244"/>
        <v>R</v>
      </c>
      <c r="Q115" s="26">
        <v>6.0</v>
      </c>
      <c r="R115" s="26" t="str">
        <f t="shared" si="245"/>
        <v>R</v>
      </c>
      <c r="S115" s="32" t="s">
        <v>357</v>
      </c>
      <c r="T115" s="32" t="s">
        <v>357</v>
      </c>
      <c r="U115" s="26">
        <v>6.0</v>
      </c>
      <c r="V115" s="26" t="str">
        <f t="shared" si="246"/>
        <v>R</v>
      </c>
      <c r="W115" s="26">
        <v>8.0</v>
      </c>
      <c r="X115" s="26" t="str">
        <f t="shared" si="247"/>
        <v>R</v>
      </c>
      <c r="Y115" s="26">
        <v>6.0</v>
      </c>
      <c r="Z115" s="26" t="str">
        <f t="shared" si="248"/>
        <v>R</v>
      </c>
      <c r="AA115" s="32" t="s">
        <v>299</v>
      </c>
      <c r="AB115" s="33">
        <v>6.0</v>
      </c>
      <c r="AC115" s="33" t="str">
        <f t="shared" si="249"/>
        <v>R</v>
      </c>
      <c r="AD115" s="33">
        <v>6.0</v>
      </c>
      <c r="AE115" s="33" t="str">
        <f t="shared" si="250"/>
        <v>R</v>
      </c>
      <c r="AF115" s="33">
        <v>6.0</v>
      </c>
      <c r="AG115" s="33" t="str">
        <f t="shared" si="251"/>
        <v>R</v>
      </c>
      <c r="AH115" s="33">
        <v>18.0</v>
      </c>
      <c r="AI115" s="33" t="str">
        <f t="shared" si="252"/>
        <v>S</v>
      </c>
      <c r="AJ115" s="33">
        <v>20.0</v>
      </c>
      <c r="AK115" s="33" t="str">
        <f t="shared" si="253"/>
        <v>R</v>
      </c>
      <c r="AL115" s="33" t="s">
        <v>299</v>
      </c>
      <c r="AM115" s="36">
        <v>6.0</v>
      </c>
      <c r="AN115" s="36" t="str">
        <f t="shared" si="254"/>
        <v>R</v>
      </c>
      <c r="AO115" s="36">
        <v>6.0</v>
      </c>
      <c r="AP115" s="36" t="str">
        <f t="shared" si="255"/>
        <v>R</v>
      </c>
      <c r="AQ115" s="36">
        <v>6.0</v>
      </c>
      <c r="AR115" s="36" t="str">
        <f t="shared" si="256"/>
        <v>R</v>
      </c>
      <c r="AS115" s="36" t="s">
        <v>299</v>
      </c>
      <c r="AT115" s="37">
        <v>6.0</v>
      </c>
      <c r="AU115" s="37" t="str">
        <f t="shared" si="257"/>
        <v>R</v>
      </c>
      <c r="AV115" s="33">
        <v>23.0</v>
      </c>
      <c r="AW115" s="33" t="str">
        <f t="shared" si="258"/>
        <v>S</v>
      </c>
      <c r="AX115" s="33">
        <v>15.0</v>
      </c>
      <c r="AY115" s="33" t="str">
        <f t="shared" si="259"/>
        <v>R</v>
      </c>
      <c r="AZ115" s="33" t="s">
        <v>299</v>
      </c>
      <c r="BA115" s="26">
        <v>6.0</v>
      </c>
      <c r="BB115" s="26" t="str">
        <f t="shared" si="260"/>
        <v>R</v>
      </c>
      <c r="BC115" s="37">
        <v>14.0</v>
      </c>
      <c r="BD115" s="37" t="str">
        <f t="shared" si="261"/>
        <v>R</v>
      </c>
      <c r="BE115" s="36">
        <v>15.0</v>
      </c>
      <c r="BF115" s="36" t="str">
        <f t="shared" si="262"/>
        <v>R</v>
      </c>
      <c r="BG115" s="36">
        <v>0.5</v>
      </c>
      <c r="BH115" s="36" t="str">
        <f>IF((BG115&lt;=0.5),"S",IF(AND(BG115&gt;0.5),"R", "NA"))</f>
        <v>S</v>
      </c>
      <c r="BI115" s="36">
        <v>25.0</v>
      </c>
      <c r="BJ115" s="36" t="str">
        <f t="shared" si="263"/>
        <v>S</v>
      </c>
      <c r="BK115" s="40">
        <v>8.0</v>
      </c>
      <c r="BL115" s="41" t="str">
        <f t="shared" si="264"/>
        <v>R</v>
      </c>
      <c r="BM115" s="41"/>
    </row>
    <row r="116">
      <c r="A116" s="18" t="s">
        <v>786</v>
      </c>
      <c r="B116" s="19">
        <v>94.0</v>
      </c>
      <c r="C116" s="18" t="s">
        <v>1343</v>
      </c>
      <c r="D116" s="18" t="s">
        <v>571</v>
      </c>
      <c r="E116" s="18" t="s">
        <v>572</v>
      </c>
      <c r="F116" s="18" t="s">
        <v>192</v>
      </c>
      <c r="G116" s="20" t="s">
        <v>1344</v>
      </c>
      <c r="H116" s="52" t="s">
        <v>1345</v>
      </c>
      <c r="I116" s="80" t="s">
        <v>481</v>
      </c>
      <c r="J116" s="81" t="s">
        <v>205</v>
      </c>
      <c r="K116" s="82" t="s">
        <v>208</v>
      </c>
      <c r="L116" s="81" t="s">
        <v>208</v>
      </c>
      <c r="M116" s="26">
        <v>6.0</v>
      </c>
      <c r="N116" s="26" t="str">
        <f t="shared" si="243"/>
        <v>R</v>
      </c>
      <c r="O116" s="26">
        <v>10.0</v>
      </c>
      <c r="P116" s="26" t="str">
        <f t="shared" si="244"/>
        <v>R</v>
      </c>
      <c r="Q116" s="26">
        <v>6.0</v>
      </c>
      <c r="R116" s="26" t="str">
        <f t="shared" si="245"/>
        <v>R</v>
      </c>
      <c r="S116" s="32" t="s">
        <v>357</v>
      </c>
      <c r="T116" s="32" t="s">
        <v>357</v>
      </c>
      <c r="U116" s="26">
        <v>14.0</v>
      </c>
      <c r="V116" s="26" t="str">
        <f t="shared" si="246"/>
        <v>R</v>
      </c>
      <c r="W116" s="26">
        <v>25.0</v>
      </c>
      <c r="X116" s="26" t="str">
        <f t="shared" si="247"/>
        <v>S</v>
      </c>
      <c r="Y116" s="26">
        <v>23.0</v>
      </c>
      <c r="Z116" s="26" t="str">
        <f t="shared" si="248"/>
        <v>S</v>
      </c>
      <c r="AA116" s="32" t="s">
        <v>299</v>
      </c>
      <c r="AB116" s="33">
        <v>10.0</v>
      </c>
      <c r="AC116" s="33" t="str">
        <f t="shared" si="249"/>
        <v>R</v>
      </c>
      <c r="AD116" s="33">
        <v>6.0</v>
      </c>
      <c r="AE116" s="33" t="str">
        <f t="shared" si="250"/>
        <v>R</v>
      </c>
      <c r="AF116" s="33">
        <v>24.0</v>
      </c>
      <c r="AG116" s="33" t="str">
        <f t="shared" si="251"/>
        <v>S</v>
      </c>
      <c r="AH116" s="33">
        <v>28.0</v>
      </c>
      <c r="AI116" s="33" t="str">
        <f t="shared" si="252"/>
        <v>S</v>
      </c>
      <c r="AJ116" s="33">
        <v>27.0</v>
      </c>
      <c r="AK116" s="33" t="str">
        <f t="shared" si="253"/>
        <v>S</v>
      </c>
      <c r="AL116" s="33" t="s">
        <v>299</v>
      </c>
      <c r="AM116" s="36">
        <v>8.0</v>
      </c>
      <c r="AN116" s="36" t="str">
        <f t="shared" si="254"/>
        <v>R</v>
      </c>
      <c r="AO116" s="36">
        <v>15.0</v>
      </c>
      <c r="AP116" s="36" t="str">
        <f t="shared" si="255"/>
        <v>R</v>
      </c>
      <c r="AQ116" s="36">
        <v>6.0</v>
      </c>
      <c r="AR116" s="36" t="str">
        <f t="shared" si="256"/>
        <v>R</v>
      </c>
      <c r="AS116" s="36" t="s">
        <v>299</v>
      </c>
      <c r="AT116" s="37">
        <v>6.0</v>
      </c>
      <c r="AU116" s="37" t="str">
        <f t="shared" si="257"/>
        <v>R</v>
      </c>
      <c r="AV116" s="33">
        <v>19.0</v>
      </c>
      <c r="AW116" s="33" t="str">
        <f t="shared" si="258"/>
        <v>S</v>
      </c>
      <c r="AX116" s="33">
        <v>6.0</v>
      </c>
      <c r="AY116" s="33" t="str">
        <f t="shared" si="259"/>
        <v>R</v>
      </c>
      <c r="AZ116" s="33" t="s">
        <v>299</v>
      </c>
      <c r="BA116" s="26">
        <v>10.0</v>
      </c>
      <c r="BB116" s="26" t="str">
        <f t="shared" si="260"/>
        <v>R</v>
      </c>
      <c r="BC116" s="37">
        <v>23.0</v>
      </c>
      <c r="BD116" s="37" t="str">
        <f t="shared" si="261"/>
        <v>I</v>
      </c>
      <c r="BE116" s="36">
        <v>32.0</v>
      </c>
      <c r="BF116" s="36" t="str">
        <f t="shared" si="262"/>
        <v>S</v>
      </c>
      <c r="BG116" s="39" t="s">
        <v>357</v>
      </c>
      <c r="BH116" s="39" t="s">
        <v>357</v>
      </c>
      <c r="BI116" s="36">
        <v>26.0</v>
      </c>
      <c r="BJ116" s="36" t="str">
        <f t="shared" si="263"/>
        <v>S</v>
      </c>
      <c r="BK116" s="40">
        <v>6.0</v>
      </c>
      <c r="BL116" s="41" t="str">
        <f t="shared" si="264"/>
        <v>R</v>
      </c>
      <c r="BM116" s="41"/>
    </row>
    <row r="117">
      <c r="A117" s="18" t="s">
        <v>786</v>
      </c>
      <c r="B117" s="18" t="s">
        <v>444</v>
      </c>
      <c r="C117" s="18" t="s">
        <v>1346</v>
      </c>
      <c r="D117" s="18" t="s">
        <v>571</v>
      </c>
      <c r="E117" s="18" t="s">
        <v>572</v>
      </c>
      <c r="F117" s="18" t="s">
        <v>192</v>
      </c>
      <c r="G117" s="20" t="s">
        <v>1347</v>
      </c>
      <c r="H117" s="58" t="s">
        <v>770</v>
      </c>
      <c r="I117" s="80" t="s">
        <v>481</v>
      </c>
      <c r="J117" s="82" t="s">
        <v>205</v>
      </c>
      <c r="K117" s="82" t="s">
        <v>208</v>
      </c>
      <c r="L117" s="81" t="s">
        <v>208</v>
      </c>
      <c r="M117" s="26">
        <v>6.0</v>
      </c>
      <c r="N117" s="26" t="str">
        <f t="shared" si="243"/>
        <v>R</v>
      </c>
      <c r="O117" s="26">
        <v>25.0</v>
      </c>
      <c r="P117" s="26" t="str">
        <f t="shared" si="244"/>
        <v>S</v>
      </c>
      <c r="Q117" s="26">
        <v>6.0</v>
      </c>
      <c r="R117" s="26" t="str">
        <f t="shared" si="245"/>
        <v>R</v>
      </c>
      <c r="S117" s="32" t="s">
        <v>357</v>
      </c>
      <c r="T117" s="32" t="s">
        <v>357</v>
      </c>
      <c r="U117" s="26">
        <v>10.0</v>
      </c>
      <c r="V117" s="26" t="str">
        <f t="shared" si="246"/>
        <v>R</v>
      </c>
      <c r="W117" s="26">
        <v>28.0</v>
      </c>
      <c r="X117" s="26" t="str">
        <f t="shared" si="247"/>
        <v>S</v>
      </c>
      <c r="Y117" s="26">
        <v>25.0</v>
      </c>
      <c r="Z117" s="26" t="str">
        <f t="shared" si="248"/>
        <v>S</v>
      </c>
      <c r="AA117" s="32" t="s">
        <v>299</v>
      </c>
      <c r="AB117" s="33">
        <v>6.0</v>
      </c>
      <c r="AC117" s="33" t="str">
        <f t="shared" si="249"/>
        <v>R</v>
      </c>
      <c r="AD117" s="33">
        <v>27.0</v>
      </c>
      <c r="AE117" s="33" t="str">
        <f t="shared" si="250"/>
        <v>S</v>
      </c>
      <c r="AF117" s="33">
        <v>18.0</v>
      </c>
      <c r="AG117" s="33" t="str">
        <f t="shared" si="251"/>
        <v>R</v>
      </c>
      <c r="AH117" s="33">
        <v>30.0</v>
      </c>
      <c r="AI117" s="33" t="str">
        <f t="shared" si="252"/>
        <v>S</v>
      </c>
      <c r="AJ117" s="33">
        <v>25.0</v>
      </c>
      <c r="AK117" s="33" t="str">
        <f t="shared" si="253"/>
        <v>I</v>
      </c>
      <c r="AL117" s="33" t="s">
        <v>299</v>
      </c>
      <c r="AM117" s="36">
        <v>26.0</v>
      </c>
      <c r="AN117" s="36" t="str">
        <f t="shared" si="254"/>
        <v>S</v>
      </c>
      <c r="AO117" s="36">
        <v>26.0</v>
      </c>
      <c r="AP117" s="36" t="str">
        <f t="shared" si="255"/>
        <v>S</v>
      </c>
      <c r="AQ117" s="36">
        <v>25.0</v>
      </c>
      <c r="AR117" s="36" t="str">
        <f t="shared" si="256"/>
        <v>S</v>
      </c>
      <c r="AS117" s="36" t="s">
        <v>300</v>
      </c>
      <c r="AT117" s="37">
        <v>6.0</v>
      </c>
      <c r="AU117" s="37" t="str">
        <f t="shared" si="257"/>
        <v>R</v>
      </c>
      <c r="AV117" s="33">
        <v>25.0</v>
      </c>
      <c r="AW117" s="33" t="str">
        <f t="shared" si="258"/>
        <v>S</v>
      </c>
      <c r="AX117" s="33">
        <v>20.0</v>
      </c>
      <c r="AY117" s="33" t="str">
        <f t="shared" si="259"/>
        <v>S</v>
      </c>
      <c r="AZ117" s="33" t="s">
        <v>300</v>
      </c>
      <c r="BA117" s="26">
        <v>24.0</v>
      </c>
      <c r="BB117" s="26" t="str">
        <f t="shared" si="260"/>
        <v>S</v>
      </c>
      <c r="BC117" s="37">
        <v>16.0</v>
      </c>
      <c r="BD117" s="37" t="str">
        <f t="shared" si="261"/>
        <v>R</v>
      </c>
      <c r="BE117" s="36">
        <v>34.0</v>
      </c>
      <c r="BF117" s="36" t="str">
        <f t="shared" si="262"/>
        <v>S</v>
      </c>
      <c r="BG117" s="39" t="s">
        <v>357</v>
      </c>
      <c r="BH117" s="39" t="s">
        <v>357</v>
      </c>
      <c r="BI117" s="36">
        <v>30.0</v>
      </c>
      <c r="BJ117" s="36" t="str">
        <f t="shared" si="263"/>
        <v>S</v>
      </c>
      <c r="BK117" s="40">
        <v>22.0</v>
      </c>
      <c r="BL117" s="41" t="str">
        <f t="shared" si="264"/>
        <v>S</v>
      </c>
      <c r="BM117" s="41"/>
    </row>
    <row r="118">
      <c r="A118" s="18" t="s">
        <v>786</v>
      </c>
      <c r="B118" s="18" t="s">
        <v>444</v>
      </c>
      <c r="C118" s="18" t="s">
        <v>1348</v>
      </c>
      <c r="D118" s="18" t="s">
        <v>571</v>
      </c>
      <c r="E118" s="18" t="s">
        <v>572</v>
      </c>
      <c r="F118" s="18" t="s">
        <v>192</v>
      </c>
      <c r="G118" s="20" t="s">
        <v>1349</v>
      </c>
      <c r="H118" s="58" t="s">
        <v>770</v>
      </c>
      <c r="I118" s="84" t="s">
        <v>37</v>
      </c>
      <c r="J118" s="81" t="s">
        <v>205</v>
      </c>
      <c r="K118" s="81" t="s">
        <v>205</v>
      </c>
      <c r="L118" s="81" t="s">
        <v>208</v>
      </c>
      <c r="M118" s="26">
        <v>6.0</v>
      </c>
      <c r="N118" s="26" t="str">
        <f t="shared" si="243"/>
        <v>R</v>
      </c>
      <c r="O118" s="26">
        <v>25.0</v>
      </c>
      <c r="P118" s="26" t="str">
        <f t="shared" si="244"/>
        <v>S</v>
      </c>
      <c r="Q118" s="26">
        <v>6.0</v>
      </c>
      <c r="R118" s="26" t="str">
        <f t="shared" si="245"/>
        <v>R</v>
      </c>
      <c r="S118" s="32" t="s">
        <v>357</v>
      </c>
      <c r="T118" s="32" t="s">
        <v>357</v>
      </c>
      <c r="U118" s="26">
        <v>10.0</v>
      </c>
      <c r="V118" s="26" t="str">
        <f t="shared" si="246"/>
        <v>R</v>
      </c>
      <c r="W118" s="26">
        <v>27.0</v>
      </c>
      <c r="X118" s="26" t="str">
        <f t="shared" si="247"/>
        <v>S</v>
      </c>
      <c r="Y118" s="26">
        <v>26.0</v>
      </c>
      <c r="Z118" s="26" t="str">
        <f t="shared" si="248"/>
        <v>S</v>
      </c>
      <c r="AA118" s="32" t="s">
        <v>299</v>
      </c>
      <c r="AB118" s="33">
        <v>6.0</v>
      </c>
      <c r="AC118" s="33" t="str">
        <f t="shared" si="249"/>
        <v>R</v>
      </c>
      <c r="AD118" s="33">
        <v>26.0</v>
      </c>
      <c r="AE118" s="33" t="str">
        <f t="shared" si="250"/>
        <v>S</v>
      </c>
      <c r="AF118" s="33">
        <v>18.0</v>
      </c>
      <c r="AG118" s="33" t="str">
        <f t="shared" si="251"/>
        <v>R</v>
      </c>
      <c r="AH118" s="33">
        <v>30.0</v>
      </c>
      <c r="AI118" s="33" t="str">
        <f t="shared" si="252"/>
        <v>S</v>
      </c>
      <c r="AJ118" s="33">
        <v>23.0</v>
      </c>
      <c r="AK118" s="33" t="str">
        <f t="shared" si="253"/>
        <v>R</v>
      </c>
      <c r="AL118" s="33" t="s">
        <v>299</v>
      </c>
      <c r="AM118" s="36">
        <v>25.0</v>
      </c>
      <c r="AN118" s="36" t="str">
        <f t="shared" si="254"/>
        <v>S</v>
      </c>
      <c r="AO118" s="36">
        <v>25.0</v>
      </c>
      <c r="AP118" s="36" t="str">
        <f t="shared" si="255"/>
        <v>S</v>
      </c>
      <c r="AQ118" s="36">
        <v>24.0</v>
      </c>
      <c r="AR118" s="36" t="str">
        <f t="shared" si="256"/>
        <v>S</v>
      </c>
      <c r="AS118" s="36" t="s">
        <v>300</v>
      </c>
      <c r="AT118" s="37">
        <v>6.0</v>
      </c>
      <c r="AU118" s="37" t="str">
        <f t="shared" si="257"/>
        <v>R</v>
      </c>
      <c r="AV118" s="33">
        <v>23.0</v>
      </c>
      <c r="AW118" s="33" t="str">
        <f t="shared" si="258"/>
        <v>S</v>
      </c>
      <c r="AX118" s="33">
        <v>20.0</v>
      </c>
      <c r="AY118" s="33" t="str">
        <f t="shared" si="259"/>
        <v>S</v>
      </c>
      <c r="AZ118" s="33" t="s">
        <v>300</v>
      </c>
      <c r="BA118" s="26">
        <v>25.0</v>
      </c>
      <c r="BB118" s="26" t="str">
        <f t="shared" si="260"/>
        <v>S</v>
      </c>
      <c r="BC118" s="37">
        <v>17.0</v>
      </c>
      <c r="BD118" s="37" t="str">
        <f t="shared" si="261"/>
        <v>R</v>
      </c>
      <c r="BE118" s="36">
        <v>34.0</v>
      </c>
      <c r="BF118" s="36" t="str">
        <f t="shared" si="262"/>
        <v>S</v>
      </c>
      <c r="BG118" s="39" t="s">
        <v>357</v>
      </c>
      <c r="BH118" s="39" t="s">
        <v>357</v>
      </c>
      <c r="BI118" s="36">
        <v>30.0</v>
      </c>
      <c r="BJ118" s="36" t="str">
        <f t="shared" si="263"/>
        <v>S</v>
      </c>
      <c r="BK118" s="40">
        <v>21.0</v>
      </c>
      <c r="BL118" s="41" t="str">
        <f t="shared" si="264"/>
        <v>S</v>
      </c>
      <c r="BM118" s="41"/>
    </row>
    <row r="119">
      <c r="A119" s="18" t="s">
        <v>786</v>
      </c>
      <c r="B119" s="19">
        <v>95.0</v>
      </c>
      <c r="C119" s="18" t="s">
        <v>1350</v>
      </c>
      <c r="D119" s="18" t="s">
        <v>705</v>
      </c>
      <c r="E119" s="18" t="s">
        <v>572</v>
      </c>
      <c r="F119" s="18" t="s">
        <v>192</v>
      </c>
      <c r="G119" s="20" t="s">
        <v>1351</v>
      </c>
      <c r="H119" s="61" t="s">
        <v>900</v>
      </c>
      <c r="I119" s="84" t="s">
        <v>481</v>
      </c>
      <c r="J119" s="82" t="s">
        <v>205</v>
      </c>
      <c r="K119" s="82" t="s">
        <v>208</v>
      </c>
      <c r="L119" s="81" t="s">
        <v>208</v>
      </c>
      <c r="M119" s="26">
        <v>6.0</v>
      </c>
      <c r="N119" s="26" t="str">
        <f t="shared" si="243"/>
        <v>R</v>
      </c>
      <c r="O119" s="26">
        <v>10.0</v>
      </c>
      <c r="P119" s="26" t="str">
        <f t="shared" si="244"/>
        <v>R</v>
      </c>
      <c r="Q119" s="26">
        <v>6.0</v>
      </c>
      <c r="R119" s="26" t="str">
        <f t="shared" si="245"/>
        <v>R</v>
      </c>
      <c r="S119" s="32" t="s">
        <v>357</v>
      </c>
      <c r="T119" s="32" t="s">
        <v>357</v>
      </c>
      <c r="U119" s="26">
        <v>6.0</v>
      </c>
      <c r="V119" s="26" t="str">
        <f t="shared" si="246"/>
        <v>R</v>
      </c>
      <c r="W119" s="26">
        <v>24.0</v>
      </c>
      <c r="X119" s="26" t="str">
        <f t="shared" si="247"/>
        <v>S</v>
      </c>
      <c r="Y119" s="26">
        <v>27.0</v>
      </c>
      <c r="Z119" s="26" t="str">
        <f t="shared" si="248"/>
        <v>S</v>
      </c>
      <c r="AA119" s="32" t="s">
        <v>299</v>
      </c>
      <c r="AB119" s="33">
        <v>6.0</v>
      </c>
      <c r="AC119" s="33" t="str">
        <f t="shared" si="249"/>
        <v>R</v>
      </c>
      <c r="AD119" s="33">
        <v>6.0</v>
      </c>
      <c r="AE119" s="33" t="str">
        <f t="shared" si="250"/>
        <v>R</v>
      </c>
      <c r="AF119" s="33">
        <v>15.0</v>
      </c>
      <c r="AG119" s="33" t="str">
        <f t="shared" si="251"/>
        <v>R</v>
      </c>
      <c r="AH119" s="33">
        <v>29.0</v>
      </c>
      <c r="AI119" s="33" t="str">
        <f t="shared" si="252"/>
        <v>S</v>
      </c>
      <c r="AJ119" s="33">
        <v>21.0</v>
      </c>
      <c r="AK119" s="33" t="str">
        <f t="shared" si="253"/>
        <v>R</v>
      </c>
      <c r="AL119" s="33" t="s">
        <v>299</v>
      </c>
      <c r="AM119" s="36">
        <v>24.0</v>
      </c>
      <c r="AN119" s="36" t="str">
        <f t="shared" si="254"/>
        <v>I</v>
      </c>
      <c r="AO119" s="36">
        <v>23.0</v>
      </c>
      <c r="AP119" s="36" t="str">
        <f t="shared" si="255"/>
        <v>S</v>
      </c>
      <c r="AQ119" s="36">
        <v>25.0</v>
      </c>
      <c r="AR119" s="36" t="str">
        <f t="shared" si="256"/>
        <v>S</v>
      </c>
      <c r="AS119" s="36" t="s">
        <v>300</v>
      </c>
      <c r="AT119" s="37">
        <v>6.0</v>
      </c>
      <c r="AU119" s="37" t="str">
        <f t="shared" si="257"/>
        <v>R</v>
      </c>
      <c r="AV119" s="33">
        <v>22.0</v>
      </c>
      <c r="AW119" s="33" t="str">
        <f t="shared" si="258"/>
        <v>S</v>
      </c>
      <c r="AX119" s="33">
        <v>21.0</v>
      </c>
      <c r="AY119" s="33" t="str">
        <f t="shared" si="259"/>
        <v>S</v>
      </c>
      <c r="AZ119" s="33" t="s">
        <v>300</v>
      </c>
      <c r="BA119" s="26">
        <v>28.0</v>
      </c>
      <c r="BB119" s="26" t="str">
        <f t="shared" si="260"/>
        <v>S</v>
      </c>
      <c r="BC119" s="37">
        <v>15.0</v>
      </c>
      <c r="BD119" s="37" t="str">
        <f t="shared" si="261"/>
        <v>R</v>
      </c>
      <c r="BE119" s="36">
        <v>24.0</v>
      </c>
      <c r="BF119" s="36" t="str">
        <f t="shared" si="262"/>
        <v>S</v>
      </c>
      <c r="BG119" s="36">
        <v>0.032</v>
      </c>
      <c r="BH119" s="36" t="str">
        <f>IF((BG119&lt;=0.5),"S",IF(AND(BG119&gt;0.5),"R", "NA"))</f>
        <v>S</v>
      </c>
      <c r="BI119" s="36">
        <v>28.0</v>
      </c>
      <c r="BJ119" s="36" t="str">
        <f t="shared" si="263"/>
        <v>S</v>
      </c>
      <c r="BK119" s="40">
        <v>20.0</v>
      </c>
      <c r="BL119" s="41" t="str">
        <f t="shared" si="264"/>
        <v>S</v>
      </c>
      <c r="BM119" s="41"/>
    </row>
    <row r="120">
      <c r="A120" s="18" t="s">
        <v>786</v>
      </c>
      <c r="B120" s="18" t="s">
        <v>444</v>
      </c>
      <c r="C120" s="18" t="s">
        <v>1352</v>
      </c>
      <c r="D120" s="18" t="s">
        <v>705</v>
      </c>
      <c r="E120" s="18" t="s">
        <v>572</v>
      </c>
      <c r="F120" s="18" t="s">
        <v>192</v>
      </c>
      <c r="G120" s="20" t="s">
        <v>1353</v>
      </c>
      <c r="H120" s="42" t="s">
        <v>479</v>
      </c>
      <c r="I120" s="84" t="s">
        <v>37</v>
      </c>
      <c r="J120" s="81" t="s">
        <v>205</v>
      </c>
      <c r="K120" s="81" t="s">
        <v>205</v>
      </c>
      <c r="L120" s="81" t="s">
        <v>208</v>
      </c>
      <c r="M120" s="26">
        <v>6.0</v>
      </c>
      <c r="N120" s="26" t="str">
        <f t="shared" si="243"/>
        <v>R</v>
      </c>
      <c r="O120" s="26">
        <v>20.0</v>
      </c>
      <c r="P120" s="26" t="str">
        <f t="shared" si="244"/>
        <v>S</v>
      </c>
      <c r="Q120" s="26">
        <v>6.0</v>
      </c>
      <c r="R120" s="26" t="str">
        <f t="shared" si="245"/>
        <v>R</v>
      </c>
      <c r="S120" s="32" t="s">
        <v>357</v>
      </c>
      <c r="T120" s="32" t="s">
        <v>357</v>
      </c>
      <c r="U120" s="26">
        <v>6.0</v>
      </c>
      <c r="V120" s="26" t="str">
        <f t="shared" si="246"/>
        <v>R</v>
      </c>
      <c r="W120" s="26">
        <v>23.0</v>
      </c>
      <c r="X120" s="26" t="str">
        <f t="shared" si="247"/>
        <v>S</v>
      </c>
      <c r="Y120" s="26">
        <v>25.0</v>
      </c>
      <c r="Z120" s="26" t="str">
        <f t="shared" si="248"/>
        <v>S</v>
      </c>
      <c r="AA120" s="32" t="s">
        <v>299</v>
      </c>
      <c r="AB120" s="33">
        <v>6.0</v>
      </c>
      <c r="AC120" s="33" t="str">
        <f t="shared" si="249"/>
        <v>R</v>
      </c>
      <c r="AD120" s="33">
        <v>25.0</v>
      </c>
      <c r="AE120" s="33" t="str">
        <f t="shared" si="250"/>
        <v>S</v>
      </c>
      <c r="AF120" s="33">
        <v>14.0</v>
      </c>
      <c r="AG120" s="33" t="str">
        <f t="shared" si="251"/>
        <v>R</v>
      </c>
      <c r="AH120" s="33">
        <v>21.0</v>
      </c>
      <c r="AI120" s="33" t="str">
        <f t="shared" si="252"/>
        <v>S</v>
      </c>
      <c r="AJ120" s="33">
        <v>20.0</v>
      </c>
      <c r="AK120" s="33" t="str">
        <f t="shared" si="253"/>
        <v>R</v>
      </c>
      <c r="AL120" s="33" t="s">
        <v>299</v>
      </c>
      <c r="AM120" s="36">
        <v>29.0</v>
      </c>
      <c r="AN120" s="36" t="str">
        <f t="shared" si="254"/>
        <v>S</v>
      </c>
      <c r="AO120" s="36">
        <v>28.0</v>
      </c>
      <c r="AP120" s="36" t="str">
        <f t="shared" si="255"/>
        <v>S</v>
      </c>
      <c r="AQ120" s="36">
        <v>21.0</v>
      </c>
      <c r="AR120" s="36" t="str">
        <f t="shared" si="256"/>
        <v>S</v>
      </c>
      <c r="AS120" s="36" t="s">
        <v>300</v>
      </c>
      <c r="AT120" s="37">
        <v>6.0</v>
      </c>
      <c r="AU120" s="37" t="str">
        <f t="shared" si="257"/>
        <v>R</v>
      </c>
      <c r="AV120" s="33">
        <v>21.0</v>
      </c>
      <c r="AW120" s="33" t="str">
        <f t="shared" si="258"/>
        <v>S</v>
      </c>
      <c r="AX120" s="33">
        <v>15.0</v>
      </c>
      <c r="AY120" s="33" t="str">
        <f t="shared" si="259"/>
        <v>R</v>
      </c>
      <c r="AZ120" s="33" t="s">
        <v>299</v>
      </c>
      <c r="BA120" s="26">
        <v>24.0</v>
      </c>
      <c r="BB120" s="26" t="str">
        <f t="shared" si="260"/>
        <v>S</v>
      </c>
      <c r="BC120" s="37">
        <v>13.0</v>
      </c>
      <c r="BD120" s="37" t="str">
        <f t="shared" si="261"/>
        <v>R</v>
      </c>
      <c r="BE120" s="36">
        <v>27.0</v>
      </c>
      <c r="BF120" s="36" t="str">
        <f t="shared" si="262"/>
        <v>S</v>
      </c>
      <c r="BG120" s="39" t="s">
        <v>357</v>
      </c>
      <c r="BH120" s="39" t="s">
        <v>357</v>
      </c>
      <c r="BI120" s="36">
        <v>30.0</v>
      </c>
      <c r="BJ120" s="36" t="str">
        <f t="shared" si="263"/>
        <v>S</v>
      </c>
      <c r="BK120" s="40">
        <v>19.0</v>
      </c>
      <c r="BL120" s="41" t="str">
        <f t="shared" si="264"/>
        <v>S</v>
      </c>
      <c r="BM120" s="41"/>
    </row>
    <row r="121">
      <c r="A121" s="18" t="s">
        <v>786</v>
      </c>
      <c r="B121" s="19">
        <v>96.0</v>
      </c>
      <c r="C121" s="18" t="s">
        <v>1354</v>
      </c>
      <c r="D121" s="18" t="s">
        <v>708</v>
      </c>
      <c r="E121" s="18" t="s">
        <v>103</v>
      </c>
      <c r="F121" s="18" t="s">
        <v>192</v>
      </c>
      <c r="G121" s="20" t="s">
        <v>1355</v>
      </c>
      <c r="H121" s="22" t="s">
        <v>198</v>
      </c>
      <c r="I121" s="80" t="s">
        <v>481</v>
      </c>
      <c r="J121" s="82" t="s">
        <v>205</v>
      </c>
      <c r="K121" s="82" t="s">
        <v>208</v>
      </c>
      <c r="L121" s="81" t="s">
        <v>208</v>
      </c>
      <c r="M121" s="26">
        <v>8.0</v>
      </c>
      <c r="N121" s="26" t="str">
        <f t="shared" si="243"/>
        <v>R</v>
      </c>
      <c r="O121" s="26">
        <v>24.0</v>
      </c>
      <c r="P121" s="26" t="str">
        <f t="shared" si="244"/>
        <v>S</v>
      </c>
      <c r="Q121" s="26">
        <v>6.0</v>
      </c>
      <c r="R121" s="26" t="str">
        <f t="shared" si="245"/>
        <v>R</v>
      </c>
      <c r="S121" s="32" t="s">
        <v>357</v>
      </c>
      <c r="T121" s="32" t="s">
        <v>357</v>
      </c>
      <c r="U121" s="26">
        <v>18.0</v>
      </c>
      <c r="V121" s="26" t="str">
        <f t="shared" si="246"/>
        <v>R</v>
      </c>
      <c r="W121" s="26">
        <v>28.0</v>
      </c>
      <c r="X121" s="26" t="str">
        <f t="shared" si="247"/>
        <v>S</v>
      </c>
      <c r="Y121" s="26">
        <v>25.0</v>
      </c>
      <c r="Z121" s="26" t="str">
        <f t="shared" si="248"/>
        <v>S</v>
      </c>
      <c r="AA121" s="32" t="s">
        <v>299</v>
      </c>
      <c r="AB121" s="33">
        <v>13.0</v>
      </c>
      <c r="AC121" s="33" t="str">
        <f t="shared" si="249"/>
        <v>R</v>
      </c>
      <c r="AD121" s="33">
        <v>26.0</v>
      </c>
      <c r="AE121" s="33" t="str">
        <f t="shared" si="250"/>
        <v>S</v>
      </c>
      <c r="AF121" s="33">
        <v>24.0</v>
      </c>
      <c r="AG121" s="33" t="str">
        <f t="shared" si="251"/>
        <v>S</v>
      </c>
      <c r="AH121" s="33">
        <v>26.0</v>
      </c>
      <c r="AI121" s="33" t="str">
        <f t="shared" si="252"/>
        <v>S</v>
      </c>
      <c r="AJ121" s="33">
        <v>30.0</v>
      </c>
      <c r="AK121" s="33" t="str">
        <f t="shared" si="253"/>
        <v>S</v>
      </c>
      <c r="AL121" s="33" t="s">
        <v>299</v>
      </c>
      <c r="AM121" s="36">
        <v>30.0</v>
      </c>
      <c r="AN121" s="36" t="str">
        <f t="shared" si="254"/>
        <v>S</v>
      </c>
      <c r="AO121" s="36">
        <v>28.0</v>
      </c>
      <c r="AP121" s="36" t="str">
        <f t="shared" si="255"/>
        <v>S</v>
      </c>
      <c r="AQ121" s="36">
        <v>21.0</v>
      </c>
      <c r="AR121" s="36" t="str">
        <f t="shared" si="256"/>
        <v>S</v>
      </c>
      <c r="AS121" s="36" t="s">
        <v>300</v>
      </c>
      <c r="AT121" s="37">
        <v>6.0</v>
      </c>
      <c r="AU121" s="37" t="str">
        <f t="shared" si="257"/>
        <v>R</v>
      </c>
      <c r="AV121" s="33">
        <v>24.0</v>
      </c>
      <c r="AW121" s="33" t="str">
        <f t="shared" si="258"/>
        <v>S</v>
      </c>
      <c r="AX121" s="33">
        <v>20.0</v>
      </c>
      <c r="AY121" s="33" t="str">
        <f t="shared" si="259"/>
        <v>S</v>
      </c>
      <c r="AZ121" s="33" t="s">
        <v>300</v>
      </c>
      <c r="BA121" s="26">
        <v>18.0</v>
      </c>
      <c r="BB121" s="26" t="str">
        <f t="shared" si="260"/>
        <v>R</v>
      </c>
      <c r="BC121" s="37">
        <v>25.0</v>
      </c>
      <c r="BD121" s="37" t="str">
        <f t="shared" si="261"/>
        <v>I</v>
      </c>
      <c r="BE121" s="36">
        <v>35.0</v>
      </c>
      <c r="BF121" s="36" t="str">
        <f t="shared" si="262"/>
        <v>S</v>
      </c>
      <c r="BG121" s="39" t="s">
        <v>357</v>
      </c>
      <c r="BH121" s="39" t="s">
        <v>357</v>
      </c>
      <c r="BI121" s="36">
        <v>30.0</v>
      </c>
      <c r="BJ121" s="36" t="str">
        <f t="shared" si="263"/>
        <v>S</v>
      </c>
      <c r="BK121" s="40">
        <v>21.0</v>
      </c>
      <c r="BL121" s="41" t="str">
        <f t="shared" si="264"/>
        <v>S</v>
      </c>
      <c r="BM121" s="41"/>
    </row>
    <row r="122">
      <c r="A122" s="18" t="s">
        <v>786</v>
      </c>
      <c r="B122" s="18" t="s">
        <v>444</v>
      </c>
      <c r="C122" s="18" t="s">
        <v>1356</v>
      </c>
      <c r="D122" s="18" t="s">
        <v>708</v>
      </c>
      <c r="E122" s="18" t="s">
        <v>103</v>
      </c>
      <c r="F122" s="18" t="s">
        <v>192</v>
      </c>
      <c r="G122" s="20" t="s">
        <v>1357</v>
      </c>
      <c r="H122" s="58" t="s">
        <v>770</v>
      </c>
      <c r="I122" s="80" t="s">
        <v>481</v>
      </c>
      <c r="J122" s="82" t="s">
        <v>205</v>
      </c>
      <c r="K122" s="82" t="s">
        <v>208</v>
      </c>
      <c r="L122" s="81" t="s">
        <v>208</v>
      </c>
      <c r="M122" s="26">
        <v>6.0</v>
      </c>
      <c r="N122" s="26" t="str">
        <f t="shared" si="243"/>
        <v>R</v>
      </c>
      <c r="O122" s="26">
        <v>20.0</v>
      </c>
      <c r="P122" s="26" t="str">
        <f t="shared" si="244"/>
        <v>S</v>
      </c>
      <c r="Q122" s="26">
        <v>6.0</v>
      </c>
      <c r="R122" s="26" t="str">
        <f t="shared" si="245"/>
        <v>R</v>
      </c>
      <c r="S122" s="32" t="s">
        <v>357</v>
      </c>
      <c r="T122" s="32" t="s">
        <v>357</v>
      </c>
      <c r="U122" s="26">
        <v>15.0</v>
      </c>
      <c r="V122" s="26" t="str">
        <f t="shared" si="246"/>
        <v>R</v>
      </c>
      <c r="W122" s="26">
        <v>30.0</v>
      </c>
      <c r="X122" s="26" t="str">
        <f t="shared" si="247"/>
        <v>S</v>
      </c>
      <c r="Y122" s="26">
        <v>26.0</v>
      </c>
      <c r="Z122" s="26" t="str">
        <f t="shared" si="248"/>
        <v>S</v>
      </c>
      <c r="AA122" s="32" t="s">
        <v>299</v>
      </c>
      <c r="AB122" s="33">
        <v>6.0</v>
      </c>
      <c r="AC122" s="33" t="str">
        <f t="shared" si="249"/>
        <v>R</v>
      </c>
      <c r="AD122" s="33">
        <v>30.0</v>
      </c>
      <c r="AE122" s="33" t="str">
        <f t="shared" si="250"/>
        <v>S</v>
      </c>
      <c r="AF122" s="33">
        <v>20.0</v>
      </c>
      <c r="AG122" s="33" t="str">
        <f t="shared" si="251"/>
        <v>I</v>
      </c>
      <c r="AH122" s="33">
        <v>32.0</v>
      </c>
      <c r="AI122" s="33" t="str">
        <f t="shared" si="252"/>
        <v>S</v>
      </c>
      <c r="AJ122" s="33">
        <v>25.0</v>
      </c>
      <c r="AK122" s="33" t="str">
        <f t="shared" si="253"/>
        <v>I</v>
      </c>
      <c r="AL122" s="33" t="s">
        <v>299</v>
      </c>
      <c r="AM122" s="36">
        <v>25.0</v>
      </c>
      <c r="AN122" s="36" t="str">
        <f t="shared" si="254"/>
        <v>S</v>
      </c>
      <c r="AO122" s="36">
        <v>26.0</v>
      </c>
      <c r="AP122" s="36" t="str">
        <f t="shared" si="255"/>
        <v>S</v>
      </c>
      <c r="AQ122" s="36">
        <v>24.0</v>
      </c>
      <c r="AR122" s="36" t="str">
        <f t="shared" si="256"/>
        <v>S</v>
      </c>
      <c r="AS122" s="36" t="s">
        <v>300</v>
      </c>
      <c r="AT122" s="37">
        <v>8.0</v>
      </c>
      <c r="AU122" s="37" t="str">
        <f t="shared" si="257"/>
        <v>R</v>
      </c>
      <c r="AV122" s="33">
        <v>25.0</v>
      </c>
      <c r="AW122" s="33" t="str">
        <f t="shared" si="258"/>
        <v>S</v>
      </c>
      <c r="AX122" s="33">
        <v>20.0</v>
      </c>
      <c r="AY122" s="33" t="str">
        <f t="shared" si="259"/>
        <v>S</v>
      </c>
      <c r="AZ122" s="33" t="s">
        <v>300</v>
      </c>
      <c r="BA122" s="26">
        <v>20.0</v>
      </c>
      <c r="BB122" s="26" t="str">
        <f t="shared" si="260"/>
        <v>S</v>
      </c>
      <c r="BC122" s="37">
        <v>24.0</v>
      </c>
      <c r="BD122" s="37" t="str">
        <f t="shared" si="261"/>
        <v>I</v>
      </c>
      <c r="BE122" s="36">
        <v>28.0</v>
      </c>
      <c r="BF122" s="36" t="str">
        <f t="shared" si="262"/>
        <v>S</v>
      </c>
      <c r="BG122" s="39" t="s">
        <v>357</v>
      </c>
      <c r="BH122" s="39" t="s">
        <v>357</v>
      </c>
      <c r="BI122" s="36">
        <v>28.0</v>
      </c>
      <c r="BJ122" s="36" t="str">
        <f t="shared" si="263"/>
        <v>S</v>
      </c>
      <c r="BK122" s="40">
        <v>22.0</v>
      </c>
      <c r="BL122" s="41" t="str">
        <f t="shared" si="264"/>
        <v>S</v>
      </c>
      <c r="BM122" s="41"/>
    </row>
    <row r="123">
      <c r="A123" s="18" t="s">
        <v>786</v>
      </c>
      <c r="B123" s="18" t="s">
        <v>444</v>
      </c>
      <c r="C123" s="18" t="s">
        <v>1358</v>
      </c>
      <c r="D123" s="18" t="s">
        <v>708</v>
      </c>
      <c r="E123" s="18" t="s">
        <v>103</v>
      </c>
      <c r="F123" s="18" t="s">
        <v>192</v>
      </c>
      <c r="G123" s="20" t="s">
        <v>1359</v>
      </c>
      <c r="H123" s="42" t="s">
        <v>479</v>
      </c>
      <c r="I123" s="84" t="s">
        <v>37</v>
      </c>
      <c r="J123" s="81" t="s">
        <v>205</v>
      </c>
      <c r="K123" s="81" t="s">
        <v>205</v>
      </c>
      <c r="L123" s="81" t="s">
        <v>208</v>
      </c>
      <c r="M123" s="26">
        <v>6.0</v>
      </c>
      <c r="N123" s="26" t="str">
        <f t="shared" si="243"/>
        <v>R</v>
      </c>
      <c r="O123" s="26">
        <v>20.0</v>
      </c>
      <c r="P123" s="26" t="str">
        <f t="shared" si="244"/>
        <v>S</v>
      </c>
      <c r="Q123" s="26">
        <v>6.0</v>
      </c>
      <c r="R123" s="26" t="str">
        <f t="shared" si="245"/>
        <v>R</v>
      </c>
      <c r="S123" s="32" t="s">
        <v>357</v>
      </c>
      <c r="T123" s="32" t="s">
        <v>357</v>
      </c>
      <c r="U123" s="26">
        <v>11.0</v>
      </c>
      <c r="V123" s="26" t="str">
        <f t="shared" si="246"/>
        <v>R</v>
      </c>
      <c r="W123" s="26">
        <v>25.0</v>
      </c>
      <c r="X123" s="26" t="str">
        <f t="shared" si="247"/>
        <v>S</v>
      </c>
      <c r="Y123" s="26">
        <v>25.0</v>
      </c>
      <c r="Z123" s="26" t="str">
        <f t="shared" si="248"/>
        <v>S</v>
      </c>
      <c r="AA123" s="32" t="s">
        <v>299</v>
      </c>
      <c r="AB123" s="33">
        <v>6.0</v>
      </c>
      <c r="AC123" s="33" t="str">
        <f t="shared" si="249"/>
        <v>R</v>
      </c>
      <c r="AD123" s="33">
        <v>25.0</v>
      </c>
      <c r="AE123" s="33" t="str">
        <f t="shared" si="250"/>
        <v>S</v>
      </c>
      <c r="AF123" s="33">
        <v>15.0</v>
      </c>
      <c r="AG123" s="33" t="str">
        <f t="shared" si="251"/>
        <v>R</v>
      </c>
      <c r="AH123" s="33">
        <v>27.0</v>
      </c>
      <c r="AI123" s="33" t="str">
        <f t="shared" si="252"/>
        <v>S</v>
      </c>
      <c r="AJ123" s="33">
        <v>22.0</v>
      </c>
      <c r="AK123" s="33" t="str">
        <f t="shared" si="253"/>
        <v>R</v>
      </c>
      <c r="AL123" s="33" t="s">
        <v>299</v>
      </c>
      <c r="AM123" s="36">
        <v>30.0</v>
      </c>
      <c r="AN123" s="36" t="str">
        <f t="shared" si="254"/>
        <v>S</v>
      </c>
      <c r="AO123" s="36">
        <v>23.0</v>
      </c>
      <c r="AP123" s="36" t="str">
        <f t="shared" si="255"/>
        <v>S</v>
      </c>
      <c r="AQ123" s="36">
        <v>20.0</v>
      </c>
      <c r="AR123" s="36" t="str">
        <f t="shared" si="256"/>
        <v>S</v>
      </c>
      <c r="AS123" s="36" t="s">
        <v>300</v>
      </c>
      <c r="AT123" s="37">
        <v>6.0</v>
      </c>
      <c r="AU123" s="37" t="str">
        <f t="shared" si="257"/>
        <v>R</v>
      </c>
      <c r="AV123" s="33">
        <v>22.0</v>
      </c>
      <c r="AW123" s="33" t="str">
        <f t="shared" si="258"/>
        <v>S</v>
      </c>
      <c r="AX123" s="33">
        <v>24.0</v>
      </c>
      <c r="AY123" s="33" t="str">
        <f t="shared" si="259"/>
        <v>S</v>
      </c>
      <c r="AZ123" s="33" t="s">
        <v>300</v>
      </c>
      <c r="BA123" s="26">
        <v>18.0</v>
      </c>
      <c r="BB123" s="26" t="str">
        <f t="shared" si="260"/>
        <v>R</v>
      </c>
      <c r="BC123" s="37">
        <v>13.0</v>
      </c>
      <c r="BD123" s="37" t="str">
        <f t="shared" si="261"/>
        <v>R</v>
      </c>
      <c r="BE123" s="36">
        <v>27.0</v>
      </c>
      <c r="BF123" s="36" t="str">
        <f t="shared" si="262"/>
        <v>S</v>
      </c>
      <c r="BG123" s="39" t="s">
        <v>357</v>
      </c>
      <c r="BH123" s="39" t="s">
        <v>357</v>
      </c>
      <c r="BI123" s="36">
        <v>28.0</v>
      </c>
      <c r="BJ123" s="36" t="str">
        <f t="shared" si="263"/>
        <v>S</v>
      </c>
      <c r="BK123" s="40">
        <v>20.0</v>
      </c>
      <c r="BL123" s="41" t="str">
        <f t="shared" si="264"/>
        <v>S</v>
      </c>
      <c r="BM123" s="41"/>
    </row>
    <row r="124">
      <c r="A124" s="18" t="s">
        <v>794</v>
      </c>
      <c r="B124" s="19">
        <v>97.0</v>
      </c>
      <c r="C124" s="18" t="s">
        <v>1360</v>
      </c>
      <c r="D124" s="18" t="s">
        <v>190</v>
      </c>
      <c r="E124" s="18" t="s">
        <v>190</v>
      </c>
      <c r="F124" s="18" t="s">
        <v>192</v>
      </c>
      <c r="G124" s="20" t="s">
        <v>1361</v>
      </c>
      <c r="H124" s="22" t="s">
        <v>198</v>
      </c>
      <c r="I124" s="80" t="s">
        <v>1011</v>
      </c>
      <c r="J124" s="82" t="s">
        <v>208</v>
      </c>
      <c r="K124" s="82" t="s">
        <v>208</v>
      </c>
      <c r="L124" s="81" t="s">
        <v>208</v>
      </c>
      <c r="M124" s="26">
        <v>6.0</v>
      </c>
      <c r="N124" s="26" t="str">
        <f t="shared" si="243"/>
        <v>R</v>
      </c>
      <c r="O124" s="26">
        <v>27.0</v>
      </c>
      <c r="P124" s="26" t="str">
        <f t="shared" si="244"/>
        <v>S</v>
      </c>
      <c r="Q124" s="26">
        <v>6.0</v>
      </c>
      <c r="R124" s="26" t="str">
        <f t="shared" si="245"/>
        <v>R</v>
      </c>
      <c r="S124" s="32" t="s">
        <v>357</v>
      </c>
      <c r="T124" s="32" t="s">
        <v>357</v>
      </c>
      <c r="U124" s="26">
        <v>16.0</v>
      </c>
      <c r="V124" s="26" t="str">
        <f t="shared" si="246"/>
        <v>R</v>
      </c>
      <c r="W124" s="26">
        <v>28.0</v>
      </c>
      <c r="X124" s="26" t="str">
        <f t="shared" si="247"/>
        <v>S</v>
      </c>
      <c r="Y124" s="26">
        <v>24.0</v>
      </c>
      <c r="Z124" s="26" t="str">
        <f t="shared" si="248"/>
        <v>S</v>
      </c>
      <c r="AA124" s="32" t="s">
        <v>299</v>
      </c>
      <c r="AB124" s="33">
        <v>10.0</v>
      </c>
      <c r="AC124" s="33" t="str">
        <f t="shared" si="249"/>
        <v>R</v>
      </c>
      <c r="AD124" s="33">
        <v>26.0</v>
      </c>
      <c r="AE124" s="33" t="str">
        <f t="shared" si="250"/>
        <v>S</v>
      </c>
      <c r="AF124" s="33">
        <v>22.0</v>
      </c>
      <c r="AG124" s="33" t="str">
        <f t="shared" si="251"/>
        <v>S</v>
      </c>
      <c r="AH124" s="33">
        <v>28.0</v>
      </c>
      <c r="AI124" s="33" t="str">
        <f t="shared" si="252"/>
        <v>S</v>
      </c>
      <c r="AJ124" s="33">
        <v>30.0</v>
      </c>
      <c r="AK124" s="33" t="str">
        <f t="shared" si="253"/>
        <v>S</v>
      </c>
      <c r="AL124" s="33" t="s">
        <v>299</v>
      </c>
      <c r="AM124" s="36">
        <v>30.0</v>
      </c>
      <c r="AN124" s="36" t="str">
        <f t="shared" si="254"/>
        <v>S</v>
      </c>
      <c r="AO124" s="36">
        <v>28.0</v>
      </c>
      <c r="AP124" s="36" t="str">
        <f t="shared" si="255"/>
        <v>S</v>
      </c>
      <c r="AQ124" s="36">
        <v>22.0</v>
      </c>
      <c r="AR124" s="36" t="str">
        <f t="shared" si="256"/>
        <v>S</v>
      </c>
      <c r="AS124" s="36" t="s">
        <v>300</v>
      </c>
      <c r="AT124" s="37">
        <v>33.0</v>
      </c>
      <c r="AU124" s="37" t="str">
        <f t="shared" si="257"/>
        <v>S</v>
      </c>
      <c r="AV124" s="33">
        <v>22.0</v>
      </c>
      <c r="AW124" s="33" t="str">
        <f t="shared" si="258"/>
        <v>S</v>
      </c>
      <c r="AX124" s="33">
        <v>21.0</v>
      </c>
      <c r="AY124" s="33" t="str">
        <f t="shared" si="259"/>
        <v>S</v>
      </c>
      <c r="AZ124" s="33" t="s">
        <v>300</v>
      </c>
      <c r="BA124" s="26">
        <v>23.0</v>
      </c>
      <c r="BB124" s="26" t="str">
        <f t="shared" si="260"/>
        <v>S</v>
      </c>
      <c r="BC124" s="37">
        <v>22.0</v>
      </c>
      <c r="BD124" s="37" t="str">
        <f t="shared" si="261"/>
        <v>I</v>
      </c>
      <c r="BE124" s="36">
        <v>35.0</v>
      </c>
      <c r="BF124" s="36" t="str">
        <f t="shared" si="262"/>
        <v>S</v>
      </c>
      <c r="BG124" s="39" t="s">
        <v>357</v>
      </c>
      <c r="BH124" s="39" t="s">
        <v>357</v>
      </c>
      <c r="BI124" s="36">
        <v>30.0</v>
      </c>
      <c r="BJ124" s="36" t="str">
        <f t="shared" si="263"/>
        <v>S</v>
      </c>
      <c r="BK124" s="40">
        <v>20.0</v>
      </c>
      <c r="BL124" s="41" t="str">
        <f t="shared" si="264"/>
        <v>S</v>
      </c>
      <c r="BM124" s="41"/>
    </row>
    <row r="125">
      <c r="A125" s="18" t="s">
        <v>794</v>
      </c>
      <c r="B125" s="18" t="s">
        <v>444</v>
      </c>
      <c r="C125" s="18" t="s">
        <v>1362</v>
      </c>
      <c r="D125" s="18" t="s">
        <v>190</v>
      </c>
      <c r="E125" s="18" t="s">
        <v>190</v>
      </c>
      <c r="F125" s="18" t="s">
        <v>192</v>
      </c>
      <c r="G125" s="20" t="s">
        <v>1363</v>
      </c>
      <c r="H125" s="42" t="s">
        <v>479</v>
      </c>
      <c r="I125" s="84" t="s">
        <v>37</v>
      </c>
      <c r="J125" s="81" t="s">
        <v>205</v>
      </c>
      <c r="K125" s="81" t="s">
        <v>205</v>
      </c>
      <c r="L125" s="81" t="s">
        <v>208</v>
      </c>
      <c r="M125" s="26">
        <v>6.0</v>
      </c>
      <c r="N125" s="26" t="str">
        <f t="shared" si="243"/>
        <v>R</v>
      </c>
      <c r="O125" s="26">
        <v>13.0</v>
      </c>
      <c r="P125" s="26" t="str">
        <f t="shared" si="244"/>
        <v>R</v>
      </c>
      <c r="Q125" s="26">
        <v>6.0</v>
      </c>
      <c r="R125" s="26" t="str">
        <f t="shared" si="245"/>
        <v>R</v>
      </c>
      <c r="S125" s="32" t="s">
        <v>357</v>
      </c>
      <c r="T125" s="32" t="s">
        <v>357</v>
      </c>
      <c r="U125" s="26">
        <v>6.0</v>
      </c>
      <c r="V125" s="26" t="str">
        <f t="shared" si="246"/>
        <v>R</v>
      </c>
      <c r="W125" s="26">
        <v>19.0</v>
      </c>
      <c r="X125" s="26" t="str">
        <f t="shared" si="247"/>
        <v>R</v>
      </c>
      <c r="Y125" s="26">
        <v>24.0</v>
      </c>
      <c r="Z125" s="26" t="str">
        <f t="shared" si="248"/>
        <v>S</v>
      </c>
      <c r="AA125" s="32" t="s">
        <v>299</v>
      </c>
      <c r="AB125" s="33">
        <v>6.0</v>
      </c>
      <c r="AC125" s="33" t="str">
        <f t="shared" si="249"/>
        <v>R</v>
      </c>
      <c r="AD125" s="33">
        <v>25.0</v>
      </c>
      <c r="AE125" s="33" t="str">
        <f t="shared" si="250"/>
        <v>S</v>
      </c>
      <c r="AF125" s="33">
        <v>16.0</v>
      </c>
      <c r="AG125" s="33" t="str">
        <f t="shared" si="251"/>
        <v>R</v>
      </c>
      <c r="AH125" s="33">
        <v>26.0</v>
      </c>
      <c r="AI125" s="33" t="str">
        <f t="shared" si="252"/>
        <v>S</v>
      </c>
      <c r="AJ125" s="33">
        <v>21.0</v>
      </c>
      <c r="AK125" s="33" t="str">
        <f t="shared" si="253"/>
        <v>R</v>
      </c>
      <c r="AL125" s="33" t="s">
        <v>299</v>
      </c>
      <c r="AM125" s="36">
        <v>30.0</v>
      </c>
      <c r="AN125" s="36" t="str">
        <f t="shared" si="254"/>
        <v>S</v>
      </c>
      <c r="AO125" s="36">
        <v>28.0</v>
      </c>
      <c r="AP125" s="36" t="str">
        <f t="shared" si="255"/>
        <v>S</v>
      </c>
      <c r="AQ125" s="36">
        <v>23.0</v>
      </c>
      <c r="AR125" s="36" t="str">
        <f t="shared" si="256"/>
        <v>S</v>
      </c>
      <c r="AS125" s="36" t="s">
        <v>300</v>
      </c>
      <c r="AT125" s="37">
        <v>6.0</v>
      </c>
      <c r="AU125" s="37" t="str">
        <f t="shared" si="257"/>
        <v>R</v>
      </c>
      <c r="AV125" s="33">
        <v>21.0</v>
      </c>
      <c r="AW125" s="33" t="str">
        <f t="shared" si="258"/>
        <v>S</v>
      </c>
      <c r="AX125" s="33">
        <v>13.0</v>
      </c>
      <c r="AY125" s="33" t="str">
        <f t="shared" si="259"/>
        <v>R</v>
      </c>
      <c r="AZ125" s="33" t="s">
        <v>299</v>
      </c>
      <c r="BA125" s="26">
        <v>18.0</v>
      </c>
      <c r="BB125" s="26" t="str">
        <f t="shared" si="260"/>
        <v>R</v>
      </c>
      <c r="BC125" s="37">
        <v>14.0</v>
      </c>
      <c r="BD125" s="37" t="str">
        <f t="shared" si="261"/>
        <v>R</v>
      </c>
      <c r="BE125" s="36">
        <v>31.0</v>
      </c>
      <c r="BF125" s="36" t="str">
        <f t="shared" si="262"/>
        <v>S</v>
      </c>
      <c r="BG125" s="39" t="s">
        <v>357</v>
      </c>
      <c r="BH125" s="39" t="s">
        <v>357</v>
      </c>
      <c r="BI125" s="36">
        <v>28.0</v>
      </c>
      <c r="BJ125" s="36" t="str">
        <f t="shared" si="263"/>
        <v>S</v>
      </c>
      <c r="BK125" s="40">
        <v>6.0</v>
      </c>
      <c r="BL125" s="41" t="str">
        <f t="shared" si="264"/>
        <v>R</v>
      </c>
      <c r="BM125" s="41"/>
    </row>
    <row r="126">
      <c r="A126" s="18" t="s">
        <v>794</v>
      </c>
      <c r="B126" s="19">
        <v>98.0</v>
      </c>
      <c r="C126" s="18" t="s">
        <v>1364</v>
      </c>
      <c r="D126" s="18" t="s">
        <v>705</v>
      </c>
      <c r="E126" s="18" t="s">
        <v>572</v>
      </c>
      <c r="F126" s="18" t="s">
        <v>573</v>
      </c>
      <c r="G126" s="20" t="s">
        <v>357</v>
      </c>
      <c r="H126" s="47" t="s">
        <v>357</v>
      </c>
      <c r="I126" s="83" t="s">
        <v>357</v>
      </c>
      <c r="J126" s="82" t="s">
        <v>208</v>
      </c>
      <c r="K126" s="82" t="s">
        <v>208</v>
      </c>
      <c r="L126" s="82" t="s">
        <v>208</v>
      </c>
      <c r="M126" s="32" t="s">
        <v>357</v>
      </c>
      <c r="N126" s="32" t="s">
        <v>357</v>
      </c>
      <c r="O126" s="32" t="s">
        <v>357</v>
      </c>
      <c r="P126" s="32" t="s">
        <v>357</v>
      </c>
      <c r="Q126" s="32" t="s">
        <v>357</v>
      </c>
      <c r="R126" s="32" t="s">
        <v>357</v>
      </c>
      <c r="S126" s="32" t="s">
        <v>357</v>
      </c>
      <c r="T126" s="32" t="s">
        <v>357</v>
      </c>
      <c r="U126" s="32" t="s">
        <v>357</v>
      </c>
      <c r="V126" s="32" t="s">
        <v>357</v>
      </c>
      <c r="W126" s="32" t="s">
        <v>357</v>
      </c>
      <c r="X126" s="32" t="s">
        <v>357</v>
      </c>
      <c r="Y126" s="32" t="s">
        <v>357</v>
      </c>
      <c r="Z126" s="32" t="s">
        <v>357</v>
      </c>
      <c r="AA126" s="32" t="s">
        <v>357</v>
      </c>
      <c r="AB126" s="49" t="s">
        <v>357</v>
      </c>
      <c r="AC126" s="49" t="s">
        <v>357</v>
      </c>
      <c r="AD126" s="49" t="s">
        <v>357</v>
      </c>
      <c r="AE126" s="49" t="s">
        <v>357</v>
      </c>
      <c r="AF126" s="49" t="s">
        <v>357</v>
      </c>
      <c r="AG126" s="49" t="s">
        <v>357</v>
      </c>
      <c r="AH126" s="49" t="s">
        <v>357</v>
      </c>
      <c r="AI126" s="49" t="s">
        <v>357</v>
      </c>
      <c r="AJ126" s="49" t="s">
        <v>357</v>
      </c>
      <c r="AK126" s="49" t="s">
        <v>357</v>
      </c>
      <c r="AL126" s="49" t="s">
        <v>357</v>
      </c>
      <c r="AM126" s="39" t="s">
        <v>357</v>
      </c>
      <c r="AN126" s="39" t="s">
        <v>357</v>
      </c>
      <c r="AO126" s="39" t="s">
        <v>357</v>
      </c>
      <c r="AP126" s="39" t="s">
        <v>357</v>
      </c>
      <c r="AQ126" s="39" t="s">
        <v>357</v>
      </c>
      <c r="AR126" s="39" t="s">
        <v>357</v>
      </c>
      <c r="AS126" s="39" t="s">
        <v>357</v>
      </c>
      <c r="AT126" s="50" t="s">
        <v>357</v>
      </c>
      <c r="AU126" s="50" t="s">
        <v>357</v>
      </c>
      <c r="AV126" s="49" t="s">
        <v>357</v>
      </c>
      <c r="AW126" s="49" t="s">
        <v>357</v>
      </c>
      <c r="AX126" s="49" t="s">
        <v>357</v>
      </c>
      <c r="AY126" s="49" t="s">
        <v>357</v>
      </c>
      <c r="AZ126" s="49" t="s">
        <v>357</v>
      </c>
      <c r="BA126" s="32" t="s">
        <v>357</v>
      </c>
      <c r="BB126" s="32" t="s">
        <v>357</v>
      </c>
      <c r="BC126" s="50" t="s">
        <v>357</v>
      </c>
      <c r="BD126" s="50" t="s">
        <v>357</v>
      </c>
      <c r="BE126" s="39" t="s">
        <v>357</v>
      </c>
      <c r="BF126" s="39" t="s">
        <v>357</v>
      </c>
      <c r="BG126" s="39" t="s">
        <v>357</v>
      </c>
      <c r="BH126" s="39" t="s">
        <v>357</v>
      </c>
      <c r="BI126" s="39" t="s">
        <v>357</v>
      </c>
      <c r="BJ126" s="39" t="s">
        <v>357</v>
      </c>
      <c r="BK126" s="41" t="s">
        <v>357</v>
      </c>
      <c r="BL126" s="41" t="s">
        <v>357</v>
      </c>
      <c r="BM126" s="41"/>
    </row>
    <row r="127">
      <c r="A127" s="18" t="s">
        <v>794</v>
      </c>
      <c r="B127" s="19">
        <v>99.0</v>
      </c>
      <c r="C127" s="18" t="s">
        <v>1365</v>
      </c>
      <c r="D127" s="18" t="s">
        <v>827</v>
      </c>
      <c r="E127" s="18" t="s">
        <v>572</v>
      </c>
      <c r="F127" s="18" t="s">
        <v>573</v>
      </c>
      <c r="G127" s="85" t="s">
        <v>357</v>
      </c>
      <c r="H127" s="86" t="s">
        <v>357</v>
      </c>
      <c r="I127" s="83" t="s">
        <v>357</v>
      </c>
      <c r="J127" s="88" t="s">
        <v>208</v>
      </c>
      <c r="K127" s="88" t="s">
        <v>208</v>
      </c>
      <c r="L127" s="88" t="s">
        <v>208</v>
      </c>
      <c r="M127" s="32" t="s">
        <v>357</v>
      </c>
      <c r="N127" s="32" t="s">
        <v>357</v>
      </c>
      <c r="O127" s="32" t="s">
        <v>357</v>
      </c>
      <c r="P127" s="32" t="s">
        <v>357</v>
      </c>
      <c r="Q127" s="32" t="s">
        <v>357</v>
      </c>
      <c r="R127" s="32" t="s">
        <v>357</v>
      </c>
      <c r="S127" s="32" t="s">
        <v>357</v>
      </c>
      <c r="T127" s="32" t="s">
        <v>357</v>
      </c>
      <c r="U127" s="32" t="s">
        <v>357</v>
      </c>
      <c r="V127" s="32" t="s">
        <v>357</v>
      </c>
      <c r="W127" s="32" t="s">
        <v>357</v>
      </c>
      <c r="X127" s="32" t="s">
        <v>357</v>
      </c>
      <c r="Y127" s="32" t="s">
        <v>357</v>
      </c>
      <c r="Z127" s="32" t="s">
        <v>357</v>
      </c>
      <c r="AA127" s="32" t="s">
        <v>357</v>
      </c>
      <c r="AB127" s="49" t="s">
        <v>357</v>
      </c>
      <c r="AC127" s="49" t="s">
        <v>357</v>
      </c>
      <c r="AD127" s="49" t="s">
        <v>357</v>
      </c>
      <c r="AE127" s="49" t="s">
        <v>357</v>
      </c>
      <c r="AF127" s="49" t="s">
        <v>357</v>
      </c>
      <c r="AG127" s="49" t="s">
        <v>357</v>
      </c>
      <c r="AH127" s="49" t="s">
        <v>357</v>
      </c>
      <c r="AI127" s="49" t="s">
        <v>357</v>
      </c>
      <c r="AJ127" s="49" t="s">
        <v>357</v>
      </c>
      <c r="AK127" s="49" t="s">
        <v>357</v>
      </c>
      <c r="AL127" s="49" t="s">
        <v>357</v>
      </c>
      <c r="AM127" s="39" t="s">
        <v>357</v>
      </c>
      <c r="AN127" s="39" t="s">
        <v>357</v>
      </c>
      <c r="AO127" s="39" t="s">
        <v>357</v>
      </c>
      <c r="AP127" s="39" t="s">
        <v>357</v>
      </c>
      <c r="AQ127" s="39" t="s">
        <v>357</v>
      </c>
      <c r="AR127" s="39" t="s">
        <v>357</v>
      </c>
      <c r="AS127" s="39" t="s">
        <v>357</v>
      </c>
      <c r="AT127" s="50" t="s">
        <v>357</v>
      </c>
      <c r="AU127" s="50" t="s">
        <v>357</v>
      </c>
      <c r="AV127" s="49" t="s">
        <v>357</v>
      </c>
      <c r="AW127" s="49" t="s">
        <v>357</v>
      </c>
      <c r="AX127" s="49" t="s">
        <v>357</v>
      </c>
      <c r="AY127" s="49" t="s">
        <v>357</v>
      </c>
      <c r="AZ127" s="49" t="s">
        <v>357</v>
      </c>
      <c r="BA127" s="32" t="s">
        <v>357</v>
      </c>
      <c r="BB127" s="32" t="s">
        <v>357</v>
      </c>
      <c r="BC127" s="50" t="s">
        <v>357</v>
      </c>
      <c r="BD127" s="50" t="s">
        <v>357</v>
      </c>
      <c r="BE127" s="39" t="s">
        <v>357</v>
      </c>
      <c r="BF127" s="39" t="s">
        <v>357</v>
      </c>
      <c r="BG127" s="39" t="s">
        <v>357</v>
      </c>
      <c r="BH127" s="39" t="s">
        <v>357</v>
      </c>
      <c r="BI127" s="39" t="s">
        <v>357</v>
      </c>
      <c r="BJ127" s="39" t="s">
        <v>357</v>
      </c>
      <c r="BK127" s="41" t="s">
        <v>357</v>
      </c>
      <c r="BL127" s="41" t="s">
        <v>357</v>
      </c>
      <c r="BM127" s="41"/>
    </row>
    <row r="128">
      <c r="A128" s="18" t="s">
        <v>777</v>
      </c>
      <c r="B128" s="19">
        <v>100.0</v>
      </c>
      <c r="C128" s="18" t="s">
        <v>1366</v>
      </c>
      <c r="D128" s="18" t="s">
        <v>190</v>
      </c>
      <c r="E128" s="18" t="s">
        <v>190</v>
      </c>
      <c r="F128" s="18" t="s">
        <v>192</v>
      </c>
      <c r="G128" s="20" t="s">
        <v>1367</v>
      </c>
      <c r="H128" s="22" t="s">
        <v>198</v>
      </c>
      <c r="I128" s="80" t="s">
        <v>481</v>
      </c>
      <c r="J128" s="81" t="s">
        <v>205</v>
      </c>
      <c r="K128" s="82" t="s">
        <v>208</v>
      </c>
      <c r="L128" s="81" t="s">
        <v>208</v>
      </c>
      <c r="M128" s="26">
        <v>6.0</v>
      </c>
      <c r="N128" s="26" t="str">
        <f t="shared" ref="N128:N136" si="265">IF((M128&gt;=19),"S",IF(AND(M128&lt;19),"R", "NA"))</f>
        <v>R</v>
      </c>
      <c r="O128" s="26">
        <v>23.0</v>
      </c>
      <c r="P128" s="26" t="str">
        <f t="shared" ref="P128:P136" si="266">IF((O128&gt;=19),"S",IF(AND(O128&lt;19),"R", "NA"))</f>
        <v>S</v>
      </c>
      <c r="Q128" s="26">
        <v>6.0</v>
      </c>
      <c r="R128" s="26" t="str">
        <f t="shared" ref="R128:R136" si="267">IF((Q128&gt;=23),"S",IF(AND(Q128&lt;23),"R","NA"))</f>
        <v>R</v>
      </c>
      <c r="S128" s="32" t="s">
        <v>357</v>
      </c>
      <c r="T128" s="32" t="s">
        <v>357</v>
      </c>
      <c r="U128" s="26">
        <v>13.0</v>
      </c>
      <c r="V128" s="26" t="str">
        <f t="shared" ref="V128:V136" si="268">IF((U128&gt;=20),"S",IF(AND(U128&lt;20),"R", "NA"))</f>
        <v>R</v>
      </c>
      <c r="W128" s="26">
        <v>27.0</v>
      </c>
      <c r="X128" s="26" t="str">
        <f t="shared" ref="X128:X136" si="269">IF((W128&gt;=20),"S",IF(AND(W128&lt;20),"R", "NA"))</f>
        <v>S</v>
      </c>
      <c r="Y128" s="26">
        <v>25.0</v>
      </c>
      <c r="Z128" s="26" t="str">
        <f t="shared" ref="Z128:Z136" si="270">IF((Y128&gt;=20),"S",IF(AND(Y128&lt;20,Y128&gt;=17),"I",IF(AND(Y128&lt;17),"R","NA")))</f>
        <v>S</v>
      </c>
      <c r="AA128" s="32" t="s">
        <v>299</v>
      </c>
      <c r="AB128" s="33">
        <v>10.0</v>
      </c>
      <c r="AC128" s="33" t="str">
        <f t="shared" ref="AC128:AC136" si="271">IF((AB128&gt;=20),"S",IF(AND(AB128&lt;20,AB128&gt;=17),"I",IF(AND(AB128&lt;17),"R","NA")))</f>
        <v>R</v>
      </c>
      <c r="AD128" s="33">
        <v>27.0</v>
      </c>
      <c r="AE128" s="33" t="str">
        <f t="shared" ref="AE128:AE136" si="272">IF((AD128&gt;=18),"S",IF(AND(AD128&lt;18),"R", "NA"))</f>
        <v>S</v>
      </c>
      <c r="AF128" s="33">
        <v>21.0</v>
      </c>
      <c r="AG128" s="33" t="str">
        <f t="shared" ref="AG128:AG136" si="273">IF((AF128&gt;=22),"S",IF(AND(AF128&lt;22,AF128&gt;=19),"I",IF(AND(AF128&lt;19),"R","NA")))</f>
        <v>I</v>
      </c>
      <c r="AH128" s="33">
        <v>27.0</v>
      </c>
      <c r="AI128" s="33" t="str">
        <f t="shared" ref="AI128:AI136" si="274">IF((AH128&gt;=13),"S",IF(AND(AH128&lt;13),"R", "NA"))</f>
        <v>S</v>
      </c>
      <c r="AJ128" s="33">
        <v>27.0</v>
      </c>
      <c r="AK128" s="33" t="str">
        <f t="shared" ref="AK128:AK136" si="275">IF((AJ128&gt;=27),"S",IF(AND(AJ128&lt;27,AJ128&gt;=24),"I",IF(AND(AJ128&lt;24),"R","NA")))</f>
        <v>S</v>
      </c>
      <c r="AL128" s="33" t="s">
        <v>299</v>
      </c>
      <c r="AM128" s="36">
        <v>26.0</v>
      </c>
      <c r="AN128" s="36" t="str">
        <f t="shared" ref="AN128:AN136" si="276">IF((AM128&gt;=25),"S",IF(AND(AM128&lt;25,AM128&gt;=22),"I",IF(AND(AM128&lt;22),"R","NA")))</f>
        <v>S</v>
      </c>
      <c r="AO128" s="36">
        <v>26.0</v>
      </c>
      <c r="AP128" s="36" t="str">
        <f t="shared" ref="AP128:AP136" si="277">IF((AO128&gt;=23),"S",IF(AND(AO128&lt;23,AO128&gt;=19),"I",IF(AND(AO128&lt;19),"R","NA")))</f>
        <v>S</v>
      </c>
      <c r="AQ128" s="36">
        <v>20.0</v>
      </c>
      <c r="AR128" s="36" t="str">
        <f t="shared" ref="AR128:AR136" si="278">IF((AQ128&gt;=14),"S",IF(AND(AQ128&lt;14),"R","NA"))</f>
        <v>S</v>
      </c>
      <c r="AS128" s="36" t="s">
        <v>300</v>
      </c>
      <c r="AT128" s="37">
        <v>28.0</v>
      </c>
      <c r="AU128" s="37" t="str">
        <f t="shared" ref="AU128:AU136" si="279">IF((AT128&gt;=14),"S",IF(AND(AT128&lt;14,AT128&gt;=11),"I",IF(AND(AT128&lt;11),"R","NA")))</f>
        <v>S</v>
      </c>
      <c r="AV128" s="33">
        <v>21.0</v>
      </c>
      <c r="AW128" s="33" t="str">
        <f t="shared" ref="AW128:AW136" si="280">IF((AV128&gt;=18),"S",IF(AND(AV128&lt;18),"R", "NA"))</f>
        <v>S</v>
      </c>
      <c r="AX128" s="33">
        <v>20.0</v>
      </c>
      <c r="AY128" s="33" t="str">
        <f t="shared" ref="AY128:AY136" si="281">IF((AX128&gt;=16),"S",IF(AND(AX128&lt;16),"R", "NA"))</f>
        <v>S</v>
      </c>
      <c r="AZ128" s="33" t="s">
        <v>300</v>
      </c>
      <c r="BA128" s="26">
        <v>21.0</v>
      </c>
      <c r="BB128" s="26" t="str">
        <f t="shared" ref="BB128:BB136" si="282">IF((BA128&gt;=20),"S",IF(AND(BA128&lt;20),"R", "NA"))</f>
        <v>S</v>
      </c>
      <c r="BC128" s="37">
        <v>20.0</v>
      </c>
      <c r="BD128" s="37" t="str">
        <f t="shared" ref="BD128:BD136" si="283">IF((BC128&gt;=26),"S",IF(AND(BC128&lt;26,BC128&gt;=21),"I",IF(AND(BC128&lt;21),"R","NA")))</f>
        <v>R</v>
      </c>
      <c r="BE128" s="36">
        <v>32.0</v>
      </c>
      <c r="BF128" s="36" t="str">
        <f t="shared" ref="BF128:BF136" si="284">IF((BE128&gt;=23),"S",IF(AND(BE128&lt;23),"R","NA"))</f>
        <v>S</v>
      </c>
      <c r="BG128" s="39" t="s">
        <v>357</v>
      </c>
      <c r="BH128" s="39" t="s">
        <v>357</v>
      </c>
      <c r="BI128" s="36">
        <v>30.0</v>
      </c>
      <c r="BJ128" s="36" t="str">
        <f t="shared" ref="BJ128:BJ136" si="285">IF((BI128&gt;=22),"S",IF(AND(BI128&lt;22,BI128&gt;=19),"I",IF(AND(BI128&lt;19),"R","NA")))</f>
        <v>S</v>
      </c>
      <c r="BK128" s="40">
        <v>20.0</v>
      </c>
      <c r="BL128" s="41" t="str">
        <f t="shared" ref="BL128:BL136" si="286">IF((BK128&gt;=17),"S",IF(AND(BK128&lt;17),"R", "NA"))</f>
        <v>S</v>
      </c>
      <c r="BM128" s="41"/>
    </row>
    <row r="129">
      <c r="A129" s="18" t="s">
        <v>777</v>
      </c>
      <c r="B129" s="18" t="s">
        <v>444</v>
      </c>
      <c r="C129" s="18" t="s">
        <v>1368</v>
      </c>
      <c r="D129" s="18" t="s">
        <v>190</v>
      </c>
      <c r="E129" s="18" t="s">
        <v>190</v>
      </c>
      <c r="F129" s="18" t="s">
        <v>192</v>
      </c>
      <c r="G129" s="20" t="s">
        <v>1369</v>
      </c>
      <c r="H129" s="42" t="s">
        <v>479</v>
      </c>
      <c r="I129" s="80" t="s">
        <v>481</v>
      </c>
      <c r="J129" s="81" t="s">
        <v>205</v>
      </c>
      <c r="K129" s="82" t="s">
        <v>208</v>
      </c>
      <c r="L129" s="82" t="s">
        <v>208</v>
      </c>
      <c r="M129" s="26">
        <v>6.0</v>
      </c>
      <c r="N129" s="26" t="str">
        <f t="shared" si="265"/>
        <v>R</v>
      </c>
      <c r="O129" s="26">
        <v>22.0</v>
      </c>
      <c r="P129" s="26" t="str">
        <f t="shared" si="266"/>
        <v>S</v>
      </c>
      <c r="Q129" s="26">
        <v>6.0</v>
      </c>
      <c r="R129" s="26" t="str">
        <f t="shared" si="267"/>
        <v>R</v>
      </c>
      <c r="S129" s="32" t="s">
        <v>357</v>
      </c>
      <c r="T129" s="32" t="s">
        <v>357</v>
      </c>
      <c r="U129" s="26">
        <v>14.0</v>
      </c>
      <c r="V129" s="26" t="str">
        <f t="shared" si="268"/>
        <v>R</v>
      </c>
      <c r="W129" s="26">
        <v>25.0</v>
      </c>
      <c r="X129" s="26" t="str">
        <f t="shared" si="269"/>
        <v>S</v>
      </c>
      <c r="Y129" s="26">
        <v>27.0</v>
      </c>
      <c r="Z129" s="26" t="str">
        <f t="shared" si="270"/>
        <v>S</v>
      </c>
      <c r="AA129" s="32" t="s">
        <v>299</v>
      </c>
      <c r="AB129" s="33">
        <v>13.0</v>
      </c>
      <c r="AC129" s="33" t="str">
        <f t="shared" si="271"/>
        <v>R</v>
      </c>
      <c r="AD129" s="33">
        <v>25.0</v>
      </c>
      <c r="AE129" s="33" t="str">
        <f t="shared" si="272"/>
        <v>S</v>
      </c>
      <c r="AF129" s="33">
        <v>25.0</v>
      </c>
      <c r="AG129" s="33" t="str">
        <f t="shared" si="273"/>
        <v>S</v>
      </c>
      <c r="AH129" s="33">
        <v>26.0</v>
      </c>
      <c r="AI129" s="33" t="str">
        <f t="shared" si="274"/>
        <v>S</v>
      </c>
      <c r="AJ129" s="33">
        <v>30.0</v>
      </c>
      <c r="AK129" s="33" t="str">
        <f t="shared" si="275"/>
        <v>S</v>
      </c>
      <c r="AL129" s="33" t="s">
        <v>299</v>
      </c>
      <c r="AM129" s="36">
        <v>20.0</v>
      </c>
      <c r="AN129" s="36" t="str">
        <f t="shared" si="276"/>
        <v>R</v>
      </c>
      <c r="AO129" s="36">
        <v>20.0</v>
      </c>
      <c r="AP129" s="36" t="str">
        <f t="shared" si="277"/>
        <v>I</v>
      </c>
      <c r="AQ129" s="36">
        <v>18.0</v>
      </c>
      <c r="AR129" s="36" t="str">
        <f t="shared" si="278"/>
        <v>S</v>
      </c>
      <c r="AS129" s="36" t="s">
        <v>299</v>
      </c>
      <c r="AT129" s="37">
        <v>6.0</v>
      </c>
      <c r="AU129" s="37" t="str">
        <f t="shared" si="279"/>
        <v>R</v>
      </c>
      <c r="AV129" s="33">
        <v>21.0</v>
      </c>
      <c r="AW129" s="33" t="str">
        <f t="shared" si="280"/>
        <v>S</v>
      </c>
      <c r="AX129" s="33">
        <v>20.0</v>
      </c>
      <c r="AY129" s="33" t="str">
        <f t="shared" si="281"/>
        <v>S</v>
      </c>
      <c r="AZ129" s="33" t="s">
        <v>300</v>
      </c>
      <c r="BA129" s="26">
        <v>16.0</v>
      </c>
      <c r="BB129" s="26" t="str">
        <f t="shared" si="282"/>
        <v>R</v>
      </c>
      <c r="BC129" s="37">
        <v>25.0</v>
      </c>
      <c r="BD129" s="37" t="str">
        <f t="shared" si="283"/>
        <v>I</v>
      </c>
      <c r="BE129" s="36">
        <v>32.0</v>
      </c>
      <c r="BF129" s="36" t="str">
        <f t="shared" si="284"/>
        <v>S</v>
      </c>
      <c r="BG129" s="39" t="s">
        <v>357</v>
      </c>
      <c r="BH129" s="39" t="s">
        <v>357</v>
      </c>
      <c r="BI129" s="36">
        <v>30.0</v>
      </c>
      <c r="BJ129" s="36" t="str">
        <f t="shared" si="285"/>
        <v>S</v>
      </c>
      <c r="BK129" s="40">
        <v>19.0</v>
      </c>
      <c r="BL129" s="41" t="str">
        <f t="shared" si="286"/>
        <v>S</v>
      </c>
      <c r="BM129" s="41"/>
    </row>
    <row r="130">
      <c r="A130" s="18" t="s">
        <v>777</v>
      </c>
      <c r="B130" s="18" t="s">
        <v>444</v>
      </c>
      <c r="C130" s="18" t="s">
        <v>1370</v>
      </c>
      <c r="D130" s="18" t="s">
        <v>190</v>
      </c>
      <c r="E130" s="18" t="s">
        <v>190</v>
      </c>
      <c r="F130" s="18" t="s">
        <v>192</v>
      </c>
      <c r="G130" s="20" t="s">
        <v>1371</v>
      </c>
      <c r="H130" s="42" t="s">
        <v>479</v>
      </c>
      <c r="I130" s="84" t="s">
        <v>37</v>
      </c>
      <c r="J130" s="81" t="s">
        <v>205</v>
      </c>
      <c r="K130" s="81" t="s">
        <v>205</v>
      </c>
      <c r="L130" s="81" t="s">
        <v>208</v>
      </c>
      <c r="M130" s="26">
        <v>6.0</v>
      </c>
      <c r="N130" s="26" t="str">
        <f t="shared" si="265"/>
        <v>R</v>
      </c>
      <c r="O130" s="26">
        <v>15.0</v>
      </c>
      <c r="P130" s="26" t="str">
        <f t="shared" si="266"/>
        <v>R</v>
      </c>
      <c r="Q130" s="26">
        <v>6.0</v>
      </c>
      <c r="R130" s="26" t="str">
        <f t="shared" si="267"/>
        <v>R</v>
      </c>
      <c r="S130" s="32" t="s">
        <v>357</v>
      </c>
      <c r="T130" s="32" t="s">
        <v>357</v>
      </c>
      <c r="U130" s="26">
        <v>6.0</v>
      </c>
      <c r="V130" s="26" t="str">
        <f t="shared" si="268"/>
        <v>R</v>
      </c>
      <c r="W130" s="26">
        <v>17.0</v>
      </c>
      <c r="X130" s="26" t="str">
        <f t="shared" si="269"/>
        <v>R</v>
      </c>
      <c r="Y130" s="26">
        <v>20.0</v>
      </c>
      <c r="Z130" s="26" t="str">
        <f t="shared" si="270"/>
        <v>S</v>
      </c>
      <c r="AA130" s="32" t="s">
        <v>299</v>
      </c>
      <c r="AB130" s="33">
        <v>6.0</v>
      </c>
      <c r="AC130" s="33" t="str">
        <f t="shared" si="271"/>
        <v>R</v>
      </c>
      <c r="AD130" s="33">
        <v>23.0</v>
      </c>
      <c r="AE130" s="33" t="str">
        <f t="shared" si="272"/>
        <v>S</v>
      </c>
      <c r="AF130" s="33">
        <v>11.0</v>
      </c>
      <c r="AG130" s="33" t="str">
        <f t="shared" si="273"/>
        <v>R</v>
      </c>
      <c r="AH130" s="33">
        <v>24.0</v>
      </c>
      <c r="AI130" s="33" t="str">
        <f t="shared" si="274"/>
        <v>S</v>
      </c>
      <c r="AJ130" s="33">
        <v>19.0</v>
      </c>
      <c r="AK130" s="33" t="str">
        <f t="shared" si="275"/>
        <v>R</v>
      </c>
      <c r="AL130" s="33" t="s">
        <v>299</v>
      </c>
      <c r="AM130" s="36">
        <v>6.0</v>
      </c>
      <c r="AN130" s="36" t="str">
        <f t="shared" si="276"/>
        <v>R</v>
      </c>
      <c r="AO130" s="36">
        <v>8.0</v>
      </c>
      <c r="AP130" s="36" t="str">
        <f t="shared" si="277"/>
        <v>R</v>
      </c>
      <c r="AQ130" s="36">
        <v>6.0</v>
      </c>
      <c r="AR130" s="36" t="str">
        <f t="shared" si="278"/>
        <v>R</v>
      </c>
      <c r="AS130" s="36" t="s">
        <v>299</v>
      </c>
      <c r="AT130" s="37">
        <v>6.0</v>
      </c>
      <c r="AU130" s="37" t="str">
        <f t="shared" si="279"/>
        <v>R</v>
      </c>
      <c r="AV130" s="33">
        <v>18.0</v>
      </c>
      <c r="AW130" s="33" t="str">
        <f t="shared" si="280"/>
        <v>S</v>
      </c>
      <c r="AX130" s="33">
        <v>11.0</v>
      </c>
      <c r="AY130" s="33" t="str">
        <f t="shared" si="281"/>
        <v>R</v>
      </c>
      <c r="AZ130" s="33" t="s">
        <v>299</v>
      </c>
      <c r="BA130" s="26">
        <v>13.0</v>
      </c>
      <c r="BB130" s="26" t="str">
        <f t="shared" si="282"/>
        <v>R</v>
      </c>
      <c r="BC130" s="37">
        <v>8.0</v>
      </c>
      <c r="BD130" s="37" t="str">
        <f t="shared" si="283"/>
        <v>R</v>
      </c>
      <c r="BE130" s="36">
        <v>30.0</v>
      </c>
      <c r="BF130" s="36" t="str">
        <f t="shared" si="284"/>
        <v>S</v>
      </c>
      <c r="BG130" s="39" t="s">
        <v>357</v>
      </c>
      <c r="BH130" s="39" t="s">
        <v>357</v>
      </c>
      <c r="BI130" s="36">
        <v>30.0</v>
      </c>
      <c r="BJ130" s="36" t="str">
        <f t="shared" si="285"/>
        <v>S</v>
      </c>
      <c r="BK130" s="40">
        <v>7.0</v>
      </c>
      <c r="BL130" s="41" t="str">
        <f t="shared" si="286"/>
        <v>R</v>
      </c>
      <c r="BM130" s="41"/>
    </row>
    <row r="131">
      <c r="A131" s="18" t="s">
        <v>777</v>
      </c>
      <c r="B131" s="18" t="s">
        <v>444</v>
      </c>
      <c r="C131" s="18" t="s">
        <v>1372</v>
      </c>
      <c r="D131" s="18" t="s">
        <v>190</v>
      </c>
      <c r="E131" s="18" t="s">
        <v>190</v>
      </c>
      <c r="F131" s="18" t="s">
        <v>192</v>
      </c>
      <c r="G131" s="20" t="s">
        <v>1373</v>
      </c>
      <c r="H131" s="87" t="s">
        <v>1374</v>
      </c>
      <c r="I131" s="80" t="s">
        <v>481</v>
      </c>
      <c r="J131" s="82" t="s">
        <v>205</v>
      </c>
      <c r="K131" s="82" t="s">
        <v>208</v>
      </c>
      <c r="L131" s="81" t="s">
        <v>208</v>
      </c>
      <c r="M131" s="26">
        <v>6.0</v>
      </c>
      <c r="N131" s="26" t="str">
        <f t="shared" si="265"/>
        <v>R</v>
      </c>
      <c r="O131" s="26">
        <v>11.0</v>
      </c>
      <c r="P131" s="26" t="str">
        <f t="shared" si="266"/>
        <v>R</v>
      </c>
      <c r="Q131" s="26">
        <v>6.0</v>
      </c>
      <c r="R131" s="26" t="str">
        <f t="shared" si="267"/>
        <v>R</v>
      </c>
      <c r="S131" s="32" t="s">
        <v>357</v>
      </c>
      <c r="T131" s="32" t="s">
        <v>357</v>
      </c>
      <c r="U131" s="26">
        <v>26.0</v>
      </c>
      <c r="V131" s="26" t="str">
        <f t="shared" si="268"/>
        <v>S</v>
      </c>
      <c r="W131" s="26">
        <v>24.0</v>
      </c>
      <c r="X131" s="26" t="str">
        <f t="shared" si="269"/>
        <v>S</v>
      </c>
      <c r="Y131" s="26">
        <v>27.0</v>
      </c>
      <c r="Z131" s="26" t="str">
        <f t="shared" si="270"/>
        <v>S</v>
      </c>
      <c r="AA131" s="32" t="s">
        <v>299</v>
      </c>
      <c r="AB131" s="33">
        <v>30.0</v>
      </c>
      <c r="AC131" s="33" t="str">
        <f t="shared" si="271"/>
        <v>S</v>
      </c>
      <c r="AD131" s="33">
        <v>6.0</v>
      </c>
      <c r="AE131" s="33" t="str">
        <f t="shared" si="272"/>
        <v>R</v>
      </c>
      <c r="AF131" s="33">
        <v>30.0</v>
      </c>
      <c r="AG131" s="33" t="str">
        <f t="shared" si="273"/>
        <v>S</v>
      </c>
      <c r="AH131" s="33">
        <v>28.0</v>
      </c>
      <c r="AI131" s="33" t="str">
        <f t="shared" si="274"/>
        <v>S</v>
      </c>
      <c r="AJ131" s="33">
        <v>37.0</v>
      </c>
      <c r="AK131" s="33" t="str">
        <f t="shared" si="275"/>
        <v>S</v>
      </c>
      <c r="AL131" s="33" t="s">
        <v>299</v>
      </c>
      <c r="AM131" s="36">
        <v>26.0</v>
      </c>
      <c r="AN131" s="36" t="str">
        <f t="shared" si="276"/>
        <v>S</v>
      </c>
      <c r="AO131" s="36">
        <v>24.0</v>
      </c>
      <c r="AP131" s="36" t="str">
        <f t="shared" si="277"/>
        <v>S</v>
      </c>
      <c r="AQ131" s="36">
        <v>20.0</v>
      </c>
      <c r="AR131" s="36" t="str">
        <f t="shared" si="278"/>
        <v>S</v>
      </c>
      <c r="AS131" s="36" t="s">
        <v>300</v>
      </c>
      <c r="AT131" s="37">
        <v>6.0</v>
      </c>
      <c r="AU131" s="37" t="str">
        <f t="shared" si="279"/>
        <v>R</v>
      </c>
      <c r="AV131" s="33">
        <v>20.0</v>
      </c>
      <c r="AW131" s="33" t="str">
        <f t="shared" si="280"/>
        <v>S</v>
      </c>
      <c r="AX131" s="33">
        <v>20.0</v>
      </c>
      <c r="AY131" s="33" t="str">
        <f t="shared" si="281"/>
        <v>S</v>
      </c>
      <c r="AZ131" s="33" t="s">
        <v>300</v>
      </c>
      <c r="BA131" s="26">
        <v>25.0</v>
      </c>
      <c r="BB131" s="26" t="str">
        <f t="shared" si="282"/>
        <v>S</v>
      </c>
      <c r="BC131" s="37">
        <v>35.0</v>
      </c>
      <c r="BD131" s="37" t="str">
        <f t="shared" si="283"/>
        <v>S</v>
      </c>
      <c r="BE131" s="36">
        <v>28.0</v>
      </c>
      <c r="BF131" s="36" t="str">
        <f t="shared" si="284"/>
        <v>S</v>
      </c>
      <c r="BG131" s="39" t="s">
        <v>357</v>
      </c>
      <c r="BH131" s="39" t="s">
        <v>357</v>
      </c>
      <c r="BI131" s="36">
        <v>26.0</v>
      </c>
      <c r="BJ131" s="36" t="str">
        <f t="shared" si="285"/>
        <v>S</v>
      </c>
      <c r="BK131" s="40">
        <v>19.0</v>
      </c>
      <c r="BL131" s="41" t="str">
        <f t="shared" si="286"/>
        <v>S</v>
      </c>
      <c r="BM131" s="41"/>
    </row>
    <row r="132">
      <c r="A132" s="18" t="s">
        <v>777</v>
      </c>
      <c r="B132" s="18" t="s">
        <v>444</v>
      </c>
      <c r="C132" s="18" t="s">
        <v>1375</v>
      </c>
      <c r="D132" s="18" t="s">
        <v>190</v>
      </c>
      <c r="E132" s="18" t="s">
        <v>190</v>
      </c>
      <c r="F132" s="18" t="s">
        <v>192</v>
      </c>
      <c r="G132" s="20" t="s">
        <v>1376</v>
      </c>
      <c r="H132" s="87" t="s">
        <v>1374</v>
      </c>
      <c r="I132" s="80" t="s">
        <v>1011</v>
      </c>
      <c r="J132" s="82" t="s">
        <v>208</v>
      </c>
      <c r="K132" s="82" t="s">
        <v>208</v>
      </c>
      <c r="L132" s="81" t="s">
        <v>208</v>
      </c>
      <c r="M132" s="26">
        <v>6.0</v>
      </c>
      <c r="N132" s="26" t="str">
        <f t="shared" si="265"/>
        <v>R</v>
      </c>
      <c r="O132" s="26">
        <v>12.0</v>
      </c>
      <c r="P132" s="26" t="str">
        <f t="shared" si="266"/>
        <v>R</v>
      </c>
      <c r="Q132" s="26">
        <v>28.0</v>
      </c>
      <c r="R132" s="26" t="str">
        <f t="shared" si="267"/>
        <v>S</v>
      </c>
      <c r="S132" s="32" t="s">
        <v>357</v>
      </c>
      <c r="T132" s="32" t="s">
        <v>357</v>
      </c>
      <c r="U132" s="26">
        <v>29.0</v>
      </c>
      <c r="V132" s="26" t="str">
        <f t="shared" si="268"/>
        <v>S</v>
      </c>
      <c r="W132" s="26">
        <v>24.0</v>
      </c>
      <c r="X132" s="26" t="str">
        <f t="shared" si="269"/>
        <v>S</v>
      </c>
      <c r="Y132" s="26">
        <v>28.0</v>
      </c>
      <c r="Z132" s="26" t="str">
        <f t="shared" si="270"/>
        <v>S</v>
      </c>
      <c r="AA132" s="32" t="s">
        <v>299</v>
      </c>
      <c r="AB132" s="33">
        <v>28.0</v>
      </c>
      <c r="AC132" s="33" t="str">
        <f t="shared" si="271"/>
        <v>S</v>
      </c>
      <c r="AD132" s="33">
        <v>6.0</v>
      </c>
      <c r="AE132" s="33" t="str">
        <f t="shared" si="272"/>
        <v>R</v>
      </c>
      <c r="AF132" s="33">
        <v>30.0</v>
      </c>
      <c r="AG132" s="33" t="str">
        <f t="shared" si="273"/>
        <v>S</v>
      </c>
      <c r="AH132" s="33">
        <v>30.0</v>
      </c>
      <c r="AI132" s="33" t="str">
        <f t="shared" si="274"/>
        <v>S</v>
      </c>
      <c r="AJ132" s="33">
        <v>35.0</v>
      </c>
      <c r="AK132" s="33" t="str">
        <f t="shared" si="275"/>
        <v>S</v>
      </c>
      <c r="AL132" s="33" t="s">
        <v>299</v>
      </c>
      <c r="AM132" s="36">
        <v>25.0</v>
      </c>
      <c r="AN132" s="36" t="str">
        <f t="shared" si="276"/>
        <v>S</v>
      </c>
      <c r="AO132" s="36">
        <v>30.0</v>
      </c>
      <c r="AP132" s="36" t="str">
        <f t="shared" si="277"/>
        <v>S</v>
      </c>
      <c r="AQ132" s="36">
        <v>24.0</v>
      </c>
      <c r="AR132" s="36" t="str">
        <f t="shared" si="278"/>
        <v>S</v>
      </c>
      <c r="AS132" s="36" t="s">
        <v>300</v>
      </c>
      <c r="AT132" s="37">
        <v>28.0</v>
      </c>
      <c r="AU132" s="37" t="str">
        <f t="shared" si="279"/>
        <v>S</v>
      </c>
      <c r="AV132" s="33">
        <v>22.0</v>
      </c>
      <c r="AW132" s="33" t="str">
        <f t="shared" si="280"/>
        <v>S</v>
      </c>
      <c r="AX132" s="33">
        <v>20.0</v>
      </c>
      <c r="AY132" s="33" t="str">
        <f t="shared" si="281"/>
        <v>S</v>
      </c>
      <c r="AZ132" s="33" t="s">
        <v>300</v>
      </c>
      <c r="BA132" s="26">
        <v>26.0</v>
      </c>
      <c r="BB132" s="26" t="str">
        <f t="shared" si="282"/>
        <v>S</v>
      </c>
      <c r="BC132" s="37">
        <v>34.0</v>
      </c>
      <c r="BD132" s="37" t="str">
        <f t="shared" si="283"/>
        <v>S</v>
      </c>
      <c r="BE132" s="36">
        <v>29.0</v>
      </c>
      <c r="BF132" s="36" t="str">
        <f t="shared" si="284"/>
        <v>S</v>
      </c>
      <c r="BG132" s="39" t="s">
        <v>357</v>
      </c>
      <c r="BH132" s="39" t="s">
        <v>357</v>
      </c>
      <c r="BI132" s="36">
        <v>26.0</v>
      </c>
      <c r="BJ132" s="36" t="str">
        <f t="shared" si="285"/>
        <v>S</v>
      </c>
      <c r="BK132" s="40">
        <v>19.0</v>
      </c>
      <c r="BL132" s="41" t="str">
        <f t="shared" si="286"/>
        <v>S</v>
      </c>
      <c r="BM132" s="41"/>
    </row>
    <row r="133">
      <c r="A133" s="18" t="s">
        <v>777</v>
      </c>
      <c r="B133" s="19">
        <v>101.0</v>
      </c>
      <c r="C133" s="18" t="s">
        <v>1377</v>
      </c>
      <c r="D133" s="18" t="s">
        <v>571</v>
      </c>
      <c r="E133" s="18" t="s">
        <v>572</v>
      </c>
      <c r="F133" s="18" t="s">
        <v>192</v>
      </c>
      <c r="G133" s="20" t="s">
        <v>1378</v>
      </c>
      <c r="H133" s="42" t="s">
        <v>479</v>
      </c>
      <c r="I133" s="84" t="s">
        <v>37</v>
      </c>
      <c r="J133" s="81" t="s">
        <v>205</v>
      </c>
      <c r="K133" s="81" t="s">
        <v>205</v>
      </c>
      <c r="L133" s="81" t="s">
        <v>208</v>
      </c>
      <c r="M133" s="26">
        <v>6.0</v>
      </c>
      <c r="N133" s="26" t="str">
        <f t="shared" si="265"/>
        <v>R</v>
      </c>
      <c r="O133" s="26">
        <v>25.0</v>
      </c>
      <c r="P133" s="26" t="str">
        <f t="shared" si="266"/>
        <v>S</v>
      </c>
      <c r="Q133" s="26">
        <v>6.0</v>
      </c>
      <c r="R133" s="26" t="str">
        <f t="shared" si="267"/>
        <v>R</v>
      </c>
      <c r="S133" s="32" t="s">
        <v>357</v>
      </c>
      <c r="T133" s="32" t="s">
        <v>357</v>
      </c>
      <c r="U133" s="26">
        <v>12.0</v>
      </c>
      <c r="V133" s="26" t="str">
        <f t="shared" si="268"/>
        <v>R</v>
      </c>
      <c r="W133" s="26">
        <v>26.0</v>
      </c>
      <c r="X133" s="26" t="str">
        <f t="shared" si="269"/>
        <v>S</v>
      </c>
      <c r="Y133" s="26">
        <v>27.0</v>
      </c>
      <c r="Z133" s="26" t="str">
        <f t="shared" si="270"/>
        <v>S</v>
      </c>
      <c r="AA133" s="32" t="s">
        <v>299</v>
      </c>
      <c r="AB133" s="33">
        <v>6.0</v>
      </c>
      <c r="AC133" s="33" t="str">
        <f t="shared" si="271"/>
        <v>R</v>
      </c>
      <c r="AD133" s="33">
        <v>27.0</v>
      </c>
      <c r="AE133" s="33" t="str">
        <f t="shared" si="272"/>
        <v>S</v>
      </c>
      <c r="AF133" s="33">
        <v>20.0</v>
      </c>
      <c r="AG133" s="33" t="str">
        <f t="shared" si="273"/>
        <v>I</v>
      </c>
      <c r="AH133" s="33">
        <v>28.0</v>
      </c>
      <c r="AI133" s="33" t="str">
        <f t="shared" si="274"/>
        <v>S</v>
      </c>
      <c r="AJ133" s="33">
        <v>22.0</v>
      </c>
      <c r="AK133" s="33" t="str">
        <f t="shared" si="275"/>
        <v>R</v>
      </c>
      <c r="AL133" s="33" t="s">
        <v>299</v>
      </c>
      <c r="AM133" s="36">
        <v>26.0</v>
      </c>
      <c r="AN133" s="36" t="str">
        <f t="shared" si="276"/>
        <v>S</v>
      </c>
      <c r="AO133" s="36">
        <v>24.0</v>
      </c>
      <c r="AP133" s="36" t="str">
        <f t="shared" si="277"/>
        <v>S</v>
      </c>
      <c r="AQ133" s="36">
        <v>22.0</v>
      </c>
      <c r="AR133" s="36" t="str">
        <f t="shared" si="278"/>
        <v>S</v>
      </c>
      <c r="AS133" s="36" t="s">
        <v>300</v>
      </c>
      <c r="AT133" s="37">
        <v>6.0</v>
      </c>
      <c r="AU133" s="37" t="str">
        <f t="shared" si="279"/>
        <v>R</v>
      </c>
      <c r="AV133" s="33">
        <v>20.0</v>
      </c>
      <c r="AW133" s="33" t="str">
        <f t="shared" si="280"/>
        <v>S</v>
      </c>
      <c r="AX133" s="33">
        <v>20.0</v>
      </c>
      <c r="AY133" s="33" t="str">
        <f t="shared" si="281"/>
        <v>S</v>
      </c>
      <c r="AZ133" s="33" t="s">
        <v>300</v>
      </c>
      <c r="BA133" s="26">
        <v>17.0</v>
      </c>
      <c r="BB133" s="26" t="str">
        <f t="shared" si="282"/>
        <v>R</v>
      </c>
      <c r="BC133" s="37">
        <v>18.0</v>
      </c>
      <c r="BD133" s="37" t="str">
        <f t="shared" si="283"/>
        <v>R</v>
      </c>
      <c r="BE133" s="36">
        <v>28.0</v>
      </c>
      <c r="BF133" s="36" t="str">
        <f t="shared" si="284"/>
        <v>S</v>
      </c>
      <c r="BG133" s="39" t="s">
        <v>357</v>
      </c>
      <c r="BH133" s="39" t="s">
        <v>357</v>
      </c>
      <c r="BI133" s="36">
        <v>29.0</v>
      </c>
      <c r="BJ133" s="36" t="str">
        <f t="shared" si="285"/>
        <v>S</v>
      </c>
      <c r="BK133" s="40">
        <v>20.0</v>
      </c>
      <c r="BL133" s="41" t="str">
        <f t="shared" si="286"/>
        <v>S</v>
      </c>
      <c r="BM133" s="41"/>
    </row>
    <row r="134">
      <c r="A134" s="18" t="s">
        <v>777</v>
      </c>
      <c r="B134" s="19">
        <v>102.0</v>
      </c>
      <c r="C134" s="18" t="s">
        <v>1379</v>
      </c>
      <c r="D134" s="18" t="s">
        <v>705</v>
      </c>
      <c r="E134" s="18" t="s">
        <v>572</v>
      </c>
      <c r="F134" s="18" t="s">
        <v>192</v>
      </c>
      <c r="G134" s="20" t="s">
        <v>1380</v>
      </c>
      <c r="H134" s="42" t="s">
        <v>479</v>
      </c>
      <c r="I134" s="84" t="s">
        <v>37</v>
      </c>
      <c r="J134" s="81" t="s">
        <v>205</v>
      </c>
      <c r="K134" s="81" t="s">
        <v>205</v>
      </c>
      <c r="L134" s="81" t="s">
        <v>208</v>
      </c>
      <c r="M134" s="26">
        <v>6.0</v>
      </c>
      <c r="N134" s="26" t="str">
        <f t="shared" si="265"/>
        <v>R</v>
      </c>
      <c r="O134" s="26">
        <v>24.0</v>
      </c>
      <c r="P134" s="26" t="str">
        <f t="shared" si="266"/>
        <v>S</v>
      </c>
      <c r="Q134" s="26">
        <v>6.0</v>
      </c>
      <c r="R134" s="26" t="str">
        <f t="shared" si="267"/>
        <v>R</v>
      </c>
      <c r="S134" s="32" t="s">
        <v>357</v>
      </c>
      <c r="T134" s="32" t="s">
        <v>357</v>
      </c>
      <c r="U134" s="26">
        <v>11.0</v>
      </c>
      <c r="V134" s="26" t="str">
        <f t="shared" si="268"/>
        <v>R</v>
      </c>
      <c r="W134" s="26">
        <v>27.0</v>
      </c>
      <c r="X134" s="26" t="str">
        <f t="shared" si="269"/>
        <v>S</v>
      </c>
      <c r="Y134" s="26">
        <v>28.0</v>
      </c>
      <c r="Z134" s="26" t="str">
        <f t="shared" si="270"/>
        <v>S</v>
      </c>
      <c r="AA134" s="32" t="s">
        <v>299</v>
      </c>
      <c r="AB134" s="33">
        <v>6.0</v>
      </c>
      <c r="AC134" s="33" t="str">
        <f t="shared" si="271"/>
        <v>R</v>
      </c>
      <c r="AD134" s="33">
        <v>28.0</v>
      </c>
      <c r="AE134" s="33" t="str">
        <f t="shared" si="272"/>
        <v>S</v>
      </c>
      <c r="AF134" s="33">
        <v>25.0</v>
      </c>
      <c r="AG134" s="33" t="str">
        <f t="shared" si="273"/>
        <v>S</v>
      </c>
      <c r="AH134" s="33">
        <v>31.0</v>
      </c>
      <c r="AI134" s="33" t="str">
        <f t="shared" si="274"/>
        <v>S</v>
      </c>
      <c r="AJ134" s="33">
        <v>23.0</v>
      </c>
      <c r="AK134" s="33" t="str">
        <f t="shared" si="275"/>
        <v>R</v>
      </c>
      <c r="AL134" s="33" t="s">
        <v>299</v>
      </c>
      <c r="AM134" s="36">
        <v>18.0</v>
      </c>
      <c r="AN134" s="36" t="str">
        <f t="shared" si="276"/>
        <v>R</v>
      </c>
      <c r="AO134" s="36">
        <v>24.0</v>
      </c>
      <c r="AP134" s="36" t="str">
        <f t="shared" si="277"/>
        <v>S</v>
      </c>
      <c r="AQ134" s="36">
        <v>20.0</v>
      </c>
      <c r="AR134" s="36" t="str">
        <f t="shared" si="278"/>
        <v>S</v>
      </c>
      <c r="AS134" s="36" t="s">
        <v>299</v>
      </c>
      <c r="AT134" s="37">
        <v>6.0</v>
      </c>
      <c r="AU134" s="37" t="str">
        <f t="shared" si="279"/>
        <v>R</v>
      </c>
      <c r="AV134" s="33">
        <v>21.0</v>
      </c>
      <c r="AW134" s="33" t="str">
        <f t="shared" si="280"/>
        <v>S</v>
      </c>
      <c r="AX134" s="33">
        <v>16.0</v>
      </c>
      <c r="AY134" s="33" t="str">
        <f t="shared" si="281"/>
        <v>S</v>
      </c>
      <c r="AZ134" s="33" t="s">
        <v>300</v>
      </c>
      <c r="BA134" s="26">
        <v>27.0</v>
      </c>
      <c r="BB134" s="26" t="str">
        <f t="shared" si="282"/>
        <v>S</v>
      </c>
      <c r="BC134" s="37">
        <v>20.0</v>
      </c>
      <c r="BD134" s="37" t="str">
        <f t="shared" si="283"/>
        <v>R</v>
      </c>
      <c r="BE134" s="36">
        <v>29.0</v>
      </c>
      <c r="BF134" s="36" t="str">
        <f t="shared" si="284"/>
        <v>S</v>
      </c>
      <c r="BG134" s="39" t="s">
        <v>357</v>
      </c>
      <c r="BH134" s="39" t="s">
        <v>357</v>
      </c>
      <c r="BI134" s="36">
        <v>30.0</v>
      </c>
      <c r="BJ134" s="36" t="str">
        <f t="shared" si="285"/>
        <v>S</v>
      </c>
      <c r="BK134" s="40">
        <v>20.0</v>
      </c>
      <c r="BL134" s="41" t="str">
        <f t="shared" si="286"/>
        <v>S</v>
      </c>
      <c r="BM134" s="41"/>
    </row>
    <row r="135">
      <c r="A135" s="18" t="s">
        <v>777</v>
      </c>
      <c r="B135" s="18" t="s">
        <v>444</v>
      </c>
      <c r="C135" s="18" t="s">
        <v>1381</v>
      </c>
      <c r="D135" s="18" t="s">
        <v>705</v>
      </c>
      <c r="E135" s="18" t="s">
        <v>572</v>
      </c>
      <c r="F135" s="18" t="s">
        <v>192</v>
      </c>
      <c r="G135" s="20" t="s">
        <v>1382</v>
      </c>
      <c r="H135" s="42" t="s">
        <v>479</v>
      </c>
      <c r="I135" s="80" t="s">
        <v>481</v>
      </c>
      <c r="J135" s="81" t="s">
        <v>205</v>
      </c>
      <c r="K135" s="82" t="s">
        <v>208</v>
      </c>
      <c r="L135" s="82" t="s">
        <v>208</v>
      </c>
      <c r="M135" s="26">
        <v>6.0</v>
      </c>
      <c r="N135" s="26" t="str">
        <f t="shared" si="265"/>
        <v>R</v>
      </c>
      <c r="O135" s="26">
        <v>22.0</v>
      </c>
      <c r="P135" s="26" t="str">
        <f t="shared" si="266"/>
        <v>S</v>
      </c>
      <c r="Q135" s="26">
        <v>6.0</v>
      </c>
      <c r="R135" s="26" t="str">
        <f t="shared" si="267"/>
        <v>R</v>
      </c>
      <c r="S135" s="32" t="s">
        <v>357</v>
      </c>
      <c r="T135" s="32" t="s">
        <v>357</v>
      </c>
      <c r="U135" s="26">
        <v>8.0</v>
      </c>
      <c r="V135" s="26" t="str">
        <f t="shared" si="268"/>
        <v>R</v>
      </c>
      <c r="W135" s="26">
        <v>23.0</v>
      </c>
      <c r="X135" s="26" t="str">
        <f t="shared" si="269"/>
        <v>S</v>
      </c>
      <c r="Y135" s="26">
        <v>25.0</v>
      </c>
      <c r="Z135" s="26" t="str">
        <f t="shared" si="270"/>
        <v>S</v>
      </c>
      <c r="AA135" s="32" t="s">
        <v>299</v>
      </c>
      <c r="AB135" s="33">
        <v>6.0</v>
      </c>
      <c r="AC135" s="33" t="str">
        <f t="shared" si="271"/>
        <v>R</v>
      </c>
      <c r="AD135" s="33">
        <v>25.0</v>
      </c>
      <c r="AE135" s="33" t="str">
        <f t="shared" si="272"/>
        <v>S</v>
      </c>
      <c r="AF135" s="33">
        <v>16.0</v>
      </c>
      <c r="AG135" s="33" t="str">
        <f t="shared" si="273"/>
        <v>R</v>
      </c>
      <c r="AH135" s="33">
        <v>27.0</v>
      </c>
      <c r="AI135" s="33" t="str">
        <f t="shared" si="274"/>
        <v>S</v>
      </c>
      <c r="AJ135" s="33">
        <v>26.0</v>
      </c>
      <c r="AK135" s="33" t="str">
        <f t="shared" si="275"/>
        <v>I</v>
      </c>
      <c r="AL135" s="33" t="s">
        <v>299</v>
      </c>
      <c r="AM135" s="36">
        <v>17.0</v>
      </c>
      <c r="AN135" s="36" t="str">
        <f t="shared" si="276"/>
        <v>R</v>
      </c>
      <c r="AO135" s="36">
        <v>26.0</v>
      </c>
      <c r="AP135" s="36" t="str">
        <f t="shared" si="277"/>
        <v>S</v>
      </c>
      <c r="AQ135" s="36">
        <v>19.0</v>
      </c>
      <c r="AR135" s="36" t="str">
        <f t="shared" si="278"/>
        <v>S</v>
      </c>
      <c r="AS135" s="36" t="s">
        <v>299</v>
      </c>
      <c r="AT135" s="37">
        <v>6.0</v>
      </c>
      <c r="AU135" s="37" t="str">
        <f t="shared" si="279"/>
        <v>R</v>
      </c>
      <c r="AV135" s="33">
        <v>20.0</v>
      </c>
      <c r="AW135" s="33" t="str">
        <f t="shared" si="280"/>
        <v>S</v>
      </c>
      <c r="AX135" s="33">
        <v>14.0</v>
      </c>
      <c r="AY135" s="33" t="str">
        <f t="shared" si="281"/>
        <v>R</v>
      </c>
      <c r="AZ135" s="33" t="s">
        <v>299</v>
      </c>
      <c r="BA135" s="26">
        <v>25.0</v>
      </c>
      <c r="BB135" s="26" t="str">
        <f t="shared" si="282"/>
        <v>S</v>
      </c>
      <c r="BC135" s="37">
        <v>15.0</v>
      </c>
      <c r="BD135" s="37" t="str">
        <f t="shared" si="283"/>
        <v>R</v>
      </c>
      <c r="BE135" s="36">
        <v>28.0</v>
      </c>
      <c r="BF135" s="36" t="str">
        <f t="shared" si="284"/>
        <v>S</v>
      </c>
      <c r="BG135" s="39" t="s">
        <v>357</v>
      </c>
      <c r="BH135" s="39" t="s">
        <v>357</v>
      </c>
      <c r="BI135" s="36">
        <v>30.0</v>
      </c>
      <c r="BJ135" s="36" t="str">
        <f t="shared" si="285"/>
        <v>S</v>
      </c>
      <c r="BK135" s="40">
        <v>19.0</v>
      </c>
      <c r="BL135" s="41" t="str">
        <f t="shared" si="286"/>
        <v>S</v>
      </c>
      <c r="BM135" s="41"/>
    </row>
    <row r="136">
      <c r="A136" s="18" t="s">
        <v>777</v>
      </c>
      <c r="B136" s="18" t="s">
        <v>444</v>
      </c>
      <c r="C136" s="18" t="s">
        <v>1383</v>
      </c>
      <c r="D136" s="18" t="s">
        <v>705</v>
      </c>
      <c r="E136" s="18" t="s">
        <v>572</v>
      </c>
      <c r="F136" s="18" t="s">
        <v>192</v>
      </c>
      <c r="G136" s="20" t="s">
        <v>1384</v>
      </c>
      <c r="H136" s="42" t="s">
        <v>479</v>
      </c>
      <c r="I136" s="80" t="s">
        <v>481</v>
      </c>
      <c r="J136" s="82" t="s">
        <v>205</v>
      </c>
      <c r="K136" s="82" t="s">
        <v>208</v>
      </c>
      <c r="L136" s="81" t="s">
        <v>208</v>
      </c>
      <c r="M136" s="26">
        <v>6.0</v>
      </c>
      <c r="N136" s="26" t="str">
        <f t="shared" si="265"/>
        <v>R</v>
      </c>
      <c r="O136" s="26">
        <v>25.0</v>
      </c>
      <c r="P136" s="26" t="str">
        <f t="shared" si="266"/>
        <v>S</v>
      </c>
      <c r="Q136" s="26">
        <v>12.0</v>
      </c>
      <c r="R136" s="26" t="str">
        <f t="shared" si="267"/>
        <v>R</v>
      </c>
      <c r="S136" s="32" t="s">
        <v>357</v>
      </c>
      <c r="T136" s="32" t="s">
        <v>357</v>
      </c>
      <c r="U136" s="26">
        <v>23.0</v>
      </c>
      <c r="V136" s="26" t="str">
        <f t="shared" si="268"/>
        <v>S</v>
      </c>
      <c r="W136" s="26">
        <v>25.0</v>
      </c>
      <c r="X136" s="26" t="str">
        <f t="shared" si="269"/>
        <v>S</v>
      </c>
      <c r="Y136" s="26">
        <v>27.0</v>
      </c>
      <c r="Z136" s="26" t="str">
        <f t="shared" si="270"/>
        <v>S</v>
      </c>
      <c r="AA136" s="32" t="s">
        <v>299</v>
      </c>
      <c r="AB136" s="33">
        <v>31.0</v>
      </c>
      <c r="AC136" s="33" t="str">
        <f t="shared" si="271"/>
        <v>S</v>
      </c>
      <c r="AD136" s="33">
        <v>26.0</v>
      </c>
      <c r="AE136" s="33" t="str">
        <f t="shared" si="272"/>
        <v>S</v>
      </c>
      <c r="AF136" s="33">
        <v>30.0</v>
      </c>
      <c r="AG136" s="33" t="str">
        <f t="shared" si="273"/>
        <v>S</v>
      </c>
      <c r="AH136" s="33">
        <v>28.0</v>
      </c>
      <c r="AI136" s="33" t="str">
        <f t="shared" si="274"/>
        <v>S</v>
      </c>
      <c r="AJ136" s="33">
        <v>37.0</v>
      </c>
      <c r="AK136" s="33" t="str">
        <f t="shared" si="275"/>
        <v>S</v>
      </c>
      <c r="AL136" s="33" t="s">
        <v>300</v>
      </c>
      <c r="AM136" s="36">
        <v>21.0</v>
      </c>
      <c r="AN136" s="36" t="str">
        <f t="shared" si="276"/>
        <v>R</v>
      </c>
      <c r="AO136" s="36">
        <v>21.0</v>
      </c>
      <c r="AP136" s="36" t="str">
        <f t="shared" si="277"/>
        <v>I</v>
      </c>
      <c r="AQ136" s="36">
        <v>18.0</v>
      </c>
      <c r="AR136" s="36" t="str">
        <f t="shared" si="278"/>
        <v>S</v>
      </c>
      <c r="AS136" s="36" t="s">
        <v>299</v>
      </c>
      <c r="AT136" s="37">
        <v>6.0</v>
      </c>
      <c r="AU136" s="37" t="str">
        <f t="shared" si="279"/>
        <v>R</v>
      </c>
      <c r="AV136" s="33">
        <v>22.0</v>
      </c>
      <c r="AW136" s="33" t="str">
        <f t="shared" si="280"/>
        <v>S</v>
      </c>
      <c r="AX136" s="33">
        <v>20.0</v>
      </c>
      <c r="AY136" s="33" t="str">
        <f t="shared" si="281"/>
        <v>S</v>
      </c>
      <c r="AZ136" s="33" t="s">
        <v>300</v>
      </c>
      <c r="BA136" s="26">
        <v>24.0</v>
      </c>
      <c r="BB136" s="26" t="str">
        <f t="shared" si="282"/>
        <v>S</v>
      </c>
      <c r="BC136" s="37">
        <v>36.0</v>
      </c>
      <c r="BD136" s="37" t="str">
        <f t="shared" si="283"/>
        <v>S</v>
      </c>
      <c r="BE136" s="36">
        <v>34.0</v>
      </c>
      <c r="BF136" s="36" t="str">
        <f t="shared" si="284"/>
        <v>S</v>
      </c>
      <c r="BG136" s="39" t="s">
        <v>357</v>
      </c>
      <c r="BH136" s="39" t="s">
        <v>357</v>
      </c>
      <c r="BI136" s="36">
        <v>30.0</v>
      </c>
      <c r="BJ136" s="36" t="str">
        <f t="shared" si="285"/>
        <v>S</v>
      </c>
      <c r="BK136" s="40">
        <v>21.0</v>
      </c>
      <c r="BL136" s="41" t="str">
        <f t="shared" si="286"/>
        <v>S</v>
      </c>
      <c r="BM136" s="41"/>
    </row>
    <row r="137">
      <c r="A137" s="18" t="s">
        <v>810</v>
      </c>
      <c r="B137" s="19">
        <v>107.0</v>
      </c>
      <c r="C137" s="18" t="s">
        <v>1385</v>
      </c>
      <c r="D137" s="18" t="s">
        <v>190</v>
      </c>
      <c r="E137" s="18" t="s">
        <v>190</v>
      </c>
      <c r="F137" s="18" t="s">
        <v>573</v>
      </c>
      <c r="G137" s="20" t="s">
        <v>357</v>
      </c>
      <c r="H137" s="47" t="s">
        <v>357</v>
      </c>
      <c r="I137" s="83" t="s">
        <v>357</v>
      </c>
      <c r="J137" s="82" t="s">
        <v>208</v>
      </c>
      <c r="K137" s="82" t="s">
        <v>208</v>
      </c>
      <c r="L137" s="82" t="s">
        <v>208</v>
      </c>
      <c r="M137" s="32" t="s">
        <v>357</v>
      </c>
      <c r="N137" s="32" t="s">
        <v>357</v>
      </c>
      <c r="O137" s="32" t="s">
        <v>357</v>
      </c>
      <c r="P137" s="32" t="s">
        <v>357</v>
      </c>
      <c r="Q137" s="32" t="s">
        <v>357</v>
      </c>
      <c r="R137" s="32" t="s">
        <v>357</v>
      </c>
      <c r="S137" s="32" t="s">
        <v>357</v>
      </c>
      <c r="T137" s="32" t="s">
        <v>357</v>
      </c>
      <c r="U137" s="32" t="s">
        <v>357</v>
      </c>
      <c r="V137" s="32" t="s">
        <v>357</v>
      </c>
      <c r="W137" s="32" t="s">
        <v>357</v>
      </c>
      <c r="X137" s="32" t="s">
        <v>357</v>
      </c>
      <c r="Y137" s="32" t="s">
        <v>357</v>
      </c>
      <c r="Z137" s="32" t="s">
        <v>357</v>
      </c>
      <c r="AA137" s="32" t="s">
        <v>357</v>
      </c>
      <c r="AB137" s="49" t="s">
        <v>357</v>
      </c>
      <c r="AC137" s="49" t="s">
        <v>357</v>
      </c>
      <c r="AD137" s="49" t="s">
        <v>357</v>
      </c>
      <c r="AE137" s="49" t="s">
        <v>357</v>
      </c>
      <c r="AF137" s="49" t="s">
        <v>357</v>
      </c>
      <c r="AG137" s="49" t="s">
        <v>357</v>
      </c>
      <c r="AH137" s="49" t="s">
        <v>357</v>
      </c>
      <c r="AI137" s="49" t="s">
        <v>357</v>
      </c>
      <c r="AJ137" s="49" t="s">
        <v>357</v>
      </c>
      <c r="AK137" s="49" t="s">
        <v>357</v>
      </c>
      <c r="AL137" s="49" t="s">
        <v>357</v>
      </c>
      <c r="AM137" s="39" t="s">
        <v>357</v>
      </c>
      <c r="AN137" s="39" t="s">
        <v>357</v>
      </c>
      <c r="AO137" s="39" t="s">
        <v>357</v>
      </c>
      <c r="AP137" s="39" t="s">
        <v>357</v>
      </c>
      <c r="AQ137" s="39" t="s">
        <v>357</v>
      </c>
      <c r="AR137" s="39" t="s">
        <v>357</v>
      </c>
      <c r="AS137" s="39" t="s">
        <v>357</v>
      </c>
      <c r="AT137" s="50" t="s">
        <v>357</v>
      </c>
      <c r="AU137" s="50" t="s">
        <v>357</v>
      </c>
      <c r="AV137" s="49" t="s">
        <v>357</v>
      </c>
      <c r="AW137" s="49" t="s">
        <v>357</v>
      </c>
      <c r="AX137" s="49" t="s">
        <v>357</v>
      </c>
      <c r="AY137" s="49" t="s">
        <v>357</v>
      </c>
      <c r="AZ137" s="49" t="s">
        <v>357</v>
      </c>
      <c r="BA137" s="32" t="s">
        <v>357</v>
      </c>
      <c r="BB137" s="32" t="s">
        <v>357</v>
      </c>
      <c r="BC137" s="50" t="s">
        <v>357</v>
      </c>
      <c r="BD137" s="50" t="s">
        <v>357</v>
      </c>
      <c r="BE137" s="39" t="s">
        <v>357</v>
      </c>
      <c r="BF137" s="39" t="s">
        <v>357</v>
      </c>
      <c r="BG137" s="39" t="s">
        <v>357</v>
      </c>
      <c r="BH137" s="39" t="s">
        <v>357</v>
      </c>
      <c r="BI137" s="39" t="s">
        <v>357</v>
      </c>
      <c r="BJ137" s="39" t="s">
        <v>357</v>
      </c>
      <c r="BK137" s="41" t="s">
        <v>357</v>
      </c>
      <c r="BL137" s="41" t="s">
        <v>357</v>
      </c>
      <c r="BM137" s="41"/>
    </row>
    <row r="138">
      <c r="A138" s="18" t="s">
        <v>810</v>
      </c>
      <c r="B138" s="19">
        <v>108.0</v>
      </c>
      <c r="C138" s="18" t="s">
        <v>1386</v>
      </c>
      <c r="D138" s="18" t="s">
        <v>571</v>
      </c>
      <c r="E138" s="18" t="s">
        <v>572</v>
      </c>
      <c r="F138" s="18" t="s">
        <v>192</v>
      </c>
      <c r="G138" s="20" t="s">
        <v>1387</v>
      </c>
      <c r="H138" s="22" t="s">
        <v>198</v>
      </c>
      <c r="I138" s="80" t="s">
        <v>481</v>
      </c>
      <c r="J138" s="81" t="s">
        <v>205</v>
      </c>
      <c r="K138" s="82" t="s">
        <v>208</v>
      </c>
      <c r="L138" s="81" t="s">
        <v>208</v>
      </c>
      <c r="M138" s="26">
        <v>6.0</v>
      </c>
      <c r="N138" s="26" t="str">
        <f t="shared" ref="N138:N139" si="287">IF((M138&gt;=19),"S",IF(AND(M138&lt;19),"R", "NA"))</f>
        <v>R</v>
      </c>
      <c r="O138" s="26">
        <v>25.0</v>
      </c>
      <c r="P138" s="26" t="str">
        <f t="shared" ref="P138:P139" si="288">IF((O138&gt;=19),"S",IF(AND(O138&lt;19),"R", "NA"))</f>
        <v>S</v>
      </c>
      <c r="Q138" s="26">
        <v>6.0</v>
      </c>
      <c r="R138" s="26" t="str">
        <f t="shared" ref="R138:R139" si="289">IF((Q138&gt;=23),"S",IF(AND(Q138&lt;23),"R","NA"))</f>
        <v>R</v>
      </c>
      <c r="S138" s="32" t="s">
        <v>357</v>
      </c>
      <c r="T138" s="32" t="s">
        <v>357</v>
      </c>
      <c r="U138" s="26">
        <v>17.0</v>
      </c>
      <c r="V138" s="26" t="str">
        <f t="shared" ref="V138:V139" si="290">IF((U138&gt;=20),"S",IF(AND(U138&lt;20),"R", "NA"))</f>
        <v>R</v>
      </c>
      <c r="W138" s="26">
        <v>28.0</v>
      </c>
      <c r="X138" s="26" t="str">
        <f t="shared" ref="X138:X139" si="291">IF((W138&gt;=20),"S",IF(AND(W138&lt;20),"R", "NA"))</f>
        <v>S</v>
      </c>
      <c r="Y138" s="26">
        <v>25.0</v>
      </c>
      <c r="Z138" s="26" t="str">
        <f t="shared" ref="Z138:Z139" si="292">IF((Y138&gt;=20),"S",IF(AND(Y138&lt;20,Y138&gt;=17),"I",IF(AND(Y138&lt;17),"R","NA")))</f>
        <v>S</v>
      </c>
      <c r="AA138" s="32" t="s">
        <v>299</v>
      </c>
      <c r="AB138" s="33">
        <v>16.0</v>
      </c>
      <c r="AC138" s="33" t="str">
        <f t="shared" ref="AC138:AC139" si="293">IF((AB138&gt;=20),"S",IF(AND(AB138&lt;20,AB138&gt;=17),"I",IF(AND(AB138&lt;17),"R","NA")))</f>
        <v>R</v>
      </c>
      <c r="AD138" s="33">
        <v>26.0</v>
      </c>
      <c r="AE138" s="33" t="str">
        <f t="shared" ref="AE138:AE139" si="294">IF((AD138&gt;=18),"S",IF(AND(AD138&lt;18),"R", "NA"))</f>
        <v>S</v>
      </c>
      <c r="AF138" s="33">
        <v>26.0</v>
      </c>
      <c r="AG138" s="33" t="str">
        <f t="shared" ref="AG138:AG139" si="295">IF((AF138&gt;=22),"S",IF(AND(AF138&lt;22,AF138&gt;=19),"I",IF(AND(AF138&lt;19),"R","NA")))</f>
        <v>S</v>
      </c>
      <c r="AH138" s="33">
        <v>28.0</v>
      </c>
      <c r="AI138" s="33" t="str">
        <f t="shared" ref="AI138:AI139" si="296">IF((AH138&gt;=13),"S",IF(AND(AH138&lt;13),"R", "NA"))</f>
        <v>S</v>
      </c>
      <c r="AJ138" s="33">
        <v>30.0</v>
      </c>
      <c r="AK138" s="33" t="str">
        <f t="shared" ref="AK138:AK139" si="297">IF((AJ138&gt;=27),"S",IF(AND(AJ138&lt;27,AJ138&gt;=24),"I",IF(AND(AJ138&lt;24),"R","NA")))</f>
        <v>S</v>
      </c>
      <c r="AL138" s="33" t="s">
        <v>299</v>
      </c>
      <c r="AM138" s="36">
        <v>26.0</v>
      </c>
      <c r="AN138" s="36" t="str">
        <f t="shared" ref="AN138:AN139" si="298">IF((AM138&gt;=25),"S",IF(AND(AM138&lt;25,AM138&gt;=22),"I",IF(AND(AM138&lt;22),"R","NA")))</f>
        <v>S</v>
      </c>
      <c r="AO138" s="36">
        <v>26.0</v>
      </c>
      <c r="AP138" s="36" t="str">
        <f t="shared" ref="AP138:AP139" si="299">IF((AO138&gt;=23),"S",IF(AND(AO138&lt;23,AO138&gt;=19),"I",IF(AND(AO138&lt;19),"R","NA")))</f>
        <v>S</v>
      </c>
      <c r="AQ138" s="36">
        <v>24.0</v>
      </c>
      <c r="AR138" s="36" t="str">
        <f t="shared" ref="AR138:AR139" si="300">IF((AQ138&gt;=14),"S",IF(AND(AQ138&lt;14),"R","NA"))</f>
        <v>S</v>
      </c>
      <c r="AS138" s="36" t="s">
        <v>300</v>
      </c>
      <c r="AT138" s="37">
        <v>12.0</v>
      </c>
      <c r="AU138" s="37" t="str">
        <f t="shared" ref="AU138:AU139" si="301">IF((AT138&gt;=14),"S",IF(AND(AT138&lt;14,AT138&gt;=11),"I",IF(AND(AT138&lt;11),"R","NA")))</f>
        <v>I</v>
      </c>
      <c r="AV138" s="33">
        <v>22.0</v>
      </c>
      <c r="AW138" s="33" t="str">
        <f t="shared" ref="AW138:AW139" si="302">IF((AV138&gt;=18),"S",IF(AND(AV138&lt;18),"R", "NA"))</f>
        <v>S</v>
      </c>
      <c r="AX138" s="33">
        <v>21.0</v>
      </c>
      <c r="AY138" s="33" t="str">
        <f t="shared" ref="AY138:AY139" si="303">IF((AX138&gt;=16),"S",IF(AND(AX138&lt;16),"R", "NA"))</f>
        <v>S</v>
      </c>
      <c r="AZ138" s="33" t="s">
        <v>300</v>
      </c>
      <c r="BA138" s="26">
        <v>10.0</v>
      </c>
      <c r="BB138" s="26" t="str">
        <f t="shared" ref="BB138:BB139" si="304">IF((BA138&gt;=20),"S",IF(AND(BA138&lt;20),"R", "NA"))</f>
        <v>R</v>
      </c>
      <c r="BC138" s="37">
        <v>28.0</v>
      </c>
      <c r="BD138" s="37" t="str">
        <f t="shared" ref="BD138:BD139" si="305">IF((BC138&gt;=26),"S",IF(AND(BC138&lt;26,BC138&gt;=21),"I",IF(AND(BC138&lt;21),"R","NA")))</f>
        <v>S</v>
      </c>
      <c r="BE138" s="36">
        <v>34.0</v>
      </c>
      <c r="BF138" s="36" t="str">
        <f t="shared" ref="BF138:BF139" si="306">IF((BE138&gt;=23),"S",IF(AND(BE138&lt;23),"R","NA"))</f>
        <v>S</v>
      </c>
      <c r="BG138" s="39" t="s">
        <v>357</v>
      </c>
      <c r="BH138" s="39" t="s">
        <v>357</v>
      </c>
      <c r="BI138" s="36">
        <v>30.0</v>
      </c>
      <c r="BJ138" s="36" t="str">
        <f t="shared" ref="BJ138:BJ139" si="307">IF((BI138&gt;=22),"S",IF(AND(BI138&lt;22,BI138&gt;=19),"I",IF(AND(BI138&lt;19),"R","NA")))</f>
        <v>S</v>
      </c>
      <c r="BK138" s="40">
        <v>21.0</v>
      </c>
      <c r="BL138" s="41" t="str">
        <f t="shared" ref="BL138:BL139" si="308">IF((BK138&gt;=17),"S",IF(AND(BK138&lt;17),"R", "NA"))</f>
        <v>S</v>
      </c>
      <c r="BM138" s="41"/>
    </row>
    <row r="139">
      <c r="A139" s="18" t="s">
        <v>810</v>
      </c>
      <c r="B139" s="18" t="s">
        <v>444</v>
      </c>
      <c r="C139" s="18" t="s">
        <v>1388</v>
      </c>
      <c r="D139" s="18" t="s">
        <v>571</v>
      </c>
      <c r="E139" s="18" t="s">
        <v>572</v>
      </c>
      <c r="F139" s="18" t="s">
        <v>192</v>
      </c>
      <c r="G139" s="20" t="s">
        <v>1389</v>
      </c>
      <c r="H139" s="42" t="s">
        <v>479</v>
      </c>
      <c r="I139" s="84" t="s">
        <v>37</v>
      </c>
      <c r="J139" s="81" t="s">
        <v>205</v>
      </c>
      <c r="K139" s="81" t="s">
        <v>205</v>
      </c>
      <c r="L139" s="81" t="s">
        <v>208</v>
      </c>
      <c r="M139" s="26">
        <v>6.0</v>
      </c>
      <c r="N139" s="26" t="str">
        <f t="shared" si="287"/>
        <v>R</v>
      </c>
      <c r="O139" s="26">
        <v>23.0</v>
      </c>
      <c r="P139" s="26" t="str">
        <f t="shared" si="288"/>
        <v>S</v>
      </c>
      <c r="Q139" s="26">
        <v>6.0</v>
      </c>
      <c r="R139" s="26" t="str">
        <f t="shared" si="289"/>
        <v>R</v>
      </c>
      <c r="S139" s="32" t="s">
        <v>357</v>
      </c>
      <c r="T139" s="32" t="s">
        <v>357</v>
      </c>
      <c r="U139" s="26">
        <v>8.0</v>
      </c>
      <c r="V139" s="26" t="str">
        <f t="shared" si="290"/>
        <v>R</v>
      </c>
      <c r="W139" s="26">
        <v>23.0</v>
      </c>
      <c r="X139" s="26" t="str">
        <f t="shared" si="291"/>
        <v>S</v>
      </c>
      <c r="Y139" s="26">
        <v>28.0</v>
      </c>
      <c r="Z139" s="26" t="str">
        <f t="shared" si="292"/>
        <v>S</v>
      </c>
      <c r="AA139" s="32" t="s">
        <v>299</v>
      </c>
      <c r="AB139" s="33">
        <v>6.0</v>
      </c>
      <c r="AC139" s="33" t="str">
        <f t="shared" si="293"/>
        <v>R</v>
      </c>
      <c r="AD139" s="33">
        <v>25.0</v>
      </c>
      <c r="AE139" s="33" t="str">
        <f t="shared" si="294"/>
        <v>S</v>
      </c>
      <c r="AF139" s="33">
        <v>16.0</v>
      </c>
      <c r="AG139" s="33" t="str">
        <f t="shared" si="295"/>
        <v>R</v>
      </c>
      <c r="AH139" s="33">
        <v>24.0</v>
      </c>
      <c r="AI139" s="33" t="str">
        <f t="shared" si="296"/>
        <v>S</v>
      </c>
      <c r="AJ139" s="33">
        <v>20.0</v>
      </c>
      <c r="AK139" s="33" t="str">
        <f t="shared" si="297"/>
        <v>R</v>
      </c>
      <c r="AL139" s="33" t="s">
        <v>299</v>
      </c>
      <c r="AM139" s="36">
        <v>19.0</v>
      </c>
      <c r="AN139" s="36" t="str">
        <f t="shared" si="298"/>
        <v>R</v>
      </c>
      <c r="AO139" s="36">
        <v>18.0</v>
      </c>
      <c r="AP139" s="36" t="str">
        <f t="shared" si="299"/>
        <v>R</v>
      </c>
      <c r="AQ139" s="36">
        <v>18.0</v>
      </c>
      <c r="AR139" s="36" t="str">
        <f t="shared" si="300"/>
        <v>S</v>
      </c>
      <c r="AS139" s="36" t="s">
        <v>299</v>
      </c>
      <c r="AT139" s="37">
        <v>6.0</v>
      </c>
      <c r="AU139" s="37" t="str">
        <f t="shared" si="301"/>
        <v>R</v>
      </c>
      <c r="AV139" s="33">
        <v>20.0</v>
      </c>
      <c r="AW139" s="33" t="str">
        <f t="shared" si="302"/>
        <v>S</v>
      </c>
      <c r="AX139" s="33">
        <v>18.0</v>
      </c>
      <c r="AY139" s="33" t="str">
        <f t="shared" si="303"/>
        <v>S</v>
      </c>
      <c r="AZ139" s="33" t="s">
        <v>300</v>
      </c>
      <c r="BA139" s="26">
        <v>6.0</v>
      </c>
      <c r="BB139" s="26" t="str">
        <f t="shared" si="304"/>
        <v>R</v>
      </c>
      <c r="BC139" s="37">
        <v>15.0</v>
      </c>
      <c r="BD139" s="37" t="str">
        <f t="shared" si="305"/>
        <v>R</v>
      </c>
      <c r="BE139" s="36">
        <v>30.0</v>
      </c>
      <c r="BF139" s="36" t="str">
        <f t="shared" si="306"/>
        <v>S</v>
      </c>
      <c r="BG139" s="39" t="s">
        <v>357</v>
      </c>
      <c r="BH139" s="39" t="s">
        <v>357</v>
      </c>
      <c r="BI139" s="36">
        <v>30.0</v>
      </c>
      <c r="BJ139" s="36" t="str">
        <f t="shared" si="307"/>
        <v>S</v>
      </c>
      <c r="BK139" s="40">
        <v>18.0</v>
      </c>
      <c r="BL139" s="41" t="str">
        <f t="shared" si="308"/>
        <v>S</v>
      </c>
      <c r="BM139" s="41"/>
    </row>
    <row r="140">
      <c r="A140" s="18" t="s">
        <v>810</v>
      </c>
      <c r="B140" s="19">
        <v>109.0</v>
      </c>
      <c r="C140" s="18" t="s">
        <v>1390</v>
      </c>
      <c r="D140" s="18" t="s">
        <v>705</v>
      </c>
      <c r="E140" s="18" t="s">
        <v>572</v>
      </c>
      <c r="F140" s="18" t="s">
        <v>573</v>
      </c>
      <c r="G140" s="20" t="s">
        <v>357</v>
      </c>
      <c r="H140" s="47" t="s">
        <v>357</v>
      </c>
      <c r="I140" s="83" t="s">
        <v>357</v>
      </c>
      <c r="J140" s="82" t="s">
        <v>208</v>
      </c>
      <c r="K140" s="82" t="s">
        <v>208</v>
      </c>
      <c r="L140" s="82" t="s">
        <v>208</v>
      </c>
      <c r="M140" s="32" t="s">
        <v>357</v>
      </c>
      <c r="N140" s="32" t="s">
        <v>357</v>
      </c>
      <c r="O140" s="32" t="s">
        <v>357</v>
      </c>
      <c r="P140" s="32" t="s">
        <v>357</v>
      </c>
      <c r="Q140" s="32" t="s">
        <v>357</v>
      </c>
      <c r="R140" s="32" t="s">
        <v>357</v>
      </c>
      <c r="S140" s="32" t="s">
        <v>357</v>
      </c>
      <c r="T140" s="32" t="s">
        <v>357</v>
      </c>
      <c r="U140" s="32" t="s">
        <v>357</v>
      </c>
      <c r="V140" s="32" t="s">
        <v>357</v>
      </c>
      <c r="W140" s="32" t="s">
        <v>357</v>
      </c>
      <c r="X140" s="32" t="s">
        <v>357</v>
      </c>
      <c r="Y140" s="32" t="s">
        <v>357</v>
      </c>
      <c r="Z140" s="32" t="s">
        <v>357</v>
      </c>
      <c r="AA140" s="32" t="s">
        <v>357</v>
      </c>
      <c r="AB140" s="49" t="s">
        <v>357</v>
      </c>
      <c r="AC140" s="49" t="s">
        <v>357</v>
      </c>
      <c r="AD140" s="49" t="s">
        <v>357</v>
      </c>
      <c r="AE140" s="49" t="s">
        <v>357</v>
      </c>
      <c r="AF140" s="49" t="s">
        <v>357</v>
      </c>
      <c r="AG140" s="49" t="s">
        <v>357</v>
      </c>
      <c r="AH140" s="49" t="s">
        <v>357</v>
      </c>
      <c r="AI140" s="49" t="s">
        <v>357</v>
      </c>
      <c r="AJ140" s="49" t="s">
        <v>357</v>
      </c>
      <c r="AK140" s="49" t="s">
        <v>357</v>
      </c>
      <c r="AL140" s="49" t="s">
        <v>357</v>
      </c>
      <c r="AM140" s="39" t="s">
        <v>357</v>
      </c>
      <c r="AN140" s="39" t="s">
        <v>357</v>
      </c>
      <c r="AO140" s="39" t="s">
        <v>357</v>
      </c>
      <c r="AP140" s="39" t="s">
        <v>357</v>
      </c>
      <c r="AQ140" s="39" t="s">
        <v>357</v>
      </c>
      <c r="AR140" s="39" t="s">
        <v>357</v>
      </c>
      <c r="AS140" s="39" t="s">
        <v>357</v>
      </c>
      <c r="AT140" s="50" t="s">
        <v>357</v>
      </c>
      <c r="AU140" s="50" t="s">
        <v>357</v>
      </c>
      <c r="AV140" s="49" t="s">
        <v>357</v>
      </c>
      <c r="AW140" s="49" t="s">
        <v>357</v>
      </c>
      <c r="AX140" s="49" t="s">
        <v>357</v>
      </c>
      <c r="AY140" s="49" t="s">
        <v>357</v>
      </c>
      <c r="AZ140" s="49" t="s">
        <v>357</v>
      </c>
      <c r="BA140" s="32" t="s">
        <v>357</v>
      </c>
      <c r="BB140" s="32" t="s">
        <v>357</v>
      </c>
      <c r="BC140" s="50" t="s">
        <v>357</v>
      </c>
      <c r="BD140" s="50" t="s">
        <v>357</v>
      </c>
      <c r="BE140" s="39" t="s">
        <v>357</v>
      </c>
      <c r="BF140" s="39" t="s">
        <v>357</v>
      </c>
      <c r="BG140" s="39" t="s">
        <v>357</v>
      </c>
      <c r="BH140" s="39" t="s">
        <v>357</v>
      </c>
      <c r="BI140" s="39" t="s">
        <v>357</v>
      </c>
      <c r="BJ140" s="39" t="s">
        <v>357</v>
      </c>
      <c r="BK140" s="41" t="s">
        <v>357</v>
      </c>
      <c r="BL140" s="41" t="s">
        <v>357</v>
      </c>
      <c r="BM140" s="41"/>
    </row>
    <row r="141">
      <c r="A141" s="18" t="s">
        <v>810</v>
      </c>
      <c r="B141" s="19">
        <v>110.0</v>
      </c>
      <c r="C141" s="18" t="s">
        <v>1391</v>
      </c>
      <c r="D141" s="18" t="s">
        <v>162</v>
      </c>
      <c r="E141" s="18" t="s">
        <v>103</v>
      </c>
      <c r="F141" s="18" t="s">
        <v>192</v>
      </c>
      <c r="G141" s="20" t="s">
        <v>1392</v>
      </c>
      <c r="H141" s="22" t="s">
        <v>198</v>
      </c>
      <c r="I141" s="80" t="s">
        <v>481</v>
      </c>
      <c r="J141" s="82" t="s">
        <v>205</v>
      </c>
      <c r="K141" s="82" t="s">
        <v>208</v>
      </c>
      <c r="L141" s="82" t="s">
        <v>208</v>
      </c>
      <c r="M141" s="26">
        <v>6.0</v>
      </c>
      <c r="N141" s="26" t="str">
        <f t="shared" ref="N141:N144" si="309">IF((M141&gt;=19),"S",IF(AND(M141&lt;19),"R", "NA"))</f>
        <v>R</v>
      </c>
      <c r="O141" s="26">
        <v>22.0</v>
      </c>
      <c r="P141" s="26" t="str">
        <f t="shared" ref="P141:P144" si="310">IF((O141&gt;=19),"S",IF(AND(O141&lt;19),"R", "NA"))</f>
        <v>S</v>
      </c>
      <c r="Q141" s="26">
        <v>6.0</v>
      </c>
      <c r="R141" s="26" t="str">
        <f t="shared" ref="R141:R144" si="311">IF((Q141&gt;=23),"S",IF(AND(Q141&lt;23),"R","NA"))</f>
        <v>R</v>
      </c>
      <c r="S141" s="32" t="s">
        <v>357</v>
      </c>
      <c r="T141" s="32" t="s">
        <v>357</v>
      </c>
      <c r="U141" s="26">
        <v>15.0</v>
      </c>
      <c r="V141" s="26" t="str">
        <f t="shared" ref="V141:V144" si="312">IF((U141&gt;=20),"S",IF(AND(U141&lt;20),"R", "NA"))</f>
        <v>R</v>
      </c>
      <c r="W141" s="26">
        <v>27.0</v>
      </c>
      <c r="X141" s="26" t="str">
        <f t="shared" ref="X141:X144" si="313">IF((W141&gt;=20),"S",IF(AND(W141&lt;20),"R", "NA"))</f>
        <v>S</v>
      </c>
      <c r="Y141" s="26">
        <v>25.0</v>
      </c>
      <c r="Z141" s="26" t="str">
        <f t="shared" ref="Z141:Z144" si="314">IF((Y141&gt;=20),"S",IF(AND(Y141&lt;20,Y141&gt;=17),"I",IF(AND(Y141&lt;17),"R","NA")))</f>
        <v>S</v>
      </c>
      <c r="AA141" s="32" t="s">
        <v>299</v>
      </c>
      <c r="AB141" s="33">
        <v>11.0</v>
      </c>
      <c r="AC141" s="33" t="str">
        <f t="shared" ref="AC141:AC144" si="315">IF((AB141&gt;=20),"S",IF(AND(AB141&lt;20,AB141&gt;=17),"I",IF(AND(AB141&lt;17),"R","NA")))</f>
        <v>R</v>
      </c>
      <c r="AD141" s="33">
        <v>28.0</v>
      </c>
      <c r="AE141" s="33" t="str">
        <f t="shared" ref="AE141:AE144" si="316">IF((AD141&gt;=18),"S",IF(AND(AD141&lt;18),"R", "NA"))</f>
        <v>S</v>
      </c>
      <c r="AF141" s="33">
        <v>24.0</v>
      </c>
      <c r="AG141" s="33" t="str">
        <f t="shared" ref="AG141:AG144" si="317">IF((AF141&gt;=22),"S",IF(AND(AF141&lt;22,AF141&gt;=19),"I",IF(AND(AF141&lt;19),"R","NA")))</f>
        <v>S</v>
      </c>
      <c r="AH141" s="33">
        <v>30.0</v>
      </c>
      <c r="AI141" s="33" t="str">
        <f t="shared" ref="AI141:AI144" si="318">IF((AH141&gt;=13),"S",IF(AND(AH141&lt;13),"R", "NA"))</f>
        <v>S</v>
      </c>
      <c r="AJ141" s="33">
        <v>30.0</v>
      </c>
      <c r="AK141" s="33" t="str">
        <f t="shared" ref="AK141:AK144" si="319">IF((AJ141&gt;=27),"S",IF(AND(AJ141&lt;27,AJ141&gt;=24),"I",IF(AND(AJ141&lt;24),"R","NA")))</f>
        <v>S</v>
      </c>
      <c r="AL141" s="33" t="s">
        <v>299</v>
      </c>
      <c r="AM141" s="36">
        <v>32.0</v>
      </c>
      <c r="AN141" s="36" t="str">
        <f t="shared" ref="AN141:AN144" si="320">IF((AM141&gt;=25),"S",IF(AND(AM141&lt;25,AM141&gt;=22),"I",IF(AND(AM141&lt;22),"R","NA")))</f>
        <v>S</v>
      </c>
      <c r="AO141" s="36">
        <v>29.0</v>
      </c>
      <c r="AP141" s="36" t="str">
        <f t="shared" ref="AP141:AP144" si="321">IF((AO141&gt;=23),"S",IF(AND(AO141&lt;23,AO141&gt;=19),"I",IF(AND(AO141&lt;19),"R","NA")))</f>
        <v>S</v>
      </c>
      <c r="AQ141" s="36">
        <v>24.0</v>
      </c>
      <c r="AR141" s="36" t="str">
        <f t="shared" ref="AR141:AR144" si="322">IF((AQ141&gt;=14),"S",IF(AND(AQ141&lt;14),"R","NA"))</f>
        <v>S</v>
      </c>
      <c r="AS141" s="36" t="s">
        <v>300</v>
      </c>
      <c r="AT141" s="37">
        <v>6.0</v>
      </c>
      <c r="AU141" s="37" t="str">
        <f t="shared" ref="AU141:AU144" si="323">IF((AT141&gt;=14),"S",IF(AND(AT141&lt;14,AT141&gt;=11),"I",IF(AND(AT141&lt;11),"R","NA")))</f>
        <v>R</v>
      </c>
      <c r="AV141" s="33">
        <v>23.0</v>
      </c>
      <c r="AW141" s="33" t="str">
        <f t="shared" ref="AW141:AW144" si="324">IF((AV141&gt;=18),"S",IF(AND(AV141&lt;18),"R", "NA"))</f>
        <v>S</v>
      </c>
      <c r="AX141" s="33">
        <v>21.0</v>
      </c>
      <c r="AY141" s="33" t="str">
        <f t="shared" ref="AY141:AY144" si="325">IF((AX141&gt;=16),"S",IF(AND(AX141&lt;16),"R", "NA"))</f>
        <v>S</v>
      </c>
      <c r="AZ141" s="33" t="s">
        <v>300</v>
      </c>
      <c r="BA141" s="26">
        <v>6.0</v>
      </c>
      <c r="BB141" s="26" t="str">
        <f t="shared" ref="BB141:BB144" si="326">IF((BA141&gt;=20),"S",IF(AND(BA141&lt;20),"R", "NA"))</f>
        <v>R</v>
      </c>
      <c r="BC141" s="37">
        <v>25.0</v>
      </c>
      <c r="BD141" s="37" t="str">
        <f t="shared" ref="BD141:BD144" si="327">IF((BC141&gt;=26),"S",IF(AND(BC141&lt;26,BC141&gt;=21),"I",IF(AND(BC141&lt;21),"R","NA")))</f>
        <v>I</v>
      </c>
      <c r="BE141" s="36">
        <v>37.0</v>
      </c>
      <c r="BF141" s="36" t="str">
        <f t="shared" ref="BF141:BF144" si="328">IF((BE141&gt;=23),"S",IF(AND(BE141&lt;23),"R","NA"))</f>
        <v>S</v>
      </c>
      <c r="BG141" s="39" t="s">
        <v>357</v>
      </c>
      <c r="BH141" s="39" t="s">
        <v>357</v>
      </c>
      <c r="BI141" s="36">
        <v>31.0</v>
      </c>
      <c r="BJ141" s="36" t="str">
        <f t="shared" ref="BJ141:BJ144" si="329">IF((BI141&gt;=22),"S",IF(AND(BI141&lt;22,BI141&gt;=19),"I",IF(AND(BI141&lt;19),"R","NA")))</f>
        <v>S</v>
      </c>
      <c r="BK141" s="40">
        <v>22.0</v>
      </c>
      <c r="BL141" s="41" t="str">
        <f t="shared" ref="BL141:BL144" si="330">IF((BK141&gt;=17),"S",IF(AND(BK141&lt;17),"R", "NA"))</f>
        <v>S</v>
      </c>
      <c r="BM141" s="41"/>
    </row>
    <row r="142">
      <c r="A142" s="18" t="s">
        <v>832</v>
      </c>
      <c r="B142" s="19">
        <v>111.0</v>
      </c>
      <c r="C142" s="18" t="s">
        <v>1393</v>
      </c>
      <c r="D142" s="18" t="s">
        <v>190</v>
      </c>
      <c r="E142" s="18" t="s">
        <v>190</v>
      </c>
      <c r="F142" s="18" t="s">
        <v>192</v>
      </c>
      <c r="G142" s="20" t="s">
        <v>1394</v>
      </c>
      <c r="H142" s="22" t="s">
        <v>198</v>
      </c>
      <c r="I142" s="80" t="s">
        <v>481</v>
      </c>
      <c r="J142" s="82" t="s">
        <v>205</v>
      </c>
      <c r="K142" s="82" t="s">
        <v>208</v>
      </c>
      <c r="L142" s="81" t="s">
        <v>208</v>
      </c>
      <c r="M142" s="26">
        <v>6.0</v>
      </c>
      <c r="N142" s="26" t="str">
        <f t="shared" si="309"/>
        <v>R</v>
      </c>
      <c r="O142" s="26">
        <v>23.0</v>
      </c>
      <c r="P142" s="26" t="str">
        <f t="shared" si="310"/>
        <v>S</v>
      </c>
      <c r="Q142" s="26">
        <v>6.0</v>
      </c>
      <c r="R142" s="26" t="str">
        <f t="shared" si="311"/>
        <v>R</v>
      </c>
      <c r="S142" s="32" t="s">
        <v>357</v>
      </c>
      <c r="T142" s="32" t="s">
        <v>357</v>
      </c>
      <c r="U142" s="26">
        <v>20.0</v>
      </c>
      <c r="V142" s="26" t="str">
        <f t="shared" si="312"/>
        <v>S</v>
      </c>
      <c r="W142" s="26">
        <v>26.0</v>
      </c>
      <c r="X142" s="26" t="str">
        <f t="shared" si="313"/>
        <v>S</v>
      </c>
      <c r="Y142" s="26">
        <v>25.0</v>
      </c>
      <c r="Z142" s="26" t="str">
        <f t="shared" si="314"/>
        <v>S</v>
      </c>
      <c r="AA142" s="32" t="s">
        <v>299</v>
      </c>
      <c r="AB142" s="33">
        <v>11.0</v>
      </c>
      <c r="AC142" s="33" t="str">
        <f t="shared" si="315"/>
        <v>R</v>
      </c>
      <c r="AD142" s="33">
        <v>26.0</v>
      </c>
      <c r="AE142" s="33" t="str">
        <f t="shared" si="316"/>
        <v>S</v>
      </c>
      <c r="AF142" s="33">
        <v>21.0</v>
      </c>
      <c r="AG142" s="33" t="str">
        <f t="shared" si="317"/>
        <v>I</v>
      </c>
      <c r="AH142" s="33">
        <v>26.0</v>
      </c>
      <c r="AI142" s="33" t="str">
        <f t="shared" si="318"/>
        <v>S</v>
      </c>
      <c r="AJ142" s="33">
        <v>29.0</v>
      </c>
      <c r="AK142" s="33" t="str">
        <f t="shared" si="319"/>
        <v>S</v>
      </c>
      <c r="AL142" s="33" t="s">
        <v>299</v>
      </c>
      <c r="AM142" s="36">
        <v>27.0</v>
      </c>
      <c r="AN142" s="36" t="str">
        <f t="shared" si="320"/>
        <v>S</v>
      </c>
      <c r="AO142" s="36">
        <v>26.0</v>
      </c>
      <c r="AP142" s="36" t="str">
        <f t="shared" si="321"/>
        <v>S</v>
      </c>
      <c r="AQ142" s="36">
        <v>20.0</v>
      </c>
      <c r="AR142" s="36" t="str">
        <f t="shared" si="322"/>
        <v>S</v>
      </c>
      <c r="AS142" s="36" t="s">
        <v>300</v>
      </c>
      <c r="AT142" s="37">
        <v>6.0</v>
      </c>
      <c r="AU142" s="37" t="str">
        <f t="shared" si="323"/>
        <v>R</v>
      </c>
      <c r="AV142" s="33">
        <v>21.0</v>
      </c>
      <c r="AW142" s="33" t="str">
        <f t="shared" si="324"/>
        <v>S</v>
      </c>
      <c r="AX142" s="33">
        <v>22.0</v>
      </c>
      <c r="AY142" s="33" t="str">
        <f t="shared" si="325"/>
        <v>S</v>
      </c>
      <c r="AZ142" s="33" t="s">
        <v>300</v>
      </c>
      <c r="BA142" s="26">
        <v>22.0</v>
      </c>
      <c r="BB142" s="26" t="str">
        <f t="shared" si="326"/>
        <v>S</v>
      </c>
      <c r="BC142" s="37">
        <v>21.0</v>
      </c>
      <c r="BD142" s="37" t="str">
        <f t="shared" si="327"/>
        <v>I</v>
      </c>
      <c r="BE142" s="36">
        <v>30.0</v>
      </c>
      <c r="BF142" s="36" t="str">
        <f t="shared" si="328"/>
        <v>S</v>
      </c>
      <c r="BG142" s="39" t="s">
        <v>357</v>
      </c>
      <c r="BH142" s="39" t="s">
        <v>357</v>
      </c>
      <c r="BI142" s="36">
        <v>31.0</v>
      </c>
      <c r="BJ142" s="36" t="str">
        <f t="shared" si="329"/>
        <v>S</v>
      </c>
      <c r="BK142" s="40">
        <v>21.0</v>
      </c>
      <c r="BL142" s="41" t="str">
        <f t="shared" si="330"/>
        <v>S</v>
      </c>
      <c r="BM142" s="41"/>
    </row>
    <row r="143">
      <c r="A143" s="18" t="s">
        <v>832</v>
      </c>
      <c r="B143" s="19">
        <v>112.0</v>
      </c>
      <c r="C143" s="18" t="s">
        <v>1395</v>
      </c>
      <c r="D143" s="18" t="s">
        <v>571</v>
      </c>
      <c r="E143" s="18" t="s">
        <v>572</v>
      </c>
      <c r="F143" s="18" t="s">
        <v>192</v>
      </c>
      <c r="G143" s="20" t="s">
        <v>1396</v>
      </c>
      <c r="H143" s="59" t="s">
        <v>1092</v>
      </c>
      <c r="I143" s="80" t="s">
        <v>481</v>
      </c>
      <c r="J143" s="82" t="s">
        <v>205</v>
      </c>
      <c r="K143" s="82" t="s">
        <v>208</v>
      </c>
      <c r="L143" s="81" t="s">
        <v>208</v>
      </c>
      <c r="M143" s="26">
        <v>6.0</v>
      </c>
      <c r="N143" s="26" t="str">
        <f t="shared" si="309"/>
        <v>R</v>
      </c>
      <c r="O143" s="26">
        <v>24.0</v>
      </c>
      <c r="P143" s="26" t="str">
        <f t="shared" si="310"/>
        <v>S</v>
      </c>
      <c r="Q143" s="26">
        <v>6.0</v>
      </c>
      <c r="R143" s="26" t="str">
        <f t="shared" si="311"/>
        <v>R</v>
      </c>
      <c r="S143" s="32" t="s">
        <v>357</v>
      </c>
      <c r="T143" s="32" t="s">
        <v>357</v>
      </c>
      <c r="U143" s="26">
        <v>16.0</v>
      </c>
      <c r="V143" s="26" t="str">
        <f t="shared" si="312"/>
        <v>R</v>
      </c>
      <c r="W143" s="26">
        <v>32.0</v>
      </c>
      <c r="X143" s="26" t="str">
        <f t="shared" si="313"/>
        <v>S</v>
      </c>
      <c r="Y143" s="26">
        <v>32.0</v>
      </c>
      <c r="Z143" s="26" t="str">
        <f t="shared" si="314"/>
        <v>S</v>
      </c>
      <c r="AA143" s="32" t="s">
        <v>299</v>
      </c>
      <c r="AB143" s="33">
        <v>8.0</v>
      </c>
      <c r="AC143" s="33" t="str">
        <f t="shared" si="315"/>
        <v>R</v>
      </c>
      <c r="AD143" s="33">
        <v>8.0</v>
      </c>
      <c r="AE143" s="33" t="str">
        <f t="shared" si="316"/>
        <v>R</v>
      </c>
      <c r="AF143" s="33">
        <v>24.0</v>
      </c>
      <c r="AG143" s="33" t="str">
        <f t="shared" si="317"/>
        <v>S</v>
      </c>
      <c r="AH143" s="33">
        <v>30.0</v>
      </c>
      <c r="AI143" s="33" t="str">
        <f t="shared" si="318"/>
        <v>S</v>
      </c>
      <c r="AJ143" s="33">
        <v>26.0</v>
      </c>
      <c r="AK143" s="33" t="str">
        <f t="shared" si="319"/>
        <v>I</v>
      </c>
      <c r="AL143" s="33" t="s">
        <v>299</v>
      </c>
      <c r="AM143" s="36">
        <v>26.0</v>
      </c>
      <c r="AN143" s="36" t="str">
        <f t="shared" si="320"/>
        <v>S</v>
      </c>
      <c r="AO143" s="36">
        <v>24.0</v>
      </c>
      <c r="AP143" s="36" t="str">
        <f t="shared" si="321"/>
        <v>S</v>
      </c>
      <c r="AQ143" s="36">
        <v>21.0</v>
      </c>
      <c r="AR143" s="36" t="str">
        <f t="shared" si="322"/>
        <v>S</v>
      </c>
      <c r="AS143" s="36" t="s">
        <v>300</v>
      </c>
      <c r="AT143" s="37">
        <v>6.0</v>
      </c>
      <c r="AU143" s="37" t="str">
        <f t="shared" si="323"/>
        <v>R</v>
      </c>
      <c r="AV143" s="33">
        <v>20.0</v>
      </c>
      <c r="AW143" s="33" t="str">
        <f t="shared" si="324"/>
        <v>S</v>
      </c>
      <c r="AX143" s="33">
        <v>18.0</v>
      </c>
      <c r="AY143" s="33" t="str">
        <f t="shared" si="325"/>
        <v>S</v>
      </c>
      <c r="AZ143" s="33" t="s">
        <v>300</v>
      </c>
      <c r="BA143" s="26">
        <v>6.0</v>
      </c>
      <c r="BB143" s="26" t="str">
        <f t="shared" si="326"/>
        <v>R</v>
      </c>
      <c r="BC143" s="37">
        <v>25.0</v>
      </c>
      <c r="BD143" s="37" t="str">
        <f t="shared" si="327"/>
        <v>I</v>
      </c>
      <c r="BE143" s="36">
        <v>30.0</v>
      </c>
      <c r="BF143" s="36" t="str">
        <f t="shared" si="328"/>
        <v>S</v>
      </c>
      <c r="BG143" s="39" t="s">
        <v>357</v>
      </c>
      <c r="BH143" s="39" t="s">
        <v>357</v>
      </c>
      <c r="BI143" s="36">
        <v>27.0</v>
      </c>
      <c r="BJ143" s="36" t="str">
        <f t="shared" si="329"/>
        <v>S</v>
      </c>
      <c r="BK143" s="40">
        <v>20.0</v>
      </c>
      <c r="BL143" s="41" t="str">
        <f t="shared" si="330"/>
        <v>S</v>
      </c>
      <c r="BM143" s="41"/>
    </row>
    <row r="144">
      <c r="A144" s="18" t="s">
        <v>832</v>
      </c>
      <c r="B144" s="18" t="s">
        <v>444</v>
      </c>
      <c r="C144" s="18" t="s">
        <v>1397</v>
      </c>
      <c r="D144" s="18" t="s">
        <v>571</v>
      </c>
      <c r="E144" s="18" t="s">
        <v>572</v>
      </c>
      <c r="F144" s="18" t="s">
        <v>192</v>
      </c>
      <c r="G144" s="20" t="s">
        <v>1398</v>
      </c>
      <c r="H144" s="42" t="s">
        <v>479</v>
      </c>
      <c r="I144" s="84" t="s">
        <v>37</v>
      </c>
      <c r="J144" s="81" t="s">
        <v>205</v>
      </c>
      <c r="K144" s="81" t="s">
        <v>205</v>
      </c>
      <c r="L144" s="81" t="s">
        <v>208</v>
      </c>
      <c r="M144" s="26">
        <v>6.0</v>
      </c>
      <c r="N144" s="26" t="str">
        <f t="shared" si="309"/>
        <v>R</v>
      </c>
      <c r="O144" s="26">
        <v>17.0</v>
      </c>
      <c r="P144" s="26" t="str">
        <f t="shared" si="310"/>
        <v>R</v>
      </c>
      <c r="Q144" s="26">
        <v>6.0</v>
      </c>
      <c r="R144" s="26" t="str">
        <f t="shared" si="311"/>
        <v>R</v>
      </c>
      <c r="S144" s="32" t="s">
        <v>357</v>
      </c>
      <c r="T144" s="32" t="s">
        <v>357</v>
      </c>
      <c r="U144" s="26">
        <v>15.0</v>
      </c>
      <c r="V144" s="26" t="str">
        <f t="shared" si="312"/>
        <v>R</v>
      </c>
      <c r="W144" s="26">
        <v>19.0</v>
      </c>
      <c r="X144" s="26" t="str">
        <f t="shared" si="313"/>
        <v>R</v>
      </c>
      <c r="Y144" s="26">
        <v>26.0</v>
      </c>
      <c r="Z144" s="26" t="str">
        <f t="shared" si="314"/>
        <v>S</v>
      </c>
      <c r="AA144" s="32" t="s">
        <v>299</v>
      </c>
      <c r="AB144" s="33">
        <v>8.0</v>
      </c>
      <c r="AC144" s="33" t="str">
        <f t="shared" si="315"/>
        <v>R</v>
      </c>
      <c r="AD144" s="33">
        <v>25.0</v>
      </c>
      <c r="AE144" s="33" t="str">
        <f t="shared" si="316"/>
        <v>S</v>
      </c>
      <c r="AF144" s="33">
        <v>16.0</v>
      </c>
      <c r="AG144" s="33" t="str">
        <f t="shared" si="317"/>
        <v>R</v>
      </c>
      <c r="AH144" s="33">
        <v>28.0</v>
      </c>
      <c r="AI144" s="33" t="str">
        <f t="shared" si="318"/>
        <v>S</v>
      </c>
      <c r="AJ144" s="33">
        <v>20.0</v>
      </c>
      <c r="AK144" s="33" t="str">
        <f t="shared" si="319"/>
        <v>R</v>
      </c>
      <c r="AL144" s="33" t="s">
        <v>299</v>
      </c>
      <c r="AM144" s="36">
        <v>29.0</v>
      </c>
      <c r="AN144" s="36" t="str">
        <f t="shared" si="320"/>
        <v>S</v>
      </c>
      <c r="AO144" s="36">
        <v>10.0</v>
      </c>
      <c r="AP144" s="36" t="str">
        <f t="shared" si="321"/>
        <v>R</v>
      </c>
      <c r="AQ144" s="36">
        <v>6.0</v>
      </c>
      <c r="AR144" s="36" t="str">
        <f t="shared" si="322"/>
        <v>R</v>
      </c>
      <c r="AS144" s="36" t="s">
        <v>299</v>
      </c>
      <c r="AT144" s="37">
        <v>6.0</v>
      </c>
      <c r="AU144" s="37" t="str">
        <f t="shared" si="323"/>
        <v>R</v>
      </c>
      <c r="AV144" s="33">
        <v>21.0</v>
      </c>
      <c r="AW144" s="33" t="str">
        <f t="shared" si="324"/>
        <v>S</v>
      </c>
      <c r="AX144" s="33">
        <v>19.0</v>
      </c>
      <c r="AY144" s="33" t="str">
        <f t="shared" si="325"/>
        <v>S</v>
      </c>
      <c r="AZ144" s="33" t="s">
        <v>300</v>
      </c>
      <c r="BA144" s="26">
        <v>6.0</v>
      </c>
      <c r="BB144" s="26" t="str">
        <f t="shared" si="326"/>
        <v>R</v>
      </c>
      <c r="BC144" s="37">
        <v>18.0</v>
      </c>
      <c r="BD144" s="37" t="str">
        <f t="shared" si="327"/>
        <v>R</v>
      </c>
      <c r="BE144" s="36">
        <v>26.0</v>
      </c>
      <c r="BF144" s="36" t="str">
        <f t="shared" si="328"/>
        <v>S</v>
      </c>
      <c r="BG144" s="39" t="s">
        <v>357</v>
      </c>
      <c r="BH144" s="39" t="s">
        <v>357</v>
      </c>
      <c r="BI144" s="36">
        <v>28.0</v>
      </c>
      <c r="BJ144" s="36" t="str">
        <f t="shared" si="329"/>
        <v>S</v>
      </c>
      <c r="BK144" s="40">
        <v>6.0</v>
      </c>
      <c r="BL144" s="41" t="str">
        <f t="shared" si="330"/>
        <v>R</v>
      </c>
      <c r="BM144" s="41"/>
    </row>
    <row r="145">
      <c r="A145" s="18" t="s">
        <v>832</v>
      </c>
      <c r="B145" s="19">
        <v>113.0</v>
      </c>
      <c r="C145" s="18" t="s">
        <v>1399</v>
      </c>
      <c r="D145" s="18" t="s">
        <v>705</v>
      </c>
      <c r="E145" s="18" t="s">
        <v>572</v>
      </c>
      <c r="F145" s="18" t="s">
        <v>573</v>
      </c>
      <c r="G145" s="20" t="s">
        <v>357</v>
      </c>
      <c r="H145" s="47" t="s">
        <v>357</v>
      </c>
      <c r="I145" s="83" t="s">
        <v>357</v>
      </c>
      <c r="J145" s="82" t="s">
        <v>208</v>
      </c>
      <c r="K145" s="82" t="s">
        <v>208</v>
      </c>
      <c r="L145" s="82" t="s">
        <v>208</v>
      </c>
      <c r="M145" s="32" t="s">
        <v>357</v>
      </c>
      <c r="N145" s="32" t="s">
        <v>357</v>
      </c>
      <c r="O145" s="32" t="s">
        <v>357</v>
      </c>
      <c r="P145" s="32" t="s">
        <v>357</v>
      </c>
      <c r="Q145" s="32" t="s">
        <v>357</v>
      </c>
      <c r="R145" s="32" t="s">
        <v>357</v>
      </c>
      <c r="S145" s="32" t="s">
        <v>357</v>
      </c>
      <c r="T145" s="32" t="s">
        <v>357</v>
      </c>
      <c r="U145" s="32" t="s">
        <v>357</v>
      </c>
      <c r="V145" s="32" t="s">
        <v>357</v>
      </c>
      <c r="W145" s="32" t="s">
        <v>357</v>
      </c>
      <c r="X145" s="32" t="s">
        <v>357</v>
      </c>
      <c r="Y145" s="32" t="s">
        <v>357</v>
      </c>
      <c r="Z145" s="32" t="s">
        <v>357</v>
      </c>
      <c r="AA145" s="32" t="s">
        <v>357</v>
      </c>
      <c r="AB145" s="49" t="s">
        <v>357</v>
      </c>
      <c r="AC145" s="49" t="s">
        <v>357</v>
      </c>
      <c r="AD145" s="49" t="s">
        <v>357</v>
      </c>
      <c r="AE145" s="49" t="s">
        <v>357</v>
      </c>
      <c r="AF145" s="49" t="s">
        <v>357</v>
      </c>
      <c r="AG145" s="49" t="s">
        <v>357</v>
      </c>
      <c r="AH145" s="49" t="s">
        <v>357</v>
      </c>
      <c r="AI145" s="49" t="s">
        <v>357</v>
      </c>
      <c r="AJ145" s="49" t="s">
        <v>357</v>
      </c>
      <c r="AK145" s="49" t="s">
        <v>357</v>
      </c>
      <c r="AL145" s="49" t="s">
        <v>357</v>
      </c>
      <c r="AM145" s="39" t="s">
        <v>357</v>
      </c>
      <c r="AN145" s="39" t="s">
        <v>357</v>
      </c>
      <c r="AO145" s="39" t="s">
        <v>357</v>
      </c>
      <c r="AP145" s="39" t="s">
        <v>357</v>
      </c>
      <c r="AQ145" s="39" t="s">
        <v>357</v>
      </c>
      <c r="AR145" s="39" t="s">
        <v>357</v>
      </c>
      <c r="AS145" s="39" t="s">
        <v>357</v>
      </c>
      <c r="AT145" s="50" t="s">
        <v>357</v>
      </c>
      <c r="AU145" s="50" t="s">
        <v>357</v>
      </c>
      <c r="AV145" s="49" t="s">
        <v>357</v>
      </c>
      <c r="AW145" s="49" t="s">
        <v>357</v>
      </c>
      <c r="AX145" s="49" t="s">
        <v>357</v>
      </c>
      <c r="AY145" s="49" t="s">
        <v>357</v>
      </c>
      <c r="AZ145" s="49" t="s">
        <v>357</v>
      </c>
      <c r="BA145" s="32" t="s">
        <v>357</v>
      </c>
      <c r="BB145" s="32" t="s">
        <v>357</v>
      </c>
      <c r="BC145" s="50" t="s">
        <v>357</v>
      </c>
      <c r="BD145" s="50" t="s">
        <v>357</v>
      </c>
      <c r="BE145" s="39" t="s">
        <v>357</v>
      </c>
      <c r="BF145" s="39" t="s">
        <v>357</v>
      </c>
      <c r="BG145" s="39" t="s">
        <v>357</v>
      </c>
      <c r="BH145" s="39" t="s">
        <v>357</v>
      </c>
      <c r="BI145" s="39" t="s">
        <v>357</v>
      </c>
      <c r="BJ145" s="39" t="s">
        <v>357</v>
      </c>
      <c r="BK145" s="41" t="s">
        <v>357</v>
      </c>
      <c r="BL145" s="41" t="s">
        <v>357</v>
      </c>
      <c r="BM145" s="41"/>
    </row>
    <row r="146">
      <c r="A146" s="18" t="s">
        <v>819</v>
      </c>
      <c r="B146" s="19">
        <v>114.0</v>
      </c>
      <c r="C146" s="18" t="s">
        <v>1400</v>
      </c>
      <c r="D146" s="18" t="s">
        <v>190</v>
      </c>
      <c r="E146" s="18" t="s">
        <v>190</v>
      </c>
      <c r="F146" s="18" t="s">
        <v>192</v>
      </c>
      <c r="G146" s="20" t="s">
        <v>1401</v>
      </c>
      <c r="H146" s="22" t="s">
        <v>198</v>
      </c>
      <c r="I146" s="80" t="s">
        <v>481</v>
      </c>
      <c r="J146" s="81" t="s">
        <v>205</v>
      </c>
      <c r="K146" s="82" t="s">
        <v>208</v>
      </c>
      <c r="L146" s="82" t="s">
        <v>208</v>
      </c>
      <c r="M146" s="26">
        <v>6.0</v>
      </c>
      <c r="N146" s="26" t="str">
        <f t="shared" ref="N146:N147" si="331">IF((M146&gt;=19),"S",IF(AND(M146&lt;19),"R", "NA"))</f>
        <v>R</v>
      </c>
      <c r="O146" s="26">
        <v>23.0</v>
      </c>
      <c r="P146" s="26" t="str">
        <f t="shared" ref="P146:P147" si="332">IF((O146&gt;=19),"S",IF(AND(O146&lt;19),"R", "NA"))</f>
        <v>S</v>
      </c>
      <c r="Q146" s="26">
        <v>6.0</v>
      </c>
      <c r="R146" s="26" t="str">
        <f t="shared" ref="R146:R147" si="333">IF((Q146&gt;=23),"S",IF(AND(Q146&lt;23),"R","NA"))</f>
        <v>R</v>
      </c>
      <c r="S146" s="32" t="s">
        <v>357</v>
      </c>
      <c r="T146" s="32" t="s">
        <v>357</v>
      </c>
      <c r="U146" s="26">
        <v>6.0</v>
      </c>
      <c r="V146" s="26" t="str">
        <f t="shared" ref="V146:V147" si="334">IF((U146&gt;=20),"S",IF(AND(U146&lt;20),"R", "NA"))</f>
        <v>R</v>
      </c>
      <c r="W146" s="26">
        <v>27.0</v>
      </c>
      <c r="X146" s="26" t="str">
        <f t="shared" ref="X146:X147" si="335">IF((W146&gt;=20),"S",IF(AND(W146&lt;20),"R", "NA"))</f>
        <v>S</v>
      </c>
      <c r="Y146" s="26">
        <v>27.0</v>
      </c>
      <c r="Z146" s="26" t="str">
        <f t="shared" ref="Z146:Z147" si="336">IF((Y146&gt;=20),"S",IF(AND(Y146&lt;20,Y146&gt;=17),"I",IF(AND(Y146&lt;17),"R","NA")))</f>
        <v>S</v>
      </c>
      <c r="AA146" s="32" t="s">
        <v>299</v>
      </c>
      <c r="AB146" s="33">
        <v>11.0</v>
      </c>
      <c r="AC146" s="33" t="str">
        <f t="shared" ref="AC146:AC147" si="337">IF((AB146&gt;=20),"S",IF(AND(AB146&lt;20,AB146&gt;=17),"I",IF(AND(AB146&lt;17),"R","NA")))</f>
        <v>R</v>
      </c>
      <c r="AD146" s="33">
        <v>28.0</v>
      </c>
      <c r="AE146" s="33" t="str">
        <f t="shared" ref="AE146:AE147" si="338">IF((AD146&gt;=18),"S",IF(AND(AD146&lt;18),"R", "NA"))</f>
        <v>S</v>
      </c>
      <c r="AF146" s="33">
        <v>22.0</v>
      </c>
      <c r="AG146" s="33" t="str">
        <f t="shared" ref="AG146:AG147" si="339">IF((AF146&gt;=22),"S",IF(AND(AF146&lt;22,AF146&gt;=19),"I",IF(AND(AF146&lt;19),"R","NA")))</f>
        <v>S</v>
      </c>
      <c r="AH146" s="33">
        <v>24.0</v>
      </c>
      <c r="AI146" s="33" t="str">
        <f t="shared" ref="AI146:AI147" si="340">IF((AH146&gt;=13),"S",IF(AND(AH146&lt;13),"R", "NA"))</f>
        <v>S</v>
      </c>
      <c r="AJ146" s="33">
        <v>24.0</v>
      </c>
      <c r="AK146" s="33" t="str">
        <f t="shared" ref="AK146:AK147" si="341">IF((AJ146&gt;=27),"S",IF(AND(AJ146&lt;27,AJ146&gt;=24),"I",IF(AND(AJ146&lt;24),"R","NA")))</f>
        <v>I</v>
      </c>
      <c r="AL146" s="33" t="s">
        <v>299</v>
      </c>
      <c r="AM146" s="36">
        <v>6.0</v>
      </c>
      <c r="AN146" s="36" t="str">
        <f t="shared" ref="AN146:AN147" si="342">IF((AM146&gt;=25),"S",IF(AND(AM146&lt;25,AM146&gt;=22),"I",IF(AND(AM146&lt;22),"R","NA")))</f>
        <v>R</v>
      </c>
      <c r="AO146" s="36">
        <v>27.0</v>
      </c>
      <c r="AP146" s="36" t="str">
        <f t="shared" ref="AP146:AP147" si="343">IF((AO146&gt;=23),"S",IF(AND(AO146&lt;23,AO146&gt;=19),"I",IF(AND(AO146&lt;19),"R","NA")))</f>
        <v>S</v>
      </c>
      <c r="AQ146" s="36">
        <v>23.0</v>
      </c>
      <c r="AR146" s="36" t="str">
        <f t="shared" ref="AR146:AR147" si="344">IF((AQ146&gt;=14),"S",IF(AND(AQ146&lt;14),"R","NA"))</f>
        <v>S</v>
      </c>
      <c r="AS146" s="36" t="s">
        <v>299</v>
      </c>
      <c r="AT146" s="37">
        <v>6.0</v>
      </c>
      <c r="AU146" s="37" t="str">
        <f t="shared" ref="AU146:AU147" si="345">IF((AT146&gt;=14),"S",IF(AND(AT146&lt;14,AT146&gt;=11),"I",IF(AND(AT146&lt;11),"R","NA")))</f>
        <v>R</v>
      </c>
      <c r="AV146" s="33">
        <v>22.0</v>
      </c>
      <c r="AW146" s="33" t="str">
        <f t="shared" ref="AW146:AW147" si="346">IF((AV146&gt;=18),"S",IF(AND(AV146&lt;18),"R", "NA"))</f>
        <v>S</v>
      </c>
      <c r="AX146" s="33">
        <v>12.0</v>
      </c>
      <c r="AY146" s="33" t="str">
        <f t="shared" ref="AY146:AY147" si="347">IF((AX146&gt;=16),"S",IF(AND(AX146&lt;16),"R", "NA"))</f>
        <v>R</v>
      </c>
      <c r="AZ146" s="33" t="s">
        <v>299</v>
      </c>
      <c r="BA146" s="26">
        <v>6.0</v>
      </c>
      <c r="BB146" s="26" t="str">
        <f t="shared" ref="BB146:BB147" si="348">IF((BA146&gt;=20),"S",IF(AND(BA146&lt;20),"R", "NA"))</f>
        <v>R</v>
      </c>
      <c r="BC146" s="37">
        <v>24.0</v>
      </c>
      <c r="BD146" s="37" t="str">
        <f t="shared" ref="BD146:BD147" si="349">IF((BC146&gt;=26),"S",IF(AND(BC146&lt;26,BC146&gt;=21),"I",IF(AND(BC146&lt;21),"R","NA")))</f>
        <v>I</v>
      </c>
      <c r="BE146" s="36">
        <v>29.0</v>
      </c>
      <c r="BF146" s="36" t="str">
        <f t="shared" ref="BF146:BF147" si="350">IF((BE146&gt;=23),"S",IF(AND(BE146&lt;23),"R","NA"))</f>
        <v>S</v>
      </c>
      <c r="BG146" s="39" t="s">
        <v>357</v>
      </c>
      <c r="BH146" s="39" t="s">
        <v>357</v>
      </c>
      <c r="BI146" s="36">
        <v>32.0</v>
      </c>
      <c r="BJ146" s="36" t="str">
        <f t="shared" ref="BJ146:BJ147" si="351">IF((BI146&gt;=22),"S",IF(AND(BI146&lt;22,BI146&gt;=19),"I",IF(AND(BI146&lt;19),"R","NA")))</f>
        <v>S</v>
      </c>
      <c r="BK146" s="40">
        <v>20.0</v>
      </c>
      <c r="BL146" s="41" t="str">
        <f t="shared" ref="BL146:BL147" si="352">IF((BK146&gt;=17),"S",IF(AND(BK146&lt;17),"R", "NA"))</f>
        <v>S</v>
      </c>
      <c r="BM146" s="41"/>
    </row>
    <row r="147">
      <c r="A147" s="18" t="s">
        <v>819</v>
      </c>
      <c r="B147" s="18" t="s">
        <v>444</v>
      </c>
      <c r="C147" s="18" t="s">
        <v>1402</v>
      </c>
      <c r="D147" s="18" t="s">
        <v>190</v>
      </c>
      <c r="E147" s="18" t="s">
        <v>190</v>
      </c>
      <c r="F147" s="18" t="s">
        <v>192</v>
      </c>
      <c r="G147" s="20" t="s">
        <v>1403</v>
      </c>
      <c r="H147" s="42" t="s">
        <v>479</v>
      </c>
      <c r="I147" s="80" t="s">
        <v>481</v>
      </c>
      <c r="J147" s="81" t="s">
        <v>205</v>
      </c>
      <c r="K147" s="82" t="s">
        <v>208</v>
      </c>
      <c r="L147" s="81" t="s">
        <v>208</v>
      </c>
      <c r="M147" s="26">
        <v>6.0</v>
      </c>
      <c r="N147" s="26" t="str">
        <f t="shared" si="331"/>
        <v>R</v>
      </c>
      <c r="O147" s="26">
        <v>24.0</v>
      </c>
      <c r="P147" s="26" t="str">
        <f t="shared" si="332"/>
        <v>S</v>
      </c>
      <c r="Q147" s="26">
        <v>6.0</v>
      </c>
      <c r="R147" s="26" t="str">
        <f t="shared" si="333"/>
        <v>R</v>
      </c>
      <c r="S147" s="32" t="s">
        <v>357</v>
      </c>
      <c r="T147" s="32" t="s">
        <v>357</v>
      </c>
      <c r="U147" s="26">
        <v>13.0</v>
      </c>
      <c r="V147" s="26" t="str">
        <f t="shared" si="334"/>
        <v>R</v>
      </c>
      <c r="W147" s="26">
        <v>26.0</v>
      </c>
      <c r="X147" s="26" t="str">
        <f t="shared" si="335"/>
        <v>S</v>
      </c>
      <c r="Y147" s="26">
        <v>28.0</v>
      </c>
      <c r="Z147" s="26" t="str">
        <f t="shared" si="336"/>
        <v>S</v>
      </c>
      <c r="AA147" s="32" t="s">
        <v>299</v>
      </c>
      <c r="AB147" s="33">
        <v>12.0</v>
      </c>
      <c r="AC147" s="33" t="str">
        <f t="shared" si="337"/>
        <v>R</v>
      </c>
      <c r="AD147" s="33">
        <v>28.0</v>
      </c>
      <c r="AE147" s="33" t="str">
        <f t="shared" si="338"/>
        <v>S</v>
      </c>
      <c r="AF147" s="33">
        <v>23.0</v>
      </c>
      <c r="AG147" s="33" t="str">
        <f t="shared" si="339"/>
        <v>S</v>
      </c>
      <c r="AH147" s="33">
        <v>27.0</v>
      </c>
      <c r="AI147" s="33" t="str">
        <f t="shared" si="340"/>
        <v>S</v>
      </c>
      <c r="AJ147" s="33">
        <v>26.0</v>
      </c>
      <c r="AK147" s="33" t="str">
        <f t="shared" si="341"/>
        <v>I</v>
      </c>
      <c r="AL147" s="33" t="s">
        <v>299</v>
      </c>
      <c r="AM147" s="36">
        <v>25.0</v>
      </c>
      <c r="AN147" s="36" t="str">
        <f t="shared" si="342"/>
        <v>S</v>
      </c>
      <c r="AO147" s="36">
        <v>25.0</v>
      </c>
      <c r="AP147" s="36" t="str">
        <f t="shared" si="343"/>
        <v>S</v>
      </c>
      <c r="AQ147" s="36">
        <v>22.0</v>
      </c>
      <c r="AR147" s="36" t="str">
        <f t="shared" si="344"/>
        <v>S</v>
      </c>
      <c r="AS147" s="36" t="s">
        <v>300</v>
      </c>
      <c r="AT147" s="37">
        <v>24.0</v>
      </c>
      <c r="AU147" s="37" t="str">
        <f t="shared" si="345"/>
        <v>S</v>
      </c>
      <c r="AV147" s="33">
        <v>21.0</v>
      </c>
      <c r="AW147" s="33" t="str">
        <f t="shared" si="346"/>
        <v>S</v>
      </c>
      <c r="AX147" s="33">
        <v>18.0</v>
      </c>
      <c r="AY147" s="33" t="str">
        <f t="shared" si="347"/>
        <v>S</v>
      </c>
      <c r="AZ147" s="33" t="s">
        <v>300</v>
      </c>
      <c r="BA147" s="26">
        <v>9.0</v>
      </c>
      <c r="BB147" s="26" t="str">
        <f t="shared" si="348"/>
        <v>R</v>
      </c>
      <c r="BC147" s="37">
        <v>25.0</v>
      </c>
      <c r="BD147" s="37" t="str">
        <f t="shared" si="349"/>
        <v>I</v>
      </c>
      <c r="BE147" s="36">
        <v>29.0</v>
      </c>
      <c r="BF147" s="36" t="str">
        <f t="shared" si="350"/>
        <v>S</v>
      </c>
      <c r="BG147" s="39" t="s">
        <v>357</v>
      </c>
      <c r="BH147" s="39" t="s">
        <v>357</v>
      </c>
      <c r="BI147" s="36">
        <v>30.0</v>
      </c>
      <c r="BJ147" s="36" t="str">
        <f t="shared" si="351"/>
        <v>S</v>
      </c>
      <c r="BK147" s="40">
        <v>20.0</v>
      </c>
      <c r="BL147" s="41" t="str">
        <f t="shared" si="352"/>
        <v>S</v>
      </c>
      <c r="BM147" s="41"/>
    </row>
    <row r="148">
      <c r="A148" s="18" t="s">
        <v>819</v>
      </c>
      <c r="B148" s="19">
        <v>115.0</v>
      </c>
      <c r="C148" s="18" t="s">
        <v>1404</v>
      </c>
      <c r="D148" s="18" t="s">
        <v>571</v>
      </c>
      <c r="E148" s="18" t="s">
        <v>572</v>
      </c>
      <c r="F148" s="18" t="s">
        <v>573</v>
      </c>
      <c r="G148" s="20" t="s">
        <v>357</v>
      </c>
      <c r="H148" s="47" t="s">
        <v>357</v>
      </c>
      <c r="I148" s="83" t="s">
        <v>357</v>
      </c>
      <c r="J148" s="82" t="s">
        <v>208</v>
      </c>
      <c r="K148" s="82" t="s">
        <v>208</v>
      </c>
      <c r="L148" s="82" t="s">
        <v>208</v>
      </c>
      <c r="M148" s="32" t="s">
        <v>357</v>
      </c>
      <c r="N148" s="32" t="s">
        <v>357</v>
      </c>
      <c r="O148" s="32" t="s">
        <v>357</v>
      </c>
      <c r="P148" s="32" t="s">
        <v>357</v>
      </c>
      <c r="Q148" s="32" t="s">
        <v>357</v>
      </c>
      <c r="R148" s="32" t="s">
        <v>357</v>
      </c>
      <c r="S148" s="32" t="s">
        <v>357</v>
      </c>
      <c r="T148" s="32" t="s">
        <v>357</v>
      </c>
      <c r="U148" s="32" t="s">
        <v>357</v>
      </c>
      <c r="V148" s="32" t="s">
        <v>357</v>
      </c>
      <c r="W148" s="32" t="s">
        <v>357</v>
      </c>
      <c r="X148" s="32" t="s">
        <v>357</v>
      </c>
      <c r="Y148" s="32" t="s">
        <v>357</v>
      </c>
      <c r="Z148" s="32" t="s">
        <v>357</v>
      </c>
      <c r="AA148" s="32" t="s">
        <v>357</v>
      </c>
      <c r="AB148" s="49" t="s">
        <v>357</v>
      </c>
      <c r="AC148" s="49" t="s">
        <v>357</v>
      </c>
      <c r="AD148" s="49" t="s">
        <v>357</v>
      </c>
      <c r="AE148" s="49" t="s">
        <v>357</v>
      </c>
      <c r="AF148" s="49" t="s">
        <v>357</v>
      </c>
      <c r="AG148" s="49" t="s">
        <v>357</v>
      </c>
      <c r="AH148" s="49" t="s">
        <v>357</v>
      </c>
      <c r="AI148" s="49" t="s">
        <v>357</v>
      </c>
      <c r="AJ148" s="49" t="s">
        <v>357</v>
      </c>
      <c r="AK148" s="49" t="s">
        <v>357</v>
      </c>
      <c r="AL148" s="49" t="s">
        <v>357</v>
      </c>
      <c r="AM148" s="39" t="s">
        <v>357</v>
      </c>
      <c r="AN148" s="39" t="s">
        <v>357</v>
      </c>
      <c r="AO148" s="39" t="s">
        <v>357</v>
      </c>
      <c r="AP148" s="39" t="s">
        <v>357</v>
      </c>
      <c r="AQ148" s="39" t="s">
        <v>357</v>
      </c>
      <c r="AR148" s="39" t="s">
        <v>357</v>
      </c>
      <c r="AS148" s="39" t="s">
        <v>357</v>
      </c>
      <c r="AT148" s="50" t="s">
        <v>357</v>
      </c>
      <c r="AU148" s="50" t="s">
        <v>357</v>
      </c>
      <c r="AV148" s="49" t="s">
        <v>357</v>
      </c>
      <c r="AW148" s="49" t="s">
        <v>357</v>
      </c>
      <c r="AX148" s="49" t="s">
        <v>357</v>
      </c>
      <c r="AY148" s="49" t="s">
        <v>357</v>
      </c>
      <c r="AZ148" s="49" t="s">
        <v>357</v>
      </c>
      <c r="BA148" s="32" t="s">
        <v>357</v>
      </c>
      <c r="BB148" s="32" t="s">
        <v>357</v>
      </c>
      <c r="BC148" s="50" t="s">
        <v>357</v>
      </c>
      <c r="BD148" s="50" t="s">
        <v>357</v>
      </c>
      <c r="BE148" s="39" t="s">
        <v>357</v>
      </c>
      <c r="BF148" s="39" t="s">
        <v>357</v>
      </c>
      <c r="BG148" s="39" t="s">
        <v>357</v>
      </c>
      <c r="BH148" s="39" t="s">
        <v>357</v>
      </c>
      <c r="BI148" s="39" t="s">
        <v>357</v>
      </c>
      <c r="BJ148" s="39" t="s">
        <v>357</v>
      </c>
      <c r="BK148" s="41" t="s">
        <v>357</v>
      </c>
      <c r="BL148" s="41" t="s">
        <v>357</v>
      </c>
      <c r="BM148" s="41"/>
    </row>
    <row r="149">
      <c r="A149" s="18" t="s">
        <v>819</v>
      </c>
      <c r="B149" s="19">
        <v>116.0</v>
      </c>
      <c r="C149" s="18" t="s">
        <v>1405</v>
      </c>
      <c r="D149" s="18" t="s">
        <v>827</v>
      </c>
      <c r="E149" s="18" t="s">
        <v>572</v>
      </c>
      <c r="F149" s="18" t="s">
        <v>192</v>
      </c>
      <c r="G149" s="20" t="s">
        <v>1406</v>
      </c>
      <c r="H149" s="22" t="s">
        <v>198</v>
      </c>
      <c r="I149" s="80" t="s">
        <v>481</v>
      </c>
      <c r="J149" s="81" t="s">
        <v>205</v>
      </c>
      <c r="K149" s="82" t="s">
        <v>208</v>
      </c>
      <c r="L149" s="82" t="s">
        <v>208</v>
      </c>
      <c r="M149" s="26">
        <v>6.0</v>
      </c>
      <c r="N149" s="26" t="str">
        <f t="shared" ref="N149:N158" si="353">IF((M149&gt;=19),"S",IF(AND(M149&lt;19),"R", "NA"))</f>
        <v>R</v>
      </c>
      <c r="O149" s="26">
        <v>22.0</v>
      </c>
      <c r="P149" s="26" t="str">
        <f t="shared" ref="P149:P158" si="354">IF((O149&gt;=19),"S",IF(AND(O149&lt;19),"R", "NA"))</f>
        <v>S</v>
      </c>
      <c r="Q149" s="26">
        <v>6.0</v>
      </c>
      <c r="R149" s="26" t="str">
        <f t="shared" ref="R149:R158" si="355">IF((Q149&gt;=23),"S",IF(AND(Q149&lt;23),"R","NA"))</f>
        <v>R</v>
      </c>
      <c r="S149" s="32" t="s">
        <v>357</v>
      </c>
      <c r="T149" s="32" t="s">
        <v>357</v>
      </c>
      <c r="U149" s="26">
        <v>12.0</v>
      </c>
      <c r="V149" s="26" t="str">
        <f t="shared" ref="V149:V158" si="356">IF((U149&gt;=20),"S",IF(AND(U149&lt;20),"R", "NA"))</f>
        <v>R</v>
      </c>
      <c r="W149" s="26">
        <v>26.0</v>
      </c>
      <c r="X149" s="26" t="str">
        <f t="shared" ref="X149:X158" si="357">IF((W149&gt;=20),"S",IF(AND(W149&lt;20),"R", "NA"))</f>
        <v>S</v>
      </c>
      <c r="Y149" s="26">
        <v>24.0</v>
      </c>
      <c r="Z149" s="26" t="str">
        <f t="shared" ref="Z149:Z158" si="358">IF((Y149&gt;=20),"S",IF(AND(Y149&lt;20,Y149&gt;=17),"I",IF(AND(Y149&lt;17),"R","NA")))</f>
        <v>S</v>
      </c>
      <c r="AA149" s="32" t="s">
        <v>299</v>
      </c>
      <c r="AB149" s="33">
        <v>6.0</v>
      </c>
      <c r="AC149" s="33" t="str">
        <f t="shared" ref="AC149:AC158" si="359">IF((AB149&gt;=20),"S",IF(AND(AB149&lt;20,AB149&gt;=17),"I",IF(AND(AB149&lt;17),"R","NA")))</f>
        <v>R</v>
      </c>
      <c r="AD149" s="33">
        <v>28.0</v>
      </c>
      <c r="AE149" s="33" t="str">
        <f t="shared" ref="AE149:AE158" si="360">IF((AD149&gt;=18),"S",IF(AND(AD149&lt;18),"R", "NA"))</f>
        <v>S</v>
      </c>
      <c r="AF149" s="33">
        <v>18.0</v>
      </c>
      <c r="AG149" s="33" t="str">
        <f t="shared" ref="AG149:AG158" si="361">IF((AF149&gt;=22),"S",IF(AND(AF149&lt;22,AF149&gt;=19),"I",IF(AND(AF149&lt;19),"R","NA")))</f>
        <v>R</v>
      </c>
      <c r="AH149" s="33">
        <v>28.0</v>
      </c>
      <c r="AI149" s="33" t="str">
        <f t="shared" ref="AI149:AI158" si="362">IF((AH149&gt;=13),"S",IF(AND(AH149&lt;13),"R", "NA"))</f>
        <v>S</v>
      </c>
      <c r="AJ149" s="33">
        <v>24.0</v>
      </c>
      <c r="AK149" s="33" t="str">
        <f t="shared" ref="AK149:AK158" si="363">IF((AJ149&gt;=27),"S",IF(AND(AJ149&lt;27,AJ149&gt;=24),"I",IF(AND(AJ149&lt;24),"R","NA")))</f>
        <v>I</v>
      </c>
      <c r="AL149" s="33" t="s">
        <v>299</v>
      </c>
      <c r="AM149" s="36">
        <v>30.0</v>
      </c>
      <c r="AN149" s="36" t="str">
        <f t="shared" ref="AN149:AN158" si="364">IF((AM149&gt;=25),"S",IF(AND(AM149&lt;25,AM149&gt;=22),"I",IF(AND(AM149&lt;22),"R","NA")))</f>
        <v>S</v>
      </c>
      <c r="AO149" s="36">
        <v>29.0</v>
      </c>
      <c r="AP149" s="36" t="str">
        <f t="shared" ref="AP149:AP158" si="365">IF((AO149&gt;=23),"S",IF(AND(AO149&lt;23,AO149&gt;=19),"I",IF(AND(AO149&lt;19),"R","NA")))</f>
        <v>S</v>
      </c>
      <c r="AQ149" s="36">
        <v>23.0</v>
      </c>
      <c r="AR149" s="36" t="str">
        <f t="shared" ref="AR149:AR158" si="366">IF((AQ149&gt;=14),"S",IF(AND(AQ149&lt;14),"R","NA"))</f>
        <v>S</v>
      </c>
      <c r="AS149" s="36" t="s">
        <v>300</v>
      </c>
      <c r="AT149" s="37">
        <v>30.0</v>
      </c>
      <c r="AU149" s="37" t="str">
        <f t="shared" ref="AU149:AU158" si="367">IF((AT149&gt;=14),"S",IF(AND(AT149&lt;14,AT149&gt;=11),"I",IF(AND(AT149&lt;11),"R","NA")))</f>
        <v>S</v>
      </c>
      <c r="AV149" s="33">
        <v>25.0</v>
      </c>
      <c r="AW149" s="33" t="str">
        <f t="shared" ref="AW149:AW158" si="368">IF((AV149&gt;=18),"S",IF(AND(AV149&lt;18),"R", "NA"))</f>
        <v>S</v>
      </c>
      <c r="AX149" s="33">
        <v>18.0</v>
      </c>
      <c r="AY149" s="33" t="str">
        <f t="shared" ref="AY149:AY158" si="369">IF((AX149&gt;=16),"S",IF(AND(AX149&lt;16),"R", "NA"))</f>
        <v>S</v>
      </c>
      <c r="AZ149" s="33" t="s">
        <v>300</v>
      </c>
      <c r="BA149" s="26">
        <v>25.0</v>
      </c>
      <c r="BB149" s="26" t="str">
        <f t="shared" ref="BB149:BB158" si="370">IF((BA149&gt;=20),"S",IF(AND(BA149&lt;20),"R", "NA"))</f>
        <v>S</v>
      </c>
      <c r="BC149" s="37">
        <v>19.0</v>
      </c>
      <c r="BD149" s="37" t="str">
        <f t="shared" ref="BD149:BD158" si="371">IF((BC149&gt;=26),"S",IF(AND(BC149&lt;26,BC149&gt;=21),"I",IF(AND(BC149&lt;21),"R","NA")))</f>
        <v>R</v>
      </c>
      <c r="BE149" s="36">
        <v>29.0</v>
      </c>
      <c r="BF149" s="36" t="str">
        <f t="shared" ref="BF149:BF158" si="372">IF((BE149&gt;=23),"S",IF(AND(BE149&lt;23),"R","NA"))</f>
        <v>S</v>
      </c>
      <c r="BG149" s="39" t="s">
        <v>357</v>
      </c>
      <c r="BH149" s="39" t="s">
        <v>357</v>
      </c>
      <c r="BI149" s="36">
        <v>31.0</v>
      </c>
      <c r="BJ149" s="36" t="str">
        <f t="shared" ref="BJ149:BJ158" si="373">IF((BI149&gt;=22),"S",IF(AND(BI149&lt;22,BI149&gt;=19),"I",IF(AND(BI149&lt;19),"R","NA")))</f>
        <v>S</v>
      </c>
      <c r="BK149" s="40">
        <v>20.0</v>
      </c>
      <c r="BL149" s="41" t="str">
        <f t="shared" ref="BL149:BL158" si="374">IF((BK149&gt;=17),"S",IF(AND(BK149&lt;17),"R", "NA"))</f>
        <v>S</v>
      </c>
      <c r="BM149" s="41"/>
    </row>
    <row r="150">
      <c r="A150" s="18" t="s">
        <v>819</v>
      </c>
      <c r="B150" s="18" t="s">
        <v>444</v>
      </c>
      <c r="C150" s="18" t="s">
        <v>1407</v>
      </c>
      <c r="D150" s="18" t="s">
        <v>827</v>
      </c>
      <c r="E150" s="18" t="s">
        <v>572</v>
      </c>
      <c r="F150" s="18" t="s">
        <v>192</v>
      </c>
      <c r="G150" s="20" t="s">
        <v>1408</v>
      </c>
      <c r="H150" s="42" t="s">
        <v>479</v>
      </c>
      <c r="I150" s="84" t="s">
        <v>37</v>
      </c>
      <c r="J150" s="81" t="s">
        <v>205</v>
      </c>
      <c r="K150" s="81" t="s">
        <v>205</v>
      </c>
      <c r="L150" s="81" t="s">
        <v>208</v>
      </c>
      <c r="M150" s="26">
        <v>6.0</v>
      </c>
      <c r="N150" s="26" t="str">
        <f t="shared" si="353"/>
        <v>R</v>
      </c>
      <c r="O150" s="26">
        <v>22.0</v>
      </c>
      <c r="P150" s="26" t="str">
        <f t="shared" si="354"/>
        <v>S</v>
      </c>
      <c r="Q150" s="26">
        <v>6.0</v>
      </c>
      <c r="R150" s="26" t="str">
        <f t="shared" si="355"/>
        <v>R</v>
      </c>
      <c r="S150" s="32" t="s">
        <v>357</v>
      </c>
      <c r="T150" s="32" t="s">
        <v>357</v>
      </c>
      <c r="U150" s="26">
        <v>11.0</v>
      </c>
      <c r="V150" s="26" t="str">
        <f t="shared" si="356"/>
        <v>R</v>
      </c>
      <c r="W150" s="26">
        <v>23.0</v>
      </c>
      <c r="X150" s="26" t="str">
        <f t="shared" si="357"/>
        <v>S</v>
      </c>
      <c r="Y150" s="26">
        <v>26.0</v>
      </c>
      <c r="Z150" s="26" t="str">
        <f t="shared" si="358"/>
        <v>S</v>
      </c>
      <c r="AA150" s="32" t="s">
        <v>299</v>
      </c>
      <c r="AB150" s="33">
        <v>6.0</v>
      </c>
      <c r="AC150" s="33" t="str">
        <f t="shared" si="359"/>
        <v>R</v>
      </c>
      <c r="AD150" s="33">
        <v>25.0</v>
      </c>
      <c r="AE150" s="33" t="str">
        <f t="shared" si="360"/>
        <v>S</v>
      </c>
      <c r="AF150" s="33">
        <v>18.0</v>
      </c>
      <c r="AG150" s="33" t="str">
        <f t="shared" si="361"/>
        <v>R</v>
      </c>
      <c r="AH150" s="33">
        <v>25.0</v>
      </c>
      <c r="AI150" s="33" t="str">
        <f t="shared" si="362"/>
        <v>S</v>
      </c>
      <c r="AJ150" s="33">
        <v>22.0</v>
      </c>
      <c r="AK150" s="33" t="str">
        <f t="shared" si="363"/>
        <v>R</v>
      </c>
      <c r="AL150" s="33" t="s">
        <v>299</v>
      </c>
      <c r="AM150" s="36">
        <v>23.0</v>
      </c>
      <c r="AN150" s="36" t="str">
        <f t="shared" si="364"/>
        <v>I</v>
      </c>
      <c r="AO150" s="36">
        <v>23.0</v>
      </c>
      <c r="AP150" s="36" t="str">
        <f t="shared" si="365"/>
        <v>S</v>
      </c>
      <c r="AQ150" s="36">
        <v>22.0</v>
      </c>
      <c r="AR150" s="36" t="str">
        <f t="shared" si="366"/>
        <v>S</v>
      </c>
      <c r="AS150" s="36" t="s">
        <v>300</v>
      </c>
      <c r="AT150" s="37">
        <v>24.0</v>
      </c>
      <c r="AU150" s="37" t="str">
        <f t="shared" si="367"/>
        <v>S</v>
      </c>
      <c r="AV150" s="33">
        <v>20.0</v>
      </c>
      <c r="AW150" s="33" t="str">
        <f t="shared" si="368"/>
        <v>S</v>
      </c>
      <c r="AX150" s="33">
        <v>18.0</v>
      </c>
      <c r="AY150" s="33" t="str">
        <f t="shared" si="369"/>
        <v>S</v>
      </c>
      <c r="AZ150" s="33" t="s">
        <v>300</v>
      </c>
      <c r="BA150" s="26">
        <v>23.0</v>
      </c>
      <c r="BB150" s="26" t="str">
        <f t="shared" si="370"/>
        <v>S</v>
      </c>
      <c r="BC150" s="37">
        <v>19.0</v>
      </c>
      <c r="BD150" s="37" t="str">
        <f t="shared" si="371"/>
        <v>R</v>
      </c>
      <c r="BE150" s="36">
        <v>26.0</v>
      </c>
      <c r="BF150" s="36" t="str">
        <f t="shared" si="372"/>
        <v>S</v>
      </c>
      <c r="BG150" s="39" t="s">
        <v>357</v>
      </c>
      <c r="BH150" s="39" t="s">
        <v>357</v>
      </c>
      <c r="BI150" s="36">
        <v>29.0</v>
      </c>
      <c r="BJ150" s="36" t="str">
        <f t="shared" si="373"/>
        <v>S</v>
      </c>
      <c r="BK150" s="40">
        <v>20.0</v>
      </c>
      <c r="BL150" s="41" t="str">
        <f t="shared" si="374"/>
        <v>S</v>
      </c>
      <c r="BM150" s="41"/>
    </row>
    <row r="151">
      <c r="A151" s="18" t="s">
        <v>819</v>
      </c>
      <c r="B151" s="18" t="s">
        <v>444</v>
      </c>
      <c r="C151" s="18" t="s">
        <v>1409</v>
      </c>
      <c r="D151" s="18" t="s">
        <v>827</v>
      </c>
      <c r="E151" s="18" t="s">
        <v>572</v>
      </c>
      <c r="F151" s="18" t="s">
        <v>192</v>
      </c>
      <c r="G151" s="20" t="s">
        <v>1410</v>
      </c>
      <c r="H151" s="22" t="s">
        <v>198</v>
      </c>
      <c r="I151" s="80" t="s">
        <v>816</v>
      </c>
      <c r="J151" s="81" t="s">
        <v>205</v>
      </c>
      <c r="K151" s="81" t="s">
        <v>205</v>
      </c>
      <c r="L151" s="82" t="s">
        <v>205</v>
      </c>
      <c r="M151" s="26">
        <v>6.0</v>
      </c>
      <c r="N151" s="26" t="str">
        <f t="shared" si="353"/>
        <v>R</v>
      </c>
      <c r="O151" s="26">
        <v>6.0</v>
      </c>
      <c r="P151" s="26" t="str">
        <f t="shared" si="354"/>
        <v>R</v>
      </c>
      <c r="Q151" s="26">
        <v>6.0</v>
      </c>
      <c r="R151" s="26" t="str">
        <f t="shared" si="355"/>
        <v>R</v>
      </c>
      <c r="S151" s="32" t="s">
        <v>357</v>
      </c>
      <c r="T151" s="32" t="s">
        <v>357</v>
      </c>
      <c r="U151" s="26">
        <v>6.0</v>
      </c>
      <c r="V151" s="26" t="str">
        <f t="shared" si="356"/>
        <v>R</v>
      </c>
      <c r="W151" s="26">
        <v>6.0</v>
      </c>
      <c r="X151" s="26" t="str">
        <f t="shared" si="357"/>
        <v>R</v>
      </c>
      <c r="Y151" s="26">
        <v>8.0</v>
      </c>
      <c r="Z151" s="26" t="str">
        <f t="shared" si="358"/>
        <v>R</v>
      </c>
      <c r="AA151" s="32" t="s">
        <v>299</v>
      </c>
      <c r="AB151" s="33">
        <v>6.0</v>
      </c>
      <c r="AC151" s="33" t="str">
        <f t="shared" si="359"/>
        <v>R</v>
      </c>
      <c r="AD151" s="33">
        <v>6.0</v>
      </c>
      <c r="AE151" s="33" t="str">
        <f t="shared" si="360"/>
        <v>R</v>
      </c>
      <c r="AF151" s="33">
        <v>6.0</v>
      </c>
      <c r="AG151" s="33" t="str">
        <f t="shared" si="361"/>
        <v>R</v>
      </c>
      <c r="AH151" s="33">
        <v>10.0</v>
      </c>
      <c r="AI151" s="33" t="str">
        <f t="shared" si="362"/>
        <v>R</v>
      </c>
      <c r="AJ151" s="33">
        <v>6.0</v>
      </c>
      <c r="AK151" s="33" t="str">
        <f t="shared" si="363"/>
        <v>R</v>
      </c>
      <c r="AL151" s="33" t="s">
        <v>299</v>
      </c>
      <c r="AM151" s="36">
        <v>6.0</v>
      </c>
      <c r="AN151" s="36" t="str">
        <f t="shared" si="364"/>
        <v>R</v>
      </c>
      <c r="AO151" s="36">
        <v>8.0</v>
      </c>
      <c r="AP151" s="36" t="str">
        <f t="shared" si="365"/>
        <v>R</v>
      </c>
      <c r="AQ151" s="36">
        <v>6.0</v>
      </c>
      <c r="AR151" s="36" t="str">
        <f t="shared" si="366"/>
        <v>R</v>
      </c>
      <c r="AS151" s="36" t="s">
        <v>299</v>
      </c>
      <c r="AT151" s="37">
        <v>6.0</v>
      </c>
      <c r="AU151" s="37" t="str">
        <f t="shared" si="367"/>
        <v>R</v>
      </c>
      <c r="AV151" s="33">
        <v>22.0</v>
      </c>
      <c r="AW151" s="33" t="str">
        <f t="shared" si="368"/>
        <v>S</v>
      </c>
      <c r="AX151" s="33">
        <v>19.0</v>
      </c>
      <c r="AY151" s="33" t="str">
        <f t="shared" si="369"/>
        <v>S</v>
      </c>
      <c r="AZ151" s="33" t="s">
        <v>300</v>
      </c>
      <c r="BA151" s="26">
        <v>6.0</v>
      </c>
      <c r="BB151" s="26" t="str">
        <f t="shared" si="370"/>
        <v>R</v>
      </c>
      <c r="BC151" s="37">
        <v>6.0</v>
      </c>
      <c r="BD151" s="37" t="str">
        <f t="shared" si="371"/>
        <v>R</v>
      </c>
      <c r="BE151" s="36">
        <v>6.0</v>
      </c>
      <c r="BF151" s="36" t="str">
        <f t="shared" si="372"/>
        <v>R</v>
      </c>
      <c r="BG151" s="36">
        <v>4.0</v>
      </c>
      <c r="BH151" s="36" t="str">
        <f>IF((BG151&lt;=0.5),"S",IF(AND(BG151&gt;0.5),"R", "NA"))</f>
        <v>R</v>
      </c>
      <c r="BI151" s="36">
        <v>17.0</v>
      </c>
      <c r="BJ151" s="36" t="str">
        <f t="shared" si="373"/>
        <v>R</v>
      </c>
      <c r="BK151" s="40">
        <v>21.0</v>
      </c>
      <c r="BL151" s="41" t="str">
        <f t="shared" si="374"/>
        <v>S</v>
      </c>
      <c r="BM151" s="41"/>
    </row>
    <row r="152">
      <c r="A152" s="18" t="s">
        <v>819</v>
      </c>
      <c r="B152" s="18" t="s">
        <v>444</v>
      </c>
      <c r="C152" s="18" t="s">
        <v>1411</v>
      </c>
      <c r="D152" s="18" t="s">
        <v>827</v>
      </c>
      <c r="E152" s="18" t="s">
        <v>572</v>
      </c>
      <c r="F152" s="18" t="s">
        <v>192</v>
      </c>
      <c r="G152" s="20" t="s">
        <v>1412</v>
      </c>
      <c r="H152" s="59" t="s">
        <v>785</v>
      </c>
      <c r="I152" s="80" t="s">
        <v>481</v>
      </c>
      <c r="J152" s="81" t="s">
        <v>205</v>
      </c>
      <c r="K152" s="82" t="s">
        <v>208</v>
      </c>
      <c r="L152" s="82" t="s">
        <v>208</v>
      </c>
      <c r="M152" s="26">
        <v>6.0</v>
      </c>
      <c r="N152" s="26" t="str">
        <f t="shared" si="353"/>
        <v>R</v>
      </c>
      <c r="O152" s="26">
        <v>6.0</v>
      </c>
      <c r="P152" s="26" t="str">
        <f t="shared" si="354"/>
        <v>R</v>
      </c>
      <c r="Q152" s="26">
        <v>6.0</v>
      </c>
      <c r="R152" s="26" t="str">
        <f t="shared" si="355"/>
        <v>R</v>
      </c>
      <c r="S152" s="32" t="s">
        <v>357</v>
      </c>
      <c r="T152" s="32" t="s">
        <v>357</v>
      </c>
      <c r="U152" s="26">
        <v>15.0</v>
      </c>
      <c r="V152" s="26" t="str">
        <f t="shared" si="356"/>
        <v>R</v>
      </c>
      <c r="W152" s="26">
        <v>22.0</v>
      </c>
      <c r="X152" s="26" t="str">
        <f t="shared" si="357"/>
        <v>S</v>
      </c>
      <c r="Y152" s="26">
        <v>26.0</v>
      </c>
      <c r="Z152" s="26" t="str">
        <f t="shared" si="358"/>
        <v>S</v>
      </c>
      <c r="AA152" s="32" t="s">
        <v>299</v>
      </c>
      <c r="AB152" s="33">
        <v>25.0</v>
      </c>
      <c r="AC152" s="33" t="str">
        <f t="shared" si="359"/>
        <v>S</v>
      </c>
      <c r="AD152" s="33">
        <v>6.0</v>
      </c>
      <c r="AE152" s="33" t="str">
        <f t="shared" si="360"/>
        <v>R</v>
      </c>
      <c r="AF152" s="33">
        <v>27.0</v>
      </c>
      <c r="AG152" s="33" t="str">
        <f t="shared" si="361"/>
        <v>S</v>
      </c>
      <c r="AH152" s="33">
        <v>26.0</v>
      </c>
      <c r="AI152" s="33" t="str">
        <f t="shared" si="362"/>
        <v>S</v>
      </c>
      <c r="AJ152" s="33">
        <v>33.0</v>
      </c>
      <c r="AK152" s="33" t="str">
        <f t="shared" si="363"/>
        <v>S</v>
      </c>
      <c r="AL152" s="33" t="s">
        <v>299</v>
      </c>
      <c r="AM152" s="36">
        <v>22.0</v>
      </c>
      <c r="AN152" s="36" t="str">
        <f t="shared" si="364"/>
        <v>I</v>
      </c>
      <c r="AO152" s="36">
        <v>22.0</v>
      </c>
      <c r="AP152" s="36" t="str">
        <f t="shared" si="365"/>
        <v>I</v>
      </c>
      <c r="AQ152" s="36">
        <v>18.0</v>
      </c>
      <c r="AR152" s="36" t="str">
        <f t="shared" si="366"/>
        <v>S</v>
      </c>
      <c r="AS152" s="36" t="s">
        <v>300</v>
      </c>
      <c r="AT152" s="37">
        <v>6.0</v>
      </c>
      <c r="AU152" s="37" t="str">
        <f t="shared" si="367"/>
        <v>R</v>
      </c>
      <c r="AV152" s="33">
        <v>21.0</v>
      </c>
      <c r="AW152" s="33" t="str">
        <f t="shared" si="368"/>
        <v>S</v>
      </c>
      <c r="AX152" s="33">
        <v>18.0</v>
      </c>
      <c r="AY152" s="33" t="str">
        <f t="shared" si="369"/>
        <v>S</v>
      </c>
      <c r="AZ152" s="33" t="s">
        <v>300</v>
      </c>
      <c r="BA152" s="26">
        <v>6.0</v>
      </c>
      <c r="BB152" s="26" t="str">
        <f t="shared" si="370"/>
        <v>R</v>
      </c>
      <c r="BC152" s="37">
        <v>32.0</v>
      </c>
      <c r="BD152" s="37" t="str">
        <f t="shared" si="371"/>
        <v>S</v>
      </c>
      <c r="BE152" s="36">
        <v>26.0</v>
      </c>
      <c r="BF152" s="36" t="str">
        <f t="shared" si="372"/>
        <v>S</v>
      </c>
      <c r="BG152" s="39" t="s">
        <v>357</v>
      </c>
      <c r="BH152" s="39" t="s">
        <v>357</v>
      </c>
      <c r="BI152" s="36">
        <v>27.0</v>
      </c>
      <c r="BJ152" s="36" t="str">
        <f t="shared" si="373"/>
        <v>S</v>
      </c>
      <c r="BK152" s="40">
        <v>19.0</v>
      </c>
      <c r="BL152" s="41" t="str">
        <f t="shared" si="374"/>
        <v>S</v>
      </c>
      <c r="BM152" s="41"/>
    </row>
    <row r="153">
      <c r="A153" s="18" t="s">
        <v>819</v>
      </c>
      <c r="B153" s="19">
        <v>117.0</v>
      </c>
      <c r="C153" s="18" t="s">
        <v>1413</v>
      </c>
      <c r="D153" s="18" t="s">
        <v>705</v>
      </c>
      <c r="E153" s="18" t="s">
        <v>572</v>
      </c>
      <c r="F153" s="18" t="s">
        <v>192</v>
      </c>
      <c r="G153" s="20" t="s">
        <v>1414</v>
      </c>
      <c r="H153" s="47" t="s">
        <v>1415</v>
      </c>
      <c r="I153" s="80" t="s">
        <v>481</v>
      </c>
      <c r="J153" s="81" t="s">
        <v>205</v>
      </c>
      <c r="K153" s="82" t="s">
        <v>208</v>
      </c>
      <c r="L153" s="82" t="s">
        <v>208</v>
      </c>
      <c r="M153" s="26">
        <v>6.0</v>
      </c>
      <c r="N153" s="26" t="str">
        <f t="shared" si="353"/>
        <v>R</v>
      </c>
      <c r="O153" s="26">
        <v>23.0</v>
      </c>
      <c r="P153" s="26" t="str">
        <f t="shared" si="354"/>
        <v>S</v>
      </c>
      <c r="Q153" s="26">
        <v>6.0</v>
      </c>
      <c r="R153" s="26" t="str">
        <f t="shared" si="355"/>
        <v>R</v>
      </c>
      <c r="S153" s="32" t="s">
        <v>357</v>
      </c>
      <c r="T153" s="32" t="s">
        <v>357</v>
      </c>
      <c r="U153" s="26">
        <v>15.0</v>
      </c>
      <c r="V153" s="26" t="str">
        <f t="shared" si="356"/>
        <v>R</v>
      </c>
      <c r="W153" s="26">
        <v>27.0</v>
      </c>
      <c r="X153" s="26" t="str">
        <f t="shared" si="357"/>
        <v>S</v>
      </c>
      <c r="Y153" s="26">
        <v>30.0</v>
      </c>
      <c r="Z153" s="26" t="str">
        <f t="shared" si="358"/>
        <v>S</v>
      </c>
      <c r="AA153" s="32" t="s">
        <v>299</v>
      </c>
      <c r="AB153" s="33">
        <v>11.0</v>
      </c>
      <c r="AC153" s="33" t="str">
        <f t="shared" si="359"/>
        <v>R</v>
      </c>
      <c r="AD153" s="33">
        <v>35.0</v>
      </c>
      <c r="AE153" s="33" t="str">
        <f t="shared" si="360"/>
        <v>S</v>
      </c>
      <c r="AF153" s="33">
        <v>22.0</v>
      </c>
      <c r="AG153" s="33" t="str">
        <f t="shared" si="361"/>
        <v>S</v>
      </c>
      <c r="AH153" s="33">
        <v>30.0</v>
      </c>
      <c r="AI153" s="33" t="str">
        <f t="shared" si="362"/>
        <v>S</v>
      </c>
      <c r="AJ153" s="33">
        <v>28.0</v>
      </c>
      <c r="AK153" s="33" t="str">
        <f t="shared" si="363"/>
        <v>S</v>
      </c>
      <c r="AL153" s="33" t="s">
        <v>299</v>
      </c>
      <c r="AM153" s="36">
        <v>16.0</v>
      </c>
      <c r="AN153" s="36" t="str">
        <f t="shared" si="364"/>
        <v>R</v>
      </c>
      <c r="AO153" s="36">
        <v>12.0</v>
      </c>
      <c r="AP153" s="36" t="str">
        <f t="shared" si="365"/>
        <v>R</v>
      </c>
      <c r="AQ153" s="36">
        <v>6.0</v>
      </c>
      <c r="AR153" s="36" t="str">
        <f t="shared" si="366"/>
        <v>R</v>
      </c>
      <c r="AS153" s="36" t="s">
        <v>299</v>
      </c>
      <c r="AT153" s="37">
        <v>6.0</v>
      </c>
      <c r="AU153" s="37" t="str">
        <f t="shared" si="367"/>
        <v>R</v>
      </c>
      <c r="AV153" s="33">
        <v>25.0</v>
      </c>
      <c r="AW153" s="33" t="str">
        <f t="shared" si="368"/>
        <v>S</v>
      </c>
      <c r="AX153" s="33">
        <v>22.0</v>
      </c>
      <c r="AY153" s="33" t="str">
        <f t="shared" si="369"/>
        <v>S</v>
      </c>
      <c r="AZ153" s="33" t="s">
        <v>300</v>
      </c>
      <c r="BA153" s="26">
        <v>10.0</v>
      </c>
      <c r="BB153" s="26" t="str">
        <f t="shared" si="370"/>
        <v>R</v>
      </c>
      <c r="BC153" s="37">
        <v>30.0</v>
      </c>
      <c r="BD153" s="37" t="str">
        <f t="shared" si="371"/>
        <v>S</v>
      </c>
      <c r="BE153" s="36">
        <v>30.0</v>
      </c>
      <c r="BF153" s="36" t="str">
        <f t="shared" si="372"/>
        <v>S</v>
      </c>
      <c r="BG153" s="39" t="s">
        <v>357</v>
      </c>
      <c r="BH153" s="39" t="s">
        <v>357</v>
      </c>
      <c r="BI153" s="36">
        <v>32.0</v>
      </c>
      <c r="BJ153" s="36" t="str">
        <f t="shared" si="373"/>
        <v>S</v>
      </c>
      <c r="BK153" s="40">
        <v>24.0</v>
      </c>
      <c r="BL153" s="41" t="str">
        <f t="shared" si="374"/>
        <v>S</v>
      </c>
      <c r="BM153" s="41"/>
    </row>
    <row r="154">
      <c r="A154" s="18" t="s">
        <v>819</v>
      </c>
      <c r="B154" s="18" t="s">
        <v>444</v>
      </c>
      <c r="C154" s="18" t="s">
        <v>1416</v>
      </c>
      <c r="D154" s="18" t="s">
        <v>705</v>
      </c>
      <c r="E154" s="18" t="s">
        <v>572</v>
      </c>
      <c r="F154" s="18" t="s">
        <v>192</v>
      </c>
      <c r="G154" s="20" t="s">
        <v>1417</v>
      </c>
      <c r="H154" s="57" t="s">
        <v>765</v>
      </c>
      <c r="I154" s="80" t="s">
        <v>1011</v>
      </c>
      <c r="J154" s="82" t="s">
        <v>208</v>
      </c>
      <c r="K154" s="82" t="s">
        <v>208</v>
      </c>
      <c r="L154" s="82" t="s">
        <v>208</v>
      </c>
      <c r="M154" s="26">
        <v>11.0</v>
      </c>
      <c r="N154" s="26" t="str">
        <f t="shared" si="353"/>
        <v>R</v>
      </c>
      <c r="O154" s="26">
        <v>25.0</v>
      </c>
      <c r="P154" s="26" t="str">
        <f t="shared" si="354"/>
        <v>S</v>
      </c>
      <c r="Q154" s="26">
        <v>16.0</v>
      </c>
      <c r="R154" s="26" t="str">
        <f t="shared" si="355"/>
        <v>R</v>
      </c>
      <c r="S154" s="32" t="s">
        <v>357</v>
      </c>
      <c r="T154" s="32" t="s">
        <v>357</v>
      </c>
      <c r="U154" s="26">
        <v>26.0</v>
      </c>
      <c r="V154" s="26" t="str">
        <f t="shared" si="356"/>
        <v>S</v>
      </c>
      <c r="W154" s="26">
        <v>26.0</v>
      </c>
      <c r="X154" s="26" t="str">
        <f t="shared" si="357"/>
        <v>S</v>
      </c>
      <c r="Y154" s="26">
        <v>27.0</v>
      </c>
      <c r="Z154" s="26" t="str">
        <f t="shared" si="358"/>
        <v>S</v>
      </c>
      <c r="AA154" s="32" t="s">
        <v>299</v>
      </c>
      <c r="AB154" s="33">
        <v>30.0</v>
      </c>
      <c r="AC154" s="33" t="str">
        <f t="shared" si="359"/>
        <v>S</v>
      </c>
      <c r="AD154" s="33">
        <v>26.0</v>
      </c>
      <c r="AE154" s="33" t="str">
        <f t="shared" si="360"/>
        <v>S</v>
      </c>
      <c r="AF154" s="33">
        <v>29.0</v>
      </c>
      <c r="AG154" s="33" t="str">
        <f t="shared" si="361"/>
        <v>S</v>
      </c>
      <c r="AH154" s="33">
        <v>28.0</v>
      </c>
      <c r="AI154" s="33" t="str">
        <f t="shared" si="362"/>
        <v>S</v>
      </c>
      <c r="AJ154" s="33">
        <v>35.0</v>
      </c>
      <c r="AK154" s="33" t="str">
        <f t="shared" si="363"/>
        <v>S</v>
      </c>
      <c r="AL154" s="33" t="s">
        <v>300</v>
      </c>
      <c r="AM154" s="36">
        <v>29.0</v>
      </c>
      <c r="AN154" s="36" t="str">
        <f t="shared" si="364"/>
        <v>S</v>
      </c>
      <c r="AO154" s="36">
        <v>29.0</v>
      </c>
      <c r="AP154" s="36" t="str">
        <f t="shared" si="365"/>
        <v>S</v>
      </c>
      <c r="AQ154" s="36">
        <v>24.0</v>
      </c>
      <c r="AR154" s="36" t="str">
        <f t="shared" si="366"/>
        <v>S</v>
      </c>
      <c r="AS154" s="36" t="s">
        <v>300</v>
      </c>
      <c r="AT154" s="37">
        <v>28.0</v>
      </c>
      <c r="AU154" s="37" t="str">
        <f t="shared" si="367"/>
        <v>S</v>
      </c>
      <c r="AV154" s="33">
        <v>20.0</v>
      </c>
      <c r="AW154" s="33" t="str">
        <f t="shared" si="368"/>
        <v>S</v>
      </c>
      <c r="AX154" s="33">
        <v>20.0</v>
      </c>
      <c r="AY154" s="33" t="str">
        <f t="shared" si="369"/>
        <v>S</v>
      </c>
      <c r="AZ154" s="33" t="s">
        <v>300</v>
      </c>
      <c r="BA154" s="26">
        <v>27.0</v>
      </c>
      <c r="BB154" s="26" t="str">
        <f t="shared" si="370"/>
        <v>S</v>
      </c>
      <c r="BC154" s="37">
        <v>34.0</v>
      </c>
      <c r="BD154" s="37" t="str">
        <f t="shared" si="371"/>
        <v>S</v>
      </c>
      <c r="BE154" s="36">
        <v>29.0</v>
      </c>
      <c r="BF154" s="36" t="str">
        <f t="shared" si="372"/>
        <v>S</v>
      </c>
      <c r="BG154" s="39" t="s">
        <v>357</v>
      </c>
      <c r="BH154" s="39" t="s">
        <v>357</v>
      </c>
      <c r="BI154" s="36">
        <v>30.0</v>
      </c>
      <c r="BJ154" s="36" t="str">
        <f t="shared" si="373"/>
        <v>S</v>
      </c>
      <c r="BK154" s="40">
        <v>20.0</v>
      </c>
      <c r="BL154" s="41" t="str">
        <f t="shared" si="374"/>
        <v>S</v>
      </c>
      <c r="BM154" s="41"/>
    </row>
    <row r="155">
      <c r="A155" s="18" t="s">
        <v>824</v>
      </c>
      <c r="B155" s="19">
        <v>122.0</v>
      </c>
      <c r="C155" s="18" t="s">
        <v>1426</v>
      </c>
      <c r="D155" s="18" t="s">
        <v>190</v>
      </c>
      <c r="E155" s="18" t="s">
        <v>190</v>
      </c>
      <c r="F155" s="18" t="s">
        <v>192</v>
      </c>
      <c r="G155" s="20" t="s">
        <v>1427</v>
      </c>
      <c r="H155" s="22" t="s">
        <v>198</v>
      </c>
      <c r="I155" s="84" t="s">
        <v>37</v>
      </c>
      <c r="J155" s="81" t="s">
        <v>205</v>
      </c>
      <c r="K155" s="81" t="s">
        <v>205</v>
      </c>
      <c r="L155" s="81" t="s">
        <v>208</v>
      </c>
      <c r="M155" s="26">
        <v>6.0</v>
      </c>
      <c r="N155" s="26" t="str">
        <f t="shared" si="353"/>
        <v>R</v>
      </c>
      <c r="O155" s="26">
        <v>22.0</v>
      </c>
      <c r="P155" s="26" t="str">
        <f t="shared" si="354"/>
        <v>S</v>
      </c>
      <c r="Q155" s="26">
        <v>6.0</v>
      </c>
      <c r="R155" s="26" t="str">
        <f t="shared" si="355"/>
        <v>R</v>
      </c>
      <c r="S155" s="32" t="s">
        <v>357</v>
      </c>
      <c r="T155" s="32" t="s">
        <v>357</v>
      </c>
      <c r="U155" s="26">
        <v>12.0</v>
      </c>
      <c r="V155" s="26" t="str">
        <f t="shared" si="356"/>
        <v>R</v>
      </c>
      <c r="W155" s="26">
        <v>26.0</v>
      </c>
      <c r="X155" s="26" t="str">
        <f t="shared" si="357"/>
        <v>S</v>
      </c>
      <c r="Y155" s="26">
        <v>25.0</v>
      </c>
      <c r="Z155" s="26" t="str">
        <f t="shared" si="358"/>
        <v>S</v>
      </c>
      <c r="AA155" s="32" t="s">
        <v>299</v>
      </c>
      <c r="AB155" s="33">
        <v>6.0</v>
      </c>
      <c r="AC155" s="33" t="str">
        <f t="shared" si="359"/>
        <v>R</v>
      </c>
      <c r="AD155" s="33">
        <v>29.0</v>
      </c>
      <c r="AE155" s="33" t="str">
        <f t="shared" si="360"/>
        <v>S</v>
      </c>
      <c r="AF155" s="33">
        <v>19.0</v>
      </c>
      <c r="AG155" s="33" t="str">
        <f t="shared" si="361"/>
        <v>I</v>
      </c>
      <c r="AH155" s="33">
        <v>26.0</v>
      </c>
      <c r="AI155" s="33" t="str">
        <f t="shared" si="362"/>
        <v>S</v>
      </c>
      <c r="AJ155" s="33">
        <v>23.0</v>
      </c>
      <c r="AK155" s="33" t="str">
        <f t="shared" si="363"/>
        <v>R</v>
      </c>
      <c r="AL155" s="33" t="s">
        <v>299</v>
      </c>
      <c r="AM155" s="36">
        <v>28.0</v>
      </c>
      <c r="AN155" s="36" t="str">
        <f t="shared" si="364"/>
        <v>S</v>
      </c>
      <c r="AO155" s="36">
        <v>25.0</v>
      </c>
      <c r="AP155" s="36" t="str">
        <f t="shared" si="365"/>
        <v>S</v>
      </c>
      <c r="AQ155" s="36">
        <v>21.0</v>
      </c>
      <c r="AR155" s="36" t="str">
        <f t="shared" si="366"/>
        <v>S</v>
      </c>
      <c r="AS155" s="36" t="s">
        <v>300</v>
      </c>
      <c r="AT155" s="37">
        <v>29.0</v>
      </c>
      <c r="AU155" s="37" t="str">
        <f t="shared" si="367"/>
        <v>S</v>
      </c>
      <c r="AV155" s="33">
        <v>23.0</v>
      </c>
      <c r="AW155" s="33" t="str">
        <f t="shared" si="368"/>
        <v>S</v>
      </c>
      <c r="AX155" s="33">
        <v>20.0</v>
      </c>
      <c r="AY155" s="33" t="str">
        <f t="shared" si="369"/>
        <v>S</v>
      </c>
      <c r="AZ155" s="33" t="s">
        <v>300</v>
      </c>
      <c r="BA155" s="26">
        <v>25.0</v>
      </c>
      <c r="BB155" s="26" t="str">
        <f t="shared" si="370"/>
        <v>S</v>
      </c>
      <c r="BC155" s="37">
        <v>19.0</v>
      </c>
      <c r="BD155" s="37" t="str">
        <f t="shared" si="371"/>
        <v>R</v>
      </c>
      <c r="BE155" s="36">
        <v>30.0</v>
      </c>
      <c r="BF155" s="36" t="str">
        <f t="shared" si="372"/>
        <v>S</v>
      </c>
      <c r="BG155" s="39" t="s">
        <v>357</v>
      </c>
      <c r="BH155" s="39" t="s">
        <v>357</v>
      </c>
      <c r="BI155" s="36">
        <v>31.0</v>
      </c>
      <c r="BJ155" s="36" t="str">
        <f t="shared" si="373"/>
        <v>S</v>
      </c>
      <c r="BK155" s="40">
        <v>21.0</v>
      </c>
      <c r="BL155" s="41" t="str">
        <f t="shared" si="374"/>
        <v>S</v>
      </c>
      <c r="BM155" s="41"/>
    </row>
    <row r="156">
      <c r="A156" s="18" t="s">
        <v>824</v>
      </c>
      <c r="B156" s="18" t="s">
        <v>444</v>
      </c>
      <c r="C156" s="18" t="s">
        <v>1428</v>
      </c>
      <c r="D156" s="18" t="s">
        <v>190</v>
      </c>
      <c r="E156" s="18" t="s">
        <v>190</v>
      </c>
      <c r="F156" s="18" t="s">
        <v>192</v>
      </c>
      <c r="G156" s="20" t="s">
        <v>1429</v>
      </c>
      <c r="H156" s="22" t="s">
        <v>198</v>
      </c>
      <c r="I156" s="80" t="s">
        <v>481</v>
      </c>
      <c r="J156" s="81" t="s">
        <v>205</v>
      </c>
      <c r="K156" s="82" t="s">
        <v>208</v>
      </c>
      <c r="L156" s="82" t="s">
        <v>208</v>
      </c>
      <c r="M156" s="26">
        <v>6.0</v>
      </c>
      <c r="N156" s="26" t="str">
        <f t="shared" si="353"/>
        <v>R</v>
      </c>
      <c r="O156" s="26">
        <v>19.0</v>
      </c>
      <c r="P156" s="26" t="str">
        <f t="shared" si="354"/>
        <v>S</v>
      </c>
      <c r="Q156" s="26">
        <v>6.0</v>
      </c>
      <c r="R156" s="26" t="str">
        <f t="shared" si="355"/>
        <v>R</v>
      </c>
      <c r="S156" s="32" t="s">
        <v>357</v>
      </c>
      <c r="T156" s="32" t="s">
        <v>357</v>
      </c>
      <c r="U156" s="26">
        <v>14.0</v>
      </c>
      <c r="V156" s="26" t="str">
        <f t="shared" si="356"/>
        <v>R</v>
      </c>
      <c r="W156" s="26">
        <v>26.0</v>
      </c>
      <c r="X156" s="26" t="str">
        <f t="shared" si="357"/>
        <v>S</v>
      </c>
      <c r="Y156" s="26">
        <v>23.0</v>
      </c>
      <c r="Z156" s="26" t="str">
        <f t="shared" si="358"/>
        <v>S</v>
      </c>
      <c r="AA156" s="32" t="s">
        <v>299</v>
      </c>
      <c r="AB156" s="33">
        <v>10.0</v>
      </c>
      <c r="AC156" s="33" t="str">
        <f t="shared" si="359"/>
        <v>R</v>
      </c>
      <c r="AD156" s="33">
        <v>24.0</v>
      </c>
      <c r="AE156" s="33" t="str">
        <f t="shared" si="360"/>
        <v>S</v>
      </c>
      <c r="AF156" s="33">
        <v>22.0</v>
      </c>
      <c r="AG156" s="33" t="str">
        <f t="shared" si="361"/>
        <v>S</v>
      </c>
      <c r="AH156" s="33">
        <v>25.0</v>
      </c>
      <c r="AI156" s="33" t="str">
        <f t="shared" si="362"/>
        <v>S</v>
      </c>
      <c r="AJ156" s="33">
        <v>27.0</v>
      </c>
      <c r="AK156" s="33" t="str">
        <f t="shared" si="363"/>
        <v>S</v>
      </c>
      <c r="AL156" s="33" t="s">
        <v>299</v>
      </c>
      <c r="AM156" s="36">
        <v>6.0</v>
      </c>
      <c r="AN156" s="36" t="str">
        <f t="shared" si="364"/>
        <v>R</v>
      </c>
      <c r="AO156" s="36">
        <v>6.0</v>
      </c>
      <c r="AP156" s="36" t="str">
        <f t="shared" si="365"/>
        <v>R</v>
      </c>
      <c r="AQ156" s="36">
        <v>6.0</v>
      </c>
      <c r="AR156" s="36" t="str">
        <f t="shared" si="366"/>
        <v>R</v>
      </c>
      <c r="AS156" s="36" t="s">
        <v>299</v>
      </c>
      <c r="AT156" s="37">
        <v>6.0</v>
      </c>
      <c r="AU156" s="37" t="str">
        <f t="shared" si="367"/>
        <v>R</v>
      </c>
      <c r="AV156" s="33">
        <v>21.0</v>
      </c>
      <c r="AW156" s="33" t="str">
        <f t="shared" si="368"/>
        <v>S</v>
      </c>
      <c r="AX156" s="33">
        <v>19.0</v>
      </c>
      <c r="AY156" s="33" t="str">
        <f t="shared" si="369"/>
        <v>S</v>
      </c>
      <c r="AZ156" s="33" t="s">
        <v>300</v>
      </c>
      <c r="BA156" s="26">
        <v>6.0</v>
      </c>
      <c r="BB156" s="26" t="str">
        <f t="shared" si="370"/>
        <v>R</v>
      </c>
      <c r="BC156" s="37">
        <v>23.0</v>
      </c>
      <c r="BD156" s="37" t="str">
        <f t="shared" si="371"/>
        <v>I</v>
      </c>
      <c r="BE156" s="36">
        <v>31.0</v>
      </c>
      <c r="BF156" s="36" t="str">
        <f t="shared" si="372"/>
        <v>S</v>
      </c>
      <c r="BG156" s="39" t="s">
        <v>357</v>
      </c>
      <c r="BH156" s="39" t="s">
        <v>357</v>
      </c>
      <c r="BI156" s="36">
        <v>31.0</v>
      </c>
      <c r="BJ156" s="36" t="str">
        <f t="shared" si="373"/>
        <v>S</v>
      </c>
      <c r="BK156" s="40">
        <v>20.0</v>
      </c>
      <c r="BL156" s="41" t="str">
        <f t="shared" si="374"/>
        <v>S</v>
      </c>
      <c r="BM156" s="41"/>
    </row>
    <row r="157">
      <c r="A157" s="18" t="s">
        <v>824</v>
      </c>
      <c r="B157" s="19">
        <v>123.0</v>
      </c>
      <c r="C157" s="18" t="s">
        <v>1430</v>
      </c>
      <c r="D157" s="18" t="s">
        <v>571</v>
      </c>
      <c r="E157" s="18" t="s">
        <v>572</v>
      </c>
      <c r="F157" s="18" t="s">
        <v>192</v>
      </c>
      <c r="G157" s="20" t="s">
        <v>1431</v>
      </c>
      <c r="H157" s="22" t="s">
        <v>198</v>
      </c>
      <c r="I157" s="80" t="s">
        <v>481</v>
      </c>
      <c r="J157" s="81" t="s">
        <v>205</v>
      </c>
      <c r="K157" s="82" t="s">
        <v>208</v>
      </c>
      <c r="L157" s="81" t="s">
        <v>208</v>
      </c>
      <c r="M157" s="26">
        <v>6.0</v>
      </c>
      <c r="N157" s="26" t="str">
        <f t="shared" si="353"/>
        <v>R</v>
      </c>
      <c r="O157" s="26">
        <v>22.0</v>
      </c>
      <c r="P157" s="26" t="str">
        <f t="shared" si="354"/>
        <v>S</v>
      </c>
      <c r="Q157" s="26">
        <v>6.0</v>
      </c>
      <c r="R157" s="26" t="str">
        <f t="shared" si="355"/>
        <v>R</v>
      </c>
      <c r="S157" s="32" t="s">
        <v>357</v>
      </c>
      <c r="T157" s="32" t="s">
        <v>357</v>
      </c>
      <c r="U157" s="26">
        <v>11.0</v>
      </c>
      <c r="V157" s="26" t="str">
        <f t="shared" si="356"/>
        <v>R</v>
      </c>
      <c r="W157" s="26">
        <v>27.0</v>
      </c>
      <c r="X157" s="26" t="str">
        <f t="shared" si="357"/>
        <v>S</v>
      </c>
      <c r="Y157" s="26">
        <v>24.0</v>
      </c>
      <c r="Z157" s="26" t="str">
        <f t="shared" si="358"/>
        <v>S</v>
      </c>
      <c r="AA157" s="32" t="s">
        <v>299</v>
      </c>
      <c r="AB157" s="33">
        <v>6.0</v>
      </c>
      <c r="AC157" s="33" t="str">
        <f t="shared" si="359"/>
        <v>R</v>
      </c>
      <c r="AD157" s="33">
        <v>26.0</v>
      </c>
      <c r="AE157" s="33" t="str">
        <f t="shared" si="360"/>
        <v>S</v>
      </c>
      <c r="AF157" s="33">
        <v>18.0</v>
      </c>
      <c r="AG157" s="33" t="str">
        <f t="shared" si="361"/>
        <v>R</v>
      </c>
      <c r="AH157" s="33">
        <v>26.0</v>
      </c>
      <c r="AI157" s="33" t="str">
        <f t="shared" si="362"/>
        <v>S</v>
      </c>
      <c r="AJ157" s="33">
        <v>24.0</v>
      </c>
      <c r="AK157" s="33" t="str">
        <f t="shared" si="363"/>
        <v>I</v>
      </c>
      <c r="AL157" s="33" t="s">
        <v>299</v>
      </c>
      <c r="AM157" s="36">
        <v>32.0</v>
      </c>
      <c r="AN157" s="36" t="str">
        <f t="shared" si="364"/>
        <v>S</v>
      </c>
      <c r="AO157" s="36">
        <v>26.0</v>
      </c>
      <c r="AP157" s="36" t="str">
        <f t="shared" si="365"/>
        <v>S</v>
      </c>
      <c r="AQ157" s="36">
        <v>21.0</v>
      </c>
      <c r="AR157" s="36" t="str">
        <f t="shared" si="366"/>
        <v>S</v>
      </c>
      <c r="AS157" s="36" t="s">
        <v>300</v>
      </c>
      <c r="AT157" s="37">
        <v>30.0</v>
      </c>
      <c r="AU157" s="37" t="str">
        <f t="shared" si="367"/>
        <v>S</v>
      </c>
      <c r="AV157" s="33">
        <v>21.0</v>
      </c>
      <c r="AW157" s="33" t="str">
        <f t="shared" si="368"/>
        <v>S</v>
      </c>
      <c r="AX157" s="33">
        <v>19.0</v>
      </c>
      <c r="AY157" s="33" t="str">
        <f t="shared" si="369"/>
        <v>S</v>
      </c>
      <c r="AZ157" s="33" t="s">
        <v>300</v>
      </c>
      <c r="BA157" s="26">
        <v>24.0</v>
      </c>
      <c r="BB157" s="26" t="str">
        <f t="shared" si="370"/>
        <v>S</v>
      </c>
      <c r="BC157" s="37">
        <v>18.0</v>
      </c>
      <c r="BD157" s="37" t="str">
        <f t="shared" si="371"/>
        <v>R</v>
      </c>
      <c r="BE157" s="36">
        <v>30.0</v>
      </c>
      <c r="BF157" s="36" t="str">
        <f t="shared" si="372"/>
        <v>S</v>
      </c>
      <c r="BG157" s="39" t="s">
        <v>357</v>
      </c>
      <c r="BH157" s="39" t="s">
        <v>357</v>
      </c>
      <c r="BI157" s="36">
        <v>30.0</v>
      </c>
      <c r="BJ157" s="36" t="str">
        <f t="shared" si="373"/>
        <v>S</v>
      </c>
      <c r="BK157" s="40">
        <v>20.0</v>
      </c>
      <c r="BL157" s="41" t="str">
        <f t="shared" si="374"/>
        <v>S</v>
      </c>
      <c r="BM157" s="41"/>
    </row>
    <row r="158">
      <c r="A158" s="18" t="s">
        <v>824</v>
      </c>
      <c r="B158" s="18" t="s">
        <v>444</v>
      </c>
      <c r="C158" s="18" t="s">
        <v>1432</v>
      </c>
      <c r="D158" s="18" t="s">
        <v>571</v>
      </c>
      <c r="E158" s="18" t="s">
        <v>572</v>
      </c>
      <c r="F158" s="18" t="s">
        <v>192</v>
      </c>
      <c r="G158" s="20" t="s">
        <v>1433</v>
      </c>
      <c r="H158" s="22" t="s">
        <v>198</v>
      </c>
      <c r="I158" s="84" t="s">
        <v>37</v>
      </c>
      <c r="J158" s="81" t="s">
        <v>205</v>
      </c>
      <c r="K158" s="81" t="s">
        <v>205</v>
      </c>
      <c r="L158" s="81" t="s">
        <v>208</v>
      </c>
      <c r="M158" s="26">
        <v>6.0</v>
      </c>
      <c r="N158" s="26" t="str">
        <f t="shared" si="353"/>
        <v>R</v>
      </c>
      <c r="O158" s="26">
        <v>21.0</v>
      </c>
      <c r="P158" s="26" t="str">
        <f t="shared" si="354"/>
        <v>S</v>
      </c>
      <c r="Q158" s="26">
        <v>6.0</v>
      </c>
      <c r="R158" s="26" t="str">
        <f t="shared" si="355"/>
        <v>R</v>
      </c>
      <c r="S158" s="32" t="s">
        <v>357</v>
      </c>
      <c r="T158" s="32" t="s">
        <v>357</v>
      </c>
      <c r="U158" s="26">
        <v>12.0</v>
      </c>
      <c r="V158" s="26" t="str">
        <f t="shared" si="356"/>
        <v>R</v>
      </c>
      <c r="W158" s="26">
        <v>25.0</v>
      </c>
      <c r="X158" s="26" t="str">
        <f t="shared" si="357"/>
        <v>S</v>
      </c>
      <c r="Y158" s="26">
        <v>23.0</v>
      </c>
      <c r="Z158" s="26" t="str">
        <f t="shared" si="358"/>
        <v>S</v>
      </c>
      <c r="AA158" s="32" t="s">
        <v>299</v>
      </c>
      <c r="AB158" s="33">
        <v>6.0</v>
      </c>
      <c r="AC158" s="33" t="str">
        <f t="shared" si="359"/>
        <v>R</v>
      </c>
      <c r="AD158" s="33">
        <v>25.0</v>
      </c>
      <c r="AE158" s="33" t="str">
        <f t="shared" si="360"/>
        <v>S</v>
      </c>
      <c r="AF158" s="33">
        <v>15.0</v>
      </c>
      <c r="AG158" s="33" t="str">
        <f t="shared" si="361"/>
        <v>R</v>
      </c>
      <c r="AH158" s="33">
        <v>29.0</v>
      </c>
      <c r="AI158" s="33" t="str">
        <f t="shared" si="362"/>
        <v>S</v>
      </c>
      <c r="AJ158" s="33">
        <v>22.0</v>
      </c>
      <c r="AK158" s="33" t="str">
        <f t="shared" si="363"/>
        <v>R</v>
      </c>
      <c r="AL158" s="33" t="s">
        <v>299</v>
      </c>
      <c r="AM158" s="36">
        <v>32.0</v>
      </c>
      <c r="AN158" s="36" t="str">
        <f t="shared" si="364"/>
        <v>S</v>
      </c>
      <c r="AO158" s="36">
        <v>26.0</v>
      </c>
      <c r="AP158" s="36" t="str">
        <f t="shared" si="365"/>
        <v>S</v>
      </c>
      <c r="AQ158" s="36">
        <v>24.0</v>
      </c>
      <c r="AR158" s="36" t="str">
        <f t="shared" si="366"/>
        <v>S</v>
      </c>
      <c r="AS158" s="36" t="s">
        <v>300</v>
      </c>
      <c r="AT158" s="37">
        <v>28.0</v>
      </c>
      <c r="AU158" s="37" t="str">
        <f t="shared" si="367"/>
        <v>S</v>
      </c>
      <c r="AV158" s="33">
        <v>21.0</v>
      </c>
      <c r="AW158" s="33" t="str">
        <f t="shared" si="368"/>
        <v>S</v>
      </c>
      <c r="AX158" s="33">
        <v>20.0</v>
      </c>
      <c r="AY158" s="33" t="str">
        <f t="shared" si="369"/>
        <v>S</v>
      </c>
      <c r="AZ158" s="33" t="s">
        <v>300</v>
      </c>
      <c r="BA158" s="26">
        <v>25.0</v>
      </c>
      <c r="BB158" s="26" t="str">
        <f t="shared" si="370"/>
        <v>S</v>
      </c>
      <c r="BC158" s="37">
        <v>17.0</v>
      </c>
      <c r="BD158" s="37" t="str">
        <f t="shared" si="371"/>
        <v>R</v>
      </c>
      <c r="BE158" s="36">
        <v>29.0</v>
      </c>
      <c r="BF158" s="36" t="str">
        <f t="shared" si="372"/>
        <v>S</v>
      </c>
      <c r="BG158" s="39" t="s">
        <v>357</v>
      </c>
      <c r="BH158" s="39" t="s">
        <v>357</v>
      </c>
      <c r="BI158" s="36">
        <v>31.0</v>
      </c>
      <c r="BJ158" s="36" t="str">
        <f t="shared" si="373"/>
        <v>S</v>
      </c>
      <c r="BK158" s="40">
        <v>20.0</v>
      </c>
      <c r="BL158" s="41" t="str">
        <f t="shared" si="374"/>
        <v>S</v>
      </c>
      <c r="BM158" s="41"/>
    </row>
    <row r="159">
      <c r="A159" s="18" t="s">
        <v>824</v>
      </c>
      <c r="B159" s="19">
        <v>124.0</v>
      </c>
      <c r="C159" s="18" t="s">
        <v>1434</v>
      </c>
      <c r="D159" s="18" t="s">
        <v>827</v>
      </c>
      <c r="E159" s="18" t="s">
        <v>572</v>
      </c>
      <c r="F159" s="18" t="s">
        <v>573</v>
      </c>
      <c r="G159" s="20" t="s">
        <v>357</v>
      </c>
      <c r="H159" s="47" t="s">
        <v>357</v>
      </c>
      <c r="I159" s="83" t="s">
        <v>357</v>
      </c>
      <c r="J159" s="82" t="s">
        <v>208</v>
      </c>
      <c r="K159" s="82" t="s">
        <v>208</v>
      </c>
      <c r="L159" s="82" t="s">
        <v>208</v>
      </c>
      <c r="M159" s="32" t="s">
        <v>357</v>
      </c>
      <c r="N159" s="32" t="s">
        <v>357</v>
      </c>
      <c r="O159" s="32" t="s">
        <v>357</v>
      </c>
      <c r="P159" s="32" t="s">
        <v>357</v>
      </c>
      <c r="Q159" s="32" t="s">
        <v>357</v>
      </c>
      <c r="R159" s="32" t="s">
        <v>357</v>
      </c>
      <c r="S159" s="32" t="s">
        <v>357</v>
      </c>
      <c r="T159" s="32" t="s">
        <v>357</v>
      </c>
      <c r="U159" s="32" t="s">
        <v>357</v>
      </c>
      <c r="V159" s="32" t="s">
        <v>357</v>
      </c>
      <c r="W159" s="32" t="s">
        <v>357</v>
      </c>
      <c r="X159" s="32" t="s">
        <v>357</v>
      </c>
      <c r="Y159" s="32" t="s">
        <v>357</v>
      </c>
      <c r="Z159" s="32" t="s">
        <v>357</v>
      </c>
      <c r="AA159" s="32" t="s">
        <v>357</v>
      </c>
      <c r="AB159" s="49" t="s">
        <v>357</v>
      </c>
      <c r="AC159" s="49" t="s">
        <v>357</v>
      </c>
      <c r="AD159" s="49" t="s">
        <v>357</v>
      </c>
      <c r="AE159" s="49" t="s">
        <v>357</v>
      </c>
      <c r="AF159" s="49" t="s">
        <v>357</v>
      </c>
      <c r="AG159" s="49" t="s">
        <v>357</v>
      </c>
      <c r="AH159" s="49" t="s">
        <v>357</v>
      </c>
      <c r="AI159" s="49" t="s">
        <v>357</v>
      </c>
      <c r="AJ159" s="49" t="s">
        <v>357</v>
      </c>
      <c r="AK159" s="49" t="s">
        <v>357</v>
      </c>
      <c r="AL159" s="49" t="s">
        <v>357</v>
      </c>
      <c r="AM159" s="39" t="s">
        <v>357</v>
      </c>
      <c r="AN159" s="39" t="s">
        <v>357</v>
      </c>
      <c r="AO159" s="39" t="s">
        <v>357</v>
      </c>
      <c r="AP159" s="39" t="s">
        <v>357</v>
      </c>
      <c r="AQ159" s="39" t="s">
        <v>357</v>
      </c>
      <c r="AR159" s="39" t="s">
        <v>357</v>
      </c>
      <c r="AS159" s="39" t="s">
        <v>357</v>
      </c>
      <c r="AT159" s="50" t="s">
        <v>357</v>
      </c>
      <c r="AU159" s="50" t="s">
        <v>357</v>
      </c>
      <c r="AV159" s="49" t="s">
        <v>357</v>
      </c>
      <c r="AW159" s="49" t="s">
        <v>357</v>
      </c>
      <c r="AX159" s="49" t="s">
        <v>357</v>
      </c>
      <c r="AY159" s="49" t="s">
        <v>357</v>
      </c>
      <c r="AZ159" s="49" t="s">
        <v>357</v>
      </c>
      <c r="BA159" s="32" t="s">
        <v>357</v>
      </c>
      <c r="BB159" s="32" t="s">
        <v>357</v>
      </c>
      <c r="BC159" s="50" t="s">
        <v>357</v>
      </c>
      <c r="BD159" s="50" t="s">
        <v>357</v>
      </c>
      <c r="BE159" s="39" t="s">
        <v>357</v>
      </c>
      <c r="BF159" s="39" t="s">
        <v>357</v>
      </c>
      <c r="BG159" s="39" t="s">
        <v>357</v>
      </c>
      <c r="BH159" s="39" t="s">
        <v>357</v>
      </c>
      <c r="BI159" s="39" t="s">
        <v>357</v>
      </c>
      <c r="BJ159" s="39" t="s">
        <v>357</v>
      </c>
      <c r="BK159" s="41" t="s">
        <v>357</v>
      </c>
      <c r="BL159" s="41" t="s">
        <v>357</v>
      </c>
      <c r="BM159" s="41"/>
    </row>
    <row r="160">
      <c r="A160" s="18" t="s">
        <v>824</v>
      </c>
      <c r="B160" s="19">
        <v>125.0</v>
      </c>
      <c r="C160" s="18" t="s">
        <v>1435</v>
      </c>
      <c r="D160" s="18" t="s">
        <v>705</v>
      </c>
      <c r="E160" s="18" t="s">
        <v>572</v>
      </c>
      <c r="F160" s="18" t="s">
        <v>573</v>
      </c>
      <c r="G160" s="20" t="s">
        <v>357</v>
      </c>
      <c r="H160" s="47" t="s">
        <v>357</v>
      </c>
      <c r="I160" s="83" t="s">
        <v>357</v>
      </c>
      <c r="J160" s="82" t="s">
        <v>208</v>
      </c>
      <c r="K160" s="82" t="s">
        <v>208</v>
      </c>
      <c r="L160" s="82" t="s">
        <v>208</v>
      </c>
      <c r="M160" s="32" t="s">
        <v>357</v>
      </c>
      <c r="N160" s="32" t="s">
        <v>357</v>
      </c>
      <c r="O160" s="32" t="s">
        <v>357</v>
      </c>
      <c r="P160" s="32" t="s">
        <v>357</v>
      </c>
      <c r="Q160" s="32" t="s">
        <v>357</v>
      </c>
      <c r="R160" s="32" t="s">
        <v>357</v>
      </c>
      <c r="S160" s="32" t="s">
        <v>357</v>
      </c>
      <c r="T160" s="32" t="s">
        <v>357</v>
      </c>
      <c r="U160" s="32" t="s">
        <v>357</v>
      </c>
      <c r="V160" s="32" t="s">
        <v>357</v>
      </c>
      <c r="W160" s="32" t="s">
        <v>357</v>
      </c>
      <c r="X160" s="32" t="s">
        <v>357</v>
      </c>
      <c r="Y160" s="32" t="s">
        <v>357</v>
      </c>
      <c r="Z160" s="32" t="s">
        <v>357</v>
      </c>
      <c r="AA160" s="32" t="s">
        <v>357</v>
      </c>
      <c r="AB160" s="49" t="s">
        <v>357</v>
      </c>
      <c r="AC160" s="49" t="s">
        <v>357</v>
      </c>
      <c r="AD160" s="49" t="s">
        <v>357</v>
      </c>
      <c r="AE160" s="49" t="s">
        <v>357</v>
      </c>
      <c r="AF160" s="49" t="s">
        <v>357</v>
      </c>
      <c r="AG160" s="49" t="s">
        <v>357</v>
      </c>
      <c r="AH160" s="49" t="s">
        <v>357</v>
      </c>
      <c r="AI160" s="49" t="s">
        <v>357</v>
      </c>
      <c r="AJ160" s="49" t="s">
        <v>357</v>
      </c>
      <c r="AK160" s="49" t="s">
        <v>357</v>
      </c>
      <c r="AL160" s="49" t="s">
        <v>357</v>
      </c>
      <c r="AM160" s="39" t="s">
        <v>357</v>
      </c>
      <c r="AN160" s="39" t="s">
        <v>357</v>
      </c>
      <c r="AO160" s="39" t="s">
        <v>357</v>
      </c>
      <c r="AP160" s="39" t="s">
        <v>357</v>
      </c>
      <c r="AQ160" s="39" t="s">
        <v>357</v>
      </c>
      <c r="AR160" s="39" t="s">
        <v>357</v>
      </c>
      <c r="AS160" s="39" t="s">
        <v>357</v>
      </c>
      <c r="AT160" s="50" t="s">
        <v>357</v>
      </c>
      <c r="AU160" s="50" t="s">
        <v>357</v>
      </c>
      <c r="AV160" s="49" t="s">
        <v>357</v>
      </c>
      <c r="AW160" s="49" t="s">
        <v>357</v>
      </c>
      <c r="AX160" s="49" t="s">
        <v>357</v>
      </c>
      <c r="AY160" s="49" t="s">
        <v>357</v>
      </c>
      <c r="AZ160" s="49" t="s">
        <v>357</v>
      </c>
      <c r="BA160" s="32" t="s">
        <v>357</v>
      </c>
      <c r="BB160" s="32" t="s">
        <v>357</v>
      </c>
      <c r="BC160" s="50" t="s">
        <v>357</v>
      </c>
      <c r="BD160" s="50" t="s">
        <v>357</v>
      </c>
      <c r="BE160" s="39" t="s">
        <v>357</v>
      </c>
      <c r="BF160" s="39" t="s">
        <v>357</v>
      </c>
      <c r="BG160" s="39" t="s">
        <v>357</v>
      </c>
      <c r="BH160" s="39" t="s">
        <v>357</v>
      </c>
      <c r="BI160" s="39" t="s">
        <v>357</v>
      </c>
      <c r="BJ160" s="39" t="s">
        <v>357</v>
      </c>
      <c r="BK160" s="41" t="s">
        <v>357</v>
      </c>
      <c r="BL160" s="41" t="s">
        <v>357</v>
      </c>
      <c r="BM160" s="41"/>
    </row>
    <row r="161">
      <c r="A161" s="18" t="s">
        <v>824</v>
      </c>
      <c r="B161" s="19">
        <v>126.0</v>
      </c>
      <c r="C161" s="18" t="s">
        <v>1436</v>
      </c>
      <c r="D161" s="18" t="s">
        <v>708</v>
      </c>
      <c r="E161" s="18" t="s">
        <v>103</v>
      </c>
      <c r="F161" s="18" t="s">
        <v>192</v>
      </c>
      <c r="G161" s="20" t="s">
        <v>1437</v>
      </c>
      <c r="H161" s="22" t="s">
        <v>198</v>
      </c>
      <c r="I161" s="80" t="s">
        <v>481</v>
      </c>
      <c r="J161" s="82" t="s">
        <v>205</v>
      </c>
      <c r="K161" s="82" t="s">
        <v>208</v>
      </c>
      <c r="L161" s="82" t="s">
        <v>208</v>
      </c>
      <c r="M161" s="26">
        <v>6.0</v>
      </c>
      <c r="N161" s="26" t="str">
        <f>IF((M161&gt;=19),"S",IF(AND(M161&lt;19),"R", "NA"))</f>
        <v>R</v>
      </c>
      <c r="O161" s="26">
        <v>23.0</v>
      </c>
      <c r="P161" s="26" t="str">
        <f>IF((O161&gt;=19),"S",IF(AND(O161&lt;19),"R", "NA"))</f>
        <v>S</v>
      </c>
      <c r="Q161" s="26">
        <v>6.0</v>
      </c>
      <c r="R161" s="26" t="str">
        <f>IF((Q161&gt;=23),"S",IF(AND(Q161&lt;23),"R","NA"))</f>
        <v>R</v>
      </c>
      <c r="S161" s="32" t="s">
        <v>357</v>
      </c>
      <c r="T161" s="32" t="s">
        <v>357</v>
      </c>
      <c r="U161" s="26">
        <v>16.0</v>
      </c>
      <c r="V161" s="26" t="str">
        <f>IF((U161&gt;=20),"S",IF(AND(U161&lt;20),"R", "NA"))</f>
        <v>R</v>
      </c>
      <c r="W161" s="26">
        <v>27.0</v>
      </c>
      <c r="X161" s="26" t="str">
        <f>IF((W161&gt;=20),"S",IF(AND(W161&lt;20),"R", "NA"))</f>
        <v>S</v>
      </c>
      <c r="Y161" s="26">
        <v>24.0</v>
      </c>
      <c r="Z161" s="26" t="str">
        <f>IF((Y161&gt;=20),"S",IF(AND(Y161&lt;20,Y161&gt;=17),"I",IF(AND(Y161&lt;17),"R","NA")))</f>
        <v>S</v>
      </c>
      <c r="AA161" s="32" t="s">
        <v>299</v>
      </c>
      <c r="AB161" s="33">
        <v>10.0</v>
      </c>
      <c r="AC161" s="33" t="str">
        <f>IF((AB161&gt;=20),"S",IF(AND(AB161&lt;20,AB161&gt;=17),"I",IF(AND(AB161&lt;17),"R","NA")))</f>
        <v>R</v>
      </c>
      <c r="AD161" s="33">
        <v>27.0</v>
      </c>
      <c r="AE161" s="33" t="str">
        <f>IF((AD161&gt;=18),"S",IF(AND(AD161&lt;18),"R", "NA"))</f>
        <v>S</v>
      </c>
      <c r="AF161" s="33">
        <v>21.0</v>
      </c>
      <c r="AG161" s="33" t="str">
        <f>IF((AF161&gt;=22),"S",IF(AND(AF161&lt;22,AF161&gt;=19),"I",IF(AND(AF161&lt;19),"R","NA")))</f>
        <v>I</v>
      </c>
      <c r="AH161" s="33">
        <v>26.0</v>
      </c>
      <c r="AI161" s="33" t="str">
        <f>IF((AH161&gt;=13),"S",IF(AND(AH161&lt;13),"R", "NA"))</f>
        <v>S</v>
      </c>
      <c r="AJ161" s="33">
        <v>27.0</v>
      </c>
      <c r="AK161" s="33" t="str">
        <f>IF((AJ161&gt;=27),"S",IF(AND(AJ161&lt;27,AJ161&gt;=24),"I",IF(AND(AJ161&lt;24),"R","NA")))</f>
        <v>S</v>
      </c>
      <c r="AL161" s="33" t="s">
        <v>299</v>
      </c>
      <c r="AM161" s="36">
        <v>30.0</v>
      </c>
      <c r="AN161" s="36" t="str">
        <f>IF((AM161&gt;=25),"S",IF(AND(AM161&lt;25,AM161&gt;=22),"I",IF(AND(AM161&lt;22),"R","NA")))</f>
        <v>S</v>
      </c>
      <c r="AO161" s="36">
        <v>27.0</v>
      </c>
      <c r="AP161" s="36" t="str">
        <f>IF((AO161&gt;=23),"S",IF(AND(AO161&lt;23,AO161&gt;=19),"I",IF(AND(AO161&lt;19),"R","NA")))</f>
        <v>S</v>
      </c>
      <c r="AQ161" s="36">
        <v>22.0</v>
      </c>
      <c r="AR161" s="36" t="str">
        <f>IF((AQ161&gt;=14),"S",IF(AND(AQ161&lt;14),"R","NA"))</f>
        <v>S</v>
      </c>
      <c r="AS161" s="36" t="s">
        <v>300</v>
      </c>
      <c r="AT161" s="37">
        <v>6.0</v>
      </c>
      <c r="AU161" s="37" t="str">
        <f>IF((AT161&gt;=14),"S",IF(AND(AT161&lt;14,AT161&gt;=11),"I",IF(AND(AT161&lt;11),"R","NA")))</f>
        <v>R</v>
      </c>
      <c r="AV161" s="33">
        <v>22.0</v>
      </c>
      <c r="AW161" s="33" t="str">
        <f>IF((AV161&gt;=18),"S",IF(AND(AV161&lt;18),"R", "NA"))</f>
        <v>S</v>
      </c>
      <c r="AX161" s="33">
        <v>20.0</v>
      </c>
      <c r="AY161" s="33" t="str">
        <f>IF((AX161&gt;=16),"S",IF(AND(AX161&lt;16),"R", "NA"))</f>
        <v>S</v>
      </c>
      <c r="AZ161" s="33" t="s">
        <v>300</v>
      </c>
      <c r="BA161" s="26">
        <v>27.0</v>
      </c>
      <c r="BB161" s="26" t="str">
        <f>IF((BA161&gt;=20),"S",IF(AND(BA161&lt;20),"R", "NA"))</f>
        <v>S</v>
      </c>
      <c r="BC161" s="37">
        <v>22.0</v>
      </c>
      <c r="BD161" s="37" t="str">
        <f>IF((BC161&gt;=26),"S",IF(AND(BC161&lt;26,BC161&gt;=21),"I",IF(AND(BC161&lt;21),"R","NA")))</f>
        <v>I</v>
      </c>
      <c r="BE161" s="36">
        <v>30.0</v>
      </c>
      <c r="BF161" s="36" t="str">
        <f>IF((BE161&gt;=23),"S",IF(AND(BE161&lt;23),"R","NA"))</f>
        <v>S</v>
      </c>
      <c r="BG161" s="39" t="s">
        <v>357</v>
      </c>
      <c r="BH161" s="39" t="s">
        <v>357</v>
      </c>
      <c r="BI161" s="36">
        <v>32.0</v>
      </c>
      <c r="BJ161" s="36" t="str">
        <f>IF((BI161&gt;=22),"S",IF(AND(BI161&lt;22,BI161&gt;=19),"I",IF(AND(BI161&lt;19),"R","NA")))</f>
        <v>S</v>
      </c>
      <c r="BK161" s="40">
        <v>20.0</v>
      </c>
      <c r="BL161" s="41" t="str">
        <f>IF((BK161&gt;=17),"S",IF(AND(BK161&lt;17),"R", "NA"))</f>
        <v>S</v>
      </c>
      <c r="BM161" s="41"/>
    </row>
    <row r="162">
      <c r="A162" s="18" t="s">
        <v>824</v>
      </c>
      <c r="B162" s="19">
        <v>127.0</v>
      </c>
      <c r="C162" s="18" t="s">
        <v>1438</v>
      </c>
      <c r="D162" s="18" t="s">
        <v>555</v>
      </c>
      <c r="E162" s="18" t="s">
        <v>103</v>
      </c>
      <c r="F162" s="18" t="s">
        <v>573</v>
      </c>
      <c r="G162" s="20" t="s">
        <v>357</v>
      </c>
      <c r="H162" s="47" t="s">
        <v>357</v>
      </c>
      <c r="I162" s="83" t="s">
        <v>357</v>
      </c>
      <c r="J162" s="82" t="s">
        <v>208</v>
      </c>
      <c r="K162" s="82" t="s">
        <v>208</v>
      </c>
      <c r="L162" s="82" t="s">
        <v>208</v>
      </c>
      <c r="M162" s="32" t="s">
        <v>357</v>
      </c>
      <c r="N162" s="32" t="s">
        <v>357</v>
      </c>
      <c r="O162" s="32" t="s">
        <v>357</v>
      </c>
      <c r="P162" s="32" t="s">
        <v>357</v>
      </c>
      <c r="Q162" s="32" t="s">
        <v>357</v>
      </c>
      <c r="R162" s="32" t="s">
        <v>357</v>
      </c>
      <c r="S162" s="32" t="s">
        <v>357</v>
      </c>
      <c r="T162" s="32" t="s">
        <v>357</v>
      </c>
      <c r="U162" s="32" t="s">
        <v>357</v>
      </c>
      <c r="V162" s="32" t="s">
        <v>357</v>
      </c>
      <c r="W162" s="32" t="s">
        <v>357</v>
      </c>
      <c r="X162" s="32" t="s">
        <v>357</v>
      </c>
      <c r="Y162" s="32" t="s">
        <v>357</v>
      </c>
      <c r="Z162" s="32" t="s">
        <v>357</v>
      </c>
      <c r="AA162" s="32" t="s">
        <v>357</v>
      </c>
      <c r="AB162" s="49" t="s">
        <v>357</v>
      </c>
      <c r="AC162" s="49" t="s">
        <v>357</v>
      </c>
      <c r="AD162" s="49" t="s">
        <v>357</v>
      </c>
      <c r="AE162" s="49" t="s">
        <v>357</v>
      </c>
      <c r="AF162" s="49" t="s">
        <v>357</v>
      </c>
      <c r="AG162" s="49" t="s">
        <v>357</v>
      </c>
      <c r="AH162" s="49" t="s">
        <v>357</v>
      </c>
      <c r="AI162" s="49" t="s">
        <v>357</v>
      </c>
      <c r="AJ162" s="49" t="s">
        <v>357</v>
      </c>
      <c r="AK162" s="49" t="s">
        <v>357</v>
      </c>
      <c r="AL162" s="49" t="s">
        <v>357</v>
      </c>
      <c r="AM162" s="39" t="s">
        <v>357</v>
      </c>
      <c r="AN162" s="39" t="s">
        <v>357</v>
      </c>
      <c r="AO162" s="39" t="s">
        <v>357</v>
      </c>
      <c r="AP162" s="39" t="s">
        <v>357</v>
      </c>
      <c r="AQ162" s="39" t="s">
        <v>357</v>
      </c>
      <c r="AR162" s="39" t="s">
        <v>357</v>
      </c>
      <c r="AS162" s="39" t="s">
        <v>357</v>
      </c>
      <c r="AT162" s="50" t="s">
        <v>357</v>
      </c>
      <c r="AU162" s="50" t="s">
        <v>357</v>
      </c>
      <c r="AV162" s="49" t="s">
        <v>357</v>
      </c>
      <c r="AW162" s="49" t="s">
        <v>357</v>
      </c>
      <c r="AX162" s="49" t="s">
        <v>357</v>
      </c>
      <c r="AY162" s="49" t="s">
        <v>357</v>
      </c>
      <c r="AZ162" s="49" t="s">
        <v>357</v>
      </c>
      <c r="BA162" s="32" t="s">
        <v>357</v>
      </c>
      <c r="BB162" s="32" t="s">
        <v>357</v>
      </c>
      <c r="BC162" s="50" t="s">
        <v>357</v>
      </c>
      <c r="BD162" s="50" t="s">
        <v>357</v>
      </c>
      <c r="BE162" s="39" t="s">
        <v>357</v>
      </c>
      <c r="BF162" s="39" t="s">
        <v>357</v>
      </c>
      <c r="BG162" s="39" t="s">
        <v>357</v>
      </c>
      <c r="BH162" s="39" t="s">
        <v>357</v>
      </c>
      <c r="BI162" s="39" t="s">
        <v>357</v>
      </c>
      <c r="BJ162" s="39" t="s">
        <v>357</v>
      </c>
      <c r="BK162" s="41" t="s">
        <v>357</v>
      </c>
      <c r="BL162" s="41" t="s">
        <v>357</v>
      </c>
      <c r="BM162" s="41"/>
    </row>
    <row r="163">
      <c r="A163" s="18" t="s">
        <v>855</v>
      </c>
      <c r="B163" s="19">
        <v>134.0</v>
      </c>
      <c r="C163" s="18" t="s">
        <v>1461</v>
      </c>
      <c r="D163" s="69" t="s">
        <v>190</v>
      </c>
      <c r="E163" s="18" t="s">
        <v>190</v>
      </c>
      <c r="F163" s="18" t="s">
        <v>192</v>
      </c>
      <c r="G163" s="63" t="s">
        <v>1462</v>
      </c>
      <c r="H163" s="22" t="s">
        <v>198</v>
      </c>
      <c r="I163" s="64" t="s">
        <v>41</v>
      </c>
      <c r="J163" s="70" t="s">
        <v>205</v>
      </c>
      <c r="K163" s="71" t="s">
        <v>208</v>
      </c>
      <c r="L163" s="71" t="s">
        <v>205</v>
      </c>
      <c r="M163" s="28">
        <v>6.0</v>
      </c>
      <c r="N163" s="26" t="str">
        <f t="shared" ref="N163:N231" si="375">IF((M163&gt;=19),"S",IF(AND(M163&lt;19),"R", "NA"))</f>
        <v>R</v>
      </c>
      <c r="O163" s="28">
        <v>6.0</v>
      </c>
      <c r="P163" s="26" t="str">
        <f t="shared" ref="P163:P231" si="376">IF((O163&gt;=19),"S",IF(AND(O163&lt;19),"R", "NA"))</f>
        <v>R</v>
      </c>
      <c r="Q163" s="28">
        <v>6.0</v>
      </c>
      <c r="R163" s="26" t="str">
        <f t="shared" ref="R163:R231" si="377">IF((Q163&gt;=23),"S",IF(AND(Q163&lt;23),"R","NA"))</f>
        <v>R</v>
      </c>
      <c r="S163" s="28">
        <v>12.0</v>
      </c>
      <c r="T163" s="26" t="str">
        <f t="shared" ref="T163:T231" si="378">IF((S163&gt;=23),"S",IF(AND(S163&lt;23,S163&gt;=20),"I",IF(AND(S163&lt;20),"R","NA")))</f>
        <v>R</v>
      </c>
      <c r="U163" s="28">
        <v>6.0</v>
      </c>
      <c r="V163" s="26" t="str">
        <f t="shared" ref="V163:V231" si="379">IF((U163&gt;=20),"S",IF(AND(U163&lt;20),"R", "NA"))</f>
        <v>R</v>
      </c>
      <c r="W163" s="28">
        <v>22.0</v>
      </c>
      <c r="X163" s="26" t="str">
        <f t="shared" ref="X163:X231" si="380">IF((W163&gt;=20),"S",IF(AND(W163&lt;20),"R", "NA"))</f>
        <v>S</v>
      </c>
      <c r="Y163" s="28">
        <v>9.0</v>
      </c>
      <c r="Z163" s="26" t="str">
        <f t="shared" ref="Z163:Z231" si="381">IF((Y163&gt;=20),"S",IF(AND(Y163&lt;20,Y163&gt;=17),"I",IF(AND(Y163&lt;17),"R","NA")))</f>
        <v>R</v>
      </c>
      <c r="AA163" s="32" t="s">
        <v>299</v>
      </c>
      <c r="AB163" s="65">
        <v>9.0</v>
      </c>
      <c r="AC163" s="33" t="str">
        <f t="shared" ref="AC163:AC231" si="382">IF((AB163&gt;=20),"S",IF(AND(AB163&lt;20,AB163&gt;=17),"I",IF(AND(AB163&lt;17),"R","NA")))</f>
        <v>R</v>
      </c>
      <c r="AD163" s="65">
        <v>9.0</v>
      </c>
      <c r="AE163" s="33" t="str">
        <f t="shared" ref="AE163:AE231" si="383">IF((AD163&gt;=18),"S",IF(AND(AD163&lt;18),"R", "NA"))</f>
        <v>R</v>
      </c>
      <c r="AF163" s="65">
        <v>6.0</v>
      </c>
      <c r="AG163" s="33" t="str">
        <f t="shared" ref="AG163:AG231" si="384">IF((AF163&gt;=22),"S",IF(AND(AF163&lt;22,AF163&gt;=19),"I",IF(AND(AF163&lt;19),"R","NA")))</f>
        <v>R</v>
      </c>
      <c r="AH163" s="65">
        <v>23.0</v>
      </c>
      <c r="AI163" s="33" t="str">
        <f t="shared" ref="AI163:AI231" si="385">IF((AH163&gt;=13),"S",IF(AND(AH163&lt;13),"R", "NA"))</f>
        <v>S</v>
      </c>
      <c r="AJ163" s="65">
        <v>6.0</v>
      </c>
      <c r="AK163" s="33" t="str">
        <f t="shared" ref="AK163:AK231" si="386">IF((AJ163&gt;=27),"S",IF(AND(AJ163&lt;27,AJ163&gt;=24),"I",IF(AND(AJ163&lt;24),"R","NA")))</f>
        <v>R</v>
      </c>
      <c r="AL163" s="65" t="s">
        <v>299</v>
      </c>
      <c r="AM163" s="66">
        <v>6.0</v>
      </c>
      <c r="AN163" s="36" t="str">
        <f t="shared" ref="AN163:AN231" si="387">IF((AM163&gt;=25),"S",IF(AND(AM163&lt;25,AM163&gt;=22),"I",IF(AND(AM163&lt;22),"R","NA")))</f>
        <v>R</v>
      </c>
      <c r="AO163" s="66">
        <v>6.0</v>
      </c>
      <c r="AP163" s="36" t="str">
        <f t="shared" ref="AP163:AP231" si="388">IF((AO163&gt;=23),"S",IF(AND(AO163&lt;23,AO163&gt;=19),"I",IF(AND(AO163&lt;19),"R","NA")))</f>
        <v>R</v>
      </c>
      <c r="AQ163" s="66">
        <v>6.0</v>
      </c>
      <c r="AR163" s="36" t="str">
        <f t="shared" ref="AR163:AR231" si="389">IF((AQ163&gt;=14),"S",IF(AND(AQ163&lt;14),"R","NA"))</f>
        <v>R</v>
      </c>
      <c r="AS163" s="66" t="s">
        <v>299</v>
      </c>
      <c r="AT163" s="67">
        <v>6.0</v>
      </c>
      <c r="AU163" s="37" t="str">
        <f t="shared" ref="AU163:AU231" si="390">IF((AT163&gt;=14),"S",IF(AND(AT163&lt;14,AT163&gt;=11),"I",IF(AND(AT163&lt;11),"R","NA")))</f>
        <v>R</v>
      </c>
      <c r="AV163" s="65">
        <v>12.0</v>
      </c>
      <c r="AW163" s="33" t="str">
        <f t="shared" ref="AW163:AW231" si="391">IF((AV163&gt;=18),"S",IF(AND(AV163&lt;18),"R", "NA"))</f>
        <v>R</v>
      </c>
      <c r="AX163" s="65">
        <v>12.0</v>
      </c>
      <c r="AY163" s="33" t="str">
        <f t="shared" ref="AY163:AY231" si="392">IF((AX163&gt;=16),"S",IF(AND(AX163&lt;16),"R", "NA"))</f>
        <v>R</v>
      </c>
      <c r="AZ163" s="65" t="s">
        <v>299</v>
      </c>
      <c r="BA163" s="28">
        <v>6.0</v>
      </c>
      <c r="BB163" s="26" t="str">
        <f t="shared" ref="BB163:BB231" si="393">IF((BA163&gt;=20),"S",IF(AND(BA163&lt;20),"R", "NA"))</f>
        <v>R</v>
      </c>
      <c r="BC163" s="67">
        <v>11.0</v>
      </c>
      <c r="BD163" s="37" t="str">
        <f t="shared" ref="BD163:BD231" si="394">IF((BC163&gt;=26),"S",IF(AND(BC163&lt;26,BC163&gt;=21),"I",IF(AND(BC163&lt;21),"R","NA")))</f>
        <v>R</v>
      </c>
      <c r="BE163" s="66">
        <v>18.0</v>
      </c>
      <c r="BF163" s="36" t="str">
        <f t="shared" ref="BF163:BF231" si="395">IF((BE163&gt;=23),"S",IF(AND(BE163&lt;23),"R","NA"))</f>
        <v>R</v>
      </c>
      <c r="BG163" s="39" t="s">
        <v>357</v>
      </c>
      <c r="BH163" s="39" t="s">
        <v>357</v>
      </c>
      <c r="BI163" s="66">
        <v>18.0</v>
      </c>
      <c r="BJ163" s="36" t="str">
        <f t="shared" ref="BJ163:BJ231" si="396">IF((BI163&gt;=22),"S",IF(AND(BI163&lt;22,BI163&gt;=19),"I",IF(AND(BI163&lt;19),"R","NA")))</f>
        <v>R</v>
      </c>
      <c r="BK163" s="68">
        <v>6.0</v>
      </c>
      <c r="BL163" s="41" t="str">
        <f t="shared" ref="BL163:BL231" si="397">IF((BK163&gt;=17),"S",IF(AND(BK163&lt;17),"R", "NA"))</f>
        <v>R</v>
      </c>
      <c r="BM163" s="41"/>
    </row>
    <row r="164">
      <c r="A164" s="18" t="s">
        <v>855</v>
      </c>
      <c r="B164" s="19">
        <v>135.0</v>
      </c>
      <c r="C164" s="18" t="s">
        <v>1467</v>
      </c>
      <c r="D164" s="69" t="s">
        <v>190</v>
      </c>
      <c r="E164" s="18" t="s">
        <v>190</v>
      </c>
      <c r="F164" s="18" t="s">
        <v>192</v>
      </c>
      <c r="G164" s="63" t="s">
        <v>1468</v>
      </c>
      <c r="H164" s="42" t="s">
        <v>479</v>
      </c>
      <c r="I164" s="84" t="s">
        <v>37</v>
      </c>
      <c r="J164" s="81" t="s">
        <v>205</v>
      </c>
      <c r="K164" s="81" t="s">
        <v>205</v>
      </c>
      <c r="L164" s="81" t="s">
        <v>208</v>
      </c>
      <c r="M164" s="28">
        <v>6.0</v>
      </c>
      <c r="N164" s="26" t="str">
        <f t="shared" si="375"/>
        <v>R</v>
      </c>
      <c r="O164" s="28">
        <v>20.0</v>
      </c>
      <c r="P164" s="26" t="str">
        <f t="shared" si="376"/>
        <v>S</v>
      </c>
      <c r="Q164" s="28">
        <v>22.0</v>
      </c>
      <c r="R164" s="26" t="str">
        <f t="shared" si="377"/>
        <v>R</v>
      </c>
      <c r="S164" s="28">
        <v>19.0</v>
      </c>
      <c r="T164" s="26" t="str">
        <f t="shared" si="378"/>
        <v>R</v>
      </c>
      <c r="U164" s="28">
        <v>13.0</v>
      </c>
      <c r="V164" s="26" t="str">
        <f t="shared" si="379"/>
        <v>R</v>
      </c>
      <c r="W164" s="28">
        <v>25.0</v>
      </c>
      <c r="X164" s="26" t="str">
        <f t="shared" si="380"/>
        <v>S</v>
      </c>
      <c r="Y164" s="28">
        <v>18.0</v>
      </c>
      <c r="Z164" s="26" t="str">
        <f t="shared" si="381"/>
        <v>I</v>
      </c>
      <c r="AA164" s="32" t="s">
        <v>299</v>
      </c>
      <c r="AB164" s="65">
        <v>16.0</v>
      </c>
      <c r="AC164" s="33" t="str">
        <f t="shared" si="382"/>
        <v>R</v>
      </c>
      <c r="AD164" s="65">
        <v>21.0</v>
      </c>
      <c r="AE164" s="33" t="str">
        <f t="shared" si="383"/>
        <v>S</v>
      </c>
      <c r="AF164" s="65">
        <v>16.0</v>
      </c>
      <c r="AG164" s="33" t="str">
        <f t="shared" si="384"/>
        <v>R</v>
      </c>
      <c r="AH164" s="65">
        <v>6.0</v>
      </c>
      <c r="AI164" s="33" t="str">
        <f t="shared" si="385"/>
        <v>R</v>
      </c>
      <c r="AJ164" s="65">
        <v>6.0</v>
      </c>
      <c r="AK164" s="33" t="str">
        <f t="shared" si="386"/>
        <v>R</v>
      </c>
      <c r="AL164" s="65" t="s">
        <v>299</v>
      </c>
      <c r="AM164" s="66">
        <v>24.0</v>
      </c>
      <c r="AN164" s="36" t="str">
        <f t="shared" si="387"/>
        <v>I</v>
      </c>
      <c r="AO164" s="66">
        <v>20.0</v>
      </c>
      <c r="AP164" s="36" t="str">
        <f t="shared" si="388"/>
        <v>I</v>
      </c>
      <c r="AQ164" s="66">
        <v>18.0</v>
      </c>
      <c r="AR164" s="36" t="str">
        <f t="shared" si="389"/>
        <v>S</v>
      </c>
      <c r="AS164" s="66" t="s">
        <v>299</v>
      </c>
      <c r="AT164" s="67">
        <v>6.0</v>
      </c>
      <c r="AU164" s="37" t="str">
        <f t="shared" si="390"/>
        <v>R</v>
      </c>
      <c r="AV164" s="65">
        <v>18.0</v>
      </c>
      <c r="AW164" s="33" t="str">
        <f t="shared" si="391"/>
        <v>S</v>
      </c>
      <c r="AX164" s="65">
        <v>6.0</v>
      </c>
      <c r="AY164" s="33" t="str">
        <f t="shared" si="392"/>
        <v>R</v>
      </c>
      <c r="AZ164" s="65" t="s">
        <v>299</v>
      </c>
      <c r="BA164" s="28">
        <v>30.0</v>
      </c>
      <c r="BB164" s="26" t="str">
        <f t="shared" si="393"/>
        <v>S</v>
      </c>
      <c r="BC164" s="67">
        <v>6.0</v>
      </c>
      <c r="BD164" s="37" t="str">
        <f t="shared" si="394"/>
        <v>R</v>
      </c>
      <c r="BE164" s="66">
        <v>28.0</v>
      </c>
      <c r="BF164" s="36" t="str">
        <f t="shared" si="395"/>
        <v>S</v>
      </c>
      <c r="BG164" s="39" t="s">
        <v>357</v>
      </c>
      <c r="BH164" s="39" t="s">
        <v>357</v>
      </c>
      <c r="BI164" s="66">
        <v>30.0</v>
      </c>
      <c r="BJ164" s="36" t="str">
        <f t="shared" si="396"/>
        <v>S</v>
      </c>
      <c r="BK164" s="68">
        <v>20.0</v>
      </c>
      <c r="BL164" s="41" t="str">
        <f t="shared" si="397"/>
        <v>S</v>
      </c>
      <c r="BM164" s="41"/>
    </row>
    <row r="165">
      <c r="A165" s="18" t="s">
        <v>855</v>
      </c>
      <c r="B165" s="19">
        <v>136.0</v>
      </c>
      <c r="C165" s="18" t="s">
        <v>1473</v>
      </c>
      <c r="D165" s="69" t="s">
        <v>571</v>
      </c>
      <c r="E165" s="18" t="s">
        <v>572</v>
      </c>
      <c r="F165" s="18" t="s">
        <v>192</v>
      </c>
      <c r="G165" s="63" t="s">
        <v>1474</v>
      </c>
      <c r="H165" s="42" t="s">
        <v>479</v>
      </c>
      <c r="I165" s="84" t="s">
        <v>37</v>
      </c>
      <c r="J165" s="81" t="s">
        <v>205</v>
      </c>
      <c r="K165" s="81" t="s">
        <v>205</v>
      </c>
      <c r="L165" s="81" t="s">
        <v>208</v>
      </c>
      <c r="M165" s="28">
        <v>6.0</v>
      </c>
      <c r="N165" s="26" t="str">
        <f t="shared" si="375"/>
        <v>R</v>
      </c>
      <c r="O165" s="28">
        <v>6.0</v>
      </c>
      <c r="P165" s="26" t="str">
        <f t="shared" si="376"/>
        <v>R</v>
      </c>
      <c r="Q165" s="28">
        <v>6.0</v>
      </c>
      <c r="R165" s="26" t="str">
        <f t="shared" si="377"/>
        <v>R</v>
      </c>
      <c r="S165" s="28">
        <v>26.0</v>
      </c>
      <c r="T165" s="26" t="str">
        <f t="shared" si="378"/>
        <v>S</v>
      </c>
      <c r="U165" s="28">
        <v>12.0</v>
      </c>
      <c r="V165" s="26" t="str">
        <f t="shared" si="379"/>
        <v>R</v>
      </c>
      <c r="W165" s="28">
        <v>11.0</v>
      </c>
      <c r="X165" s="26" t="str">
        <f t="shared" si="380"/>
        <v>R</v>
      </c>
      <c r="Y165" s="28">
        <v>19.0</v>
      </c>
      <c r="Z165" s="26" t="str">
        <f t="shared" si="381"/>
        <v>I</v>
      </c>
      <c r="AA165" s="32" t="s">
        <v>299</v>
      </c>
      <c r="AB165" s="65">
        <v>6.0</v>
      </c>
      <c r="AC165" s="33" t="str">
        <f t="shared" si="382"/>
        <v>R</v>
      </c>
      <c r="AD165" s="65">
        <v>18.0</v>
      </c>
      <c r="AE165" s="33" t="str">
        <f t="shared" si="383"/>
        <v>S</v>
      </c>
      <c r="AF165" s="65">
        <v>6.0</v>
      </c>
      <c r="AG165" s="33" t="str">
        <f t="shared" si="384"/>
        <v>R</v>
      </c>
      <c r="AH165" s="65">
        <v>16.0</v>
      </c>
      <c r="AI165" s="33" t="str">
        <f t="shared" si="385"/>
        <v>S</v>
      </c>
      <c r="AJ165" s="65">
        <v>6.0</v>
      </c>
      <c r="AK165" s="33" t="str">
        <f t="shared" si="386"/>
        <v>R</v>
      </c>
      <c r="AL165" s="65" t="s">
        <v>299</v>
      </c>
      <c r="AM165" s="66">
        <v>23.0</v>
      </c>
      <c r="AN165" s="36" t="str">
        <f t="shared" si="387"/>
        <v>I</v>
      </c>
      <c r="AO165" s="66">
        <v>23.0</v>
      </c>
      <c r="AP165" s="36" t="str">
        <f t="shared" si="388"/>
        <v>S</v>
      </c>
      <c r="AQ165" s="66">
        <v>23.0</v>
      </c>
      <c r="AR165" s="36" t="str">
        <f t="shared" si="389"/>
        <v>S</v>
      </c>
      <c r="AS165" s="66" t="s">
        <v>299</v>
      </c>
      <c r="AT165" s="67">
        <v>6.0</v>
      </c>
      <c r="AU165" s="37" t="str">
        <f t="shared" si="390"/>
        <v>R</v>
      </c>
      <c r="AV165" s="65">
        <v>18.0</v>
      </c>
      <c r="AW165" s="33" t="str">
        <f t="shared" si="391"/>
        <v>S</v>
      </c>
      <c r="AX165" s="65">
        <v>13.0</v>
      </c>
      <c r="AY165" s="33" t="str">
        <f t="shared" si="392"/>
        <v>R</v>
      </c>
      <c r="AZ165" s="65" t="s">
        <v>299</v>
      </c>
      <c r="BA165" s="28">
        <v>20.0</v>
      </c>
      <c r="BB165" s="26" t="str">
        <f t="shared" si="393"/>
        <v>S</v>
      </c>
      <c r="BC165" s="67">
        <v>6.0</v>
      </c>
      <c r="BD165" s="37" t="str">
        <f t="shared" si="394"/>
        <v>R</v>
      </c>
      <c r="BE165" s="66">
        <v>16.0</v>
      </c>
      <c r="BF165" s="36" t="str">
        <f t="shared" si="395"/>
        <v>R</v>
      </c>
      <c r="BG165" s="39" t="s">
        <v>357</v>
      </c>
      <c r="BH165" s="39" t="s">
        <v>357</v>
      </c>
      <c r="BI165" s="66">
        <v>15.0</v>
      </c>
      <c r="BJ165" s="36" t="str">
        <f t="shared" si="396"/>
        <v>R</v>
      </c>
      <c r="BK165" s="68">
        <v>16.0</v>
      </c>
      <c r="BL165" s="41" t="str">
        <f t="shared" si="397"/>
        <v>R</v>
      </c>
      <c r="BM165" s="41"/>
    </row>
    <row r="166">
      <c r="A166" s="18" t="s">
        <v>859</v>
      </c>
      <c r="B166" s="19">
        <v>137.0</v>
      </c>
      <c r="C166" s="18" t="s">
        <v>1479</v>
      </c>
      <c r="D166" s="69" t="s">
        <v>190</v>
      </c>
      <c r="E166" s="18" t="s">
        <v>190</v>
      </c>
      <c r="F166" s="18" t="s">
        <v>192</v>
      </c>
      <c r="G166" s="63" t="s">
        <v>1480</v>
      </c>
      <c r="H166" s="42" t="s">
        <v>479</v>
      </c>
      <c r="I166" s="64" t="s">
        <v>481</v>
      </c>
      <c r="J166" s="70" t="s">
        <v>205</v>
      </c>
      <c r="K166" s="70" t="s">
        <v>208</v>
      </c>
      <c r="L166" s="70" t="s">
        <v>208</v>
      </c>
      <c r="M166" s="28">
        <v>9.0</v>
      </c>
      <c r="N166" s="26" t="str">
        <f t="shared" si="375"/>
        <v>R</v>
      </c>
      <c r="O166" s="28">
        <v>19.0</v>
      </c>
      <c r="P166" s="26" t="str">
        <f t="shared" si="376"/>
        <v>S</v>
      </c>
      <c r="Q166" s="28">
        <v>6.0</v>
      </c>
      <c r="R166" s="26" t="str">
        <f t="shared" si="377"/>
        <v>R</v>
      </c>
      <c r="S166" s="28">
        <v>15.0</v>
      </c>
      <c r="T166" s="26" t="str">
        <f t="shared" si="378"/>
        <v>R</v>
      </c>
      <c r="U166" s="28">
        <v>11.0</v>
      </c>
      <c r="V166" s="26" t="str">
        <f t="shared" si="379"/>
        <v>R</v>
      </c>
      <c r="W166" s="28">
        <v>23.0</v>
      </c>
      <c r="X166" s="26" t="str">
        <f t="shared" si="380"/>
        <v>S</v>
      </c>
      <c r="Y166" s="28">
        <v>20.0</v>
      </c>
      <c r="Z166" s="26" t="str">
        <f t="shared" si="381"/>
        <v>S</v>
      </c>
      <c r="AA166" s="32" t="s">
        <v>299</v>
      </c>
      <c r="AB166" s="65">
        <v>17.0</v>
      </c>
      <c r="AC166" s="33" t="str">
        <f t="shared" si="382"/>
        <v>I</v>
      </c>
      <c r="AD166" s="65">
        <v>24.0</v>
      </c>
      <c r="AE166" s="33" t="str">
        <f t="shared" si="383"/>
        <v>S</v>
      </c>
      <c r="AF166" s="65">
        <v>21.0</v>
      </c>
      <c r="AG166" s="33" t="str">
        <f t="shared" si="384"/>
        <v>I</v>
      </c>
      <c r="AH166" s="65">
        <v>24.0</v>
      </c>
      <c r="AI166" s="33" t="str">
        <f t="shared" si="385"/>
        <v>S</v>
      </c>
      <c r="AJ166" s="65">
        <v>23.0</v>
      </c>
      <c r="AK166" s="33" t="str">
        <f t="shared" si="386"/>
        <v>R</v>
      </c>
      <c r="AL166" s="65" t="s">
        <v>299</v>
      </c>
      <c r="AM166" s="66">
        <v>32.0</v>
      </c>
      <c r="AN166" s="36" t="str">
        <f t="shared" si="387"/>
        <v>S</v>
      </c>
      <c r="AO166" s="66">
        <v>26.0</v>
      </c>
      <c r="AP166" s="36" t="str">
        <f t="shared" si="388"/>
        <v>S</v>
      </c>
      <c r="AQ166" s="66">
        <v>26.0</v>
      </c>
      <c r="AR166" s="36" t="str">
        <f t="shared" si="389"/>
        <v>S</v>
      </c>
      <c r="AS166" s="36" t="s">
        <v>300</v>
      </c>
      <c r="AT166" s="67">
        <v>6.0</v>
      </c>
      <c r="AU166" s="37" t="str">
        <f t="shared" si="390"/>
        <v>R</v>
      </c>
      <c r="AV166" s="65">
        <v>24.0</v>
      </c>
      <c r="AW166" s="33" t="str">
        <f t="shared" si="391"/>
        <v>S</v>
      </c>
      <c r="AX166" s="65">
        <v>24.0</v>
      </c>
      <c r="AY166" s="33" t="str">
        <f t="shared" si="392"/>
        <v>S</v>
      </c>
      <c r="AZ166" s="33" t="s">
        <v>300</v>
      </c>
      <c r="BA166" s="28">
        <v>6.0</v>
      </c>
      <c r="BB166" s="26" t="str">
        <f t="shared" si="393"/>
        <v>R</v>
      </c>
      <c r="BC166" s="67">
        <v>26.0</v>
      </c>
      <c r="BD166" s="37" t="str">
        <f t="shared" si="394"/>
        <v>S</v>
      </c>
      <c r="BE166" s="66">
        <v>34.0</v>
      </c>
      <c r="BF166" s="36" t="str">
        <f t="shared" si="395"/>
        <v>S</v>
      </c>
      <c r="BG166" s="39" t="s">
        <v>357</v>
      </c>
      <c r="BH166" s="39" t="s">
        <v>357</v>
      </c>
      <c r="BI166" s="66">
        <v>27.0</v>
      </c>
      <c r="BJ166" s="36" t="str">
        <f t="shared" si="396"/>
        <v>S</v>
      </c>
      <c r="BK166" s="68">
        <v>23.0</v>
      </c>
      <c r="BL166" s="41" t="str">
        <f t="shared" si="397"/>
        <v>S</v>
      </c>
      <c r="BM166" s="41"/>
    </row>
    <row r="167">
      <c r="A167" s="18" t="s">
        <v>861</v>
      </c>
      <c r="B167" s="19">
        <v>138.0</v>
      </c>
      <c r="C167" s="18" t="s">
        <v>1485</v>
      </c>
      <c r="D167" s="69" t="s">
        <v>190</v>
      </c>
      <c r="E167" s="18" t="s">
        <v>190</v>
      </c>
      <c r="F167" s="18" t="s">
        <v>192</v>
      </c>
      <c r="G167" s="63" t="s">
        <v>1486</v>
      </c>
      <c r="H167" s="22" t="s">
        <v>198</v>
      </c>
      <c r="I167" s="64" t="s">
        <v>816</v>
      </c>
      <c r="J167" s="81" t="s">
        <v>205</v>
      </c>
      <c r="K167" s="81" t="s">
        <v>205</v>
      </c>
      <c r="L167" s="71" t="s">
        <v>205</v>
      </c>
      <c r="M167" s="28">
        <v>6.0</v>
      </c>
      <c r="N167" s="26" t="str">
        <f t="shared" si="375"/>
        <v>R</v>
      </c>
      <c r="O167" s="28">
        <v>15.0</v>
      </c>
      <c r="P167" s="26" t="str">
        <f t="shared" si="376"/>
        <v>R</v>
      </c>
      <c r="Q167" s="28">
        <v>6.0</v>
      </c>
      <c r="R167" s="26" t="str">
        <f t="shared" si="377"/>
        <v>R</v>
      </c>
      <c r="S167" s="28">
        <v>22.0</v>
      </c>
      <c r="T167" s="26" t="str">
        <f t="shared" si="378"/>
        <v>I</v>
      </c>
      <c r="U167" s="28">
        <v>6.0</v>
      </c>
      <c r="V167" s="26" t="str">
        <f t="shared" si="379"/>
        <v>R</v>
      </c>
      <c r="W167" s="28">
        <v>15.0</v>
      </c>
      <c r="X167" s="26" t="str">
        <f t="shared" si="380"/>
        <v>R</v>
      </c>
      <c r="Y167" s="28">
        <v>18.0</v>
      </c>
      <c r="Z167" s="26" t="str">
        <f t="shared" si="381"/>
        <v>I</v>
      </c>
      <c r="AA167" s="32" t="s">
        <v>299</v>
      </c>
      <c r="AB167" s="65">
        <v>12.0</v>
      </c>
      <c r="AC167" s="33" t="str">
        <f t="shared" si="382"/>
        <v>R</v>
      </c>
      <c r="AD167" s="65">
        <v>18.0</v>
      </c>
      <c r="AE167" s="33" t="str">
        <f t="shared" si="383"/>
        <v>S</v>
      </c>
      <c r="AF167" s="65">
        <v>6.0</v>
      </c>
      <c r="AG167" s="33" t="str">
        <f t="shared" si="384"/>
        <v>R</v>
      </c>
      <c r="AH167" s="65">
        <v>18.0</v>
      </c>
      <c r="AI167" s="33" t="str">
        <f t="shared" si="385"/>
        <v>S</v>
      </c>
      <c r="AJ167" s="65">
        <v>16.0</v>
      </c>
      <c r="AK167" s="33" t="str">
        <f t="shared" si="386"/>
        <v>R</v>
      </c>
      <c r="AL167" s="65" t="s">
        <v>299</v>
      </c>
      <c r="AM167" s="66">
        <v>12.0</v>
      </c>
      <c r="AN167" s="36" t="str">
        <f t="shared" si="387"/>
        <v>R</v>
      </c>
      <c r="AO167" s="66">
        <v>17.0</v>
      </c>
      <c r="AP167" s="36" t="str">
        <f t="shared" si="388"/>
        <v>R</v>
      </c>
      <c r="AQ167" s="66">
        <v>6.0</v>
      </c>
      <c r="AR167" s="36" t="str">
        <f t="shared" si="389"/>
        <v>R</v>
      </c>
      <c r="AS167" s="66" t="s">
        <v>299</v>
      </c>
      <c r="AT167" s="67">
        <v>6.0</v>
      </c>
      <c r="AU167" s="37" t="str">
        <f t="shared" si="390"/>
        <v>R</v>
      </c>
      <c r="AV167" s="65">
        <v>21.0</v>
      </c>
      <c r="AW167" s="33" t="str">
        <f t="shared" si="391"/>
        <v>S</v>
      </c>
      <c r="AX167" s="65">
        <v>15.0</v>
      </c>
      <c r="AY167" s="33" t="str">
        <f t="shared" si="392"/>
        <v>R</v>
      </c>
      <c r="AZ167" s="65" t="s">
        <v>299</v>
      </c>
      <c r="BA167" s="28">
        <v>9.0</v>
      </c>
      <c r="BB167" s="26" t="str">
        <f t="shared" si="393"/>
        <v>R</v>
      </c>
      <c r="BC167" s="67">
        <v>10.0</v>
      </c>
      <c r="BD167" s="37" t="str">
        <f t="shared" si="394"/>
        <v>R</v>
      </c>
      <c r="BE167" s="66">
        <v>21.0</v>
      </c>
      <c r="BF167" s="36" t="str">
        <f t="shared" si="395"/>
        <v>R</v>
      </c>
      <c r="BG167" s="39" t="s">
        <v>357</v>
      </c>
      <c r="BH167" s="39" t="s">
        <v>357</v>
      </c>
      <c r="BI167" s="66">
        <v>19.0</v>
      </c>
      <c r="BJ167" s="36" t="str">
        <f t="shared" si="396"/>
        <v>I</v>
      </c>
      <c r="BK167" s="68">
        <v>11.0</v>
      </c>
      <c r="BL167" s="41" t="str">
        <f t="shared" si="397"/>
        <v>R</v>
      </c>
      <c r="BM167" s="41"/>
    </row>
    <row r="168">
      <c r="A168" s="18" t="s">
        <v>861</v>
      </c>
      <c r="B168" s="19">
        <v>139.0</v>
      </c>
      <c r="C168" s="18" t="s">
        <v>1491</v>
      </c>
      <c r="D168" s="69" t="s">
        <v>571</v>
      </c>
      <c r="E168" s="18" t="s">
        <v>572</v>
      </c>
      <c r="F168" s="18" t="s">
        <v>192</v>
      </c>
      <c r="G168" s="63" t="s">
        <v>1492</v>
      </c>
      <c r="H168" s="22" t="s">
        <v>198</v>
      </c>
      <c r="I168" s="84" t="s">
        <v>37</v>
      </c>
      <c r="J168" s="81" t="s">
        <v>205</v>
      </c>
      <c r="K168" s="81" t="s">
        <v>205</v>
      </c>
      <c r="L168" s="81" t="s">
        <v>208</v>
      </c>
      <c r="M168" s="28">
        <v>6.0</v>
      </c>
      <c r="N168" s="26" t="str">
        <f t="shared" si="375"/>
        <v>R</v>
      </c>
      <c r="O168" s="28">
        <v>18.0</v>
      </c>
      <c r="P168" s="26" t="str">
        <f t="shared" si="376"/>
        <v>R</v>
      </c>
      <c r="Q168" s="28">
        <v>6.0</v>
      </c>
      <c r="R168" s="26" t="str">
        <f t="shared" si="377"/>
        <v>R</v>
      </c>
      <c r="S168" s="28">
        <v>20.0</v>
      </c>
      <c r="T168" s="26" t="str">
        <f t="shared" si="378"/>
        <v>I</v>
      </c>
      <c r="U168" s="28">
        <v>6.0</v>
      </c>
      <c r="V168" s="26" t="str">
        <f t="shared" si="379"/>
        <v>R</v>
      </c>
      <c r="W168" s="28">
        <v>20.0</v>
      </c>
      <c r="X168" s="26" t="str">
        <f t="shared" si="380"/>
        <v>S</v>
      </c>
      <c r="Y168" s="28">
        <v>15.0</v>
      </c>
      <c r="Z168" s="26" t="str">
        <f t="shared" si="381"/>
        <v>R</v>
      </c>
      <c r="AA168" s="32" t="s">
        <v>299</v>
      </c>
      <c r="AB168" s="65">
        <v>6.0</v>
      </c>
      <c r="AC168" s="33" t="str">
        <f t="shared" si="382"/>
        <v>R</v>
      </c>
      <c r="AD168" s="65">
        <v>19.0</v>
      </c>
      <c r="AE168" s="33" t="str">
        <f t="shared" si="383"/>
        <v>S</v>
      </c>
      <c r="AF168" s="65">
        <v>6.0</v>
      </c>
      <c r="AG168" s="33" t="str">
        <f t="shared" si="384"/>
        <v>R</v>
      </c>
      <c r="AH168" s="65">
        <v>21.0</v>
      </c>
      <c r="AI168" s="33" t="str">
        <f t="shared" si="385"/>
        <v>S</v>
      </c>
      <c r="AJ168" s="65">
        <v>6.0</v>
      </c>
      <c r="AK168" s="33" t="str">
        <f t="shared" si="386"/>
        <v>R</v>
      </c>
      <c r="AL168" s="65" t="s">
        <v>299</v>
      </c>
      <c r="AM168" s="66">
        <v>6.0</v>
      </c>
      <c r="AN168" s="36" t="str">
        <f t="shared" si="387"/>
        <v>R</v>
      </c>
      <c r="AO168" s="66">
        <v>6.0</v>
      </c>
      <c r="AP168" s="36" t="str">
        <f t="shared" si="388"/>
        <v>R</v>
      </c>
      <c r="AQ168" s="66">
        <v>6.0</v>
      </c>
      <c r="AR168" s="36" t="str">
        <f t="shared" si="389"/>
        <v>R</v>
      </c>
      <c r="AS168" s="66" t="s">
        <v>299</v>
      </c>
      <c r="AT168" s="67">
        <v>6.0</v>
      </c>
      <c r="AU168" s="37" t="str">
        <f t="shared" si="390"/>
        <v>R</v>
      </c>
      <c r="AV168" s="65">
        <v>20.0</v>
      </c>
      <c r="AW168" s="33" t="str">
        <f t="shared" si="391"/>
        <v>S</v>
      </c>
      <c r="AX168" s="65">
        <v>19.0</v>
      </c>
      <c r="AY168" s="33" t="str">
        <f t="shared" si="392"/>
        <v>S</v>
      </c>
      <c r="AZ168" s="33" t="s">
        <v>300</v>
      </c>
      <c r="BA168" s="28">
        <v>6.0</v>
      </c>
      <c r="BB168" s="26" t="str">
        <f t="shared" si="393"/>
        <v>R</v>
      </c>
      <c r="BC168" s="67">
        <v>15.0</v>
      </c>
      <c r="BD168" s="37" t="str">
        <f t="shared" si="394"/>
        <v>R</v>
      </c>
      <c r="BE168" s="66">
        <v>27.0</v>
      </c>
      <c r="BF168" s="36" t="str">
        <f t="shared" si="395"/>
        <v>S</v>
      </c>
      <c r="BG168" s="39" t="s">
        <v>357</v>
      </c>
      <c r="BH168" s="39" t="s">
        <v>357</v>
      </c>
      <c r="BI168" s="66">
        <v>27.0</v>
      </c>
      <c r="BJ168" s="36" t="str">
        <f t="shared" si="396"/>
        <v>S</v>
      </c>
      <c r="BK168" s="68">
        <v>21.0</v>
      </c>
      <c r="BL168" s="41" t="str">
        <f t="shared" si="397"/>
        <v>S</v>
      </c>
      <c r="BM168" s="41"/>
    </row>
    <row r="169">
      <c r="A169" s="18" t="s">
        <v>862</v>
      </c>
      <c r="B169" s="19">
        <v>140.0</v>
      </c>
      <c r="C169" s="18" t="s">
        <v>1497</v>
      </c>
      <c r="D169" s="69" t="s">
        <v>190</v>
      </c>
      <c r="E169" s="18" t="s">
        <v>190</v>
      </c>
      <c r="F169" s="18" t="s">
        <v>192</v>
      </c>
      <c r="G169" s="63" t="s">
        <v>1498</v>
      </c>
      <c r="H169" s="22" t="s">
        <v>198</v>
      </c>
      <c r="I169" s="84" t="s">
        <v>37</v>
      </c>
      <c r="J169" s="81" t="s">
        <v>205</v>
      </c>
      <c r="K169" s="81" t="s">
        <v>205</v>
      </c>
      <c r="L169" s="81" t="s">
        <v>208</v>
      </c>
      <c r="M169" s="28">
        <v>6.0</v>
      </c>
      <c r="N169" s="26" t="str">
        <f t="shared" si="375"/>
        <v>R</v>
      </c>
      <c r="O169" s="28">
        <v>18.0</v>
      </c>
      <c r="P169" s="26" t="str">
        <f t="shared" si="376"/>
        <v>R</v>
      </c>
      <c r="Q169" s="28">
        <v>6.0</v>
      </c>
      <c r="R169" s="26" t="str">
        <f t="shared" si="377"/>
        <v>R</v>
      </c>
      <c r="S169" s="28">
        <v>25.0</v>
      </c>
      <c r="T169" s="26" t="str">
        <f t="shared" si="378"/>
        <v>S</v>
      </c>
      <c r="U169" s="28">
        <v>6.0</v>
      </c>
      <c r="V169" s="26" t="str">
        <f t="shared" si="379"/>
        <v>R</v>
      </c>
      <c r="W169" s="28">
        <v>20.0</v>
      </c>
      <c r="X169" s="26" t="str">
        <f t="shared" si="380"/>
        <v>S</v>
      </c>
      <c r="Y169" s="28">
        <v>18.0</v>
      </c>
      <c r="Z169" s="26" t="str">
        <f t="shared" si="381"/>
        <v>I</v>
      </c>
      <c r="AA169" s="32" t="s">
        <v>299</v>
      </c>
      <c r="AB169" s="65">
        <v>6.0</v>
      </c>
      <c r="AC169" s="33" t="str">
        <f t="shared" si="382"/>
        <v>R</v>
      </c>
      <c r="AD169" s="65">
        <v>27.0</v>
      </c>
      <c r="AE169" s="33" t="str">
        <f t="shared" si="383"/>
        <v>S</v>
      </c>
      <c r="AF169" s="65">
        <v>9.0</v>
      </c>
      <c r="AG169" s="33" t="str">
        <f t="shared" si="384"/>
        <v>R</v>
      </c>
      <c r="AH169" s="65">
        <v>20.0</v>
      </c>
      <c r="AI169" s="33" t="str">
        <f t="shared" si="385"/>
        <v>S</v>
      </c>
      <c r="AJ169" s="65">
        <v>6.0</v>
      </c>
      <c r="AK169" s="33" t="str">
        <f t="shared" si="386"/>
        <v>R</v>
      </c>
      <c r="AL169" s="65" t="s">
        <v>299</v>
      </c>
      <c r="AM169" s="66">
        <v>6.0</v>
      </c>
      <c r="AN169" s="36" t="str">
        <f t="shared" si="387"/>
        <v>R</v>
      </c>
      <c r="AO169" s="66">
        <v>11.0</v>
      </c>
      <c r="AP169" s="36" t="str">
        <f t="shared" si="388"/>
        <v>R</v>
      </c>
      <c r="AQ169" s="66">
        <v>9.0</v>
      </c>
      <c r="AR169" s="36" t="str">
        <f t="shared" si="389"/>
        <v>R</v>
      </c>
      <c r="AS169" s="66" t="s">
        <v>299</v>
      </c>
      <c r="AT169" s="67">
        <v>10.0</v>
      </c>
      <c r="AU169" s="37" t="str">
        <f t="shared" si="390"/>
        <v>R</v>
      </c>
      <c r="AV169" s="65">
        <v>18.0</v>
      </c>
      <c r="AW169" s="33" t="str">
        <f t="shared" si="391"/>
        <v>S</v>
      </c>
      <c r="AX169" s="65">
        <v>14.0</v>
      </c>
      <c r="AY169" s="33" t="str">
        <f t="shared" si="392"/>
        <v>R</v>
      </c>
      <c r="AZ169" s="65" t="s">
        <v>299</v>
      </c>
      <c r="BA169" s="28">
        <v>6.0</v>
      </c>
      <c r="BB169" s="26" t="str">
        <f t="shared" si="393"/>
        <v>R</v>
      </c>
      <c r="BC169" s="67">
        <v>11.0</v>
      </c>
      <c r="BD169" s="37" t="str">
        <f t="shared" si="394"/>
        <v>R</v>
      </c>
      <c r="BE169" s="66">
        <v>25.0</v>
      </c>
      <c r="BF169" s="36" t="str">
        <f t="shared" si="395"/>
        <v>S</v>
      </c>
      <c r="BG169" s="39" t="s">
        <v>357</v>
      </c>
      <c r="BH169" s="39" t="s">
        <v>357</v>
      </c>
      <c r="BI169" s="66">
        <v>26.0</v>
      </c>
      <c r="BJ169" s="36" t="str">
        <f t="shared" si="396"/>
        <v>S</v>
      </c>
      <c r="BK169" s="68">
        <v>9.0</v>
      </c>
      <c r="BL169" s="41" t="str">
        <f t="shared" si="397"/>
        <v>R</v>
      </c>
      <c r="BM169" s="41"/>
    </row>
    <row r="170">
      <c r="A170" s="18" t="s">
        <v>862</v>
      </c>
      <c r="B170" s="19">
        <v>141.0</v>
      </c>
      <c r="C170" s="18" t="s">
        <v>1503</v>
      </c>
      <c r="D170" s="69" t="s">
        <v>190</v>
      </c>
      <c r="E170" s="18" t="s">
        <v>190</v>
      </c>
      <c r="F170" s="18" t="s">
        <v>192</v>
      </c>
      <c r="G170" s="63" t="s">
        <v>1504</v>
      </c>
      <c r="H170" s="42" t="s">
        <v>479</v>
      </c>
      <c r="I170" s="64" t="s">
        <v>816</v>
      </c>
      <c r="J170" s="81" t="s">
        <v>205</v>
      </c>
      <c r="K170" s="81" t="s">
        <v>205</v>
      </c>
      <c r="L170" s="71" t="s">
        <v>205</v>
      </c>
      <c r="M170" s="28">
        <v>6.0</v>
      </c>
      <c r="N170" s="26" t="str">
        <f t="shared" si="375"/>
        <v>R</v>
      </c>
      <c r="O170" s="28">
        <v>20.0</v>
      </c>
      <c r="P170" s="26" t="str">
        <f t="shared" si="376"/>
        <v>S</v>
      </c>
      <c r="Q170" s="28">
        <v>6.0</v>
      </c>
      <c r="R170" s="26" t="str">
        <f t="shared" si="377"/>
        <v>R</v>
      </c>
      <c r="S170" s="28">
        <v>20.0</v>
      </c>
      <c r="T170" s="26" t="str">
        <f t="shared" si="378"/>
        <v>I</v>
      </c>
      <c r="U170" s="28">
        <v>6.0</v>
      </c>
      <c r="V170" s="26" t="str">
        <f t="shared" si="379"/>
        <v>R</v>
      </c>
      <c r="W170" s="28">
        <v>21.0</v>
      </c>
      <c r="X170" s="26" t="str">
        <f t="shared" si="380"/>
        <v>S</v>
      </c>
      <c r="Y170" s="28">
        <v>12.0</v>
      </c>
      <c r="Z170" s="26" t="str">
        <f t="shared" si="381"/>
        <v>R</v>
      </c>
      <c r="AA170" s="32" t="s">
        <v>299</v>
      </c>
      <c r="AB170" s="65">
        <v>11.0</v>
      </c>
      <c r="AC170" s="33" t="str">
        <f t="shared" si="382"/>
        <v>R</v>
      </c>
      <c r="AD170" s="65">
        <v>20.0</v>
      </c>
      <c r="AE170" s="33" t="str">
        <f t="shared" si="383"/>
        <v>S</v>
      </c>
      <c r="AF170" s="65">
        <v>6.0</v>
      </c>
      <c r="AG170" s="33" t="str">
        <f t="shared" si="384"/>
        <v>R</v>
      </c>
      <c r="AH170" s="65">
        <v>21.0</v>
      </c>
      <c r="AI170" s="33" t="str">
        <f t="shared" si="385"/>
        <v>S</v>
      </c>
      <c r="AJ170" s="65">
        <v>14.0</v>
      </c>
      <c r="AK170" s="33" t="str">
        <f t="shared" si="386"/>
        <v>R</v>
      </c>
      <c r="AL170" s="65" t="s">
        <v>299</v>
      </c>
      <c r="AM170" s="66">
        <v>6.0</v>
      </c>
      <c r="AN170" s="36" t="str">
        <f t="shared" si="387"/>
        <v>R</v>
      </c>
      <c r="AO170" s="66">
        <v>9.0</v>
      </c>
      <c r="AP170" s="36" t="str">
        <f t="shared" si="388"/>
        <v>R</v>
      </c>
      <c r="AQ170" s="66">
        <v>6.0</v>
      </c>
      <c r="AR170" s="36" t="str">
        <f t="shared" si="389"/>
        <v>R</v>
      </c>
      <c r="AS170" s="66" t="s">
        <v>299</v>
      </c>
      <c r="AT170" s="67">
        <v>6.0</v>
      </c>
      <c r="AU170" s="37" t="str">
        <f t="shared" si="390"/>
        <v>R</v>
      </c>
      <c r="AV170" s="65">
        <v>18.0</v>
      </c>
      <c r="AW170" s="33" t="str">
        <f t="shared" si="391"/>
        <v>S</v>
      </c>
      <c r="AX170" s="65">
        <v>18.0</v>
      </c>
      <c r="AY170" s="33" t="str">
        <f t="shared" si="392"/>
        <v>S</v>
      </c>
      <c r="AZ170" s="33" t="s">
        <v>300</v>
      </c>
      <c r="BA170" s="28">
        <v>12.0</v>
      </c>
      <c r="BB170" s="26" t="str">
        <f t="shared" si="393"/>
        <v>R</v>
      </c>
      <c r="BC170" s="67">
        <v>10.0</v>
      </c>
      <c r="BD170" s="37" t="str">
        <f t="shared" si="394"/>
        <v>R</v>
      </c>
      <c r="BE170" s="66">
        <v>21.0</v>
      </c>
      <c r="BF170" s="36" t="str">
        <f t="shared" si="395"/>
        <v>R</v>
      </c>
      <c r="BG170" s="39" t="s">
        <v>357</v>
      </c>
      <c r="BH170" s="39" t="s">
        <v>357</v>
      </c>
      <c r="BI170" s="66">
        <v>17.0</v>
      </c>
      <c r="BJ170" s="36" t="str">
        <f t="shared" si="396"/>
        <v>R</v>
      </c>
      <c r="BK170" s="68">
        <v>20.0</v>
      </c>
      <c r="BL170" s="41" t="str">
        <f t="shared" si="397"/>
        <v>S</v>
      </c>
      <c r="BM170" s="41"/>
    </row>
    <row r="171">
      <c r="A171" s="18" t="s">
        <v>862</v>
      </c>
      <c r="B171" s="19">
        <v>142.0</v>
      </c>
      <c r="C171" s="18" t="s">
        <v>1509</v>
      </c>
      <c r="D171" s="62" t="s">
        <v>705</v>
      </c>
      <c r="E171" s="18" t="s">
        <v>572</v>
      </c>
      <c r="F171" s="18" t="s">
        <v>192</v>
      </c>
      <c r="G171" s="63" t="s">
        <v>1510</v>
      </c>
      <c r="H171" s="42" t="s">
        <v>479</v>
      </c>
      <c r="I171" s="84" t="s">
        <v>37</v>
      </c>
      <c r="J171" s="81" t="s">
        <v>205</v>
      </c>
      <c r="K171" s="81" t="s">
        <v>205</v>
      </c>
      <c r="L171" s="81" t="s">
        <v>208</v>
      </c>
      <c r="M171" s="28">
        <v>6.0</v>
      </c>
      <c r="N171" s="26" t="str">
        <f t="shared" si="375"/>
        <v>R</v>
      </c>
      <c r="O171" s="28">
        <v>16.0</v>
      </c>
      <c r="P171" s="26" t="str">
        <f t="shared" si="376"/>
        <v>R</v>
      </c>
      <c r="Q171" s="28">
        <v>6.0</v>
      </c>
      <c r="R171" s="26" t="str">
        <f t="shared" si="377"/>
        <v>R</v>
      </c>
      <c r="S171" s="28">
        <v>22.0</v>
      </c>
      <c r="T171" s="26" t="str">
        <f t="shared" si="378"/>
        <v>I</v>
      </c>
      <c r="U171" s="28">
        <v>6.0</v>
      </c>
      <c r="V171" s="26" t="str">
        <f t="shared" si="379"/>
        <v>R</v>
      </c>
      <c r="W171" s="28">
        <v>16.0</v>
      </c>
      <c r="X171" s="26" t="str">
        <f t="shared" si="380"/>
        <v>R</v>
      </c>
      <c r="Y171" s="28">
        <v>15.0</v>
      </c>
      <c r="Z171" s="26" t="str">
        <f t="shared" si="381"/>
        <v>R</v>
      </c>
      <c r="AA171" s="32" t="s">
        <v>299</v>
      </c>
      <c r="AB171" s="65">
        <v>6.0</v>
      </c>
      <c r="AC171" s="33" t="str">
        <f t="shared" si="382"/>
        <v>R</v>
      </c>
      <c r="AD171" s="65">
        <v>18.0</v>
      </c>
      <c r="AE171" s="33" t="str">
        <f t="shared" si="383"/>
        <v>S</v>
      </c>
      <c r="AF171" s="65">
        <v>6.0</v>
      </c>
      <c r="AG171" s="33" t="str">
        <f t="shared" si="384"/>
        <v>R</v>
      </c>
      <c r="AH171" s="65">
        <v>16.0</v>
      </c>
      <c r="AI171" s="33" t="str">
        <f t="shared" si="385"/>
        <v>S</v>
      </c>
      <c r="AJ171" s="65">
        <v>6.0</v>
      </c>
      <c r="AK171" s="33" t="str">
        <f t="shared" si="386"/>
        <v>R</v>
      </c>
      <c r="AL171" s="65" t="s">
        <v>299</v>
      </c>
      <c r="AM171" s="66">
        <v>10.0</v>
      </c>
      <c r="AN171" s="36" t="str">
        <f t="shared" si="387"/>
        <v>R</v>
      </c>
      <c r="AO171" s="66">
        <v>14.0</v>
      </c>
      <c r="AP171" s="36" t="str">
        <f t="shared" si="388"/>
        <v>R</v>
      </c>
      <c r="AQ171" s="66">
        <v>16.0</v>
      </c>
      <c r="AR171" s="36" t="str">
        <f t="shared" si="389"/>
        <v>S</v>
      </c>
      <c r="AS171" s="66" t="s">
        <v>299</v>
      </c>
      <c r="AT171" s="67">
        <v>6.0</v>
      </c>
      <c r="AU171" s="37" t="str">
        <f t="shared" si="390"/>
        <v>R</v>
      </c>
      <c r="AV171" s="65">
        <v>12.0</v>
      </c>
      <c r="AW171" s="33" t="str">
        <f t="shared" si="391"/>
        <v>R</v>
      </c>
      <c r="AX171" s="65">
        <v>10.0</v>
      </c>
      <c r="AY171" s="33" t="str">
        <f t="shared" si="392"/>
        <v>R</v>
      </c>
      <c r="AZ171" s="65" t="s">
        <v>299</v>
      </c>
      <c r="BA171" s="28">
        <v>17.0</v>
      </c>
      <c r="BB171" s="26" t="str">
        <f t="shared" si="393"/>
        <v>R</v>
      </c>
      <c r="BC171" s="67">
        <v>13.0</v>
      </c>
      <c r="BD171" s="37" t="str">
        <f t="shared" si="394"/>
        <v>R</v>
      </c>
      <c r="BE171" s="66">
        <v>19.0</v>
      </c>
      <c r="BF171" s="36" t="str">
        <f t="shared" si="395"/>
        <v>R</v>
      </c>
      <c r="BG171" s="39" t="s">
        <v>357</v>
      </c>
      <c r="BH171" s="39" t="s">
        <v>357</v>
      </c>
      <c r="BI171" s="66">
        <v>19.0</v>
      </c>
      <c r="BJ171" s="36" t="str">
        <f t="shared" si="396"/>
        <v>I</v>
      </c>
      <c r="BK171" s="68">
        <v>16.0</v>
      </c>
      <c r="BL171" s="41" t="str">
        <f t="shared" si="397"/>
        <v>R</v>
      </c>
      <c r="BM171" s="41"/>
    </row>
    <row r="172">
      <c r="A172" s="18" t="s">
        <v>862</v>
      </c>
      <c r="B172" s="19">
        <v>143.0</v>
      </c>
      <c r="C172" s="18" t="s">
        <v>1515</v>
      </c>
      <c r="D172" s="62" t="s">
        <v>555</v>
      </c>
      <c r="E172" s="18" t="s">
        <v>103</v>
      </c>
      <c r="F172" s="18" t="s">
        <v>192</v>
      </c>
      <c r="G172" s="63" t="s">
        <v>1516</v>
      </c>
      <c r="H172" s="42" t="s">
        <v>479</v>
      </c>
      <c r="I172" s="64" t="s">
        <v>41</v>
      </c>
      <c r="J172" s="70" t="s">
        <v>205</v>
      </c>
      <c r="K172" s="71" t="s">
        <v>208</v>
      </c>
      <c r="L172" s="71" t="s">
        <v>205</v>
      </c>
      <c r="M172" s="28">
        <v>14.0</v>
      </c>
      <c r="N172" s="26" t="str">
        <f t="shared" si="375"/>
        <v>R</v>
      </c>
      <c r="O172" s="28">
        <v>14.0</v>
      </c>
      <c r="P172" s="26" t="str">
        <f t="shared" si="376"/>
        <v>R</v>
      </c>
      <c r="Q172" s="28">
        <v>20.0</v>
      </c>
      <c r="R172" s="26" t="str">
        <f t="shared" si="377"/>
        <v>R</v>
      </c>
      <c r="S172" s="28">
        <v>18.0</v>
      </c>
      <c r="T172" s="26" t="str">
        <f t="shared" si="378"/>
        <v>R</v>
      </c>
      <c r="U172" s="28">
        <v>6.0</v>
      </c>
      <c r="V172" s="26" t="str">
        <f t="shared" si="379"/>
        <v>R</v>
      </c>
      <c r="W172" s="28">
        <v>19.0</v>
      </c>
      <c r="X172" s="26" t="str">
        <f t="shared" si="380"/>
        <v>R</v>
      </c>
      <c r="Y172" s="28">
        <v>9.0</v>
      </c>
      <c r="Z172" s="26" t="str">
        <f t="shared" si="381"/>
        <v>R</v>
      </c>
      <c r="AA172" s="32" t="s">
        <v>299</v>
      </c>
      <c r="AB172" s="65">
        <v>12.0</v>
      </c>
      <c r="AC172" s="33" t="str">
        <f t="shared" si="382"/>
        <v>R</v>
      </c>
      <c r="AD172" s="65">
        <v>12.0</v>
      </c>
      <c r="AE172" s="33" t="str">
        <f t="shared" si="383"/>
        <v>R</v>
      </c>
      <c r="AF172" s="65">
        <v>9.0</v>
      </c>
      <c r="AG172" s="33" t="str">
        <f t="shared" si="384"/>
        <v>R</v>
      </c>
      <c r="AH172" s="65">
        <v>16.0</v>
      </c>
      <c r="AI172" s="33" t="str">
        <f t="shared" si="385"/>
        <v>S</v>
      </c>
      <c r="AJ172" s="65">
        <v>14.0</v>
      </c>
      <c r="AK172" s="33" t="str">
        <f t="shared" si="386"/>
        <v>R</v>
      </c>
      <c r="AL172" s="65" t="s">
        <v>299</v>
      </c>
      <c r="AM172" s="66">
        <v>19.0</v>
      </c>
      <c r="AN172" s="36" t="str">
        <f t="shared" si="387"/>
        <v>R</v>
      </c>
      <c r="AO172" s="66">
        <v>19.0</v>
      </c>
      <c r="AP172" s="36" t="str">
        <f t="shared" si="388"/>
        <v>I</v>
      </c>
      <c r="AQ172" s="66">
        <v>18.0</v>
      </c>
      <c r="AR172" s="36" t="str">
        <f t="shared" si="389"/>
        <v>S</v>
      </c>
      <c r="AS172" s="66" t="s">
        <v>299</v>
      </c>
      <c r="AT172" s="67">
        <v>11.0</v>
      </c>
      <c r="AU172" s="37" t="str">
        <f t="shared" si="390"/>
        <v>I</v>
      </c>
      <c r="AV172" s="65">
        <v>17.0</v>
      </c>
      <c r="AW172" s="33" t="str">
        <f t="shared" si="391"/>
        <v>R</v>
      </c>
      <c r="AX172" s="65">
        <v>16.0</v>
      </c>
      <c r="AY172" s="33" t="str">
        <f t="shared" si="392"/>
        <v>S</v>
      </c>
      <c r="AZ172" s="65" t="s">
        <v>299</v>
      </c>
      <c r="BA172" s="28">
        <v>19.0</v>
      </c>
      <c r="BB172" s="26" t="str">
        <f t="shared" si="393"/>
        <v>R</v>
      </c>
      <c r="BC172" s="67">
        <v>10.0</v>
      </c>
      <c r="BD172" s="37" t="str">
        <f t="shared" si="394"/>
        <v>R</v>
      </c>
      <c r="BE172" s="66">
        <v>20.0</v>
      </c>
      <c r="BF172" s="36" t="str">
        <f t="shared" si="395"/>
        <v>R</v>
      </c>
      <c r="BG172" s="39" t="s">
        <v>357</v>
      </c>
      <c r="BH172" s="39" t="s">
        <v>357</v>
      </c>
      <c r="BI172" s="66">
        <v>20.0</v>
      </c>
      <c r="BJ172" s="36" t="str">
        <f t="shared" si="396"/>
        <v>I</v>
      </c>
      <c r="BK172" s="68">
        <v>19.0</v>
      </c>
      <c r="BL172" s="41" t="str">
        <f t="shared" si="397"/>
        <v>S</v>
      </c>
      <c r="BM172" s="41"/>
    </row>
    <row r="173">
      <c r="A173" s="18" t="s">
        <v>866</v>
      </c>
      <c r="B173" s="19">
        <v>144.0</v>
      </c>
      <c r="C173" s="18" t="s">
        <v>1521</v>
      </c>
      <c r="D173" s="62" t="s">
        <v>571</v>
      </c>
      <c r="E173" s="18" t="s">
        <v>572</v>
      </c>
      <c r="F173" s="18" t="s">
        <v>192</v>
      </c>
      <c r="G173" s="63" t="s">
        <v>1522</v>
      </c>
      <c r="H173" s="22" t="s">
        <v>198</v>
      </c>
      <c r="I173" s="84" t="s">
        <v>37</v>
      </c>
      <c r="J173" s="81" t="s">
        <v>205</v>
      </c>
      <c r="K173" s="81" t="s">
        <v>205</v>
      </c>
      <c r="L173" s="81" t="s">
        <v>208</v>
      </c>
      <c r="M173" s="28">
        <v>6.0</v>
      </c>
      <c r="N173" s="26" t="str">
        <f t="shared" si="375"/>
        <v>R</v>
      </c>
      <c r="O173" s="28">
        <v>18.0</v>
      </c>
      <c r="P173" s="26" t="str">
        <f t="shared" si="376"/>
        <v>R</v>
      </c>
      <c r="Q173" s="28">
        <v>6.0</v>
      </c>
      <c r="R173" s="26" t="str">
        <f t="shared" si="377"/>
        <v>R</v>
      </c>
      <c r="S173" s="28">
        <v>15.0</v>
      </c>
      <c r="T173" s="26" t="str">
        <f t="shared" si="378"/>
        <v>R</v>
      </c>
      <c r="U173" s="28">
        <v>6.0</v>
      </c>
      <c r="V173" s="26" t="str">
        <f t="shared" si="379"/>
        <v>R</v>
      </c>
      <c r="W173" s="28">
        <v>16.0</v>
      </c>
      <c r="X173" s="26" t="str">
        <f t="shared" si="380"/>
        <v>R</v>
      </c>
      <c r="Y173" s="28">
        <v>15.0</v>
      </c>
      <c r="Z173" s="26" t="str">
        <f t="shared" si="381"/>
        <v>R</v>
      </c>
      <c r="AA173" s="32" t="s">
        <v>299</v>
      </c>
      <c r="AB173" s="65">
        <v>6.0</v>
      </c>
      <c r="AC173" s="33" t="str">
        <f t="shared" si="382"/>
        <v>R</v>
      </c>
      <c r="AD173" s="65">
        <v>21.0</v>
      </c>
      <c r="AE173" s="33" t="str">
        <f t="shared" si="383"/>
        <v>S</v>
      </c>
      <c r="AF173" s="65">
        <v>6.0</v>
      </c>
      <c r="AG173" s="33" t="str">
        <f t="shared" si="384"/>
        <v>R</v>
      </c>
      <c r="AH173" s="65">
        <v>6.0</v>
      </c>
      <c r="AI173" s="33" t="str">
        <f t="shared" si="385"/>
        <v>R</v>
      </c>
      <c r="AJ173" s="65">
        <v>11.0</v>
      </c>
      <c r="AK173" s="33" t="str">
        <f t="shared" si="386"/>
        <v>R</v>
      </c>
      <c r="AL173" s="65" t="s">
        <v>299</v>
      </c>
      <c r="AM173" s="66">
        <v>6.0</v>
      </c>
      <c r="AN173" s="36" t="str">
        <f t="shared" si="387"/>
        <v>R</v>
      </c>
      <c r="AO173" s="66">
        <v>6.0</v>
      </c>
      <c r="AP173" s="36" t="str">
        <f t="shared" si="388"/>
        <v>R</v>
      </c>
      <c r="AQ173" s="66">
        <v>6.0</v>
      </c>
      <c r="AR173" s="36" t="str">
        <f t="shared" si="389"/>
        <v>R</v>
      </c>
      <c r="AS173" s="66" t="s">
        <v>299</v>
      </c>
      <c r="AT173" s="67">
        <v>6.0</v>
      </c>
      <c r="AU173" s="37" t="str">
        <f t="shared" si="390"/>
        <v>R</v>
      </c>
      <c r="AV173" s="65">
        <v>16.0</v>
      </c>
      <c r="AW173" s="33" t="str">
        <f t="shared" si="391"/>
        <v>R</v>
      </c>
      <c r="AX173" s="65">
        <v>13.0</v>
      </c>
      <c r="AY173" s="33" t="str">
        <f t="shared" si="392"/>
        <v>R</v>
      </c>
      <c r="AZ173" s="65" t="s">
        <v>299</v>
      </c>
      <c r="BA173" s="28">
        <v>6.0</v>
      </c>
      <c r="BB173" s="26" t="str">
        <f t="shared" si="393"/>
        <v>R</v>
      </c>
      <c r="BC173" s="67">
        <v>13.0</v>
      </c>
      <c r="BD173" s="37" t="str">
        <f t="shared" si="394"/>
        <v>R</v>
      </c>
      <c r="BE173" s="66">
        <v>22.0</v>
      </c>
      <c r="BF173" s="36" t="str">
        <f t="shared" si="395"/>
        <v>R</v>
      </c>
      <c r="BG173" s="39" t="s">
        <v>357</v>
      </c>
      <c r="BH173" s="39" t="s">
        <v>357</v>
      </c>
      <c r="BI173" s="66">
        <v>23.0</v>
      </c>
      <c r="BJ173" s="36" t="str">
        <f t="shared" si="396"/>
        <v>S</v>
      </c>
      <c r="BK173" s="68">
        <v>17.0</v>
      </c>
      <c r="BL173" s="41" t="str">
        <f t="shared" si="397"/>
        <v>S</v>
      </c>
      <c r="BM173" s="41"/>
    </row>
    <row r="174">
      <c r="A174" s="18" t="s">
        <v>866</v>
      </c>
      <c r="B174" s="19">
        <v>145.0</v>
      </c>
      <c r="C174" s="18" t="s">
        <v>1527</v>
      </c>
      <c r="D174" s="69" t="s">
        <v>1009</v>
      </c>
      <c r="E174" s="18" t="s">
        <v>103</v>
      </c>
      <c r="F174" s="18" t="s">
        <v>192</v>
      </c>
      <c r="G174" s="63" t="s">
        <v>1528</v>
      </c>
      <c r="H174" s="22" t="s">
        <v>198</v>
      </c>
      <c r="I174" s="84" t="s">
        <v>37</v>
      </c>
      <c r="J174" s="81" t="s">
        <v>205</v>
      </c>
      <c r="K174" s="81" t="s">
        <v>205</v>
      </c>
      <c r="L174" s="81" t="s">
        <v>208</v>
      </c>
      <c r="M174" s="28">
        <v>19.0</v>
      </c>
      <c r="N174" s="26" t="str">
        <f t="shared" si="375"/>
        <v>S</v>
      </c>
      <c r="O174" s="28">
        <v>18.0</v>
      </c>
      <c r="P174" s="26" t="str">
        <f t="shared" si="376"/>
        <v>R</v>
      </c>
      <c r="Q174" s="28">
        <v>30.0</v>
      </c>
      <c r="R174" s="26" t="str">
        <f t="shared" si="377"/>
        <v>S</v>
      </c>
      <c r="S174" s="28">
        <v>24.0</v>
      </c>
      <c r="T174" s="26" t="str">
        <f t="shared" si="378"/>
        <v>S</v>
      </c>
      <c r="U174" s="28">
        <v>18.0</v>
      </c>
      <c r="V174" s="26" t="str">
        <f t="shared" si="379"/>
        <v>R</v>
      </c>
      <c r="W174" s="28">
        <v>18.0</v>
      </c>
      <c r="X174" s="26" t="str">
        <f t="shared" si="380"/>
        <v>R</v>
      </c>
      <c r="Y174" s="28">
        <v>19.0</v>
      </c>
      <c r="Z174" s="26" t="str">
        <f t="shared" si="381"/>
        <v>I</v>
      </c>
      <c r="AA174" s="32" t="s">
        <v>299</v>
      </c>
      <c r="AB174" s="65">
        <v>27.0</v>
      </c>
      <c r="AC174" s="33" t="str">
        <f t="shared" si="382"/>
        <v>S</v>
      </c>
      <c r="AD174" s="65">
        <v>20.0</v>
      </c>
      <c r="AE174" s="33" t="str">
        <f t="shared" si="383"/>
        <v>S</v>
      </c>
      <c r="AF174" s="65">
        <v>18.0</v>
      </c>
      <c r="AG174" s="33" t="str">
        <f t="shared" si="384"/>
        <v>R</v>
      </c>
      <c r="AH174" s="65">
        <v>26.0</v>
      </c>
      <c r="AI174" s="33" t="str">
        <f t="shared" si="385"/>
        <v>S</v>
      </c>
      <c r="AJ174" s="65">
        <v>19.0</v>
      </c>
      <c r="AK174" s="33" t="str">
        <f t="shared" si="386"/>
        <v>R</v>
      </c>
      <c r="AL174" s="65" t="s">
        <v>299</v>
      </c>
      <c r="AM174" s="66">
        <v>23.0</v>
      </c>
      <c r="AN174" s="36" t="str">
        <f t="shared" si="387"/>
        <v>I</v>
      </c>
      <c r="AO174" s="66">
        <v>21.0</v>
      </c>
      <c r="AP174" s="36" t="str">
        <f t="shared" si="388"/>
        <v>I</v>
      </c>
      <c r="AQ174" s="66">
        <v>6.0</v>
      </c>
      <c r="AR174" s="36" t="str">
        <f t="shared" si="389"/>
        <v>R</v>
      </c>
      <c r="AS174" s="66" t="s">
        <v>299</v>
      </c>
      <c r="AT174" s="67">
        <v>6.0</v>
      </c>
      <c r="AU174" s="37" t="str">
        <f t="shared" si="390"/>
        <v>R</v>
      </c>
      <c r="AV174" s="65">
        <v>23.0</v>
      </c>
      <c r="AW174" s="33" t="str">
        <f t="shared" si="391"/>
        <v>S</v>
      </c>
      <c r="AX174" s="65">
        <v>18.0</v>
      </c>
      <c r="AY174" s="33" t="str">
        <f t="shared" si="392"/>
        <v>S</v>
      </c>
      <c r="AZ174" s="33" t="s">
        <v>300</v>
      </c>
      <c r="BA174" s="28">
        <v>22.0</v>
      </c>
      <c r="BB174" s="26" t="str">
        <f t="shared" si="393"/>
        <v>S</v>
      </c>
      <c r="BC174" s="67">
        <v>6.0</v>
      </c>
      <c r="BD174" s="37" t="str">
        <f t="shared" si="394"/>
        <v>R</v>
      </c>
      <c r="BE174" s="66">
        <v>30.0</v>
      </c>
      <c r="BF174" s="36" t="str">
        <f t="shared" si="395"/>
        <v>S</v>
      </c>
      <c r="BG174" s="39" t="s">
        <v>357</v>
      </c>
      <c r="BH174" s="39" t="s">
        <v>357</v>
      </c>
      <c r="BI174" s="66">
        <v>28.0</v>
      </c>
      <c r="BJ174" s="36" t="str">
        <f t="shared" si="396"/>
        <v>S</v>
      </c>
      <c r="BK174" s="68">
        <v>19.0</v>
      </c>
      <c r="BL174" s="41" t="str">
        <f t="shared" si="397"/>
        <v>S</v>
      </c>
      <c r="BM174" s="41"/>
    </row>
    <row r="175">
      <c r="A175" s="18" t="s">
        <v>869</v>
      </c>
      <c r="B175" s="19">
        <v>146.0</v>
      </c>
      <c r="C175" s="18" t="s">
        <v>1533</v>
      </c>
      <c r="D175" s="69" t="s">
        <v>190</v>
      </c>
      <c r="E175" s="18" t="s">
        <v>190</v>
      </c>
      <c r="F175" s="18" t="s">
        <v>192</v>
      </c>
      <c r="G175" s="63" t="s">
        <v>1534</v>
      </c>
      <c r="H175" s="72" t="s">
        <v>1163</v>
      </c>
      <c r="I175" s="84" t="s">
        <v>37</v>
      </c>
      <c r="J175" s="81" t="s">
        <v>205</v>
      </c>
      <c r="K175" s="81" t="s">
        <v>205</v>
      </c>
      <c r="L175" s="81" t="s">
        <v>208</v>
      </c>
      <c r="M175" s="28">
        <v>18.0</v>
      </c>
      <c r="N175" s="26" t="str">
        <f t="shared" si="375"/>
        <v>R</v>
      </c>
      <c r="O175" s="28">
        <v>6.0</v>
      </c>
      <c r="P175" s="26" t="str">
        <f t="shared" si="376"/>
        <v>R</v>
      </c>
      <c r="Q175" s="28">
        <v>22.0</v>
      </c>
      <c r="R175" s="26" t="str">
        <f t="shared" si="377"/>
        <v>R</v>
      </c>
      <c r="S175" s="28">
        <v>21.0</v>
      </c>
      <c r="T175" s="26" t="str">
        <f t="shared" si="378"/>
        <v>I</v>
      </c>
      <c r="U175" s="28">
        <v>16.0</v>
      </c>
      <c r="V175" s="26" t="str">
        <f t="shared" si="379"/>
        <v>R</v>
      </c>
      <c r="W175" s="28">
        <v>22.0</v>
      </c>
      <c r="X175" s="26" t="str">
        <f t="shared" si="380"/>
        <v>S</v>
      </c>
      <c r="Y175" s="28">
        <v>11.0</v>
      </c>
      <c r="Z175" s="26" t="str">
        <f t="shared" si="381"/>
        <v>R</v>
      </c>
      <c r="AA175" s="32" t="s">
        <v>299</v>
      </c>
      <c r="AB175" s="65">
        <v>27.0</v>
      </c>
      <c r="AC175" s="33" t="str">
        <f t="shared" si="382"/>
        <v>S</v>
      </c>
      <c r="AD175" s="65">
        <v>21.0</v>
      </c>
      <c r="AE175" s="33" t="str">
        <f t="shared" si="383"/>
        <v>S</v>
      </c>
      <c r="AF175" s="65">
        <v>18.0</v>
      </c>
      <c r="AG175" s="33" t="str">
        <f t="shared" si="384"/>
        <v>R</v>
      </c>
      <c r="AH175" s="65">
        <v>25.0</v>
      </c>
      <c r="AI175" s="33" t="str">
        <f t="shared" si="385"/>
        <v>S</v>
      </c>
      <c r="AJ175" s="65">
        <v>19.0</v>
      </c>
      <c r="AK175" s="33" t="str">
        <f t="shared" si="386"/>
        <v>R</v>
      </c>
      <c r="AL175" s="65" t="s">
        <v>299</v>
      </c>
      <c r="AM175" s="66">
        <v>24.0</v>
      </c>
      <c r="AN175" s="36" t="str">
        <f t="shared" si="387"/>
        <v>I</v>
      </c>
      <c r="AO175" s="66">
        <v>20.0</v>
      </c>
      <c r="AP175" s="36" t="str">
        <f t="shared" si="388"/>
        <v>I</v>
      </c>
      <c r="AQ175" s="66">
        <v>6.0</v>
      </c>
      <c r="AR175" s="36" t="str">
        <f t="shared" si="389"/>
        <v>R</v>
      </c>
      <c r="AS175" s="66" t="s">
        <v>299</v>
      </c>
      <c r="AT175" s="67">
        <v>30.0</v>
      </c>
      <c r="AU175" s="37" t="str">
        <f t="shared" si="390"/>
        <v>S</v>
      </c>
      <c r="AV175" s="65">
        <v>24.0</v>
      </c>
      <c r="AW175" s="33" t="str">
        <f t="shared" si="391"/>
        <v>S</v>
      </c>
      <c r="AX175" s="65">
        <v>9.0</v>
      </c>
      <c r="AY175" s="33" t="str">
        <f t="shared" si="392"/>
        <v>R</v>
      </c>
      <c r="AZ175" s="65" t="s">
        <v>299</v>
      </c>
      <c r="BA175" s="28">
        <v>25.0</v>
      </c>
      <c r="BB175" s="26" t="str">
        <f t="shared" si="393"/>
        <v>S</v>
      </c>
      <c r="BC175" s="67">
        <v>6.0</v>
      </c>
      <c r="BD175" s="37" t="str">
        <f t="shared" si="394"/>
        <v>R</v>
      </c>
      <c r="BE175" s="66">
        <v>30.0</v>
      </c>
      <c r="BF175" s="36" t="str">
        <f t="shared" si="395"/>
        <v>S</v>
      </c>
      <c r="BG175" s="39" t="s">
        <v>357</v>
      </c>
      <c r="BH175" s="39" t="s">
        <v>357</v>
      </c>
      <c r="BI175" s="66">
        <v>29.0</v>
      </c>
      <c r="BJ175" s="36" t="str">
        <f t="shared" si="396"/>
        <v>S</v>
      </c>
      <c r="BK175" s="68">
        <v>18.0</v>
      </c>
      <c r="BL175" s="41" t="str">
        <f t="shared" si="397"/>
        <v>S</v>
      </c>
      <c r="BM175" s="41"/>
    </row>
    <row r="176">
      <c r="A176" s="18" t="s">
        <v>869</v>
      </c>
      <c r="B176" s="19">
        <v>147.0</v>
      </c>
      <c r="C176" s="18" t="s">
        <v>1539</v>
      </c>
      <c r="D176" s="69" t="s">
        <v>190</v>
      </c>
      <c r="E176" s="18" t="s">
        <v>190</v>
      </c>
      <c r="F176" s="18" t="s">
        <v>192</v>
      </c>
      <c r="G176" s="63" t="s">
        <v>1540</v>
      </c>
      <c r="H176" s="22" t="s">
        <v>198</v>
      </c>
      <c r="I176" s="64" t="s">
        <v>816</v>
      </c>
      <c r="J176" s="81" t="s">
        <v>205</v>
      </c>
      <c r="K176" s="81" t="s">
        <v>205</v>
      </c>
      <c r="L176" s="71" t="s">
        <v>205</v>
      </c>
      <c r="M176" s="28">
        <v>6.0</v>
      </c>
      <c r="N176" s="26" t="str">
        <f t="shared" si="375"/>
        <v>R</v>
      </c>
      <c r="O176" s="28">
        <v>6.0</v>
      </c>
      <c r="P176" s="26" t="str">
        <f t="shared" si="376"/>
        <v>R</v>
      </c>
      <c r="Q176" s="28">
        <v>22.0</v>
      </c>
      <c r="R176" s="26" t="str">
        <f t="shared" si="377"/>
        <v>R</v>
      </c>
      <c r="S176" s="28">
        <v>19.0</v>
      </c>
      <c r="T176" s="26" t="str">
        <f t="shared" si="378"/>
        <v>R</v>
      </c>
      <c r="U176" s="28">
        <v>12.0</v>
      </c>
      <c r="V176" s="26" t="str">
        <f t="shared" si="379"/>
        <v>R</v>
      </c>
      <c r="W176" s="28">
        <v>15.0</v>
      </c>
      <c r="X176" s="26" t="str">
        <f t="shared" si="380"/>
        <v>R</v>
      </c>
      <c r="Y176" s="28">
        <v>19.0</v>
      </c>
      <c r="Z176" s="26" t="str">
        <f t="shared" si="381"/>
        <v>I</v>
      </c>
      <c r="AA176" s="32" t="s">
        <v>299</v>
      </c>
      <c r="AB176" s="65">
        <v>11.0</v>
      </c>
      <c r="AC176" s="33" t="str">
        <f t="shared" si="382"/>
        <v>R</v>
      </c>
      <c r="AD176" s="65">
        <v>25.0</v>
      </c>
      <c r="AE176" s="33" t="str">
        <f t="shared" si="383"/>
        <v>S</v>
      </c>
      <c r="AF176" s="65">
        <v>9.0</v>
      </c>
      <c r="AG176" s="33" t="str">
        <f t="shared" si="384"/>
        <v>R</v>
      </c>
      <c r="AH176" s="65">
        <v>22.0</v>
      </c>
      <c r="AI176" s="33" t="str">
        <f t="shared" si="385"/>
        <v>S</v>
      </c>
      <c r="AJ176" s="65">
        <v>16.0</v>
      </c>
      <c r="AK176" s="33" t="str">
        <f t="shared" si="386"/>
        <v>R</v>
      </c>
      <c r="AL176" s="65" t="s">
        <v>299</v>
      </c>
      <c r="AM176" s="66">
        <v>10.0</v>
      </c>
      <c r="AN176" s="36" t="str">
        <f t="shared" si="387"/>
        <v>R</v>
      </c>
      <c r="AO176" s="66">
        <v>6.0</v>
      </c>
      <c r="AP176" s="36" t="str">
        <f t="shared" si="388"/>
        <v>R</v>
      </c>
      <c r="AQ176" s="66">
        <v>9.0</v>
      </c>
      <c r="AR176" s="36" t="str">
        <f t="shared" si="389"/>
        <v>R</v>
      </c>
      <c r="AS176" s="66" t="s">
        <v>299</v>
      </c>
      <c r="AT176" s="67">
        <v>6.0</v>
      </c>
      <c r="AU176" s="37" t="str">
        <f t="shared" si="390"/>
        <v>R</v>
      </c>
      <c r="AV176" s="65">
        <v>20.0</v>
      </c>
      <c r="AW176" s="33" t="str">
        <f t="shared" si="391"/>
        <v>S</v>
      </c>
      <c r="AX176" s="65">
        <v>14.0</v>
      </c>
      <c r="AY176" s="33" t="str">
        <f t="shared" si="392"/>
        <v>R</v>
      </c>
      <c r="AZ176" s="65" t="s">
        <v>299</v>
      </c>
      <c r="BA176" s="28">
        <v>13.0</v>
      </c>
      <c r="BB176" s="26" t="str">
        <f t="shared" si="393"/>
        <v>R</v>
      </c>
      <c r="BC176" s="67">
        <v>18.0</v>
      </c>
      <c r="BD176" s="37" t="str">
        <f t="shared" si="394"/>
        <v>R</v>
      </c>
      <c r="BE176" s="66">
        <v>18.0</v>
      </c>
      <c r="BF176" s="36" t="str">
        <f t="shared" si="395"/>
        <v>R</v>
      </c>
      <c r="BG176" s="39" t="s">
        <v>357</v>
      </c>
      <c r="BH176" s="39" t="s">
        <v>357</v>
      </c>
      <c r="BI176" s="66">
        <v>21.0</v>
      </c>
      <c r="BJ176" s="36" t="str">
        <f t="shared" si="396"/>
        <v>I</v>
      </c>
      <c r="BK176" s="68">
        <v>12.0</v>
      </c>
      <c r="BL176" s="41" t="str">
        <f t="shared" si="397"/>
        <v>R</v>
      </c>
      <c r="BM176" s="41"/>
    </row>
    <row r="177">
      <c r="A177" s="18" t="s">
        <v>872</v>
      </c>
      <c r="B177" s="19">
        <v>148.0</v>
      </c>
      <c r="C177" s="18" t="s">
        <v>1545</v>
      </c>
      <c r="D177" s="69" t="s">
        <v>190</v>
      </c>
      <c r="E177" s="18" t="s">
        <v>190</v>
      </c>
      <c r="F177" s="18" t="s">
        <v>192</v>
      </c>
      <c r="G177" s="63" t="s">
        <v>1546</v>
      </c>
      <c r="H177" s="22" t="s">
        <v>198</v>
      </c>
      <c r="I177" s="64" t="s">
        <v>481</v>
      </c>
      <c r="J177" s="70" t="s">
        <v>205</v>
      </c>
      <c r="K177" s="70" t="s">
        <v>208</v>
      </c>
      <c r="L177" s="70" t="s">
        <v>208</v>
      </c>
      <c r="M177" s="28">
        <v>6.0</v>
      </c>
      <c r="N177" s="26" t="str">
        <f t="shared" si="375"/>
        <v>R</v>
      </c>
      <c r="O177" s="28">
        <v>12.0</v>
      </c>
      <c r="P177" s="26" t="str">
        <f t="shared" si="376"/>
        <v>R</v>
      </c>
      <c r="Q177" s="28">
        <v>18.0</v>
      </c>
      <c r="R177" s="26" t="str">
        <f t="shared" si="377"/>
        <v>R</v>
      </c>
      <c r="S177" s="28">
        <v>21.0</v>
      </c>
      <c r="T177" s="26" t="str">
        <f t="shared" si="378"/>
        <v>I</v>
      </c>
      <c r="U177" s="28">
        <v>16.0</v>
      </c>
      <c r="V177" s="26" t="str">
        <f t="shared" si="379"/>
        <v>R</v>
      </c>
      <c r="W177" s="28">
        <v>20.0</v>
      </c>
      <c r="X177" s="26" t="str">
        <f t="shared" si="380"/>
        <v>S</v>
      </c>
      <c r="Y177" s="28">
        <v>12.0</v>
      </c>
      <c r="Z177" s="26" t="str">
        <f t="shared" si="381"/>
        <v>R</v>
      </c>
      <c r="AA177" s="32" t="s">
        <v>299</v>
      </c>
      <c r="AB177" s="65">
        <v>18.0</v>
      </c>
      <c r="AC177" s="33" t="str">
        <f t="shared" si="382"/>
        <v>I</v>
      </c>
      <c r="AD177" s="65">
        <v>27.0</v>
      </c>
      <c r="AE177" s="33" t="str">
        <f t="shared" si="383"/>
        <v>S</v>
      </c>
      <c r="AF177" s="65">
        <v>19.0</v>
      </c>
      <c r="AG177" s="33" t="str">
        <f t="shared" si="384"/>
        <v>I</v>
      </c>
      <c r="AH177" s="65">
        <v>18.0</v>
      </c>
      <c r="AI177" s="33" t="str">
        <f t="shared" si="385"/>
        <v>S</v>
      </c>
      <c r="AJ177" s="65">
        <v>19.0</v>
      </c>
      <c r="AK177" s="33" t="str">
        <f t="shared" si="386"/>
        <v>R</v>
      </c>
      <c r="AL177" s="65" t="s">
        <v>299</v>
      </c>
      <c r="AM177" s="66">
        <v>24.0</v>
      </c>
      <c r="AN177" s="36" t="str">
        <f t="shared" si="387"/>
        <v>I</v>
      </c>
      <c r="AO177" s="66">
        <v>11.0</v>
      </c>
      <c r="AP177" s="36" t="str">
        <f t="shared" si="388"/>
        <v>R</v>
      </c>
      <c r="AQ177" s="66">
        <v>6.0</v>
      </c>
      <c r="AR177" s="36" t="str">
        <f t="shared" si="389"/>
        <v>R</v>
      </c>
      <c r="AS177" s="66" t="s">
        <v>299</v>
      </c>
      <c r="AT177" s="67">
        <v>14.0</v>
      </c>
      <c r="AU177" s="37" t="str">
        <f t="shared" si="390"/>
        <v>S</v>
      </c>
      <c r="AV177" s="65">
        <v>19.0</v>
      </c>
      <c r="AW177" s="33" t="str">
        <f t="shared" si="391"/>
        <v>S</v>
      </c>
      <c r="AX177" s="65">
        <v>18.0</v>
      </c>
      <c r="AY177" s="33" t="str">
        <f t="shared" si="392"/>
        <v>S</v>
      </c>
      <c r="AZ177" s="33" t="s">
        <v>300</v>
      </c>
      <c r="BA177" s="28">
        <v>12.0</v>
      </c>
      <c r="BB177" s="26" t="str">
        <f t="shared" si="393"/>
        <v>R</v>
      </c>
      <c r="BC177" s="67">
        <v>16.0</v>
      </c>
      <c r="BD177" s="37" t="str">
        <f t="shared" si="394"/>
        <v>R</v>
      </c>
      <c r="BE177" s="66">
        <v>24.0</v>
      </c>
      <c r="BF177" s="36" t="str">
        <f t="shared" si="395"/>
        <v>S</v>
      </c>
      <c r="BG177" s="39" t="s">
        <v>357</v>
      </c>
      <c r="BH177" s="39" t="s">
        <v>357</v>
      </c>
      <c r="BI177" s="66">
        <v>25.0</v>
      </c>
      <c r="BJ177" s="36" t="str">
        <f t="shared" si="396"/>
        <v>S</v>
      </c>
      <c r="BK177" s="68">
        <v>18.0</v>
      </c>
      <c r="BL177" s="41" t="str">
        <f t="shared" si="397"/>
        <v>S</v>
      </c>
      <c r="BM177" s="41"/>
    </row>
    <row r="178">
      <c r="A178" s="18" t="s">
        <v>872</v>
      </c>
      <c r="B178" s="19">
        <v>149.0</v>
      </c>
      <c r="C178" s="18" t="s">
        <v>1551</v>
      </c>
      <c r="D178" s="69" t="s">
        <v>571</v>
      </c>
      <c r="E178" s="18" t="s">
        <v>572</v>
      </c>
      <c r="F178" s="18" t="s">
        <v>192</v>
      </c>
      <c r="G178" s="63" t="s">
        <v>1552</v>
      </c>
      <c r="H178" s="22" t="s">
        <v>198</v>
      </c>
      <c r="I178" s="84" t="s">
        <v>37</v>
      </c>
      <c r="J178" s="81" t="s">
        <v>205</v>
      </c>
      <c r="K178" s="81" t="s">
        <v>205</v>
      </c>
      <c r="L178" s="81" t="s">
        <v>208</v>
      </c>
      <c r="M178" s="28">
        <v>9.0</v>
      </c>
      <c r="N178" s="26" t="str">
        <f t="shared" si="375"/>
        <v>R</v>
      </c>
      <c r="O178" s="28">
        <v>15.0</v>
      </c>
      <c r="P178" s="26" t="str">
        <f t="shared" si="376"/>
        <v>R</v>
      </c>
      <c r="Q178" s="28">
        <v>12.0</v>
      </c>
      <c r="R178" s="26" t="str">
        <f t="shared" si="377"/>
        <v>R</v>
      </c>
      <c r="S178" s="28">
        <v>20.0</v>
      </c>
      <c r="T178" s="26" t="str">
        <f t="shared" si="378"/>
        <v>I</v>
      </c>
      <c r="U178" s="28">
        <v>17.0</v>
      </c>
      <c r="V178" s="26" t="str">
        <f t="shared" si="379"/>
        <v>R</v>
      </c>
      <c r="W178" s="28">
        <v>18.0</v>
      </c>
      <c r="X178" s="26" t="str">
        <f t="shared" si="380"/>
        <v>R</v>
      </c>
      <c r="Y178" s="28">
        <v>17.0</v>
      </c>
      <c r="Z178" s="26" t="str">
        <f t="shared" si="381"/>
        <v>I</v>
      </c>
      <c r="AA178" s="32" t="s">
        <v>299</v>
      </c>
      <c r="AB178" s="65">
        <v>12.0</v>
      </c>
      <c r="AC178" s="33" t="str">
        <f t="shared" si="382"/>
        <v>R</v>
      </c>
      <c r="AD178" s="65">
        <v>23.0</v>
      </c>
      <c r="AE178" s="33" t="str">
        <f t="shared" si="383"/>
        <v>S</v>
      </c>
      <c r="AF178" s="65">
        <v>14.0</v>
      </c>
      <c r="AG178" s="33" t="str">
        <f t="shared" si="384"/>
        <v>R</v>
      </c>
      <c r="AH178" s="65">
        <v>15.0</v>
      </c>
      <c r="AI178" s="33" t="str">
        <f t="shared" si="385"/>
        <v>S</v>
      </c>
      <c r="AJ178" s="65">
        <v>20.0</v>
      </c>
      <c r="AK178" s="33" t="str">
        <f t="shared" si="386"/>
        <v>R</v>
      </c>
      <c r="AL178" s="65" t="s">
        <v>299</v>
      </c>
      <c r="AM178" s="66">
        <v>22.0</v>
      </c>
      <c r="AN178" s="36" t="str">
        <f t="shared" si="387"/>
        <v>I</v>
      </c>
      <c r="AO178" s="66">
        <v>10.0</v>
      </c>
      <c r="AP178" s="36" t="str">
        <f t="shared" si="388"/>
        <v>R</v>
      </c>
      <c r="AQ178" s="66">
        <v>9.0</v>
      </c>
      <c r="AR178" s="36" t="str">
        <f t="shared" si="389"/>
        <v>R</v>
      </c>
      <c r="AS178" s="66" t="s">
        <v>299</v>
      </c>
      <c r="AT178" s="67">
        <v>15.0</v>
      </c>
      <c r="AU178" s="37" t="str">
        <f t="shared" si="390"/>
        <v>S</v>
      </c>
      <c r="AV178" s="65">
        <v>20.0</v>
      </c>
      <c r="AW178" s="33" t="str">
        <f t="shared" si="391"/>
        <v>S</v>
      </c>
      <c r="AX178" s="65">
        <v>17.0</v>
      </c>
      <c r="AY178" s="33" t="str">
        <f t="shared" si="392"/>
        <v>S</v>
      </c>
      <c r="AZ178" s="33" t="s">
        <v>300</v>
      </c>
      <c r="BA178" s="28">
        <v>13.0</v>
      </c>
      <c r="BB178" s="26" t="str">
        <f t="shared" si="393"/>
        <v>R</v>
      </c>
      <c r="BC178" s="67">
        <v>15.0</v>
      </c>
      <c r="BD178" s="37" t="str">
        <f t="shared" si="394"/>
        <v>R</v>
      </c>
      <c r="BE178" s="66">
        <v>27.0</v>
      </c>
      <c r="BF178" s="36" t="str">
        <f t="shared" si="395"/>
        <v>S</v>
      </c>
      <c r="BG178" s="39" t="s">
        <v>357</v>
      </c>
      <c r="BH178" s="39" t="s">
        <v>357</v>
      </c>
      <c r="BI178" s="66">
        <v>25.0</v>
      </c>
      <c r="BJ178" s="36" t="str">
        <f t="shared" si="396"/>
        <v>S</v>
      </c>
      <c r="BK178" s="68">
        <v>15.0</v>
      </c>
      <c r="BL178" s="41" t="str">
        <f t="shared" si="397"/>
        <v>R</v>
      </c>
      <c r="BM178" s="41"/>
    </row>
    <row r="179">
      <c r="A179" s="18" t="s">
        <v>879</v>
      </c>
      <c r="B179" s="19">
        <v>154.0</v>
      </c>
      <c r="C179" s="18" t="s">
        <v>1577</v>
      </c>
      <c r="D179" s="69" t="s">
        <v>190</v>
      </c>
      <c r="E179" s="18" t="s">
        <v>190</v>
      </c>
      <c r="F179" s="18" t="s">
        <v>192</v>
      </c>
      <c r="G179" s="63" t="s">
        <v>1578</v>
      </c>
      <c r="H179" s="22" t="s">
        <v>198</v>
      </c>
      <c r="I179" s="64" t="s">
        <v>481</v>
      </c>
      <c r="J179" s="70" t="s">
        <v>205</v>
      </c>
      <c r="K179" s="70" t="s">
        <v>208</v>
      </c>
      <c r="L179" s="70" t="s">
        <v>208</v>
      </c>
      <c r="M179" s="28">
        <v>6.0</v>
      </c>
      <c r="N179" s="26" t="str">
        <f t="shared" si="375"/>
        <v>R</v>
      </c>
      <c r="O179" s="28">
        <v>19.0</v>
      </c>
      <c r="P179" s="26" t="str">
        <f t="shared" si="376"/>
        <v>S</v>
      </c>
      <c r="Q179" s="28">
        <v>6.0</v>
      </c>
      <c r="R179" s="26" t="str">
        <f t="shared" si="377"/>
        <v>R</v>
      </c>
      <c r="S179" s="28">
        <v>23.0</v>
      </c>
      <c r="T179" s="26" t="str">
        <f t="shared" si="378"/>
        <v>S</v>
      </c>
      <c r="U179" s="28">
        <v>11.0</v>
      </c>
      <c r="V179" s="26" t="str">
        <f t="shared" si="379"/>
        <v>R</v>
      </c>
      <c r="W179" s="28">
        <v>23.0</v>
      </c>
      <c r="X179" s="26" t="str">
        <f t="shared" si="380"/>
        <v>S</v>
      </c>
      <c r="Y179" s="28">
        <v>24.0</v>
      </c>
      <c r="Z179" s="26" t="str">
        <f t="shared" si="381"/>
        <v>S</v>
      </c>
      <c r="AA179" s="32" t="s">
        <v>299</v>
      </c>
      <c r="AB179" s="65">
        <v>17.0</v>
      </c>
      <c r="AC179" s="33" t="str">
        <f t="shared" si="382"/>
        <v>I</v>
      </c>
      <c r="AD179" s="65">
        <v>24.0</v>
      </c>
      <c r="AE179" s="33" t="str">
        <f t="shared" si="383"/>
        <v>S</v>
      </c>
      <c r="AF179" s="65">
        <v>21.0</v>
      </c>
      <c r="AG179" s="33" t="str">
        <f t="shared" si="384"/>
        <v>I</v>
      </c>
      <c r="AH179" s="65">
        <v>24.0</v>
      </c>
      <c r="AI179" s="33" t="str">
        <f t="shared" si="385"/>
        <v>S</v>
      </c>
      <c r="AJ179" s="65">
        <v>22.0</v>
      </c>
      <c r="AK179" s="33" t="str">
        <f t="shared" si="386"/>
        <v>R</v>
      </c>
      <c r="AL179" s="65" t="s">
        <v>299</v>
      </c>
      <c r="AM179" s="66">
        <v>23.0</v>
      </c>
      <c r="AN179" s="36" t="str">
        <f t="shared" si="387"/>
        <v>I</v>
      </c>
      <c r="AO179" s="66">
        <v>15.0</v>
      </c>
      <c r="AP179" s="36" t="str">
        <f t="shared" si="388"/>
        <v>R</v>
      </c>
      <c r="AQ179" s="66">
        <v>14.0</v>
      </c>
      <c r="AR179" s="36" t="str">
        <f t="shared" si="389"/>
        <v>S</v>
      </c>
      <c r="AS179" s="66" t="s">
        <v>299</v>
      </c>
      <c r="AT179" s="67">
        <v>15.0</v>
      </c>
      <c r="AU179" s="37" t="str">
        <f t="shared" si="390"/>
        <v>S</v>
      </c>
      <c r="AV179" s="65">
        <v>24.0</v>
      </c>
      <c r="AW179" s="33" t="str">
        <f t="shared" si="391"/>
        <v>S</v>
      </c>
      <c r="AX179" s="65">
        <v>24.0</v>
      </c>
      <c r="AY179" s="33" t="str">
        <f t="shared" si="392"/>
        <v>S</v>
      </c>
      <c r="AZ179" s="33" t="s">
        <v>300</v>
      </c>
      <c r="BA179" s="28">
        <v>6.0</v>
      </c>
      <c r="BB179" s="26" t="str">
        <f t="shared" si="393"/>
        <v>R</v>
      </c>
      <c r="BC179" s="67">
        <v>26.0</v>
      </c>
      <c r="BD179" s="37" t="str">
        <f t="shared" si="394"/>
        <v>S</v>
      </c>
      <c r="BE179" s="66">
        <v>32.0</v>
      </c>
      <c r="BF179" s="36" t="str">
        <f t="shared" si="395"/>
        <v>S</v>
      </c>
      <c r="BG179" s="39" t="s">
        <v>357</v>
      </c>
      <c r="BH179" s="39" t="s">
        <v>357</v>
      </c>
      <c r="BI179" s="66">
        <v>26.0</v>
      </c>
      <c r="BJ179" s="36" t="str">
        <f t="shared" si="396"/>
        <v>S</v>
      </c>
      <c r="BK179" s="68">
        <v>14.0</v>
      </c>
      <c r="BL179" s="41" t="str">
        <f t="shared" si="397"/>
        <v>R</v>
      </c>
      <c r="BM179" s="41"/>
    </row>
    <row r="180">
      <c r="A180" s="18" t="s">
        <v>879</v>
      </c>
      <c r="B180" s="19">
        <v>155.0</v>
      </c>
      <c r="C180" s="18" t="s">
        <v>1583</v>
      </c>
      <c r="D180" s="69" t="s">
        <v>571</v>
      </c>
      <c r="E180" s="18" t="s">
        <v>572</v>
      </c>
      <c r="F180" s="18" t="s">
        <v>192</v>
      </c>
      <c r="G180" s="63" t="s">
        <v>1584</v>
      </c>
      <c r="H180" s="52" t="s">
        <v>581</v>
      </c>
      <c r="I180" s="84" t="s">
        <v>37</v>
      </c>
      <c r="J180" s="81" t="s">
        <v>205</v>
      </c>
      <c r="K180" s="81" t="s">
        <v>205</v>
      </c>
      <c r="L180" s="81" t="s">
        <v>208</v>
      </c>
      <c r="M180" s="28">
        <v>6.0</v>
      </c>
      <c r="N180" s="26" t="str">
        <f t="shared" si="375"/>
        <v>R</v>
      </c>
      <c r="O180" s="28">
        <v>17.0</v>
      </c>
      <c r="P180" s="26" t="str">
        <f t="shared" si="376"/>
        <v>R</v>
      </c>
      <c r="Q180" s="28">
        <v>6.0</v>
      </c>
      <c r="R180" s="26" t="str">
        <f t="shared" si="377"/>
        <v>R</v>
      </c>
      <c r="S180" s="28">
        <v>21.0</v>
      </c>
      <c r="T180" s="26" t="str">
        <f t="shared" si="378"/>
        <v>I</v>
      </c>
      <c r="U180" s="28">
        <v>6.0</v>
      </c>
      <c r="V180" s="26" t="str">
        <f t="shared" si="379"/>
        <v>R</v>
      </c>
      <c r="W180" s="28">
        <v>16.0</v>
      </c>
      <c r="X180" s="26" t="str">
        <f t="shared" si="380"/>
        <v>R</v>
      </c>
      <c r="Y180" s="28">
        <v>18.0</v>
      </c>
      <c r="Z180" s="26" t="str">
        <f t="shared" si="381"/>
        <v>I</v>
      </c>
      <c r="AA180" s="32" t="s">
        <v>299</v>
      </c>
      <c r="AB180" s="65">
        <v>6.0</v>
      </c>
      <c r="AC180" s="33" t="str">
        <f t="shared" si="382"/>
        <v>R</v>
      </c>
      <c r="AD180" s="65">
        <v>21.0</v>
      </c>
      <c r="AE180" s="33" t="str">
        <f t="shared" si="383"/>
        <v>S</v>
      </c>
      <c r="AF180" s="65">
        <v>6.0</v>
      </c>
      <c r="AG180" s="33" t="str">
        <f t="shared" si="384"/>
        <v>R</v>
      </c>
      <c r="AH180" s="65">
        <v>6.0</v>
      </c>
      <c r="AI180" s="33" t="str">
        <f t="shared" si="385"/>
        <v>R</v>
      </c>
      <c r="AJ180" s="65">
        <v>11.0</v>
      </c>
      <c r="AK180" s="33" t="str">
        <f t="shared" si="386"/>
        <v>R</v>
      </c>
      <c r="AL180" s="65" t="s">
        <v>299</v>
      </c>
      <c r="AM180" s="66">
        <v>6.0</v>
      </c>
      <c r="AN180" s="36" t="str">
        <f t="shared" si="387"/>
        <v>R</v>
      </c>
      <c r="AO180" s="66">
        <v>6.0</v>
      </c>
      <c r="AP180" s="36" t="str">
        <f t="shared" si="388"/>
        <v>R</v>
      </c>
      <c r="AQ180" s="66">
        <v>6.0</v>
      </c>
      <c r="AR180" s="36" t="str">
        <f t="shared" si="389"/>
        <v>R</v>
      </c>
      <c r="AS180" s="66" t="s">
        <v>299</v>
      </c>
      <c r="AT180" s="67">
        <v>6.0</v>
      </c>
      <c r="AU180" s="37" t="str">
        <f t="shared" si="390"/>
        <v>R</v>
      </c>
      <c r="AV180" s="65">
        <v>16.0</v>
      </c>
      <c r="AW180" s="33" t="str">
        <f t="shared" si="391"/>
        <v>R</v>
      </c>
      <c r="AX180" s="65">
        <v>13.0</v>
      </c>
      <c r="AY180" s="33" t="str">
        <f t="shared" si="392"/>
        <v>R</v>
      </c>
      <c r="AZ180" s="65" t="s">
        <v>299</v>
      </c>
      <c r="BA180" s="28">
        <v>6.0</v>
      </c>
      <c r="BB180" s="26" t="str">
        <f t="shared" si="393"/>
        <v>R</v>
      </c>
      <c r="BC180" s="67">
        <v>13.0</v>
      </c>
      <c r="BD180" s="37" t="str">
        <f t="shared" si="394"/>
        <v>R</v>
      </c>
      <c r="BE180" s="66">
        <v>22.0</v>
      </c>
      <c r="BF180" s="36" t="str">
        <f t="shared" si="395"/>
        <v>R</v>
      </c>
      <c r="BG180" s="39" t="s">
        <v>357</v>
      </c>
      <c r="BH180" s="39" t="s">
        <v>357</v>
      </c>
      <c r="BI180" s="66">
        <v>23.0</v>
      </c>
      <c r="BJ180" s="36" t="str">
        <f t="shared" si="396"/>
        <v>S</v>
      </c>
      <c r="BK180" s="68">
        <v>17.0</v>
      </c>
      <c r="BL180" s="41" t="str">
        <f t="shared" si="397"/>
        <v>S</v>
      </c>
      <c r="BM180" s="41"/>
    </row>
    <row r="181">
      <c r="A181" s="18" t="s">
        <v>879</v>
      </c>
      <c r="B181" s="19">
        <v>156.0</v>
      </c>
      <c r="C181" s="18" t="s">
        <v>1589</v>
      </c>
      <c r="D181" s="69" t="s">
        <v>1206</v>
      </c>
      <c r="E181" s="18" t="s">
        <v>103</v>
      </c>
      <c r="F181" s="18" t="s">
        <v>192</v>
      </c>
      <c r="G181" s="63" t="s">
        <v>1590</v>
      </c>
      <c r="H181" s="72" t="s">
        <v>1163</v>
      </c>
      <c r="I181" s="84" t="s">
        <v>37</v>
      </c>
      <c r="J181" s="81" t="s">
        <v>205</v>
      </c>
      <c r="K181" s="81" t="s">
        <v>205</v>
      </c>
      <c r="L181" s="81" t="s">
        <v>208</v>
      </c>
      <c r="M181" s="28">
        <v>15.0</v>
      </c>
      <c r="N181" s="26" t="str">
        <f t="shared" si="375"/>
        <v>R</v>
      </c>
      <c r="O181" s="28">
        <v>22.0</v>
      </c>
      <c r="P181" s="26" t="str">
        <f t="shared" si="376"/>
        <v>S</v>
      </c>
      <c r="Q181" s="28">
        <v>21.0</v>
      </c>
      <c r="R181" s="26" t="str">
        <f t="shared" si="377"/>
        <v>R</v>
      </c>
      <c r="S181" s="28">
        <v>25.0</v>
      </c>
      <c r="T181" s="26" t="str">
        <f t="shared" si="378"/>
        <v>S</v>
      </c>
      <c r="U181" s="28">
        <v>20.0</v>
      </c>
      <c r="V181" s="26" t="str">
        <f t="shared" si="379"/>
        <v>S</v>
      </c>
      <c r="W181" s="28">
        <v>18.0</v>
      </c>
      <c r="X181" s="26" t="str">
        <f t="shared" si="380"/>
        <v>R</v>
      </c>
      <c r="Y181" s="28">
        <v>18.0</v>
      </c>
      <c r="Z181" s="26" t="str">
        <f t="shared" si="381"/>
        <v>I</v>
      </c>
      <c r="AA181" s="32" t="s">
        <v>299</v>
      </c>
      <c r="AB181" s="65">
        <v>16.0</v>
      </c>
      <c r="AC181" s="33" t="str">
        <f t="shared" si="382"/>
        <v>R</v>
      </c>
      <c r="AD181" s="65">
        <v>21.0</v>
      </c>
      <c r="AE181" s="33" t="str">
        <f t="shared" si="383"/>
        <v>S</v>
      </c>
      <c r="AF181" s="65">
        <v>12.0</v>
      </c>
      <c r="AG181" s="33" t="str">
        <f t="shared" si="384"/>
        <v>R</v>
      </c>
      <c r="AH181" s="65">
        <v>13.0</v>
      </c>
      <c r="AI181" s="33" t="str">
        <f t="shared" si="385"/>
        <v>S</v>
      </c>
      <c r="AJ181" s="65">
        <v>19.0</v>
      </c>
      <c r="AK181" s="33" t="str">
        <f t="shared" si="386"/>
        <v>R</v>
      </c>
      <c r="AL181" s="65" t="s">
        <v>299</v>
      </c>
      <c r="AM181" s="66">
        <v>21.0</v>
      </c>
      <c r="AN181" s="36" t="str">
        <f t="shared" si="387"/>
        <v>R</v>
      </c>
      <c r="AO181" s="66">
        <v>21.0</v>
      </c>
      <c r="AP181" s="36" t="str">
        <f t="shared" si="388"/>
        <v>I</v>
      </c>
      <c r="AQ181" s="66">
        <v>12.0</v>
      </c>
      <c r="AR181" s="36" t="str">
        <f t="shared" si="389"/>
        <v>R</v>
      </c>
      <c r="AS181" s="66" t="s">
        <v>299</v>
      </c>
      <c r="AT181" s="67">
        <v>19.0</v>
      </c>
      <c r="AU181" s="37" t="str">
        <f t="shared" si="390"/>
        <v>S</v>
      </c>
      <c r="AV181" s="65">
        <v>22.0</v>
      </c>
      <c r="AW181" s="33" t="str">
        <f t="shared" si="391"/>
        <v>S</v>
      </c>
      <c r="AX181" s="65">
        <v>22.0</v>
      </c>
      <c r="AY181" s="33" t="str">
        <f t="shared" si="392"/>
        <v>S</v>
      </c>
      <c r="AZ181" s="33" t="s">
        <v>300</v>
      </c>
      <c r="BA181" s="28">
        <v>15.0</v>
      </c>
      <c r="BB181" s="26" t="str">
        <f t="shared" si="393"/>
        <v>R</v>
      </c>
      <c r="BC181" s="67">
        <v>6.0</v>
      </c>
      <c r="BD181" s="37" t="str">
        <f t="shared" si="394"/>
        <v>R</v>
      </c>
      <c r="BE181" s="66">
        <v>20.0</v>
      </c>
      <c r="BF181" s="36" t="str">
        <f t="shared" si="395"/>
        <v>R</v>
      </c>
      <c r="BG181" s="39" t="s">
        <v>357</v>
      </c>
      <c r="BH181" s="39" t="s">
        <v>357</v>
      </c>
      <c r="BI181" s="66">
        <v>23.0</v>
      </c>
      <c r="BJ181" s="36" t="str">
        <f t="shared" si="396"/>
        <v>S</v>
      </c>
      <c r="BK181" s="68">
        <v>22.0</v>
      </c>
      <c r="BL181" s="41" t="str">
        <f t="shared" si="397"/>
        <v>S</v>
      </c>
      <c r="BM181" s="41"/>
    </row>
    <row r="182">
      <c r="A182" s="18" t="s">
        <v>879</v>
      </c>
      <c r="B182" s="19">
        <v>157.0</v>
      </c>
      <c r="C182" s="18" t="s">
        <v>1595</v>
      </c>
      <c r="D182" s="69" t="s">
        <v>555</v>
      </c>
      <c r="E182" s="18" t="s">
        <v>103</v>
      </c>
      <c r="F182" s="18" t="s">
        <v>192</v>
      </c>
      <c r="G182" s="63" t="s">
        <v>1596</v>
      </c>
      <c r="H182" s="42" t="s">
        <v>479</v>
      </c>
      <c r="I182" s="64" t="s">
        <v>41</v>
      </c>
      <c r="J182" s="70" t="s">
        <v>205</v>
      </c>
      <c r="K182" s="71" t="s">
        <v>208</v>
      </c>
      <c r="L182" s="71" t="s">
        <v>205</v>
      </c>
      <c r="M182" s="28">
        <v>10.0</v>
      </c>
      <c r="N182" s="26" t="str">
        <f t="shared" si="375"/>
        <v>R</v>
      </c>
      <c r="O182" s="28">
        <v>14.0</v>
      </c>
      <c r="P182" s="26" t="str">
        <f t="shared" si="376"/>
        <v>R</v>
      </c>
      <c r="Q182" s="28">
        <v>20.0</v>
      </c>
      <c r="R182" s="26" t="str">
        <f t="shared" si="377"/>
        <v>R</v>
      </c>
      <c r="S182" s="28">
        <v>23.0</v>
      </c>
      <c r="T182" s="26" t="str">
        <f t="shared" si="378"/>
        <v>S</v>
      </c>
      <c r="U182" s="28">
        <v>6.0</v>
      </c>
      <c r="V182" s="26" t="str">
        <f t="shared" si="379"/>
        <v>R</v>
      </c>
      <c r="W182" s="28">
        <v>19.0</v>
      </c>
      <c r="X182" s="26" t="str">
        <f t="shared" si="380"/>
        <v>R</v>
      </c>
      <c r="Y182" s="28">
        <v>6.0</v>
      </c>
      <c r="Z182" s="26" t="str">
        <f t="shared" si="381"/>
        <v>R</v>
      </c>
      <c r="AA182" s="32" t="s">
        <v>299</v>
      </c>
      <c r="AB182" s="65">
        <v>12.0</v>
      </c>
      <c r="AC182" s="33" t="str">
        <f t="shared" si="382"/>
        <v>R</v>
      </c>
      <c r="AD182" s="65">
        <v>12.0</v>
      </c>
      <c r="AE182" s="33" t="str">
        <f t="shared" si="383"/>
        <v>R</v>
      </c>
      <c r="AF182" s="65">
        <v>9.0</v>
      </c>
      <c r="AG182" s="33" t="str">
        <f t="shared" si="384"/>
        <v>R</v>
      </c>
      <c r="AH182" s="65">
        <v>16.0</v>
      </c>
      <c r="AI182" s="33" t="str">
        <f t="shared" si="385"/>
        <v>S</v>
      </c>
      <c r="AJ182" s="65">
        <v>12.0</v>
      </c>
      <c r="AK182" s="33" t="str">
        <f t="shared" si="386"/>
        <v>R</v>
      </c>
      <c r="AL182" s="65" t="s">
        <v>299</v>
      </c>
      <c r="AM182" s="66">
        <v>19.0</v>
      </c>
      <c r="AN182" s="36" t="str">
        <f t="shared" si="387"/>
        <v>R</v>
      </c>
      <c r="AO182" s="66">
        <v>17.0</v>
      </c>
      <c r="AP182" s="36" t="str">
        <f t="shared" si="388"/>
        <v>R</v>
      </c>
      <c r="AQ182" s="66">
        <v>16.0</v>
      </c>
      <c r="AR182" s="36" t="str">
        <f t="shared" si="389"/>
        <v>S</v>
      </c>
      <c r="AS182" s="66" t="s">
        <v>299</v>
      </c>
      <c r="AT182" s="67">
        <v>21.0</v>
      </c>
      <c r="AU182" s="37" t="str">
        <f t="shared" si="390"/>
        <v>S</v>
      </c>
      <c r="AV182" s="65">
        <v>17.0</v>
      </c>
      <c r="AW182" s="33" t="str">
        <f t="shared" si="391"/>
        <v>R</v>
      </c>
      <c r="AX182" s="65">
        <v>16.0</v>
      </c>
      <c r="AY182" s="33" t="str">
        <f t="shared" si="392"/>
        <v>S</v>
      </c>
      <c r="AZ182" s="65" t="s">
        <v>299</v>
      </c>
      <c r="BA182" s="28">
        <v>19.0</v>
      </c>
      <c r="BB182" s="26" t="str">
        <f t="shared" si="393"/>
        <v>R</v>
      </c>
      <c r="BC182" s="67">
        <v>10.0</v>
      </c>
      <c r="BD182" s="37" t="str">
        <f t="shared" si="394"/>
        <v>R</v>
      </c>
      <c r="BE182" s="66">
        <v>19.0</v>
      </c>
      <c r="BF182" s="36" t="str">
        <f t="shared" si="395"/>
        <v>R</v>
      </c>
      <c r="BG182" s="39" t="s">
        <v>357</v>
      </c>
      <c r="BH182" s="39" t="s">
        <v>357</v>
      </c>
      <c r="BI182" s="66">
        <v>22.0</v>
      </c>
      <c r="BJ182" s="36" t="str">
        <f t="shared" si="396"/>
        <v>S</v>
      </c>
      <c r="BK182" s="68">
        <v>19.0</v>
      </c>
      <c r="BL182" s="41" t="str">
        <f t="shared" si="397"/>
        <v>S</v>
      </c>
      <c r="BM182" s="41"/>
    </row>
    <row r="183">
      <c r="A183" s="18" t="s">
        <v>883</v>
      </c>
      <c r="B183" s="19">
        <v>158.0</v>
      </c>
      <c r="C183" s="18" t="s">
        <v>1601</v>
      </c>
      <c r="D183" s="69" t="s">
        <v>190</v>
      </c>
      <c r="E183" s="18" t="s">
        <v>190</v>
      </c>
      <c r="F183" s="18" t="s">
        <v>192</v>
      </c>
      <c r="G183" s="63" t="s">
        <v>1602</v>
      </c>
      <c r="H183" s="22" t="s">
        <v>198</v>
      </c>
      <c r="I183" s="84" t="s">
        <v>37</v>
      </c>
      <c r="J183" s="81" t="s">
        <v>205</v>
      </c>
      <c r="K183" s="81" t="s">
        <v>205</v>
      </c>
      <c r="L183" s="81" t="s">
        <v>208</v>
      </c>
      <c r="M183" s="28">
        <v>6.0</v>
      </c>
      <c r="N183" s="26" t="str">
        <f t="shared" si="375"/>
        <v>R</v>
      </c>
      <c r="O183" s="28">
        <v>20.0</v>
      </c>
      <c r="P183" s="26" t="str">
        <f t="shared" si="376"/>
        <v>S</v>
      </c>
      <c r="Q183" s="28">
        <v>6.0</v>
      </c>
      <c r="R183" s="26" t="str">
        <f t="shared" si="377"/>
        <v>R</v>
      </c>
      <c r="S183" s="28">
        <v>19.0</v>
      </c>
      <c r="T183" s="26" t="str">
        <f t="shared" si="378"/>
        <v>R</v>
      </c>
      <c r="U183" s="28">
        <v>6.0</v>
      </c>
      <c r="V183" s="26" t="str">
        <f t="shared" si="379"/>
        <v>R</v>
      </c>
      <c r="W183" s="28">
        <v>19.0</v>
      </c>
      <c r="X183" s="26" t="str">
        <f t="shared" si="380"/>
        <v>R</v>
      </c>
      <c r="Y183" s="28">
        <v>13.0</v>
      </c>
      <c r="Z183" s="26" t="str">
        <f t="shared" si="381"/>
        <v>R</v>
      </c>
      <c r="AA183" s="32" t="s">
        <v>299</v>
      </c>
      <c r="AB183" s="65">
        <v>14.0</v>
      </c>
      <c r="AC183" s="33" t="str">
        <f t="shared" si="382"/>
        <v>R</v>
      </c>
      <c r="AD183" s="65">
        <v>25.0</v>
      </c>
      <c r="AE183" s="33" t="str">
        <f t="shared" si="383"/>
        <v>S</v>
      </c>
      <c r="AF183" s="65">
        <v>16.0</v>
      </c>
      <c r="AG183" s="33" t="str">
        <f t="shared" si="384"/>
        <v>R</v>
      </c>
      <c r="AH183" s="65">
        <v>21.0</v>
      </c>
      <c r="AI183" s="33" t="str">
        <f t="shared" si="385"/>
        <v>S</v>
      </c>
      <c r="AJ183" s="65">
        <v>13.0</v>
      </c>
      <c r="AK183" s="33" t="str">
        <f t="shared" si="386"/>
        <v>R</v>
      </c>
      <c r="AL183" s="65" t="s">
        <v>299</v>
      </c>
      <c r="AM183" s="66">
        <v>20.0</v>
      </c>
      <c r="AN183" s="36" t="str">
        <f t="shared" si="387"/>
        <v>R</v>
      </c>
      <c r="AO183" s="66">
        <v>15.0</v>
      </c>
      <c r="AP183" s="36" t="str">
        <f t="shared" si="388"/>
        <v>R</v>
      </c>
      <c r="AQ183" s="66">
        <v>14.0</v>
      </c>
      <c r="AR183" s="36" t="str">
        <f t="shared" si="389"/>
        <v>S</v>
      </c>
      <c r="AS183" s="66" t="s">
        <v>299</v>
      </c>
      <c r="AT183" s="67">
        <v>10.0</v>
      </c>
      <c r="AU183" s="37" t="str">
        <f t="shared" si="390"/>
        <v>R</v>
      </c>
      <c r="AV183" s="65">
        <v>25.0</v>
      </c>
      <c r="AW183" s="33" t="str">
        <f t="shared" si="391"/>
        <v>S</v>
      </c>
      <c r="AX183" s="65">
        <v>22.0</v>
      </c>
      <c r="AY183" s="33" t="str">
        <f t="shared" si="392"/>
        <v>S</v>
      </c>
      <c r="AZ183" s="33" t="s">
        <v>300</v>
      </c>
      <c r="BA183" s="28">
        <v>15.0</v>
      </c>
      <c r="BB183" s="26" t="str">
        <f t="shared" si="393"/>
        <v>R</v>
      </c>
      <c r="BC183" s="67">
        <v>6.0</v>
      </c>
      <c r="BD183" s="37" t="str">
        <f t="shared" si="394"/>
        <v>R</v>
      </c>
      <c r="BE183" s="66">
        <v>23.0</v>
      </c>
      <c r="BF183" s="36" t="str">
        <f t="shared" si="395"/>
        <v>S</v>
      </c>
      <c r="BG183" s="39" t="s">
        <v>357</v>
      </c>
      <c r="BH183" s="39" t="s">
        <v>357</v>
      </c>
      <c r="BI183" s="66">
        <v>22.0</v>
      </c>
      <c r="BJ183" s="36" t="str">
        <f t="shared" si="396"/>
        <v>S</v>
      </c>
      <c r="BK183" s="68">
        <v>11.0</v>
      </c>
      <c r="BL183" s="41" t="str">
        <f t="shared" si="397"/>
        <v>R</v>
      </c>
      <c r="BM183" s="41"/>
    </row>
    <row r="184">
      <c r="A184" s="18" t="s">
        <v>883</v>
      </c>
      <c r="B184" s="19">
        <v>159.0</v>
      </c>
      <c r="C184" s="18" t="s">
        <v>1607</v>
      </c>
      <c r="D184" s="69" t="s">
        <v>190</v>
      </c>
      <c r="E184" s="18" t="s">
        <v>190</v>
      </c>
      <c r="F184" s="18" t="s">
        <v>192</v>
      </c>
      <c r="G184" s="63" t="s">
        <v>1608</v>
      </c>
      <c r="H184" s="22" t="s">
        <v>198</v>
      </c>
      <c r="I184" s="84" t="s">
        <v>37</v>
      </c>
      <c r="J184" s="81" t="s">
        <v>205</v>
      </c>
      <c r="K184" s="81" t="s">
        <v>205</v>
      </c>
      <c r="L184" s="81" t="s">
        <v>208</v>
      </c>
      <c r="M184" s="28">
        <v>18.0</v>
      </c>
      <c r="N184" s="26" t="str">
        <f t="shared" si="375"/>
        <v>R</v>
      </c>
      <c r="O184" s="28">
        <v>28.0</v>
      </c>
      <c r="P184" s="26" t="str">
        <f t="shared" si="376"/>
        <v>S</v>
      </c>
      <c r="Q184" s="28">
        <v>22.0</v>
      </c>
      <c r="R184" s="26" t="str">
        <f t="shared" si="377"/>
        <v>R</v>
      </c>
      <c r="S184" s="28">
        <v>22.0</v>
      </c>
      <c r="T184" s="26" t="str">
        <f t="shared" si="378"/>
        <v>I</v>
      </c>
      <c r="U184" s="28">
        <v>13.0</v>
      </c>
      <c r="V184" s="26" t="str">
        <f t="shared" si="379"/>
        <v>R</v>
      </c>
      <c r="W184" s="28">
        <v>25.0</v>
      </c>
      <c r="X184" s="26" t="str">
        <f t="shared" si="380"/>
        <v>S</v>
      </c>
      <c r="Y184" s="28">
        <v>6.0</v>
      </c>
      <c r="Z184" s="26" t="str">
        <f t="shared" si="381"/>
        <v>R</v>
      </c>
      <c r="AA184" s="32" t="s">
        <v>299</v>
      </c>
      <c r="AB184" s="65">
        <v>14.0</v>
      </c>
      <c r="AC184" s="33" t="str">
        <f t="shared" si="382"/>
        <v>R</v>
      </c>
      <c r="AD184" s="65">
        <v>21.0</v>
      </c>
      <c r="AE184" s="33" t="str">
        <f t="shared" si="383"/>
        <v>S</v>
      </c>
      <c r="AF184" s="65">
        <v>6.0</v>
      </c>
      <c r="AG184" s="33" t="str">
        <f t="shared" si="384"/>
        <v>R</v>
      </c>
      <c r="AH184" s="65">
        <v>6.0</v>
      </c>
      <c r="AI184" s="33" t="str">
        <f t="shared" si="385"/>
        <v>R</v>
      </c>
      <c r="AJ184" s="65">
        <v>6.0</v>
      </c>
      <c r="AK184" s="33" t="str">
        <f t="shared" si="386"/>
        <v>R</v>
      </c>
      <c r="AL184" s="65" t="s">
        <v>299</v>
      </c>
      <c r="AM184" s="66">
        <v>28.0</v>
      </c>
      <c r="AN184" s="36" t="str">
        <f t="shared" si="387"/>
        <v>S</v>
      </c>
      <c r="AO184" s="66">
        <v>11.0</v>
      </c>
      <c r="AP184" s="36" t="str">
        <f t="shared" si="388"/>
        <v>R</v>
      </c>
      <c r="AQ184" s="66">
        <v>20.0</v>
      </c>
      <c r="AR184" s="36" t="str">
        <f t="shared" si="389"/>
        <v>S</v>
      </c>
      <c r="AS184" s="66" t="s">
        <v>299</v>
      </c>
      <c r="AT184" s="67">
        <v>6.0</v>
      </c>
      <c r="AU184" s="37" t="str">
        <f t="shared" si="390"/>
        <v>R</v>
      </c>
      <c r="AV184" s="65">
        <v>16.0</v>
      </c>
      <c r="AW184" s="33" t="str">
        <f t="shared" si="391"/>
        <v>R</v>
      </c>
      <c r="AX184" s="65">
        <v>6.0</v>
      </c>
      <c r="AY184" s="33" t="str">
        <f t="shared" si="392"/>
        <v>R</v>
      </c>
      <c r="AZ184" s="65" t="s">
        <v>299</v>
      </c>
      <c r="BA184" s="28">
        <v>14.0</v>
      </c>
      <c r="BB184" s="26" t="str">
        <f t="shared" si="393"/>
        <v>R</v>
      </c>
      <c r="BC184" s="67">
        <v>6.0</v>
      </c>
      <c r="BD184" s="37" t="str">
        <f t="shared" si="394"/>
        <v>R</v>
      </c>
      <c r="BE184" s="66">
        <v>26.0</v>
      </c>
      <c r="BF184" s="36" t="str">
        <f t="shared" si="395"/>
        <v>S</v>
      </c>
      <c r="BG184" s="39" t="s">
        <v>357</v>
      </c>
      <c r="BH184" s="39" t="s">
        <v>357</v>
      </c>
      <c r="BI184" s="66">
        <v>32.0</v>
      </c>
      <c r="BJ184" s="36" t="str">
        <f t="shared" si="396"/>
        <v>S</v>
      </c>
      <c r="BK184" s="68">
        <v>20.0</v>
      </c>
      <c r="BL184" s="41" t="str">
        <f t="shared" si="397"/>
        <v>S</v>
      </c>
      <c r="BM184" s="41"/>
    </row>
    <row r="185">
      <c r="A185" s="18" t="s">
        <v>883</v>
      </c>
      <c r="B185" s="19">
        <v>160.0</v>
      </c>
      <c r="C185" s="18" t="s">
        <v>1613</v>
      </c>
      <c r="D185" s="62" t="s">
        <v>571</v>
      </c>
      <c r="E185" s="18" t="s">
        <v>572</v>
      </c>
      <c r="F185" s="18" t="s">
        <v>192</v>
      </c>
      <c r="G185" s="63" t="s">
        <v>1614</v>
      </c>
      <c r="H185" s="52" t="s">
        <v>581</v>
      </c>
      <c r="I185" s="84" t="s">
        <v>37</v>
      </c>
      <c r="J185" s="81" t="s">
        <v>205</v>
      </c>
      <c r="K185" s="81" t="s">
        <v>205</v>
      </c>
      <c r="L185" s="81" t="s">
        <v>208</v>
      </c>
      <c r="M185" s="28">
        <v>14.0</v>
      </c>
      <c r="N185" s="26" t="str">
        <f t="shared" si="375"/>
        <v>R</v>
      </c>
      <c r="O185" s="28">
        <v>18.0</v>
      </c>
      <c r="P185" s="26" t="str">
        <f t="shared" si="376"/>
        <v>R</v>
      </c>
      <c r="Q185" s="28">
        <v>24.0</v>
      </c>
      <c r="R185" s="26" t="str">
        <f t="shared" si="377"/>
        <v>S</v>
      </c>
      <c r="S185" s="28">
        <v>23.0</v>
      </c>
      <c r="T185" s="26" t="str">
        <f t="shared" si="378"/>
        <v>S</v>
      </c>
      <c r="U185" s="28">
        <v>24.0</v>
      </c>
      <c r="V185" s="26" t="str">
        <f t="shared" si="379"/>
        <v>S</v>
      </c>
      <c r="W185" s="28">
        <v>16.0</v>
      </c>
      <c r="X185" s="26" t="str">
        <f t="shared" si="380"/>
        <v>R</v>
      </c>
      <c r="Y185" s="28">
        <v>22.0</v>
      </c>
      <c r="Z185" s="26" t="str">
        <f t="shared" si="381"/>
        <v>S</v>
      </c>
      <c r="AA185" s="32" t="s">
        <v>299</v>
      </c>
      <c r="AB185" s="65">
        <v>16.0</v>
      </c>
      <c r="AC185" s="33" t="str">
        <f t="shared" si="382"/>
        <v>R</v>
      </c>
      <c r="AD185" s="65">
        <v>22.0</v>
      </c>
      <c r="AE185" s="33" t="str">
        <f t="shared" si="383"/>
        <v>S</v>
      </c>
      <c r="AF185" s="65">
        <v>18.0</v>
      </c>
      <c r="AG185" s="33" t="str">
        <f t="shared" si="384"/>
        <v>R</v>
      </c>
      <c r="AH185" s="65">
        <v>17.0</v>
      </c>
      <c r="AI185" s="33" t="str">
        <f t="shared" si="385"/>
        <v>S</v>
      </c>
      <c r="AJ185" s="65">
        <v>20.0</v>
      </c>
      <c r="AK185" s="33" t="str">
        <f t="shared" si="386"/>
        <v>R</v>
      </c>
      <c r="AL185" s="65" t="s">
        <v>299</v>
      </c>
      <c r="AM185" s="66">
        <v>14.0</v>
      </c>
      <c r="AN185" s="36" t="str">
        <f t="shared" si="387"/>
        <v>R</v>
      </c>
      <c r="AO185" s="66">
        <v>12.0</v>
      </c>
      <c r="AP185" s="36" t="str">
        <f t="shared" si="388"/>
        <v>R</v>
      </c>
      <c r="AQ185" s="66">
        <v>12.0</v>
      </c>
      <c r="AR185" s="36" t="str">
        <f t="shared" si="389"/>
        <v>R</v>
      </c>
      <c r="AS185" s="66" t="s">
        <v>299</v>
      </c>
      <c r="AT185" s="67">
        <v>18.0</v>
      </c>
      <c r="AU185" s="37" t="str">
        <f t="shared" si="390"/>
        <v>S</v>
      </c>
      <c r="AV185" s="65">
        <v>21.0</v>
      </c>
      <c r="AW185" s="33" t="str">
        <f t="shared" si="391"/>
        <v>S</v>
      </c>
      <c r="AX185" s="65">
        <v>18.0</v>
      </c>
      <c r="AY185" s="33" t="str">
        <f t="shared" si="392"/>
        <v>S</v>
      </c>
      <c r="AZ185" s="33" t="s">
        <v>300</v>
      </c>
      <c r="BA185" s="28">
        <v>15.0</v>
      </c>
      <c r="BB185" s="26" t="str">
        <f t="shared" si="393"/>
        <v>R</v>
      </c>
      <c r="BC185" s="67">
        <v>16.0</v>
      </c>
      <c r="BD185" s="37" t="str">
        <f t="shared" si="394"/>
        <v>R</v>
      </c>
      <c r="BE185" s="66">
        <v>25.0</v>
      </c>
      <c r="BF185" s="36" t="str">
        <f t="shared" si="395"/>
        <v>S</v>
      </c>
      <c r="BG185" s="39" t="s">
        <v>357</v>
      </c>
      <c r="BH185" s="39" t="s">
        <v>357</v>
      </c>
      <c r="BI185" s="66">
        <v>29.0</v>
      </c>
      <c r="BJ185" s="36" t="str">
        <f t="shared" si="396"/>
        <v>S</v>
      </c>
      <c r="BK185" s="68">
        <v>17.0</v>
      </c>
      <c r="BL185" s="41" t="str">
        <f t="shared" si="397"/>
        <v>S</v>
      </c>
      <c r="BM185" s="41"/>
    </row>
    <row r="186">
      <c r="A186" s="18" t="s">
        <v>915</v>
      </c>
      <c r="B186" s="19">
        <v>175.0</v>
      </c>
      <c r="C186" s="18" t="s">
        <v>1623</v>
      </c>
      <c r="D186" s="69" t="s">
        <v>190</v>
      </c>
      <c r="E186" s="18" t="s">
        <v>190</v>
      </c>
      <c r="F186" s="18" t="s">
        <v>192</v>
      </c>
      <c r="G186" s="63" t="s">
        <v>1624</v>
      </c>
      <c r="H186" s="22" t="s">
        <v>198</v>
      </c>
      <c r="I186" s="64" t="s">
        <v>481</v>
      </c>
      <c r="J186" s="70" t="s">
        <v>205</v>
      </c>
      <c r="K186" s="70" t="s">
        <v>208</v>
      </c>
      <c r="L186" s="70" t="s">
        <v>208</v>
      </c>
      <c r="M186" s="28">
        <v>6.0</v>
      </c>
      <c r="N186" s="26" t="str">
        <f t="shared" si="375"/>
        <v>R</v>
      </c>
      <c r="O186" s="28">
        <v>6.0</v>
      </c>
      <c r="P186" s="26" t="str">
        <f t="shared" si="376"/>
        <v>R</v>
      </c>
      <c r="Q186" s="28">
        <v>6.0</v>
      </c>
      <c r="R186" s="26" t="str">
        <f t="shared" si="377"/>
        <v>R</v>
      </c>
      <c r="S186" s="28">
        <v>22.0</v>
      </c>
      <c r="T186" s="26" t="str">
        <f t="shared" si="378"/>
        <v>I</v>
      </c>
      <c r="U186" s="28">
        <v>6.0</v>
      </c>
      <c r="V186" s="26" t="str">
        <f t="shared" si="379"/>
        <v>R</v>
      </c>
      <c r="W186" s="28">
        <v>6.0</v>
      </c>
      <c r="X186" s="26" t="str">
        <f t="shared" si="380"/>
        <v>R</v>
      </c>
      <c r="Y186" s="28">
        <v>18.0</v>
      </c>
      <c r="Z186" s="26" t="str">
        <f t="shared" si="381"/>
        <v>I</v>
      </c>
      <c r="AA186" s="32" t="s">
        <v>299</v>
      </c>
      <c r="AB186" s="65">
        <v>6.0</v>
      </c>
      <c r="AC186" s="33" t="str">
        <f t="shared" si="382"/>
        <v>R</v>
      </c>
      <c r="AD186" s="65">
        <v>7.0</v>
      </c>
      <c r="AE186" s="33" t="str">
        <f t="shared" si="383"/>
        <v>R</v>
      </c>
      <c r="AF186" s="65">
        <v>6.0</v>
      </c>
      <c r="AG186" s="33" t="str">
        <f t="shared" si="384"/>
        <v>R</v>
      </c>
      <c r="AH186" s="65">
        <v>12.0</v>
      </c>
      <c r="AI186" s="33" t="str">
        <f t="shared" si="385"/>
        <v>R</v>
      </c>
      <c r="AJ186" s="65">
        <v>6.0</v>
      </c>
      <c r="AK186" s="33" t="str">
        <f t="shared" si="386"/>
        <v>R</v>
      </c>
      <c r="AL186" s="65" t="s">
        <v>299</v>
      </c>
      <c r="AM186" s="66">
        <v>6.0</v>
      </c>
      <c r="AN186" s="36" t="str">
        <f t="shared" si="387"/>
        <v>R</v>
      </c>
      <c r="AO186" s="66">
        <v>6.0</v>
      </c>
      <c r="AP186" s="36" t="str">
        <f t="shared" si="388"/>
        <v>R</v>
      </c>
      <c r="AQ186" s="66">
        <v>7.0</v>
      </c>
      <c r="AR186" s="36" t="str">
        <f t="shared" si="389"/>
        <v>R</v>
      </c>
      <c r="AS186" s="66" t="s">
        <v>299</v>
      </c>
      <c r="AT186" s="67">
        <v>6.0</v>
      </c>
      <c r="AU186" s="37" t="str">
        <f t="shared" si="390"/>
        <v>R</v>
      </c>
      <c r="AV186" s="65">
        <v>12.0</v>
      </c>
      <c r="AW186" s="33" t="str">
        <f t="shared" si="391"/>
        <v>R</v>
      </c>
      <c r="AX186" s="65">
        <v>22.0</v>
      </c>
      <c r="AY186" s="33" t="str">
        <f t="shared" si="392"/>
        <v>S</v>
      </c>
      <c r="AZ186" s="65" t="s">
        <v>299</v>
      </c>
      <c r="BA186" s="28">
        <v>6.0</v>
      </c>
      <c r="BB186" s="26" t="str">
        <f t="shared" si="393"/>
        <v>R</v>
      </c>
      <c r="BC186" s="67">
        <v>6.0</v>
      </c>
      <c r="BD186" s="37" t="str">
        <f t="shared" si="394"/>
        <v>R</v>
      </c>
      <c r="BE186" s="66">
        <v>19.0</v>
      </c>
      <c r="BF186" s="36" t="str">
        <f t="shared" si="395"/>
        <v>R</v>
      </c>
      <c r="BG186" s="39" t="s">
        <v>357</v>
      </c>
      <c r="BH186" s="39" t="s">
        <v>357</v>
      </c>
      <c r="BI186" s="66">
        <v>23.0</v>
      </c>
      <c r="BJ186" s="36" t="str">
        <f t="shared" si="396"/>
        <v>S</v>
      </c>
      <c r="BK186" s="68">
        <v>6.0</v>
      </c>
      <c r="BL186" s="41" t="str">
        <f t="shared" si="397"/>
        <v>R</v>
      </c>
      <c r="BM186" s="41"/>
    </row>
    <row r="187">
      <c r="A187" s="18" t="s">
        <v>915</v>
      </c>
      <c r="B187" s="19">
        <v>176.0</v>
      </c>
      <c r="C187" s="18" t="s">
        <v>1625</v>
      </c>
      <c r="D187" s="69" t="s">
        <v>571</v>
      </c>
      <c r="E187" s="18" t="s">
        <v>572</v>
      </c>
      <c r="F187" s="18" t="s">
        <v>573</v>
      </c>
      <c r="G187" s="63" t="s">
        <v>1626</v>
      </c>
      <c r="H187" s="72" t="s">
        <v>1627</v>
      </c>
      <c r="I187" s="64" t="s">
        <v>481</v>
      </c>
      <c r="J187" s="71" t="s">
        <v>205</v>
      </c>
      <c r="K187" s="70" t="s">
        <v>208</v>
      </c>
      <c r="L187" s="70" t="s">
        <v>208</v>
      </c>
      <c r="M187" s="28">
        <v>30.0</v>
      </c>
      <c r="N187" s="26" t="str">
        <f t="shared" si="375"/>
        <v>S</v>
      </c>
      <c r="O187" s="28">
        <v>30.0</v>
      </c>
      <c r="P187" s="26" t="str">
        <f t="shared" si="376"/>
        <v>S</v>
      </c>
      <c r="Q187" s="28">
        <v>40.0</v>
      </c>
      <c r="R187" s="26" t="str">
        <f t="shared" si="377"/>
        <v>S</v>
      </c>
      <c r="S187" s="28">
        <v>38.0</v>
      </c>
      <c r="T187" s="26" t="str">
        <f t="shared" si="378"/>
        <v>S</v>
      </c>
      <c r="U187" s="28">
        <v>30.0</v>
      </c>
      <c r="V187" s="26" t="str">
        <f t="shared" si="379"/>
        <v>S</v>
      </c>
      <c r="W187" s="28">
        <v>30.0</v>
      </c>
      <c r="X187" s="26" t="str">
        <f t="shared" si="380"/>
        <v>S</v>
      </c>
      <c r="Y187" s="28">
        <v>12.0</v>
      </c>
      <c r="Z187" s="26" t="str">
        <f t="shared" si="381"/>
        <v>R</v>
      </c>
      <c r="AA187" s="32" t="s">
        <v>299</v>
      </c>
      <c r="AB187" s="65">
        <v>32.0</v>
      </c>
      <c r="AC187" s="33" t="str">
        <f t="shared" si="382"/>
        <v>S</v>
      </c>
      <c r="AD187" s="65">
        <v>40.0</v>
      </c>
      <c r="AE187" s="33" t="str">
        <f t="shared" si="383"/>
        <v>S</v>
      </c>
      <c r="AF187" s="65">
        <v>13.0</v>
      </c>
      <c r="AG187" s="33" t="str">
        <f t="shared" si="384"/>
        <v>R</v>
      </c>
      <c r="AH187" s="65">
        <v>18.0</v>
      </c>
      <c r="AI187" s="33" t="str">
        <f t="shared" si="385"/>
        <v>S</v>
      </c>
      <c r="AJ187" s="65">
        <v>40.0</v>
      </c>
      <c r="AK187" s="33" t="str">
        <f t="shared" si="386"/>
        <v>S</v>
      </c>
      <c r="AL187" s="65" t="s">
        <v>299</v>
      </c>
      <c r="AM187" s="66">
        <v>25.0</v>
      </c>
      <c r="AN187" s="36" t="str">
        <f t="shared" si="387"/>
        <v>S</v>
      </c>
      <c r="AO187" s="66">
        <v>22.0</v>
      </c>
      <c r="AP187" s="36" t="str">
        <f t="shared" si="388"/>
        <v>I</v>
      </c>
      <c r="AQ187" s="66">
        <v>6.0</v>
      </c>
      <c r="AR187" s="36" t="str">
        <f t="shared" si="389"/>
        <v>R</v>
      </c>
      <c r="AS187" s="66" t="s">
        <v>299</v>
      </c>
      <c r="AT187" s="67">
        <v>30.0</v>
      </c>
      <c r="AU187" s="37" t="str">
        <f t="shared" si="390"/>
        <v>S</v>
      </c>
      <c r="AV187" s="65">
        <v>26.0</v>
      </c>
      <c r="AW187" s="33" t="str">
        <f t="shared" si="391"/>
        <v>S</v>
      </c>
      <c r="AX187" s="65">
        <v>17.0</v>
      </c>
      <c r="AY187" s="33" t="str">
        <f t="shared" si="392"/>
        <v>S</v>
      </c>
      <c r="AZ187" s="33" t="s">
        <v>300</v>
      </c>
      <c r="BA187" s="28">
        <v>26.0</v>
      </c>
      <c r="BB187" s="26" t="str">
        <f t="shared" si="393"/>
        <v>S</v>
      </c>
      <c r="BC187" s="67">
        <v>6.0</v>
      </c>
      <c r="BD187" s="37" t="str">
        <f t="shared" si="394"/>
        <v>R</v>
      </c>
      <c r="BE187" s="66">
        <v>30.0</v>
      </c>
      <c r="BF187" s="36" t="str">
        <f t="shared" si="395"/>
        <v>S</v>
      </c>
      <c r="BG187" s="39" t="s">
        <v>357</v>
      </c>
      <c r="BH187" s="39" t="s">
        <v>357</v>
      </c>
      <c r="BI187" s="66">
        <v>10.0</v>
      </c>
      <c r="BJ187" s="36" t="str">
        <f t="shared" si="396"/>
        <v>R</v>
      </c>
      <c r="BK187" s="68">
        <v>23.0</v>
      </c>
      <c r="BL187" s="41" t="str">
        <f t="shared" si="397"/>
        <v>S</v>
      </c>
      <c r="BM187" s="41"/>
    </row>
    <row r="188">
      <c r="A188" s="18" t="s">
        <v>915</v>
      </c>
      <c r="B188" s="19">
        <v>177.0</v>
      </c>
      <c r="C188" s="18" t="s">
        <v>1630</v>
      </c>
      <c r="D188" s="69" t="s">
        <v>705</v>
      </c>
      <c r="E188" s="18" t="s">
        <v>572</v>
      </c>
      <c r="F188" s="18" t="s">
        <v>192</v>
      </c>
      <c r="G188" s="63" t="s">
        <v>1631</v>
      </c>
      <c r="H188" s="42" t="s">
        <v>479</v>
      </c>
      <c r="I188" s="64" t="s">
        <v>481</v>
      </c>
      <c r="J188" s="70" t="s">
        <v>205</v>
      </c>
      <c r="K188" s="70" t="s">
        <v>208</v>
      </c>
      <c r="L188" s="70" t="s">
        <v>208</v>
      </c>
      <c r="M188" s="28">
        <v>14.0</v>
      </c>
      <c r="N188" s="26" t="str">
        <f t="shared" si="375"/>
        <v>R</v>
      </c>
      <c r="O188" s="28">
        <v>20.0</v>
      </c>
      <c r="P188" s="26" t="str">
        <f t="shared" si="376"/>
        <v>S</v>
      </c>
      <c r="Q188" s="28">
        <v>20.0</v>
      </c>
      <c r="R188" s="26" t="str">
        <f t="shared" si="377"/>
        <v>R</v>
      </c>
      <c r="S188" s="28">
        <v>18.0</v>
      </c>
      <c r="T188" s="26" t="str">
        <f t="shared" si="378"/>
        <v>R</v>
      </c>
      <c r="U188" s="28">
        <v>16.0</v>
      </c>
      <c r="V188" s="26" t="str">
        <f t="shared" si="379"/>
        <v>R</v>
      </c>
      <c r="W188" s="28">
        <v>15.0</v>
      </c>
      <c r="X188" s="26" t="str">
        <f t="shared" si="380"/>
        <v>R</v>
      </c>
      <c r="Y188" s="28">
        <v>6.0</v>
      </c>
      <c r="Z188" s="26" t="str">
        <f t="shared" si="381"/>
        <v>R</v>
      </c>
      <c r="AA188" s="32" t="s">
        <v>299</v>
      </c>
      <c r="AB188" s="65">
        <v>20.0</v>
      </c>
      <c r="AC188" s="33" t="str">
        <f t="shared" si="382"/>
        <v>S</v>
      </c>
      <c r="AD188" s="65">
        <v>16.0</v>
      </c>
      <c r="AE188" s="33" t="str">
        <f t="shared" si="383"/>
        <v>R</v>
      </c>
      <c r="AF188" s="65">
        <v>11.0</v>
      </c>
      <c r="AG188" s="33" t="str">
        <f t="shared" si="384"/>
        <v>R</v>
      </c>
      <c r="AH188" s="65">
        <v>12.0</v>
      </c>
      <c r="AI188" s="33" t="str">
        <f t="shared" si="385"/>
        <v>R</v>
      </c>
      <c r="AJ188" s="65">
        <v>18.0</v>
      </c>
      <c r="AK188" s="33" t="str">
        <f t="shared" si="386"/>
        <v>R</v>
      </c>
      <c r="AL188" s="65" t="s">
        <v>299</v>
      </c>
      <c r="AM188" s="66">
        <v>15.0</v>
      </c>
      <c r="AN188" s="36" t="str">
        <f t="shared" si="387"/>
        <v>R</v>
      </c>
      <c r="AO188" s="66">
        <v>12.0</v>
      </c>
      <c r="AP188" s="36" t="str">
        <f t="shared" si="388"/>
        <v>R</v>
      </c>
      <c r="AQ188" s="66">
        <v>6.0</v>
      </c>
      <c r="AR188" s="36" t="str">
        <f t="shared" si="389"/>
        <v>R</v>
      </c>
      <c r="AS188" s="66" t="s">
        <v>299</v>
      </c>
      <c r="AT188" s="67">
        <v>6.0</v>
      </c>
      <c r="AU188" s="37" t="str">
        <f t="shared" si="390"/>
        <v>R</v>
      </c>
      <c r="AV188" s="65">
        <v>16.0</v>
      </c>
      <c r="AW188" s="33" t="str">
        <f t="shared" si="391"/>
        <v>R</v>
      </c>
      <c r="AX188" s="65">
        <v>15.0</v>
      </c>
      <c r="AY188" s="33" t="str">
        <f t="shared" si="392"/>
        <v>R</v>
      </c>
      <c r="AZ188" s="65" t="s">
        <v>299</v>
      </c>
      <c r="BA188" s="28">
        <v>14.0</v>
      </c>
      <c r="BB188" s="26" t="str">
        <f t="shared" si="393"/>
        <v>R</v>
      </c>
      <c r="BC188" s="67">
        <v>14.0</v>
      </c>
      <c r="BD188" s="37" t="str">
        <f t="shared" si="394"/>
        <v>R</v>
      </c>
      <c r="BE188" s="66">
        <v>17.0</v>
      </c>
      <c r="BF188" s="36" t="str">
        <f t="shared" si="395"/>
        <v>R</v>
      </c>
      <c r="BG188" s="39" t="s">
        <v>357</v>
      </c>
      <c r="BH188" s="39" t="s">
        <v>357</v>
      </c>
      <c r="BI188" s="66">
        <v>28.0</v>
      </c>
      <c r="BJ188" s="36" t="str">
        <f t="shared" si="396"/>
        <v>S</v>
      </c>
      <c r="BK188" s="68">
        <v>12.0</v>
      </c>
      <c r="BL188" s="41" t="str">
        <f t="shared" si="397"/>
        <v>R</v>
      </c>
      <c r="BM188" s="41"/>
    </row>
    <row r="189">
      <c r="A189" s="18" t="s">
        <v>922</v>
      </c>
      <c r="B189" s="19">
        <v>178.0</v>
      </c>
      <c r="C189" s="18" t="s">
        <v>1634</v>
      </c>
      <c r="D189" s="69" t="s">
        <v>190</v>
      </c>
      <c r="E189" s="18" t="s">
        <v>190</v>
      </c>
      <c r="F189" s="18" t="s">
        <v>192</v>
      </c>
      <c r="G189" s="63" t="s">
        <v>1635</v>
      </c>
      <c r="H189" s="22" t="s">
        <v>198</v>
      </c>
      <c r="I189" s="84" t="s">
        <v>37</v>
      </c>
      <c r="J189" s="81" t="s">
        <v>205</v>
      </c>
      <c r="K189" s="81" t="s">
        <v>205</v>
      </c>
      <c r="L189" s="81" t="s">
        <v>208</v>
      </c>
      <c r="M189" s="28">
        <v>6.0</v>
      </c>
      <c r="N189" s="26" t="str">
        <f t="shared" si="375"/>
        <v>R</v>
      </c>
      <c r="O189" s="28">
        <v>15.0</v>
      </c>
      <c r="P189" s="26" t="str">
        <f t="shared" si="376"/>
        <v>R</v>
      </c>
      <c r="Q189" s="28">
        <v>6.0</v>
      </c>
      <c r="R189" s="26" t="str">
        <f t="shared" si="377"/>
        <v>R</v>
      </c>
      <c r="S189" s="28">
        <v>19.0</v>
      </c>
      <c r="T189" s="26" t="str">
        <f t="shared" si="378"/>
        <v>R</v>
      </c>
      <c r="U189" s="28">
        <v>6.0</v>
      </c>
      <c r="V189" s="26" t="str">
        <f t="shared" si="379"/>
        <v>R</v>
      </c>
      <c r="W189" s="28">
        <v>15.0</v>
      </c>
      <c r="X189" s="26" t="str">
        <f t="shared" si="380"/>
        <v>R</v>
      </c>
      <c r="Y189" s="28">
        <v>18.0</v>
      </c>
      <c r="Z189" s="26" t="str">
        <f t="shared" si="381"/>
        <v>I</v>
      </c>
      <c r="AA189" s="32" t="s">
        <v>299</v>
      </c>
      <c r="AB189" s="65">
        <v>12.0</v>
      </c>
      <c r="AC189" s="33" t="str">
        <f t="shared" si="382"/>
        <v>R</v>
      </c>
      <c r="AD189" s="65">
        <v>18.0</v>
      </c>
      <c r="AE189" s="33" t="str">
        <f t="shared" si="383"/>
        <v>S</v>
      </c>
      <c r="AF189" s="65">
        <v>6.0</v>
      </c>
      <c r="AG189" s="33" t="str">
        <f t="shared" si="384"/>
        <v>R</v>
      </c>
      <c r="AH189" s="65">
        <v>18.0</v>
      </c>
      <c r="AI189" s="33" t="str">
        <f t="shared" si="385"/>
        <v>S</v>
      </c>
      <c r="AJ189" s="65">
        <v>16.0</v>
      </c>
      <c r="AK189" s="33" t="str">
        <f t="shared" si="386"/>
        <v>R</v>
      </c>
      <c r="AL189" s="65" t="s">
        <v>299</v>
      </c>
      <c r="AM189" s="66">
        <v>12.0</v>
      </c>
      <c r="AN189" s="36" t="str">
        <f t="shared" si="387"/>
        <v>R</v>
      </c>
      <c r="AO189" s="66">
        <v>17.0</v>
      </c>
      <c r="AP189" s="36" t="str">
        <f t="shared" si="388"/>
        <v>R</v>
      </c>
      <c r="AQ189" s="66">
        <v>6.0</v>
      </c>
      <c r="AR189" s="36" t="str">
        <f t="shared" si="389"/>
        <v>R</v>
      </c>
      <c r="AS189" s="66" t="s">
        <v>299</v>
      </c>
      <c r="AT189" s="67">
        <v>6.0</v>
      </c>
      <c r="AU189" s="37" t="str">
        <f t="shared" si="390"/>
        <v>R</v>
      </c>
      <c r="AV189" s="65">
        <v>21.0</v>
      </c>
      <c r="AW189" s="33" t="str">
        <f t="shared" si="391"/>
        <v>S</v>
      </c>
      <c r="AX189" s="65">
        <v>15.0</v>
      </c>
      <c r="AY189" s="33" t="str">
        <f t="shared" si="392"/>
        <v>R</v>
      </c>
      <c r="AZ189" s="65" t="s">
        <v>299</v>
      </c>
      <c r="BA189" s="28">
        <v>9.0</v>
      </c>
      <c r="BB189" s="26" t="str">
        <f t="shared" si="393"/>
        <v>R</v>
      </c>
      <c r="BC189" s="67">
        <v>10.0</v>
      </c>
      <c r="BD189" s="37" t="str">
        <f t="shared" si="394"/>
        <v>R</v>
      </c>
      <c r="BE189" s="66">
        <v>23.0</v>
      </c>
      <c r="BF189" s="36" t="str">
        <f t="shared" si="395"/>
        <v>S</v>
      </c>
      <c r="BG189" s="39" t="s">
        <v>357</v>
      </c>
      <c r="BH189" s="39" t="s">
        <v>357</v>
      </c>
      <c r="BI189" s="66">
        <v>21.0</v>
      </c>
      <c r="BJ189" s="36" t="str">
        <f t="shared" si="396"/>
        <v>I</v>
      </c>
      <c r="BK189" s="68">
        <v>11.0</v>
      </c>
      <c r="BL189" s="41" t="str">
        <f t="shared" si="397"/>
        <v>R</v>
      </c>
      <c r="BM189" s="41"/>
    </row>
    <row r="190">
      <c r="A190" s="18" t="s">
        <v>922</v>
      </c>
      <c r="B190" s="19">
        <v>179.0</v>
      </c>
      <c r="C190" s="18" t="s">
        <v>1636</v>
      </c>
      <c r="D190" s="69" t="s">
        <v>190</v>
      </c>
      <c r="E190" s="18" t="s">
        <v>190</v>
      </c>
      <c r="F190" s="18" t="s">
        <v>192</v>
      </c>
      <c r="G190" s="63" t="s">
        <v>1637</v>
      </c>
      <c r="H190" s="22" t="s">
        <v>198</v>
      </c>
      <c r="I190" s="64" t="s">
        <v>481</v>
      </c>
      <c r="J190" s="70" t="s">
        <v>205</v>
      </c>
      <c r="K190" s="70" t="s">
        <v>208</v>
      </c>
      <c r="L190" s="70" t="s">
        <v>208</v>
      </c>
      <c r="M190" s="28">
        <v>6.0</v>
      </c>
      <c r="N190" s="26" t="str">
        <f t="shared" si="375"/>
        <v>R</v>
      </c>
      <c r="O190" s="28">
        <v>19.0</v>
      </c>
      <c r="P190" s="26" t="str">
        <f t="shared" si="376"/>
        <v>S</v>
      </c>
      <c r="Q190" s="28">
        <v>6.0</v>
      </c>
      <c r="R190" s="26" t="str">
        <f t="shared" si="377"/>
        <v>R</v>
      </c>
      <c r="S190" s="28">
        <v>23.0</v>
      </c>
      <c r="T190" s="26" t="str">
        <f t="shared" si="378"/>
        <v>S</v>
      </c>
      <c r="U190" s="28">
        <v>11.0</v>
      </c>
      <c r="V190" s="26" t="str">
        <f t="shared" si="379"/>
        <v>R</v>
      </c>
      <c r="W190" s="28">
        <v>23.0</v>
      </c>
      <c r="X190" s="26" t="str">
        <f t="shared" si="380"/>
        <v>S</v>
      </c>
      <c r="Y190" s="28">
        <v>27.0</v>
      </c>
      <c r="Z190" s="26" t="str">
        <f t="shared" si="381"/>
        <v>S</v>
      </c>
      <c r="AA190" s="32" t="s">
        <v>299</v>
      </c>
      <c r="AB190" s="65">
        <v>17.0</v>
      </c>
      <c r="AC190" s="33" t="str">
        <f t="shared" si="382"/>
        <v>I</v>
      </c>
      <c r="AD190" s="65">
        <v>24.0</v>
      </c>
      <c r="AE190" s="33" t="str">
        <f t="shared" si="383"/>
        <v>S</v>
      </c>
      <c r="AF190" s="65">
        <v>21.0</v>
      </c>
      <c r="AG190" s="33" t="str">
        <f t="shared" si="384"/>
        <v>I</v>
      </c>
      <c r="AH190" s="65">
        <v>24.0</v>
      </c>
      <c r="AI190" s="33" t="str">
        <f t="shared" si="385"/>
        <v>S</v>
      </c>
      <c r="AJ190" s="65">
        <v>23.0</v>
      </c>
      <c r="AK190" s="33" t="str">
        <f t="shared" si="386"/>
        <v>R</v>
      </c>
      <c r="AL190" s="65" t="s">
        <v>299</v>
      </c>
      <c r="AM190" s="66">
        <v>32.0</v>
      </c>
      <c r="AN190" s="36" t="str">
        <f t="shared" si="387"/>
        <v>S</v>
      </c>
      <c r="AO190" s="66">
        <v>26.0</v>
      </c>
      <c r="AP190" s="36" t="str">
        <f t="shared" si="388"/>
        <v>S</v>
      </c>
      <c r="AQ190" s="66">
        <v>26.0</v>
      </c>
      <c r="AR190" s="36" t="str">
        <f t="shared" si="389"/>
        <v>S</v>
      </c>
      <c r="AS190" s="36" t="s">
        <v>300</v>
      </c>
      <c r="AT190" s="67">
        <v>6.0</v>
      </c>
      <c r="AU190" s="37" t="str">
        <f t="shared" si="390"/>
        <v>R</v>
      </c>
      <c r="AV190" s="65">
        <v>24.0</v>
      </c>
      <c r="AW190" s="33" t="str">
        <f t="shared" si="391"/>
        <v>S</v>
      </c>
      <c r="AX190" s="65">
        <v>24.0</v>
      </c>
      <c r="AY190" s="33" t="str">
        <f t="shared" si="392"/>
        <v>S</v>
      </c>
      <c r="AZ190" s="33" t="s">
        <v>300</v>
      </c>
      <c r="BA190" s="28">
        <v>6.0</v>
      </c>
      <c r="BB190" s="26" t="str">
        <f t="shared" si="393"/>
        <v>R</v>
      </c>
      <c r="BC190" s="67">
        <v>26.0</v>
      </c>
      <c r="BD190" s="37" t="str">
        <f t="shared" si="394"/>
        <v>S</v>
      </c>
      <c r="BE190" s="66">
        <v>34.0</v>
      </c>
      <c r="BF190" s="36" t="str">
        <f t="shared" si="395"/>
        <v>S</v>
      </c>
      <c r="BG190" s="39" t="s">
        <v>357</v>
      </c>
      <c r="BH190" s="39" t="s">
        <v>357</v>
      </c>
      <c r="BI190" s="66">
        <v>27.0</v>
      </c>
      <c r="BJ190" s="36" t="str">
        <f t="shared" si="396"/>
        <v>S</v>
      </c>
      <c r="BK190" s="68">
        <v>23.0</v>
      </c>
      <c r="BL190" s="41" t="str">
        <f t="shared" si="397"/>
        <v>S</v>
      </c>
      <c r="BM190" s="41"/>
    </row>
    <row r="191">
      <c r="A191" s="18" t="s">
        <v>922</v>
      </c>
      <c r="B191" s="19">
        <v>180.0</v>
      </c>
      <c r="C191" s="18" t="s">
        <v>1638</v>
      </c>
      <c r="D191" s="69" t="s">
        <v>571</v>
      </c>
      <c r="E191" s="18" t="s">
        <v>572</v>
      </c>
      <c r="F191" s="18" t="s">
        <v>192</v>
      </c>
      <c r="G191" s="63" t="s">
        <v>1639</v>
      </c>
      <c r="H191" s="22" t="s">
        <v>198</v>
      </c>
      <c r="I191" s="84" t="s">
        <v>37</v>
      </c>
      <c r="J191" s="81" t="s">
        <v>205</v>
      </c>
      <c r="K191" s="81" t="s">
        <v>205</v>
      </c>
      <c r="L191" s="81" t="s">
        <v>208</v>
      </c>
      <c r="M191" s="28">
        <v>6.0</v>
      </c>
      <c r="N191" s="26" t="str">
        <f t="shared" si="375"/>
        <v>R</v>
      </c>
      <c r="O191" s="28">
        <v>18.0</v>
      </c>
      <c r="P191" s="26" t="str">
        <f t="shared" si="376"/>
        <v>R</v>
      </c>
      <c r="Q191" s="28">
        <v>6.0</v>
      </c>
      <c r="R191" s="26" t="str">
        <f t="shared" si="377"/>
        <v>R</v>
      </c>
      <c r="S191" s="28">
        <v>21.0</v>
      </c>
      <c r="T191" s="26" t="str">
        <f t="shared" si="378"/>
        <v>I</v>
      </c>
      <c r="U191" s="28">
        <v>6.0</v>
      </c>
      <c r="V191" s="26" t="str">
        <f t="shared" si="379"/>
        <v>R</v>
      </c>
      <c r="W191" s="28">
        <v>16.0</v>
      </c>
      <c r="X191" s="26" t="str">
        <f t="shared" si="380"/>
        <v>R</v>
      </c>
      <c r="Y191" s="28">
        <v>18.0</v>
      </c>
      <c r="Z191" s="26" t="str">
        <f t="shared" si="381"/>
        <v>I</v>
      </c>
      <c r="AA191" s="32" t="s">
        <v>299</v>
      </c>
      <c r="AB191" s="65">
        <v>6.0</v>
      </c>
      <c r="AC191" s="33" t="str">
        <f t="shared" si="382"/>
        <v>R</v>
      </c>
      <c r="AD191" s="65">
        <v>21.0</v>
      </c>
      <c r="AE191" s="33" t="str">
        <f t="shared" si="383"/>
        <v>S</v>
      </c>
      <c r="AF191" s="65">
        <v>6.0</v>
      </c>
      <c r="AG191" s="33" t="str">
        <f t="shared" si="384"/>
        <v>R</v>
      </c>
      <c r="AH191" s="65">
        <v>6.0</v>
      </c>
      <c r="AI191" s="33" t="str">
        <f t="shared" si="385"/>
        <v>R</v>
      </c>
      <c r="AJ191" s="65">
        <v>11.0</v>
      </c>
      <c r="AK191" s="33" t="str">
        <f t="shared" si="386"/>
        <v>R</v>
      </c>
      <c r="AL191" s="65" t="s">
        <v>299</v>
      </c>
      <c r="AM191" s="66">
        <v>6.0</v>
      </c>
      <c r="AN191" s="36" t="str">
        <f t="shared" si="387"/>
        <v>R</v>
      </c>
      <c r="AO191" s="66">
        <v>6.0</v>
      </c>
      <c r="AP191" s="36" t="str">
        <f t="shared" si="388"/>
        <v>R</v>
      </c>
      <c r="AQ191" s="66">
        <v>6.0</v>
      </c>
      <c r="AR191" s="36" t="str">
        <f t="shared" si="389"/>
        <v>R</v>
      </c>
      <c r="AS191" s="66" t="s">
        <v>299</v>
      </c>
      <c r="AT191" s="67">
        <v>6.0</v>
      </c>
      <c r="AU191" s="37" t="str">
        <f t="shared" si="390"/>
        <v>R</v>
      </c>
      <c r="AV191" s="65">
        <v>16.0</v>
      </c>
      <c r="AW191" s="33" t="str">
        <f t="shared" si="391"/>
        <v>R</v>
      </c>
      <c r="AX191" s="65">
        <v>13.0</v>
      </c>
      <c r="AY191" s="33" t="str">
        <f t="shared" si="392"/>
        <v>R</v>
      </c>
      <c r="AZ191" s="65" t="s">
        <v>299</v>
      </c>
      <c r="BA191" s="28">
        <v>6.0</v>
      </c>
      <c r="BB191" s="26" t="str">
        <f t="shared" si="393"/>
        <v>R</v>
      </c>
      <c r="BC191" s="67">
        <v>13.0</v>
      </c>
      <c r="BD191" s="37" t="str">
        <f t="shared" si="394"/>
        <v>R</v>
      </c>
      <c r="BE191" s="66">
        <v>22.0</v>
      </c>
      <c r="BF191" s="36" t="str">
        <f t="shared" si="395"/>
        <v>R</v>
      </c>
      <c r="BG191" s="39" t="s">
        <v>357</v>
      </c>
      <c r="BH191" s="39" t="s">
        <v>357</v>
      </c>
      <c r="BI191" s="66">
        <v>23.0</v>
      </c>
      <c r="BJ191" s="36" t="str">
        <f t="shared" si="396"/>
        <v>S</v>
      </c>
      <c r="BK191" s="68">
        <v>17.0</v>
      </c>
      <c r="BL191" s="41" t="str">
        <f t="shared" si="397"/>
        <v>S</v>
      </c>
      <c r="BM191" s="41"/>
    </row>
    <row r="192">
      <c r="A192" s="18" t="s">
        <v>941</v>
      </c>
      <c r="B192" s="19">
        <v>195.0</v>
      </c>
      <c r="C192" s="18" t="s">
        <v>1641</v>
      </c>
      <c r="D192" s="69" t="s">
        <v>190</v>
      </c>
      <c r="E192" s="18" t="s">
        <v>190</v>
      </c>
      <c r="F192" s="18" t="s">
        <v>192</v>
      </c>
      <c r="G192" s="63" t="s">
        <v>1642</v>
      </c>
      <c r="H192" s="22" t="s">
        <v>198</v>
      </c>
      <c r="I192" s="64" t="s">
        <v>481</v>
      </c>
      <c r="J192" s="70" t="s">
        <v>205</v>
      </c>
      <c r="K192" s="70" t="s">
        <v>208</v>
      </c>
      <c r="L192" s="70" t="s">
        <v>208</v>
      </c>
      <c r="M192" s="28">
        <v>6.0</v>
      </c>
      <c r="N192" s="26" t="str">
        <f t="shared" si="375"/>
        <v>R</v>
      </c>
      <c r="O192" s="28">
        <v>14.0</v>
      </c>
      <c r="P192" s="26" t="str">
        <f t="shared" si="376"/>
        <v>R</v>
      </c>
      <c r="Q192" s="28">
        <v>6.0</v>
      </c>
      <c r="R192" s="26" t="str">
        <f t="shared" si="377"/>
        <v>R</v>
      </c>
      <c r="S192" s="28">
        <v>25.0</v>
      </c>
      <c r="T192" s="26" t="str">
        <f t="shared" si="378"/>
        <v>S</v>
      </c>
      <c r="U192" s="28">
        <v>11.0</v>
      </c>
      <c r="V192" s="26" t="str">
        <f t="shared" si="379"/>
        <v>R</v>
      </c>
      <c r="W192" s="28">
        <v>17.0</v>
      </c>
      <c r="X192" s="26" t="str">
        <f t="shared" si="380"/>
        <v>R</v>
      </c>
      <c r="Y192" s="28">
        <v>12.0</v>
      </c>
      <c r="Z192" s="26" t="str">
        <f t="shared" si="381"/>
        <v>R</v>
      </c>
      <c r="AA192" s="32" t="s">
        <v>299</v>
      </c>
      <c r="AB192" s="65">
        <v>6.0</v>
      </c>
      <c r="AC192" s="33" t="str">
        <f t="shared" si="382"/>
        <v>R</v>
      </c>
      <c r="AD192" s="65">
        <v>17.0</v>
      </c>
      <c r="AE192" s="33" t="str">
        <f t="shared" si="383"/>
        <v>R</v>
      </c>
      <c r="AF192" s="65">
        <v>6.0</v>
      </c>
      <c r="AG192" s="33" t="str">
        <f t="shared" si="384"/>
        <v>R</v>
      </c>
      <c r="AH192" s="65">
        <v>18.0</v>
      </c>
      <c r="AI192" s="33" t="str">
        <f t="shared" si="385"/>
        <v>S</v>
      </c>
      <c r="AJ192" s="65">
        <v>6.0</v>
      </c>
      <c r="AK192" s="33" t="str">
        <f t="shared" si="386"/>
        <v>R</v>
      </c>
      <c r="AL192" s="65" t="s">
        <v>299</v>
      </c>
      <c r="AM192" s="66">
        <v>20.0</v>
      </c>
      <c r="AN192" s="36" t="str">
        <f t="shared" si="387"/>
        <v>R</v>
      </c>
      <c r="AO192" s="66">
        <v>19.0</v>
      </c>
      <c r="AP192" s="36" t="str">
        <f t="shared" si="388"/>
        <v>I</v>
      </c>
      <c r="AQ192" s="66">
        <v>16.0</v>
      </c>
      <c r="AR192" s="36" t="str">
        <f t="shared" si="389"/>
        <v>S</v>
      </c>
      <c r="AS192" s="66" t="s">
        <v>299</v>
      </c>
      <c r="AT192" s="67">
        <v>18.0</v>
      </c>
      <c r="AU192" s="37" t="str">
        <f t="shared" si="390"/>
        <v>S</v>
      </c>
      <c r="AV192" s="65">
        <v>19.0</v>
      </c>
      <c r="AW192" s="33" t="str">
        <f t="shared" si="391"/>
        <v>S</v>
      </c>
      <c r="AX192" s="65">
        <v>16.0</v>
      </c>
      <c r="AY192" s="33" t="str">
        <f t="shared" si="392"/>
        <v>S</v>
      </c>
      <c r="AZ192" s="33" t="s">
        <v>300</v>
      </c>
      <c r="BA192" s="28">
        <v>20.0</v>
      </c>
      <c r="BB192" s="26" t="str">
        <f t="shared" si="393"/>
        <v>S</v>
      </c>
      <c r="BC192" s="67">
        <v>6.0</v>
      </c>
      <c r="BD192" s="37" t="str">
        <f t="shared" si="394"/>
        <v>R</v>
      </c>
      <c r="BE192" s="66">
        <v>25.0</v>
      </c>
      <c r="BF192" s="36" t="str">
        <f t="shared" si="395"/>
        <v>S</v>
      </c>
      <c r="BG192" s="39" t="s">
        <v>357</v>
      </c>
      <c r="BH192" s="39" t="s">
        <v>357</v>
      </c>
      <c r="BI192" s="66">
        <v>26.0</v>
      </c>
      <c r="BJ192" s="36" t="str">
        <f t="shared" si="396"/>
        <v>S</v>
      </c>
      <c r="BK192" s="68">
        <v>18.0</v>
      </c>
      <c r="BL192" s="41" t="str">
        <f t="shared" si="397"/>
        <v>S</v>
      </c>
      <c r="BM192" s="41"/>
    </row>
    <row r="193">
      <c r="A193" s="18" t="s">
        <v>941</v>
      </c>
      <c r="B193" s="19">
        <v>196.0</v>
      </c>
      <c r="C193" s="18" t="s">
        <v>1644</v>
      </c>
      <c r="D193" s="69" t="s">
        <v>190</v>
      </c>
      <c r="E193" s="18" t="s">
        <v>190</v>
      </c>
      <c r="F193" s="18" t="s">
        <v>192</v>
      </c>
      <c r="G193" s="63" t="s">
        <v>1645</v>
      </c>
      <c r="H193" s="22" t="s">
        <v>198</v>
      </c>
      <c r="I193" s="64" t="s">
        <v>816</v>
      </c>
      <c r="J193" s="70" t="s">
        <v>205</v>
      </c>
      <c r="K193" s="70" t="s">
        <v>205</v>
      </c>
      <c r="L193" s="71" t="s">
        <v>205</v>
      </c>
      <c r="M193" s="28">
        <v>6.0</v>
      </c>
      <c r="N193" s="26" t="str">
        <f t="shared" si="375"/>
        <v>R</v>
      </c>
      <c r="O193" s="28">
        <v>26.0</v>
      </c>
      <c r="P193" s="26" t="str">
        <f t="shared" si="376"/>
        <v>S</v>
      </c>
      <c r="Q193" s="28">
        <v>6.0</v>
      </c>
      <c r="R193" s="26" t="str">
        <f t="shared" si="377"/>
        <v>R</v>
      </c>
      <c r="S193" s="28">
        <v>18.0</v>
      </c>
      <c r="T193" s="26" t="str">
        <f t="shared" si="378"/>
        <v>R</v>
      </c>
      <c r="U193" s="28">
        <v>6.0</v>
      </c>
      <c r="V193" s="26" t="str">
        <f t="shared" si="379"/>
        <v>R</v>
      </c>
      <c r="W193" s="28">
        <v>22.0</v>
      </c>
      <c r="X193" s="26" t="str">
        <f t="shared" si="380"/>
        <v>S</v>
      </c>
      <c r="Y193" s="28">
        <v>20.0</v>
      </c>
      <c r="Z193" s="26" t="str">
        <f t="shared" si="381"/>
        <v>S</v>
      </c>
      <c r="AA193" s="32" t="s">
        <v>299</v>
      </c>
      <c r="AB193" s="65">
        <v>9.0</v>
      </c>
      <c r="AC193" s="33" t="str">
        <f t="shared" si="382"/>
        <v>R</v>
      </c>
      <c r="AD193" s="65">
        <v>23.0</v>
      </c>
      <c r="AE193" s="33" t="str">
        <f t="shared" si="383"/>
        <v>S</v>
      </c>
      <c r="AF193" s="65">
        <v>21.0</v>
      </c>
      <c r="AG193" s="33" t="str">
        <f t="shared" si="384"/>
        <v>I</v>
      </c>
      <c r="AH193" s="65">
        <v>12.0</v>
      </c>
      <c r="AI193" s="33" t="str">
        <f t="shared" si="385"/>
        <v>R</v>
      </c>
      <c r="AJ193" s="65">
        <v>16.0</v>
      </c>
      <c r="AK193" s="33" t="str">
        <f t="shared" si="386"/>
        <v>R</v>
      </c>
      <c r="AL193" s="65" t="s">
        <v>299</v>
      </c>
      <c r="AM193" s="66">
        <v>7.0</v>
      </c>
      <c r="AN193" s="36" t="str">
        <f t="shared" si="387"/>
        <v>R</v>
      </c>
      <c r="AO193" s="66">
        <v>11.0</v>
      </c>
      <c r="AP193" s="36" t="str">
        <f t="shared" si="388"/>
        <v>R</v>
      </c>
      <c r="AQ193" s="66">
        <v>6.0</v>
      </c>
      <c r="AR193" s="36" t="str">
        <f t="shared" si="389"/>
        <v>R</v>
      </c>
      <c r="AS193" s="66" t="s">
        <v>299</v>
      </c>
      <c r="AT193" s="67">
        <v>6.0</v>
      </c>
      <c r="AU193" s="37" t="str">
        <f t="shared" si="390"/>
        <v>R</v>
      </c>
      <c r="AV193" s="65">
        <v>16.0</v>
      </c>
      <c r="AW193" s="33" t="str">
        <f t="shared" si="391"/>
        <v>R</v>
      </c>
      <c r="AX193" s="65">
        <v>32.0</v>
      </c>
      <c r="AY193" s="33" t="str">
        <f t="shared" si="392"/>
        <v>S</v>
      </c>
      <c r="AZ193" s="65" t="s">
        <v>299</v>
      </c>
      <c r="BA193" s="28">
        <v>6.0</v>
      </c>
      <c r="BB193" s="26" t="str">
        <f t="shared" si="393"/>
        <v>R</v>
      </c>
      <c r="BC193" s="67">
        <v>10.0</v>
      </c>
      <c r="BD193" s="37" t="str">
        <f t="shared" si="394"/>
        <v>R</v>
      </c>
      <c r="BE193" s="66">
        <v>22.0</v>
      </c>
      <c r="BF193" s="36" t="str">
        <f t="shared" si="395"/>
        <v>R</v>
      </c>
      <c r="BG193" s="39" t="s">
        <v>357</v>
      </c>
      <c r="BH193" s="39" t="s">
        <v>357</v>
      </c>
      <c r="BI193" s="66">
        <v>20.0</v>
      </c>
      <c r="BJ193" s="36" t="str">
        <f t="shared" si="396"/>
        <v>I</v>
      </c>
      <c r="BK193" s="68">
        <v>17.0</v>
      </c>
      <c r="BL193" s="41" t="str">
        <f t="shared" si="397"/>
        <v>S</v>
      </c>
      <c r="BM193" s="41"/>
    </row>
    <row r="194">
      <c r="A194" s="18" t="s">
        <v>941</v>
      </c>
      <c r="B194" s="19">
        <v>197.0</v>
      </c>
      <c r="C194" s="18" t="s">
        <v>1648</v>
      </c>
      <c r="D194" s="69" t="s">
        <v>190</v>
      </c>
      <c r="E194" s="18" t="s">
        <v>190</v>
      </c>
      <c r="F194" s="18" t="s">
        <v>192</v>
      </c>
      <c r="G194" s="63" t="s">
        <v>1649</v>
      </c>
      <c r="H194" s="22" t="s">
        <v>198</v>
      </c>
      <c r="I194" s="64" t="s">
        <v>481</v>
      </c>
      <c r="J194" s="70" t="s">
        <v>205</v>
      </c>
      <c r="K194" s="70" t="s">
        <v>208</v>
      </c>
      <c r="L194" s="70" t="s">
        <v>208</v>
      </c>
      <c r="M194" s="28">
        <v>6.0</v>
      </c>
      <c r="N194" s="26" t="str">
        <f t="shared" si="375"/>
        <v>R</v>
      </c>
      <c r="O194" s="28">
        <v>10.0</v>
      </c>
      <c r="P194" s="26" t="str">
        <f t="shared" si="376"/>
        <v>R</v>
      </c>
      <c r="Q194" s="28">
        <v>6.0</v>
      </c>
      <c r="R194" s="26" t="str">
        <f t="shared" si="377"/>
        <v>R</v>
      </c>
      <c r="S194" s="28">
        <v>19.0</v>
      </c>
      <c r="T194" s="26" t="str">
        <f t="shared" si="378"/>
        <v>R</v>
      </c>
      <c r="U194" s="28">
        <v>6.0</v>
      </c>
      <c r="V194" s="26" t="str">
        <f t="shared" si="379"/>
        <v>R</v>
      </c>
      <c r="W194" s="28">
        <v>22.0</v>
      </c>
      <c r="X194" s="26" t="str">
        <f t="shared" si="380"/>
        <v>S</v>
      </c>
      <c r="Y194" s="28">
        <v>21.0</v>
      </c>
      <c r="Z194" s="26" t="str">
        <f t="shared" si="381"/>
        <v>S</v>
      </c>
      <c r="AA194" s="32" t="s">
        <v>299</v>
      </c>
      <c r="AB194" s="65">
        <v>12.0</v>
      </c>
      <c r="AC194" s="33" t="str">
        <f t="shared" si="382"/>
        <v>R</v>
      </c>
      <c r="AD194" s="65">
        <v>10.0</v>
      </c>
      <c r="AE194" s="33" t="str">
        <f t="shared" si="383"/>
        <v>R</v>
      </c>
      <c r="AF194" s="65">
        <v>11.0</v>
      </c>
      <c r="AG194" s="33" t="str">
        <f t="shared" si="384"/>
        <v>R</v>
      </c>
      <c r="AH194" s="65">
        <v>23.0</v>
      </c>
      <c r="AI194" s="33" t="str">
        <f t="shared" si="385"/>
        <v>S</v>
      </c>
      <c r="AJ194" s="65">
        <v>18.0</v>
      </c>
      <c r="AK194" s="33" t="str">
        <f t="shared" si="386"/>
        <v>R</v>
      </c>
      <c r="AL194" s="65" t="s">
        <v>299</v>
      </c>
      <c r="AM194" s="66">
        <v>6.0</v>
      </c>
      <c r="AN194" s="36" t="str">
        <f t="shared" si="387"/>
        <v>R</v>
      </c>
      <c r="AO194" s="66">
        <v>10.0</v>
      </c>
      <c r="AP194" s="36" t="str">
        <f t="shared" si="388"/>
        <v>R</v>
      </c>
      <c r="AQ194" s="66">
        <v>10.0</v>
      </c>
      <c r="AR194" s="36" t="str">
        <f t="shared" si="389"/>
        <v>R</v>
      </c>
      <c r="AS194" s="66" t="s">
        <v>299</v>
      </c>
      <c r="AT194" s="67">
        <v>9.0</v>
      </c>
      <c r="AU194" s="37" t="str">
        <f t="shared" si="390"/>
        <v>R</v>
      </c>
      <c r="AV194" s="65">
        <v>20.0</v>
      </c>
      <c r="AW194" s="33" t="str">
        <f t="shared" si="391"/>
        <v>S</v>
      </c>
      <c r="AX194" s="65">
        <v>18.0</v>
      </c>
      <c r="AY194" s="33" t="str">
        <f t="shared" si="392"/>
        <v>S</v>
      </c>
      <c r="AZ194" s="33" t="s">
        <v>300</v>
      </c>
      <c r="BA194" s="28">
        <v>6.0</v>
      </c>
      <c r="BB194" s="26" t="str">
        <f t="shared" si="393"/>
        <v>R</v>
      </c>
      <c r="BC194" s="67">
        <v>15.0</v>
      </c>
      <c r="BD194" s="37" t="str">
        <f t="shared" si="394"/>
        <v>R</v>
      </c>
      <c r="BE194" s="66">
        <v>26.0</v>
      </c>
      <c r="BF194" s="36" t="str">
        <f t="shared" si="395"/>
        <v>S</v>
      </c>
      <c r="BG194" s="39" t="s">
        <v>357</v>
      </c>
      <c r="BH194" s="39" t="s">
        <v>357</v>
      </c>
      <c r="BI194" s="66">
        <v>21.0</v>
      </c>
      <c r="BJ194" s="36" t="str">
        <f t="shared" si="396"/>
        <v>I</v>
      </c>
      <c r="BK194" s="68">
        <v>18.0</v>
      </c>
      <c r="BL194" s="41" t="str">
        <f t="shared" si="397"/>
        <v>S</v>
      </c>
      <c r="BM194" s="41"/>
    </row>
    <row r="195">
      <c r="A195" s="18" t="s">
        <v>941</v>
      </c>
      <c r="B195" s="19">
        <v>198.0</v>
      </c>
      <c r="C195" s="18" t="s">
        <v>1650</v>
      </c>
      <c r="D195" s="69" t="s">
        <v>190</v>
      </c>
      <c r="E195" s="18" t="s">
        <v>190</v>
      </c>
      <c r="F195" s="18" t="s">
        <v>192</v>
      </c>
      <c r="G195" s="63" t="s">
        <v>1651</v>
      </c>
      <c r="H195" s="22" t="s">
        <v>198</v>
      </c>
      <c r="I195" s="84" t="s">
        <v>37</v>
      </c>
      <c r="J195" s="81" t="s">
        <v>205</v>
      </c>
      <c r="K195" s="81" t="s">
        <v>205</v>
      </c>
      <c r="L195" s="81" t="s">
        <v>208</v>
      </c>
      <c r="M195" s="28">
        <v>6.0</v>
      </c>
      <c r="N195" s="26" t="str">
        <f t="shared" si="375"/>
        <v>R</v>
      </c>
      <c r="O195" s="28">
        <v>18.0</v>
      </c>
      <c r="P195" s="26" t="str">
        <f t="shared" si="376"/>
        <v>R</v>
      </c>
      <c r="Q195" s="28">
        <v>6.0</v>
      </c>
      <c r="R195" s="26" t="str">
        <f t="shared" si="377"/>
        <v>R</v>
      </c>
      <c r="S195" s="28">
        <v>22.0</v>
      </c>
      <c r="T195" s="26" t="str">
        <f t="shared" si="378"/>
        <v>I</v>
      </c>
      <c r="U195" s="28">
        <v>6.0</v>
      </c>
      <c r="V195" s="26" t="str">
        <f t="shared" si="379"/>
        <v>R</v>
      </c>
      <c r="W195" s="28">
        <v>16.0</v>
      </c>
      <c r="X195" s="26" t="str">
        <f t="shared" si="380"/>
        <v>R</v>
      </c>
      <c r="Y195" s="28">
        <v>21.0</v>
      </c>
      <c r="Z195" s="26" t="str">
        <f t="shared" si="381"/>
        <v>S</v>
      </c>
      <c r="AA195" s="32" t="s">
        <v>299</v>
      </c>
      <c r="AB195" s="65">
        <v>6.0</v>
      </c>
      <c r="AC195" s="33" t="str">
        <f t="shared" si="382"/>
        <v>R</v>
      </c>
      <c r="AD195" s="65">
        <v>24.0</v>
      </c>
      <c r="AE195" s="33" t="str">
        <f t="shared" si="383"/>
        <v>S</v>
      </c>
      <c r="AF195" s="65">
        <v>6.0</v>
      </c>
      <c r="AG195" s="33" t="str">
        <f t="shared" si="384"/>
        <v>R</v>
      </c>
      <c r="AH195" s="65">
        <v>16.0</v>
      </c>
      <c r="AI195" s="33" t="str">
        <f t="shared" si="385"/>
        <v>S</v>
      </c>
      <c r="AJ195" s="65">
        <v>15.0</v>
      </c>
      <c r="AK195" s="33" t="str">
        <f t="shared" si="386"/>
        <v>R</v>
      </c>
      <c r="AL195" s="65" t="s">
        <v>299</v>
      </c>
      <c r="AM195" s="66">
        <v>6.0</v>
      </c>
      <c r="AN195" s="36" t="str">
        <f t="shared" si="387"/>
        <v>R</v>
      </c>
      <c r="AO195" s="66">
        <v>6.0</v>
      </c>
      <c r="AP195" s="36" t="str">
        <f t="shared" si="388"/>
        <v>R</v>
      </c>
      <c r="AQ195" s="66">
        <v>6.0</v>
      </c>
      <c r="AR195" s="36" t="str">
        <f t="shared" si="389"/>
        <v>R</v>
      </c>
      <c r="AS195" s="66" t="s">
        <v>299</v>
      </c>
      <c r="AT195" s="67">
        <v>6.0</v>
      </c>
      <c r="AU195" s="37" t="str">
        <f t="shared" si="390"/>
        <v>R</v>
      </c>
      <c r="AV195" s="65">
        <v>12.0</v>
      </c>
      <c r="AW195" s="33" t="str">
        <f t="shared" si="391"/>
        <v>R</v>
      </c>
      <c r="AX195" s="65">
        <v>13.0</v>
      </c>
      <c r="AY195" s="33" t="str">
        <f t="shared" si="392"/>
        <v>R</v>
      </c>
      <c r="AZ195" s="65" t="s">
        <v>299</v>
      </c>
      <c r="BA195" s="28">
        <v>6.0</v>
      </c>
      <c r="BB195" s="26" t="str">
        <f t="shared" si="393"/>
        <v>R</v>
      </c>
      <c r="BC195" s="67">
        <v>14.0</v>
      </c>
      <c r="BD195" s="37" t="str">
        <f t="shared" si="394"/>
        <v>R</v>
      </c>
      <c r="BE195" s="66">
        <v>13.0</v>
      </c>
      <c r="BF195" s="36" t="str">
        <f t="shared" si="395"/>
        <v>R</v>
      </c>
      <c r="BG195" s="39" t="s">
        <v>357</v>
      </c>
      <c r="BH195" s="39" t="s">
        <v>357</v>
      </c>
      <c r="BI195" s="66">
        <v>18.0</v>
      </c>
      <c r="BJ195" s="36" t="str">
        <f t="shared" si="396"/>
        <v>R</v>
      </c>
      <c r="BK195" s="68">
        <v>16.0</v>
      </c>
      <c r="BL195" s="41" t="str">
        <f t="shared" si="397"/>
        <v>R</v>
      </c>
      <c r="BM195" s="41"/>
    </row>
    <row r="196">
      <c r="A196" s="18" t="s">
        <v>941</v>
      </c>
      <c r="B196" s="19">
        <v>199.0</v>
      </c>
      <c r="C196" s="18" t="s">
        <v>1652</v>
      </c>
      <c r="D196" s="69" t="s">
        <v>555</v>
      </c>
      <c r="E196" s="18" t="s">
        <v>103</v>
      </c>
      <c r="F196" s="18" t="s">
        <v>192</v>
      </c>
      <c r="G196" s="63" t="s">
        <v>1653</v>
      </c>
      <c r="H196" s="22" t="s">
        <v>198</v>
      </c>
      <c r="I196" s="64" t="s">
        <v>41</v>
      </c>
      <c r="J196" s="70" t="s">
        <v>205</v>
      </c>
      <c r="K196" s="71" t="s">
        <v>208</v>
      </c>
      <c r="L196" s="71" t="s">
        <v>205</v>
      </c>
      <c r="M196" s="28">
        <v>18.0</v>
      </c>
      <c r="N196" s="26" t="str">
        <f t="shared" si="375"/>
        <v>R</v>
      </c>
      <c r="O196" s="28">
        <v>15.0</v>
      </c>
      <c r="P196" s="26" t="str">
        <f t="shared" si="376"/>
        <v>R</v>
      </c>
      <c r="Q196" s="28">
        <v>19.0</v>
      </c>
      <c r="R196" s="26" t="str">
        <f t="shared" si="377"/>
        <v>R</v>
      </c>
      <c r="S196" s="28">
        <v>20.0</v>
      </c>
      <c r="T196" s="26" t="str">
        <f t="shared" si="378"/>
        <v>I</v>
      </c>
      <c r="U196" s="28">
        <v>12.0</v>
      </c>
      <c r="V196" s="26" t="str">
        <f t="shared" si="379"/>
        <v>R</v>
      </c>
      <c r="W196" s="28">
        <v>13.0</v>
      </c>
      <c r="X196" s="26" t="str">
        <f t="shared" si="380"/>
        <v>R</v>
      </c>
      <c r="Y196" s="28">
        <v>18.0</v>
      </c>
      <c r="Z196" s="26" t="str">
        <f t="shared" si="381"/>
        <v>I</v>
      </c>
      <c r="AA196" s="32" t="s">
        <v>299</v>
      </c>
      <c r="AB196" s="65">
        <v>11.0</v>
      </c>
      <c r="AC196" s="33" t="str">
        <f t="shared" si="382"/>
        <v>R</v>
      </c>
      <c r="AD196" s="65">
        <v>13.0</v>
      </c>
      <c r="AE196" s="33" t="str">
        <f t="shared" si="383"/>
        <v>R</v>
      </c>
      <c r="AF196" s="65">
        <v>6.0</v>
      </c>
      <c r="AG196" s="33" t="str">
        <f t="shared" si="384"/>
        <v>R</v>
      </c>
      <c r="AH196" s="65">
        <v>6.0</v>
      </c>
      <c r="AI196" s="33" t="str">
        <f t="shared" si="385"/>
        <v>R</v>
      </c>
      <c r="AJ196" s="65">
        <v>6.0</v>
      </c>
      <c r="AK196" s="33" t="str">
        <f t="shared" si="386"/>
        <v>R</v>
      </c>
      <c r="AL196" s="65" t="s">
        <v>299</v>
      </c>
      <c r="AM196" s="66">
        <v>13.0</v>
      </c>
      <c r="AN196" s="36" t="str">
        <f t="shared" si="387"/>
        <v>R</v>
      </c>
      <c r="AO196" s="66">
        <v>13.0</v>
      </c>
      <c r="AP196" s="36" t="str">
        <f t="shared" si="388"/>
        <v>R</v>
      </c>
      <c r="AQ196" s="66">
        <v>6.0</v>
      </c>
      <c r="AR196" s="36" t="str">
        <f t="shared" si="389"/>
        <v>R</v>
      </c>
      <c r="AS196" s="66" t="s">
        <v>299</v>
      </c>
      <c r="AT196" s="67">
        <v>6.0</v>
      </c>
      <c r="AU196" s="37" t="str">
        <f t="shared" si="390"/>
        <v>R</v>
      </c>
      <c r="AV196" s="65">
        <v>10.0</v>
      </c>
      <c r="AW196" s="33" t="str">
        <f t="shared" si="391"/>
        <v>R</v>
      </c>
      <c r="AX196" s="65">
        <v>11.0</v>
      </c>
      <c r="AY196" s="33" t="str">
        <f t="shared" si="392"/>
        <v>R</v>
      </c>
      <c r="AZ196" s="65" t="s">
        <v>299</v>
      </c>
      <c r="BA196" s="28">
        <v>17.0</v>
      </c>
      <c r="BB196" s="26" t="str">
        <f t="shared" si="393"/>
        <v>R</v>
      </c>
      <c r="BC196" s="67">
        <v>6.0</v>
      </c>
      <c r="BD196" s="37" t="str">
        <f t="shared" si="394"/>
        <v>R</v>
      </c>
      <c r="BE196" s="66">
        <v>14.0</v>
      </c>
      <c r="BF196" s="36" t="str">
        <f t="shared" si="395"/>
        <v>R</v>
      </c>
      <c r="BG196" s="39" t="s">
        <v>357</v>
      </c>
      <c r="BH196" s="39" t="s">
        <v>357</v>
      </c>
      <c r="BI196" s="66">
        <v>19.0</v>
      </c>
      <c r="BJ196" s="36" t="str">
        <f t="shared" si="396"/>
        <v>I</v>
      </c>
      <c r="BK196" s="68">
        <v>15.0</v>
      </c>
      <c r="BL196" s="41" t="str">
        <f t="shared" si="397"/>
        <v>R</v>
      </c>
      <c r="BM196" s="41"/>
    </row>
    <row r="197">
      <c r="A197" s="18" t="s">
        <v>962</v>
      </c>
      <c r="B197" s="19">
        <v>204.0</v>
      </c>
      <c r="C197" s="18" t="s">
        <v>1654</v>
      </c>
      <c r="D197" s="69" t="s">
        <v>190</v>
      </c>
      <c r="E197" s="18" t="s">
        <v>190</v>
      </c>
      <c r="F197" s="18" t="s">
        <v>192</v>
      </c>
      <c r="G197" s="63" t="s">
        <v>1655</v>
      </c>
      <c r="H197" s="22" t="s">
        <v>198</v>
      </c>
      <c r="I197" s="84" t="s">
        <v>37</v>
      </c>
      <c r="J197" s="81" t="s">
        <v>205</v>
      </c>
      <c r="K197" s="81" t="s">
        <v>205</v>
      </c>
      <c r="L197" s="81" t="s">
        <v>208</v>
      </c>
      <c r="M197" s="28">
        <v>6.0</v>
      </c>
      <c r="N197" s="26" t="str">
        <f t="shared" si="375"/>
        <v>R</v>
      </c>
      <c r="O197" s="28">
        <v>19.0</v>
      </c>
      <c r="P197" s="26" t="str">
        <f t="shared" si="376"/>
        <v>S</v>
      </c>
      <c r="Q197" s="28">
        <v>6.0</v>
      </c>
      <c r="R197" s="26" t="str">
        <f t="shared" si="377"/>
        <v>R</v>
      </c>
      <c r="S197" s="28">
        <v>22.0</v>
      </c>
      <c r="T197" s="26" t="str">
        <f t="shared" si="378"/>
        <v>I</v>
      </c>
      <c r="U197" s="28">
        <v>6.0</v>
      </c>
      <c r="V197" s="26" t="str">
        <f t="shared" si="379"/>
        <v>R</v>
      </c>
      <c r="W197" s="28">
        <v>16.0</v>
      </c>
      <c r="X197" s="26" t="str">
        <f t="shared" si="380"/>
        <v>R</v>
      </c>
      <c r="Y197" s="28">
        <v>21.0</v>
      </c>
      <c r="Z197" s="26" t="str">
        <f t="shared" si="381"/>
        <v>S</v>
      </c>
      <c r="AA197" s="32" t="s">
        <v>299</v>
      </c>
      <c r="AB197" s="65">
        <v>6.0</v>
      </c>
      <c r="AC197" s="33" t="str">
        <f t="shared" si="382"/>
        <v>R</v>
      </c>
      <c r="AD197" s="65">
        <v>25.0</v>
      </c>
      <c r="AE197" s="33" t="str">
        <f t="shared" si="383"/>
        <v>S</v>
      </c>
      <c r="AF197" s="65">
        <v>6.0</v>
      </c>
      <c r="AG197" s="33" t="str">
        <f t="shared" si="384"/>
        <v>R</v>
      </c>
      <c r="AH197" s="65">
        <v>16.0</v>
      </c>
      <c r="AI197" s="33" t="str">
        <f t="shared" si="385"/>
        <v>S</v>
      </c>
      <c r="AJ197" s="65">
        <v>15.0</v>
      </c>
      <c r="AK197" s="33" t="str">
        <f t="shared" si="386"/>
        <v>R</v>
      </c>
      <c r="AL197" s="65" t="s">
        <v>299</v>
      </c>
      <c r="AM197" s="66">
        <v>6.0</v>
      </c>
      <c r="AN197" s="36" t="str">
        <f t="shared" si="387"/>
        <v>R</v>
      </c>
      <c r="AO197" s="66">
        <v>6.0</v>
      </c>
      <c r="AP197" s="36" t="str">
        <f t="shared" si="388"/>
        <v>R</v>
      </c>
      <c r="AQ197" s="66">
        <v>6.0</v>
      </c>
      <c r="AR197" s="36" t="str">
        <f t="shared" si="389"/>
        <v>R</v>
      </c>
      <c r="AS197" s="66" t="s">
        <v>299</v>
      </c>
      <c r="AT197" s="67">
        <v>6.0</v>
      </c>
      <c r="AU197" s="37" t="str">
        <f t="shared" si="390"/>
        <v>R</v>
      </c>
      <c r="AV197" s="65">
        <v>13.0</v>
      </c>
      <c r="AW197" s="33" t="str">
        <f t="shared" si="391"/>
        <v>R</v>
      </c>
      <c r="AX197" s="65">
        <v>13.0</v>
      </c>
      <c r="AY197" s="33" t="str">
        <f t="shared" si="392"/>
        <v>R</v>
      </c>
      <c r="AZ197" s="65" t="s">
        <v>299</v>
      </c>
      <c r="BA197" s="28">
        <v>6.0</v>
      </c>
      <c r="BB197" s="26" t="str">
        <f t="shared" si="393"/>
        <v>R</v>
      </c>
      <c r="BC197" s="67">
        <v>14.0</v>
      </c>
      <c r="BD197" s="37" t="str">
        <f t="shared" si="394"/>
        <v>R</v>
      </c>
      <c r="BE197" s="66">
        <v>13.0</v>
      </c>
      <c r="BF197" s="36" t="str">
        <f t="shared" si="395"/>
        <v>R</v>
      </c>
      <c r="BG197" s="39" t="s">
        <v>357</v>
      </c>
      <c r="BH197" s="39" t="s">
        <v>357</v>
      </c>
      <c r="BI197" s="66">
        <v>18.0</v>
      </c>
      <c r="BJ197" s="36" t="str">
        <f t="shared" si="396"/>
        <v>R</v>
      </c>
      <c r="BK197" s="68">
        <v>16.0</v>
      </c>
      <c r="BL197" s="41" t="str">
        <f t="shared" si="397"/>
        <v>R</v>
      </c>
      <c r="BM197" s="41"/>
    </row>
    <row r="198">
      <c r="A198" s="18" t="s">
        <v>962</v>
      </c>
      <c r="B198" s="19">
        <v>205.0</v>
      </c>
      <c r="C198" s="18" t="s">
        <v>1658</v>
      </c>
      <c r="D198" s="69" t="s">
        <v>571</v>
      </c>
      <c r="E198" s="18" t="s">
        <v>572</v>
      </c>
      <c r="F198" s="18" t="s">
        <v>192</v>
      </c>
      <c r="G198" s="63" t="s">
        <v>1659</v>
      </c>
      <c r="H198" s="22" t="s">
        <v>198</v>
      </c>
      <c r="I198" s="84" t="s">
        <v>37</v>
      </c>
      <c r="J198" s="81" t="s">
        <v>205</v>
      </c>
      <c r="K198" s="81" t="s">
        <v>205</v>
      </c>
      <c r="L198" s="81" t="s">
        <v>208</v>
      </c>
      <c r="M198" s="28">
        <v>14.0</v>
      </c>
      <c r="N198" s="26" t="str">
        <f t="shared" si="375"/>
        <v>R</v>
      </c>
      <c r="O198" s="28">
        <v>12.0</v>
      </c>
      <c r="P198" s="26" t="str">
        <f t="shared" si="376"/>
        <v>R</v>
      </c>
      <c r="Q198" s="28">
        <v>6.0</v>
      </c>
      <c r="R198" s="26" t="str">
        <f t="shared" si="377"/>
        <v>R</v>
      </c>
      <c r="S198" s="28">
        <v>22.0</v>
      </c>
      <c r="T198" s="26" t="str">
        <f t="shared" si="378"/>
        <v>I</v>
      </c>
      <c r="U198" s="28">
        <v>6.0</v>
      </c>
      <c r="V198" s="26" t="str">
        <f t="shared" si="379"/>
        <v>R</v>
      </c>
      <c r="W198" s="28">
        <v>15.0</v>
      </c>
      <c r="X198" s="26" t="str">
        <f t="shared" si="380"/>
        <v>R</v>
      </c>
      <c r="Y198" s="28">
        <v>25.0</v>
      </c>
      <c r="Z198" s="26" t="str">
        <f t="shared" si="381"/>
        <v>S</v>
      </c>
      <c r="AA198" s="32" t="s">
        <v>299</v>
      </c>
      <c r="AB198" s="65">
        <v>6.0</v>
      </c>
      <c r="AC198" s="33" t="str">
        <f t="shared" si="382"/>
        <v>R</v>
      </c>
      <c r="AD198" s="65">
        <v>21.0</v>
      </c>
      <c r="AE198" s="33" t="str">
        <f t="shared" si="383"/>
        <v>S</v>
      </c>
      <c r="AF198" s="65">
        <v>6.0</v>
      </c>
      <c r="AG198" s="33" t="str">
        <f t="shared" si="384"/>
        <v>R</v>
      </c>
      <c r="AH198" s="65">
        <v>6.0</v>
      </c>
      <c r="AI198" s="33" t="str">
        <f t="shared" si="385"/>
        <v>R</v>
      </c>
      <c r="AJ198" s="65">
        <v>6.0</v>
      </c>
      <c r="AK198" s="33" t="str">
        <f t="shared" si="386"/>
        <v>R</v>
      </c>
      <c r="AL198" s="65" t="s">
        <v>299</v>
      </c>
      <c r="AM198" s="66">
        <v>6.0</v>
      </c>
      <c r="AN198" s="36" t="str">
        <f t="shared" si="387"/>
        <v>R</v>
      </c>
      <c r="AO198" s="66">
        <v>6.0</v>
      </c>
      <c r="AP198" s="36" t="str">
        <f t="shared" si="388"/>
        <v>R</v>
      </c>
      <c r="AQ198" s="66">
        <v>6.0</v>
      </c>
      <c r="AR198" s="36" t="str">
        <f t="shared" si="389"/>
        <v>R</v>
      </c>
      <c r="AS198" s="66" t="s">
        <v>299</v>
      </c>
      <c r="AT198" s="67">
        <v>6.0</v>
      </c>
      <c r="AU198" s="37" t="str">
        <f t="shared" si="390"/>
        <v>R</v>
      </c>
      <c r="AV198" s="65">
        <v>6.0</v>
      </c>
      <c r="AW198" s="33" t="str">
        <f t="shared" si="391"/>
        <v>R</v>
      </c>
      <c r="AX198" s="65">
        <v>6.0</v>
      </c>
      <c r="AY198" s="33" t="str">
        <f t="shared" si="392"/>
        <v>R</v>
      </c>
      <c r="AZ198" s="65" t="s">
        <v>299</v>
      </c>
      <c r="BA198" s="28">
        <v>6.0</v>
      </c>
      <c r="BB198" s="26" t="str">
        <f t="shared" si="393"/>
        <v>R</v>
      </c>
      <c r="BC198" s="67">
        <v>6.0</v>
      </c>
      <c r="BD198" s="37" t="str">
        <f t="shared" si="394"/>
        <v>R</v>
      </c>
      <c r="BE198" s="66">
        <v>22.0</v>
      </c>
      <c r="BF198" s="36" t="str">
        <f t="shared" si="395"/>
        <v>R</v>
      </c>
      <c r="BG198" s="39" t="s">
        <v>357</v>
      </c>
      <c r="BH198" s="39" t="s">
        <v>357</v>
      </c>
      <c r="BI198" s="66">
        <v>6.0</v>
      </c>
      <c r="BJ198" s="36" t="str">
        <f t="shared" si="396"/>
        <v>R</v>
      </c>
      <c r="BK198" s="68">
        <v>17.0</v>
      </c>
      <c r="BL198" s="41" t="str">
        <f t="shared" si="397"/>
        <v>S</v>
      </c>
      <c r="BM198" s="41"/>
    </row>
    <row r="199">
      <c r="A199" s="18" t="s">
        <v>966</v>
      </c>
      <c r="B199" s="19">
        <v>206.0</v>
      </c>
      <c r="C199" s="18" t="s">
        <v>1661</v>
      </c>
      <c r="D199" s="69" t="s">
        <v>190</v>
      </c>
      <c r="E199" s="18" t="s">
        <v>190</v>
      </c>
      <c r="F199" s="18" t="s">
        <v>192</v>
      </c>
      <c r="G199" s="63" t="s">
        <v>1662</v>
      </c>
      <c r="H199" s="42" t="s">
        <v>479</v>
      </c>
      <c r="I199" s="84" t="s">
        <v>37</v>
      </c>
      <c r="J199" s="81" t="s">
        <v>205</v>
      </c>
      <c r="K199" s="81" t="s">
        <v>205</v>
      </c>
      <c r="L199" s="81" t="s">
        <v>208</v>
      </c>
      <c r="M199" s="28">
        <v>6.0</v>
      </c>
      <c r="N199" s="26" t="str">
        <f t="shared" si="375"/>
        <v>R</v>
      </c>
      <c r="O199" s="28">
        <v>19.0</v>
      </c>
      <c r="P199" s="26" t="str">
        <f t="shared" si="376"/>
        <v>S</v>
      </c>
      <c r="Q199" s="28">
        <v>6.0</v>
      </c>
      <c r="R199" s="26" t="str">
        <f t="shared" si="377"/>
        <v>R</v>
      </c>
      <c r="S199" s="28">
        <v>22.0</v>
      </c>
      <c r="T199" s="26" t="str">
        <f t="shared" si="378"/>
        <v>I</v>
      </c>
      <c r="U199" s="28">
        <v>6.0</v>
      </c>
      <c r="V199" s="26" t="str">
        <f t="shared" si="379"/>
        <v>R</v>
      </c>
      <c r="W199" s="28">
        <v>16.0</v>
      </c>
      <c r="X199" s="26" t="str">
        <f t="shared" si="380"/>
        <v>R</v>
      </c>
      <c r="Y199" s="28">
        <v>21.0</v>
      </c>
      <c r="Z199" s="26" t="str">
        <f t="shared" si="381"/>
        <v>S</v>
      </c>
      <c r="AA199" s="32" t="s">
        <v>299</v>
      </c>
      <c r="AB199" s="65">
        <v>6.0</v>
      </c>
      <c r="AC199" s="33" t="str">
        <f t="shared" si="382"/>
        <v>R</v>
      </c>
      <c r="AD199" s="65">
        <v>25.0</v>
      </c>
      <c r="AE199" s="33" t="str">
        <f t="shared" si="383"/>
        <v>S</v>
      </c>
      <c r="AF199" s="65">
        <v>6.0</v>
      </c>
      <c r="AG199" s="33" t="str">
        <f t="shared" si="384"/>
        <v>R</v>
      </c>
      <c r="AH199" s="65">
        <v>16.0</v>
      </c>
      <c r="AI199" s="33" t="str">
        <f t="shared" si="385"/>
        <v>S</v>
      </c>
      <c r="AJ199" s="65">
        <v>15.0</v>
      </c>
      <c r="AK199" s="33" t="str">
        <f t="shared" si="386"/>
        <v>R</v>
      </c>
      <c r="AL199" s="65" t="s">
        <v>299</v>
      </c>
      <c r="AM199" s="66">
        <v>6.0</v>
      </c>
      <c r="AN199" s="36" t="str">
        <f t="shared" si="387"/>
        <v>R</v>
      </c>
      <c r="AO199" s="66">
        <v>6.0</v>
      </c>
      <c r="AP199" s="36" t="str">
        <f t="shared" si="388"/>
        <v>R</v>
      </c>
      <c r="AQ199" s="66">
        <v>6.0</v>
      </c>
      <c r="AR199" s="36" t="str">
        <f t="shared" si="389"/>
        <v>R</v>
      </c>
      <c r="AS199" s="66" t="s">
        <v>299</v>
      </c>
      <c r="AT199" s="67">
        <v>6.0</v>
      </c>
      <c r="AU199" s="37" t="str">
        <f t="shared" si="390"/>
        <v>R</v>
      </c>
      <c r="AV199" s="65">
        <v>13.0</v>
      </c>
      <c r="AW199" s="33" t="str">
        <f t="shared" si="391"/>
        <v>R</v>
      </c>
      <c r="AX199" s="65">
        <v>13.0</v>
      </c>
      <c r="AY199" s="33" t="str">
        <f t="shared" si="392"/>
        <v>R</v>
      </c>
      <c r="AZ199" s="65" t="s">
        <v>299</v>
      </c>
      <c r="BA199" s="28">
        <v>6.0</v>
      </c>
      <c r="BB199" s="26" t="str">
        <f t="shared" si="393"/>
        <v>R</v>
      </c>
      <c r="BC199" s="67">
        <v>14.0</v>
      </c>
      <c r="BD199" s="37" t="str">
        <f t="shared" si="394"/>
        <v>R</v>
      </c>
      <c r="BE199" s="66">
        <v>23.0</v>
      </c>
      <c r="BF199" s="36" t="str">
        <f t="shared" si="395"/>
        <v>S</v>
      </c>
      <c r="BG199" s="39" t="s">
        <v>357</v>
      </c>
      <c r="BH199" s="39" t="s">
        <v>357</v>
      </c>
      <c r="BI199" s="66">
        <v>18.0</v>
      </c>
      <c r="BJ199" s="36" t="str">
        <f t="shared" si="396"/>
        <v>R</v>
      </c>
      <c r="BK199" s="68">
        <v>16.0</v>
      </c>
      <c r="BL199" s="41" t="str">
        <f t="shared" si="397"/>
        <v>R</v>
      </c>
      <c r="BM199" s="41"/>
    </row>
    <row r="200">
      <c r="A200" s="18" t="s">
        <v>966</v>
      </c>
      <c r="B200" s="19">
        <v>207.0</v>
      </c>
      <c r="C200" s="18" t="s">
        <v>1664</v>
      </c>
      <c r="D200" s="69" t="s">
        <v>705</v>
      </c>
      <c r="E200" s="18" t="s">
        <v>572</v>
      </c>
      <c r="F200" s="18" t="s">
        <v>192</v>
      </c>
      <c r="G200" s="63" t="s">
        <v>1665</v>
      </c>
      <c r="H200" s="42" t="s">
        <v>479</v>
      </c>
      <c r="I200" s="64" t="s">
        <v>481</v>
      </c>
      <c r="J200" s="70" t="s">
        <v>205</v>
      </c>
      <c r="K200" s="70" t="s">
        <v>208</v>
      </c>
      <c r="L200" s="70" t="s">
        <v>208</v>
      </c>
      <c r="M200" s="28">
        <v>15.0</v>
      </c>
      <c r="N200" s="26" t="str">
        <f t="shared" si="375"/>
        <v>R</v>
      </c>
      <c r="O200" s="28">
        <v>18.0</v>
      </c>
      <c r="P200" s="26" t="str">
        <f t="shared" si="376"/>
        <v>R</v>
      </c>
      <c r="Q200" s="28">
        <v>17.0</v>
      </c>
      <c r="R200" s="26" t="str">
        <f t="shared" si="377"/>
        <v>R</v>
      </c>
      <c r="S200" s="28">
        <v>14.0</v>
      </c>
      <c r="T200" s="26" t="str">
        <f t="shared" si="378"/>
        <v>R</v>
      </c>
      <c r="U200" s="28">
        <v>16.0</v>
      </c>
      <c r="V200" s="26" t="str">
        <f t="shared" si="379"/>
        <v>R</v>
      </c>
      <c r="W200" s="28">
        <v>17.0</v>
      </c>
      <c r="X200" s="26" t="str">
        <f t="shared" si="380"/>
        <v>R</v>
      </c>
      <c r="Y200" s="28">
        <v>6.0</v>
      </c>
      <c r="Z200" s="26" t="str">
        <f t="shared" si="381"/>
        <v>R</v>
      </c>
      <c r="AA200" s="32" t="s">
        <v>299</v>
      </c>
      <c r="AB200" s="65">
        <v>6.0</v>
      </c>
      <c r="AC200" s="33" t="str">
        <f t="shared" si="382"/>
        <v>R</v>
      </c>
      <c r="AD200" s="65">
        <v>6.0</v>
      </c>
      <c r="AE200" s="33" t="str">
        <f t="shared" si="383"/>
        <v>R</v>
      </c>
      <c r="AF200" s="65">
        <v>6.0</v>
      </c>
      <c r="AG200" s="33" t="str">
        <f t="shared" si="384"/>
        <v>R</v>
      </c>
      <c r="AH200" s="65">
        <v>6.0</v>
      </c>
      <c r="AI200" s="33" t="str">
        <f t="shared" si="385"/>
        <v>R</v>
      </c>
      <c r="AJ200" s="65">
        <v>6.0</v>
      </c>
      <c r="AK200" s="33" t="str">
        <f t="shared" si="386"/>
        <v>R</v>
      </c>
      <c r="AL200" s="65" t="s">
        <v>299</v>
      </c>
      <c r="AM200" s="66">
        <v>6.0</v>
      </c>
      <c r="AN200" s="36" t="str">
        <f t="shared" si="387"/>
        <v>R</v>
      </c>
      <c r="AO200" s="66">
        <v>12.0</v>
      </c>
      <c r="AP200" s="36" t="str">
        <f t="shared" si="388"/>
        <v>R</v>
      </c>
      <c r="AQ200" s="66">
        <v>6.0</v>
      </c>
      <c r="AR200" s="36" t="str">
        <f t="shared" si="389"/>
        <v>R</v>
      </c>
      <c r="AS200" s="66" t="s">
        <v>299</v>
      </c>
      <c r="AT200" s="67">
        <v>6.0</v>
      </c>
      <c r="AU200" s="37" t="str">
        <f t="shared" si="390"/>
        <v>R</v>
      </c>
      <c r="AV200" s="65">
        <v>6.0</v>
      </c>
      <c r="AW200" s="33" t="str">
        <f t="shared" si="391"/>
        <v>R</v>
      </c>
      <c r="AX200" s="65">
        <v>6.0</v>
      </c>
      <c r="AY200" s="33" t="str">
        <f t="shared" si="392"/>
        <v>R</v>
      </c>
      <c r="AZ200" s="65" t="s">
        <v>299</v>
      </c>
      <c r="BA200" s="28">
        <v>15.0</v>
      </c>
      <c r="BB200" s="26" t="str">
        <f t="shared" si="393"/>
        <v>R</v>
      </c>
      <c r="BC200" s="67">
        <v>6.0</v>
      </c>
      <c r="BD200" s="37" t="str">
        <f t="shared" si="394"/>
        <v>R</v>
      </c>
      <c r="BE200" s="66">
        <v>12.0</v>
      </c>
      <c r="BF200" s="36" t="str">
        <f t="shared" si="395"/>
        <v>R</v>
      </c>
      <c r="BG200" s="39" t="s">
        <v>357</v>
      </c>
      <c r="BH200" s="39" t="s">
        <v>357</v>
      </c>
      <c r="BI200" s="66">
        <v>20.0</v>
      </c>
      <c r="BJ200" s="36" t="str">
        <f t="shared" si="396"/>
        <v>I</v>
      </c>
      <c r="BK200" s="68">
        <v>11.0</v>
      </c>
      <c r="BL200" s="41" t="str">
        <f t="shared" si="397"/>
        <v>R</v>
      </c>
      <c r="BM200" s="41"/>
    </row>
    <row r="201">
      <c r="A201" s="18" t="s">
        <v>966</v>
      </c>
      <c r="B201" s="19">
        <v>208.0</v>
      </c>
      <c r="C201" s="18" t="s">
        <v>1666</v>
      </c>
      <c r="D201" s="69" t="s">
        <v>1206</v>
      </c>
      <c r="E201" s="18" t="s">
        <v>103</v>
      </c>
      <c r="F201" s="18" t="s">
        <v>192</v>
      </c>
      <c r="G201" s="63" t="s">
        <v>1667</v>
      </c>
      <c r="H201" s="52" t="s">
        <v>581</v>
      </c>
      <c r="I201" s="64" t="s">
        <v>481</v>
      </c>
      <c r="J201" s="70" t="s">
        <v>205</v>
      </c>
      <c r="K201" s="70" t="s">
        <v>208</v>
      </c>
      <c r="L201" s="70" t="s">
        <v>208</v>
      </c>
      <c r="M201" s="28">
        <v>6.0</v>
      </c>
      <c r="N201" s="26" t="str">
        <f t="shared" si="375"/>
        <v>R</v>
      </c>
      <c r="O201" s="28">
        <v>17.0</v>
      </c>
      <c r="P201" s="26" t="str">
        <f t="shared" si="376"/>
        <v>R</v>
      </c>
      <c r="Q201" s="28">
        <v>6.0</v>
      </c>
      <c r="R201" s="26" t="str">
        <f t="shared" si="377"/>
        <v>R</v>
      </c>
      <c r="S201" s="28">
        <v>23.0</v>
      </c>
      <c r="T201" s="26" t="str">
        <f t="shared" si="378"/>
        <v>S</v>
      </c>
      <c r="U201" s="28">
        <v>6.0</v>
      </c>
      <c r="V201" s="26" t="str">
        <f t="shared" si="379"/>
        <v>R</v>
      </c>
      <c r="W201" s="28">
        <v>17.0</v>
      </c>
      <c r="X201" s="26" t="str">
        <f t="shared" si="380"/>
        <v>R</v>
      </c>
      <c r="Y201" s="28">
        <v>19.0</v>
      </c>
      <c r="Z201" s="26" t="str">
        <f t="shared" si="381"/>
        <v>I</v>
      </c>
      <c r="AA201" s="32" t="s">
        <v>299</v>
      </c>
      <c r="AB201" s="65">
        <v>6.0</v>
      </c>
      <c r="AC201" s="33" t="str">
        <f t="shared" si="382"/>
        <v>R</v>
      </c>
      <c r="AD201" s="65">
        <v>15.0</v>
      </c>
      <c r="AE201" s="33" t="str">
        <f t="shared" si="383"/>
        <v>R</v>
      </c>
      <c r="AF201" s="65">
        <v>6.0</v>
      </c>
      <c r="AG201" s="33" t="str">
        <f t="shared" si="384"/>
        <v>R</v>
      </c>
      <c r="AH201" s="65">
        <v>15.0</v>
      </c>
      <c r="AI201" s="33" t="str">
        <f t="shared" si="385"/>
        <v>S</v>
      </c>
      <c r="AJ201" s="65">
        <v>6.0</v>
      </c>
      <c r="AK201" s="33" t="str">
        <f t="shared" si="386"/>
        <v>R</v>
      </c>
      <c r="AL201" s="65" t="s">
        <v>299</v>
      </c>
      <c r="AM201" s="66">
        <v>6.0</v>
      </c>
      <c r="AN201" s="36" t="str">
        <f t="shared" si="387"/>
        <v>R</v>
      </c>
      <c r="AO201" s="66">
        <v>6.0</v>
      </c>
      <c r="AP201" s="36" t="str">
        <f t="shared" si="388"/>
        <v>R</v>
      </c>
      <c r="AQ201" s="66">
        <v>6.0</v>
      </c>
      <c r="AR201" s="36" t="str">
        <f t="shared" si="389"/>
        <v>R</v>
      </c>
      <c r="AS201" s="66" t="s">
        <v>299</v>
      </c>
      <c r="AT201" s="67">
        <v>6.0</v>
      </c>
      <c r="AU201" s="37" t="str">
        <f t="shared" si="390"/>
        <v>R</v>
      </c>
      <c r="AV201" s="65">
        <v>14.0</v>
      </c>
      <c r="AW201" s="33" t="str">
        <f t="shared" si="391"/>
        <v>R</v>
      </c>
      <c r="AX201" s="65">
        <v>13.0</v>
      </c>
      <c r="AY201" s="33" t="str">
        <f t="shared" si="392"/>
        <v>R</v>
      </c>
      <c r="AZ201" s="65" t="s">
        <v>299</v>
      </c>
      <c r="BA201" s="28">
        <v>6.0</v>
      </c>
      <c r="BB201" s="26" t="str">
        <f t="shared" si="393"/>
        <v>R</v>
      </c>
      <c r="BC201" s="67">
        <v>12.0</v>
      </c>
      <c r="BD201" s="37" t="str">
        <f t="shared" si="394"/>
        <v>R</v>
      </c>
      <c r="BE201" s="66">
        <v>22.0</v>
      </c>
      <c r="BF201" s="36" t="str">
        <f t="shared" si="395"/>
        <v>R</v>
      </c>
      <c r="BG201" s="39" t="s">
        <v>357</v>
      </c>
      <c r="BH201" s="39" t="s">
        <v>357</v>
      </c>
      <c r="BI201" s="66">
        <v>21.0</v>
      </c>
      <c r="BJ201" s="36" t="str">
        <f t="shared" si="396"/>
        <v>I</v>
      </c>
      <c r="BK201" s="68">
        <v>16.0</v>
      </c>
      <c r="BL201" s="41" t="str">
        <f t="shared" si="397"/>
        <v>R</v>
      </c>
      <c r="BM201" s="41"/>
    </row>
    <row r="202">
      <c r="A202" s="18" t="s">
        <v>966</v>
      </c>
      <c r="B202" s="19">
        <v>209.0</v>
      </c>
      <c r="C202" s="18" t="s">
        <v>1668</v>
      </c>
      <c r="D202" s="69" t="s">
        <v>956</v>
      </c>
      <c r="E202" s="18" t="s">
        <v>103</v>
      </c>
      <c r="F202" s="18" t="s">
        <v>192</v>
      </c>
      <c r="G202" s="63" t="s">
        <v>1669</v>
      </c>
      <c r="H202" s="22" t="s">
        <v>198</v>
      </c>
      <c r="I202" s="64" t="s">
        <v>816</v>
      </c>
      <c r="J202" s="81" t="s">
        <v>205</v>
      </c>
      <c r="K202" s="81" t="s">
        <v>205</v>
      </c>
      <c r="L202" s="71" t="s">
        <v>205</v>
      </c>
      <c r="M202" s="28">
        <v>6.0</v>
      </c>
      <c r="N202" s="26" t="str">
        <f t="shared" si="375"/>
        <v>R</v>
      </c>
      <c r="O202" s="28">
        <v>16.0</v>
      </c>
      <c r="P202" s="26" t="str">
        <f t="shared" si="376"/>
        <v>R</v>
      </c>
      <c r="Q202" s="28">
        <v>6.0</v>
      </c>
      <c r="R202" s="26" t="str">
        <f t="shared" si="377"/>
        <v>R</v>
      </c>
      <c r="S202" s="28">
        <v>22.0</v>
      </c>
      <c r="T202" s="26" t="str">
        <f t="shared" si="378"/>
        <v>I</v>
      </c>
      <c r="U202" s="28">
        <v>6.0</v>
      </c>
      <c r="V202" s="26" t="str">
        <f t="shared" si="379"/>
        <v>R</v>
      </c>
      <c r="W202" s="28">
        <v>17.0</v>
      </c>
      <c r="X202" s="26" t="str">
        <f t="shared" si="380"/>
        <v>R</v>
      </c>
      <c r="Y202" s="28">
        <v>18.0</v>
      </c>
      <c r="Z202" s="26" t="str">
        <f t="shared" si="381"/>
        <v>I</v>
      </c>
      <c r="AA202" s="32" t="s">
        <v>299</v>
      </c>
      <c r="AB202" s="65">
        <v>6.0</v>
      </c>
      <c r="AC202" s="33" t="str">
        <f t="shared" si="382"/>
        <v>R</v>
      </c>
      <c r="AD202" s="65">
        <v>24.0</v>
      </c>
      <c r="AE202" s="33" t="str">
        <f t="shared" si="383"/>
        <v>S</v>
      </c>
      <c r="AF202" s="65">
        <v>6.0</v>
      </c>
      <c r="AG202" s="33" t="str">
        <f t="shared" si="384"/>
        <v>R</v>
      </c>
      <c r="AH202" s="65">
        <v>18.0</v>
      </c>
      <c r="AI202" s="33" t="str">
        <f t="shared" si="385"/>
        <v>S</v>
      </c>
      <c r="AJ202" s="65">
        <v>6.0</v>
      </c>
      <c r="AK202" s="33" t="str">
        <f t="shared" si="386"/>
        <v>R</v>
      </c>
      <c r="AL202" s="65" t="s">
        <v>299</v>
      </c>
      <c r="AM202" s="66">
        <v>11.0</v>
      </c>
      <c r="AN202" s="36" t="str">
        <f t="shared" si="387"/>
        <v>R</v>
      </c>
      <c r="AO202" s="66">
        <v>13.0</v>
      </c>
      <c r="AP202" s="36" t="str">
        <f t="shared" si="388"/>
        <v>R</v>
      </c>
      <c r="AQ202" s="66">
        <v>16.0</v>
      </c>
      <c r="AR202" s="36" t="str">
        <f t="shared" si="389"/>
        <v>S</v>
      </c>
      <c r="AS202" s="66" t="s">
        <v>299</v>
      </c>
      <c r="AT202" s="67">
        <v>6.0</v>
      </c>
      <c r="AU202" s="37" t="str">
        <f t="shared" si="390"/>
        <v>R</v>
      </c>
      <c r="AV202" s="65">
        <v>14.0</v>
      </c>
      <c r="AW202" s="33" t="str">
        <f t="shared" si="391"/>
        <v>R</v>
      </c>
      <c r="AX202" s="65">
        <v>14.0</v>
      </c>
      <c r="AY202" s="33" t="str">
        <f t="shared" si="392"/>
        <v>R</v>
      </c>
      <c r="AZ202" s="65" t="s">
        <v>299</v>
      </c>
      <c r="BA202" s="28">
        <v>6.0</v>
      </c>
      <c r="BB202" s="26" t="str">
        <f t="shared" si="393"/>
        <v>R</v>
      </c>
      <c r="BC202" s="67">
        <v>16.0</v>
      </c>
      <c r="BD202" s="37" t="str">
        <f t="shared" si="394"/>
        <v>R</v>
      </c>
      <c r="BE202" s="66">
        <v>12.0</v>
      </c>
      <c r="BF202" s="36" t="str">
        <f t="shared" si="395"/>
        <v>R</v>
      </c>
      <c r="BG202" s="39" t="s">
        <v>357</v>
      </c>
      <c r="BH202" s="39" t="s">
        <v>357</v>
      </c>
      <c r="BI202" s="66">
        <v>21.0</v>
      </c>
      <c r="BJ202" s="36" t="str">
        <f t="shared" si="396"/>
        <v>I</v>
      </c>
      <c r="BK202" s="68">
        <v>15.0</v>
      </c>
      <c r="BL202" s="41" t="str">
        <f t="shared" si="397"/>
        <v>R</v>
      </c>
      <c r="BM202" s="41"/>
    </row>
    <row r="203">
      <c r="A203" s="18" t="s">
        <v>970</v>
      </c>
      <c r="B203" s="19">
        <v>210.0</v>
      </c>
      <c r="C203" s="18" t="s">
        <v>1672</v>
      </c>
      <c r="D203" s="69" t="s">
        <v>190</v>
      </c>
      <c r="E203" s="18" t="s">
        <v>190</v>
      </c>
      <c r="F203" s="18" t="s">
        <v>192</v>
      </c>
      <c r="G203" s="63" t="s">
        <v>1673</v>
      </c>
      <c r="H203" s="22" t="s">
        <v>198</v>
      </c>
      <c r="I203" s="84" t="s">
        <v>37</v>
      </c>
      <c r="J203" s="81" t="s">
        <v>205</v>
      </c>
      <c r="K203" s="81" t="s">
        <v>205</v>
      </c>
      <c r="L203" s="81" t="s">
        <v>208</v>
      </c>
      <c r="M203" s="28">
        <v>6.0</v>
      </c>
      <c r="N203" s="26" t="str">
        <f t="shared" si="375"/>
        <v>R</v>
      </c>
      <c r="O203" s="28">
        <v>17.0</v>
      </c>
      <c r="P203" s="26" t="str">
        <f t="shared" si="376"/>
        <v>R</v>
      </c>
      <c r="Q203" s="28">
        <v>6.0</v>
      </c>
      <c r="R203" s="26" t="str">
        <f t="shared" si="377"/>
        <v>R</v>
      </c>
      <c r="S203" s="28">
        <v>28.0</v>
      </c>
      <c r="T203" s="26" t="str">
        <f t="shared" si="378"/>
        <v>S</v>
      </c>
      <c r="U203" s="28">
        <v>6.0</v>
      </c>
      <c r="V203" s="26" t="str">
        <f t="shared" si="379"/>
        <v>R</v>
      </c>
      <c r="W203" s="28">
        <v>14.0</v>
      </c>
      <c r="X203" s="26" t="str">
        <f t="shared" si="380"/>
        <v>R</v>
      </c>
      <c r="Y203" s="28">
        <v>21.0</v>
      </c>
      <c r="Z203" s="26" t="str">
        <f t="shared" si="381"/>
        <v>S</v>
      </c>
      <c r="AA203" s="32" t="s">
        <v>299</v>
      </c>
      <c r="AB203" s="65">
        <v>10.0</v>
      </c>
      <c r="AC203" s="33" t="str">
        <f t="shared" si="382"/>
        <v>R</v>
      </c>
      <c r="AD203" s="65">
        <v>20.0</v>
      </c>
      <c r="AE203" s="33" t="str">
        <f t="shared" si="383"/>
        <v>S</v>
      </c>
      <c r="AF203" s="65">
        <v>8.0</v>
      </c>
      <c r="AG203" s="33" t="str">
        <f t="shared" si="384"/>
        <v>R</v>
      </c>
      <c r="AH203" s="65">
        <v>23.0</v>
      </c>
      <c r="AI203" s="33" t="str">
        <f t="shared" si="385"/>
        <v>S</v>
      </c>
      <c r="AJ203" s="65">
        <v>14.0</v>
      </c>
      <c r="AK203" s="33" t="str">
        <f t="shared" si="386"/>
        <v>R</v>
      </c>
      <c r="AL203" s="65" t="s">
        <v>299</v>
      </c>
      <c r="AM203" s="66">
        <v>6.0</v>
      </c>
      <c r="AN203" s="36" t="str">
        <f t="shared" si="387"/>
        <v>R</v>
      </c>
      <c r="AO203" s="66">
        <v>9.0</v>
      </c>
      <c r="AP203" s="36" t="str">
        <f t="shared" si="388"/>
        <v>R</v>
      </c>
      <c r="AQ203" s="66">
        <v>6.0</v>
      </c>
      <c r="AR203" s="36" t="str">
        <f t="shared" si="389"/>
        <v>R</v>
      </c>
      <c r="AS203" s="66" t="s">
        <v>299</v>
      </c>
      <c r="AT203" s="67">
        <v>6.0</v>
      </c>
      <c r="AU203" s="37" t="str">
        <f t="shared" si="390"/>
        <v>R</v>
      </c>
      <c r="AV203" s="65">
        <v>18.0</v>
      </c>
      <c r="AW203" s="33" t="str">
        <f t="shared" si="391"/>
        <v>S</v>
      </c>
      <c r="AX203" s="65">
        <v>6.0</v>
      </c>
      <c r="AY203" s="33" t="str">
        <f t="shared" si="392"/>
        <v>R</v>
      </c>
      <c r="AZ203" s="65" t="s">
        <v>299</v>
      </c>
      <c r="BA203" s="28">
        <v>6.0</v>
      </c>
      <c r="BB203" s="26" t="str">
        <f t="shared" si="393"/>
        <v>R</v>
      </c>
      <c r="BC203" s="67">
        <v>14.0</v>
      </c>
      <c r="BD203" s="37" t="str">
        <f t="shared" si="394"/>
        <v>R</v>
      </c>
      <c r="BE203" s="66">
        <v>26.0</v>
      </c>
      <c r="BF203" s="36" t="str">
        <f t="shared" si="395"/>
        <v>S</v>
      </c>
      <c r="BG203" s="39" t="s">
        <v>357</v>
      </c>
      <c r="BH203" s="39" t="s">
        <v>357</v>
      </c>
      <c r="BI203" s="66">
        <v>29.0</v>
      </c>
      <c r="BJ203" s="36" t="str">
        <f t="shared" si="396"/>
        <v>S</v>
      </c>
      <c r="BK203" s="68">
        <v>20.0</v>
      </c>
      <c r="BL203" s="41" t="str">
        <f t="shared" si="397"/>
        <v>S</v>
      </c>
      <c r="BM203" s="41"/>
    </row>
    <row r="204">
      <c r="A204" s="18" t="s">
        <v>970</v>
      </c>
      <c r="B204" s="19">
        <v>211.0</v>
      </c>
      <c r="C204" s="18" t="s">
        <v>1674</v>
      </c>
      <c r="D204" s="69" t="s">
        <v>571</v>
      </c>
      <c r="E204" s="18" t="s">
        <v>572</v>
      </c>
      <c r="F204" s="18" t="s">
        <v>192</v>
      </c>
      <c r="G204" s="63" t="s">
        <v>1675</v>
      </c>
      <c r="H204" s="22" t="s">
        <v>198</v>
      </c>
      <c r="I204" s="84" t="s">
        <v>37</v>
      </c>
      <c r="J204" s="81" t="s">
        <v>205</v>
      </c>
      <c r="K204" s="81" t="s">
        <v>205</v>
      </c>
      <c r="L204" s="81" t="s">
        <v>208</v>
      </c>
      <c r="M204" s="28">
        <v>6.0</v>
      </c>
      <c r="N204" s="26" t="str">
        <f t="shared" si="375"/>
        <v>R</v>
      </c>
      <c r="O204" s="28">
        <v>18.0</v>
      </c>
      <c r="P204" s="26" t="str">
        <f t="shared" si="376"/>
        <v>R</v>
      </c>
      <c r="Q204" s="28">
        <v>6.0</v>
      </c>
      <c r="R204" s="26" t="str">
        <f t="shared" si="377"/>
        <v>R</v>
      </c>
      <c r="S204" s="28">
        <v>20.0</v>
      </c>
      <c r="T204" s="26" t="str">
        <f t="shared" si="378"/>
        <v>I</v>
      </c>
      <c r="U204" s="28">
        <v>6.0</v>
      </c>
      <c r="V204" s="26" t="str">
        <f t="shared" si="379"/>
        <v>R</v>
      </c>
      <c r="W204" s="28">
        <v>20.0</v>
      </c>
      <c r="X204" s="26" t="str">
        <f t="shared" si="380"/>
        <v>S</v>
      </c>
      <c r="Y204" s="28">
        <v>15.0</v>
      </c>
      <c r="Z204" s="26" t="str">
        <f t="shared" si="381"/>
        <v>R</v>
      </c>
      <c r="AA204" s="32" t="s">
        <v>299</v>
      </c>
      <c r="AB204" s="65">
        <v>6.0</v>
      </c>
      <c r="AC204" s="33" t="str">
        <f t="shared" si="382"/>
        <v>R</v>
      </c>
      <c r="AD204" s="65">
        <v>19.0</v>
      </c>
      <c r="AE204" s="33" t="str">
        <f t="shared" si="383"/>
        <v>S</v>
      </c>
      <c r="AF204" s="65">
        <v>6.0</v>
      </c>
      <c r="AG204" s="33" t="str">
        <f t="shared" si="384"/>
        <v>R</v>
      </c>
      <c r="AH204" s="65">
        <v>21.0</v>
      </c>
      <c r="AI204" s="33" t="str">
        <f t="shared" si="385"/>
        <v>S</v>
      </c>
      <c r="AJ204" s="65">
        <v>6.0</v>
      </c>
      <c r="AK204" s="33" t="str">
        <f t="shared" si="386"/>
        <v>R</v>
      </c>
      <c r="AL204" s="65" t="s">
        <v>299</v>
      </c>
      <c r="AM204" s="66">
        <v>6.0</v>
      </c>
      <c r="AN204" s="36" t="str">
        <f t="shared" si="387"/>
        <v>R</v>
      </c>
      <c r="AO204" s="66">
        <v>6.0</v>
      </c>
      <c r="AP204" s="36" t="str">
        <f t="shared" si="388"/>
        <v>R</v>
      </c>
      <c r="AQ204" s="66">
        <v>6.0</v>
      </c>
      <c r="AR204" s="36" t="str">
        <f t="shared" si="389"/>
        <v>R</v>
      </c>
      <c r="AS204" s="66" t="s">
        <v>299</v>
      </c>
      <c r="AT204" s="67">
        <v>6.0</v>
      </c>
      <c r="AU204" s="37" t="str">
        <f t="shared" si="390"/>
        <v>R</v>
      </c>
      <c r="AV204" s="65">
        <v>20.0</v>
      </c>
      <c r="AW204" s="33" t="str">
        <f t="shared" si="391"/>
        <v>S</v>
      </c>
      <c r="AX204" s="65">
        <v>19.0</v>
      </c>
      <c r="AY204" s="33" t="str">
        <f t="shared" si="392"/>
        <v>S</v>
      </c>
      <c r="AZ204" s="33" t="s">
        <v>300</v>
      </c>
      <c r="BA204" s="28">
        <v>6.0</v>
      </c>
      <c r="BB204" s="26" t="str">
        <f t="shared" si="393"/>
        <v>R</v>
      </c>
      <c r="BC204" s="67">
        <v>15.0</v>
      </c>
      <c r="BD204" s="37" t="str">
        <f t="shared" si="394"/>
        <v>R</v>
      </c>
      <c r="BE204" s="66">
        <v>27.0</v>
      </c>
      <c r="BF204" s="36" t="str">
        <f t="shared" si="395"/>
        <v>S</v>
      </c>
      <c r="BG204" s="39" t="s">
        <v>357</v>
      </c>
      <c r="BH204" s="39" t="s">
        <v>357</v>
      </c>
      <c r="BI204" s="66">
        <v>27.0</v>
      </c>
      <c r="BJ204" s="36" t="str">
        <f t="shared" si="396"/>
        <v>S</v>
      </c>
      <c r="BK204" s="68">
        <v>21.0</v>
      </c>
      <c r="BL204" s="41" t="str">
        <f t="shared" si="397"/>
        <v>S</v>
      </c>
      <c r="BM204" s="41"/>
    </row>
    <row r="205">
      <c r="A205" s="18" t="s">
        <v>981</v>
      </c>
      <c r="B205" s="19">
        <v>216.0</v>
      </c>
      <c r="C205" s="18" t="s">
        <v>1678</v>
      </c>
      <c r="D205" s="69" t="s">
        <v>190</v>
      </c>
      <c r="E205" s="18" t="s">
        <v>190</v>
      </c>
      <c r="F205" s="18" t="s">
        <v>192</v>
      </c>
      <c r="G205" s="63" t="s">
        <v>1679</v>
      </c>
      <c r="H205" s="22" t="s">
        <v>198</v>
      </c>
      <c r="I205" s="84" t="s">
        <v>37</v>
      </c>
      <c r="J205" s="81" t="s">
        <v>205</v>
      </c>
      <c r="K205" s="81" t="s">
        <v>205</v>
      </c>
      <c r="L205" s="81" t="s">
        <v>208</v>
      </c>
      <c r="M205" s="28">
        <v>6.0</v>
      </c>
      <c r="N205" s="26" t="str">
        <f t="shared" si="375"/>
        <v>R</v>
      </c>
      <c r="O205" s="28">
        <v>20.0</v>
      </c>
      <c r="P205" s="26" t="str">
        <f t="shared" si="376"/>
        <v>S</v>
      </c>
      <c r="Q205" s="28">
        <v>6.0</v>
      </c>
      <c r="R205" s="26" t="str">
        <f t="shared" si="377"/>
        <v>R</v>
      </c>
      <c r="S205" s="28">
        <v>22.0</v>
      </c>
      <c r="T205" s="26" t="str">
        <f t="shared" si="378"/>
        <v>I</v>
      </c>
      <c r="U205" s="28">
        <v>6.0</v>
      </c>
      <c r="V205" s="26" t="str">
        <f t="shared" si="379"/>
        <v>R</v>
      </c>
      <c r="W205" s="28">
        <v>20.0</v>
      </c>
      <c r="X205" s="26" t="str">
        <f t="shared" si="380"/>
        <v>S</v>
      </c>
      <c r="Y205" s="28">
        <v>16.0</v>
      </c>
      <c r="Z205" s="26" t="str">
        <f t="shared" si="381"/>
        <v>R</v>
      </c>
      <c r="AA205" s="32" t="s">
        <v>299</v>
      </c>
      <c r="AB205" s="65">
        <v>6.0</v>
      </c>
      <c r="AC205" s="33" t="str">
        <f t="shared" si="382"/>
        <v>R</v>
      </c>
      <c r="AD205" s="65">
        <v>26.0</v>
      </c>
      <c r="AE205" s="33" t="str">
        <f t="shared" si="383"/>
        <v>S</v>
      </c>
      <c r="AF205" s="65">
        <v>6.0</v>
      </c>
      <c r="AG205" s="33" t="str">
        <f t="shared" si="384"/>
        <v>R</v>
      </c>
      <c r="AH205" s="65">
        <v>22.0</v>
      </c>
      <c r="AI205" s="33" t="str">
        <f t="shared" si="385"/>
        <v>S</v>
      </c>
      <c r="AJ205" s="65">
        <v>6.0</v>
      </c>
      <c r="AK205" s="33" t="str">
        <f t="shared" si="386"/>
        <v>R</v>
      </c>
      <c r="AL205" s="65" t="s">
        <v>299</v>
      </c>
      <c r="AM205" s="66">
        <v>6.0</v>
      </c>
      <c r="AN205" s="36" t="str">
        <f t="shared" si="387"/>
        <v>R</v>
      </c>
      <c r="AO205" s="66">
        <v>11.0</v>
      </c>
      <c r="AP205" s="36" t="str">
        <f t="shared" si="388"/>
        <v>R</v>
      </c>
      <c r="AQ205" s="66">
        <v>6.0</v>
      </c>
      <c r="AR205" s="36" t="str">
        <f t="shared" si="389"/>
        <v>R</v>
      </c>
      <c r="AS205" s="66" t="s">
        <v>299</v>
      </c>
      <c r="AT205" s="67">
        <v>10.0</v>
      </c>
      <c r="AU205" s="37" t="str">
        <f t="shared" si="390"/>
        <v>R</v>
      </c>
      <c r="AV205" s="65">
        <v>18.0</v>
      </c>
      <c r="AW205" s="33" t="str">
        <f t="shared" si="391"/>
        <v>S</v>
      </c>
      <c r="AX205" s="65">
        <v>14.0</v>
      </c>
      <c r="AY205" s="33" t="str">
        <f t="shared" si="392"/>
        <v>R</v>
      </c>
      <c r="AZ205" s="65" t="s">
        <v>299</v>
      </c>
      <c r="BA205" s="28">
        <v>6.0</v>
      </c>
      <c r="BB205" s="26" t="str">
        <f t="shared" si="393"/>
        <v>R</v>
      </c>
      <c r="BC205" s="67">
        <v>11.0</v>
      </c>
      <c r="BD205" s="37" t="str">
        <f t="shared" si="394"/>
        <v>R</v>
      </c>
      <c r="BE205" s="66">
        <v>26.0</v>
      </c>
      <c r="BF205" s="36" t="str">
        <f t="shared" si="395"/>
        <v>S</v>
      </c>
      <c r="BG205" s="39" t="s">
        <v>357</v>
      </c>
      <c r="BH205" s="39" t="s">
        <v>357</v>
      </c>
      <c r="BI205" s="66">
        <v>27.0</v>
      </c>
      <c r="BJ205" s="36" t="str">
        <f t="shared" si="396"/>
        <v>S</v>
      </c>
      <c r="BK205" s="68">
        <v>6.0</v>
      </c>
      <c r="BL205" s="41" t="str">
        <f t="shared" si="397"/>
        <v>R</v>
      </c>
      <c r="BM205" s="41"/>
    </row>
    <row r="206">
      <c r="A206" s="18" t="s">
        <v>981</v>
      </c>
      <c r="B206" s="19">
        <v>217.0</v>
      </c>
      <c r="C206" s="18" t="s">
        <v>1680</v>
      </c>
      <c r="D206" s="69" t="s">
        <v>571</v>
      </c>
      <c r="E206" s="18" t="s">
        <v>572</v>
      </c>
      <c r="F206" s="18" t="s">
        <v>192</v>
      </c>
      <c r="G206" s="63" t="s">
        <v>1681</v>
      </c>
      <c r="H206" s="22" t="s">
        <v>198</v>
      </c>
      <c r="I206" s="84" t="s">
        <v>37</v>
      </c>
      <c r="J206" s="81" t="s">
        <v>205</v>
      </c>
      <c r="K206" s="81" t="s">
        <v>205</v>
      </c>
      <c r="L206" s="81" t="s">
        <v>208</v>
      </c>
      <c r="M206" s="28">
        <v>6.0</v>
      </c>
      <c r="N206" s="26" t="str">
        <f t="shared" si="375"/>
        <v>R</v>
      </c>
      <c r="O206" s="28">
        <v>14.0</v>
      </c>
      <c r="P206" s="26" t="str">
        <f t="shared" si="376"/>
        <v>R</v>
      </c>
      <c r="Q206" s="28">
        <v>6.0</v>
      </c>
      <c r="R206" s="26" t="str">
        <f t="shared" si="377"/>
        <v>R</v>
      </c>
      <c r="S206" s="28">
        <v>19.0</v>
      </c>
      <c r="T206" s="26" t="str">
        <f t="shared" si="378"/>
        <v>R</v>
      </c>
      <c r="U206" s="28">
        <v>16.0</v>
      </c>
      <c r="V206" s="26" t="str">
        <f t="shared" si="379"/>
        <v>R</v>
      </c>
      <c r="W206" s="28">
        <v>16.0</v>
      </c>
      <c r="X206" s="26" t="str">
        <f t="shared" si="380"/>
        <v>R</v>
      </c>
      <c r="Y206" s="28">
        <v>12.0</v>
      </c>
      <c r="Z206" s="26" t="str">
        <f t="shared" si="381"/>
        <v>R</v>
      </c>
      <c r="AA206" s="32" t="s">
        <v>299</v>
      </c>
      <c r="AB206" s="65">
        <v>6.0</v>
      </c>
      <c r="AC206" s="33" t="str">
        <f t="shared" si="382"/>
        <v>R</v>
      </c>
      <c r="AD206" s="65">
        <v>22.0</v>
      </c>
      <c r="AE206" s="33" t="str">
        <f t="shared" si="383"/>
        <v>S</v>
      </c>
      <c r="AF206" s="65">
        <v>6.0</v>
      </c>
      <c r="AG206" s="33" t="str">
        <f t="shared" si="384"/>
        <v>R</v>
      </c>
      <c r="AH206" s="65">
        <v>20.0</v>
      </c>
      <c r="AI206" s="33" t="str">
        <f t="shared" si="385"/>
        <v>S</v>
      </c>
      <c r="AJ206" s="65">
        <v>6.0</v>
      </c>
      <c r="AK206" s="33" t="str">
        <f t="shared" si="386"/>
        <v>R</v>
      </c>
      <c r="AL206" s="65" t="s">
        <v>299</v>
      </c>
      <c r="AM206" s="66">
        <v>6.0</v>
      </c>
      <c r="AN206" s="36" t="str">
        <f t="shared" si="387"/>
        <v>R</v>
      </c>
      <c r="AO206" s="66">
        <v>9.0</v>
      </c>
      <c r="AP206" s="36" t="str">
        <f t="shared" si="388"/>
        <v>R</v>
      </c>
      <c r="AQ206" s="66">
        <v>6.0</v>
      </c>
      <c r="AR206" s="36" t="str">
        <f t="shared" si="389"/>
        <v>R</v>
      </c>
      <c r="AS206" s="66" t="s">
        <v>299</v>
      </c>
      <c r="AT206" s="67">
        <v>9.0</v>
      </c>
      <c r="AU206" s="37" t="str">
        <f t="shared" si="390"/>
        <v>R</v>
      </c>
      <c r="AV206" s="65">
        <v>17.0</v>
      </c>
      <c r="AW206" s="33" t="str">
        <f t="shared" si="391"/>
        <v>R</v>
      </c>
      <c r="AX206" s="65">
        <v>10.0</v>
      </c>
      <c r="AY206" s="33" t="str">
        <f t="shared" si="392"/>
        <v>R</v>
      </c>
      <c r="AZ206" s="65" t="s">
        <v>299</v>
      </c>
      <c r="BA206" s="28">
        <v>21.0</v>
      </c>
      <c r="BB206" s="26" t="str">
        <f t="shared" si="393"/>
        <v>S</v>
      </c>
      <c r="BC206" s="67">
        <v>6.0</v>
      </c>
      <c r="BD206" s="37" t="str">
        <f t="shared" si="394"/>
        <v>R</v>
      </c>
      <c r="BE206" s="66">
        <v>28.0</v>
      </c>
      <c r="BF206" s="36" t="str">
        <f t="shared" si="395"/>
        <v>S</v>
      </c>
      <c r="BG206" s="39" t="s">
        <v>357</v>
      </c>
      <c r="BH206" s="39" t="s">
        <v>357</v>
      </c>
      <c r="BI206" s="66">
        <v>27.0</v>
      </c>
      <c r="BJ206" s="36" t="str">
        <f t="shared" si="396"/>
        <v>S</v>
      </c>
      <c r="BK206" s="68">
        <v>6.0</v>
      </c>
      <c r="BL206" s="41" t="str">
        <f t="shared" si="397"/>
        <v>R</v>
      </c>
      <c r="BM206" s="41"/>
    </row>
    <row r="207">
      <c r="A207" s="18" t="s">
        <v>981</v>
      </c>
      <c r="B207" s="19">
        <v>218.0</v>
      </c>
      <c r="C207" s="18" t="s">
        <v>1682</v>
      </c>
      <c r="D207" s="69" t="s">
        <v>1046</v>
      </c>
      <c r="E207" s="18" t="s">
        <v>103</v>
      </c>
      <c r="F207" s="18" t="s">
        <v>192</v>
      </c>
      <c r="G207" s="63" t="s">
        <v>1683</v>
      </c>
      <c r="H207" s="22" t="s">
        <v>198</v>
      </c>
      <c r="I207" s="64" t="s">
        <v>41</v>
      </c>
      <c r="J207" s="70" t="s">
        <v>205</v>
      </c>
      <c r="K207" s="71" t="s">
        <v>208</v>
      </c>
      <c r="L207" s="71" t="s">
        <v>205</v>
      </c>
      <c r="M207" s="28">
        <v>18.0</v>
      </c>
      <c r="N207" s="26" t="str">
        <f t="shared" si="375"/>
        <v>R</v>
      </c>
      <c r="O207" s="28">
        <v>15.0</v>
      </c>
      <c r="P207" s="26" t="str">
        <f t="shared" si="376"/>
        <v>R</v>
      </c>
      <c r="Q207" s="28">
        <v>17.0</v>
      </c>
      <c r="R207" s="26" t="str">
        <f t="shared" si="377"/>
        <v>R</v>
      </c>
      <c r="S207" s="28">
        <v>20.0</v>
      </c>
      <c r="T207" s="26" t="str">
        <f t="shared" si="378"/>
        <v>I</v>
      </c>
      <c r="U207" s="28">
        <v>12.0</v>
      </c>
      <c r="V207" s="26" t="str">
        <f t="shared" si="379"/>
        <v>R</v>
      </c>
      <c r="W207" s="28">
        <v>13.0</v>
      </c>
      <c r="X207" s="26" t="str">
        <f t="shared" si="380"/>
        <v>R</v>
      </c>
      <c r="Y207" s="28">
        <v>18.0</v>
      </c>
      <c r="Z207" s="26" t="str">
        <f t="shared" si="381"/>
        <v>I</v>
      </c>
      <c r="AA207" s="32" t="s">
        <v>299</v>
      </c>
      <c r="AB207" s="65">
        <v>11.0</v>
      </c>
      <c r="AC207" s="33" t="str">
        <f t="shared" si="382"/>
        <v>R</v>
      </c>
      <c r="AD207" s="65">
        <v>13.0</v>
      </c>
      <c r="AE207" s="33" t="str">
        <f t="shared" si="383"/>
        <v>R</v>
      </c>
      <c r="AF207" s="65">
        <v>6.0</v>
      </c>
      <c r="AG207" s="33" t="str">
        <f t="shared" si="384"/>
        <v>R</v>
      </c>
      <c r="AH207" s="65">
        <v>6.0</v>
      </c>
      <c r="AI207" s="33" t="str">
        <f t="shared" si="385"/>
        <v>R</v>
      </c>
      <c r="AJ207" s="65">
        <v>6.0</v>
      </c>
      <c r="AK207" s="33" t="str">
        <f t="shared" si="386"/>
        <v>R</v>
      </c>
      <c r="AL207" s="65" t="s">
        <v>299</v>
      </c>
      <c r="AM207" s="66">
        <v>13.0</v>
      </c>
      <c r="AN207" s="36" t="str">
        <f t="shared" si="387"/>
        <v>R</v>
      </c>
      <c r="AO207" s="66">
        <v>13.0</v>
      </c>
      <c r="AP207" s="36" t="str">
        <f t="shared" si="388"/>
        <v>R</v>
      </c>
      <c r="AQ207" s="66">
        <v>6.0</v>
      </c>
      <c r="AR207" s="36" t="str">
        <f t="shared" si="389"/>
        <v>R</v>
      </c>
      <c r="AS207" s="66" t="s">
        <v>299</v>
      </c>
      <c r="AT207" s="67">
        <v>6.0</v>
      </c>
      <c r="AU207" s="37" t="str">
        <f t="shared" si="390"/>
        <v>R</v>
      </c>
      <c r="AV207" s="65">
        <v>10.0</v>
      </c>
      <c r="AW207" s="33" t="str">
        <f t="shared" si="391"/>
        <v>R</v>
      </c>
      <c r="AX207" s="65">
        <v>11.0</v>
      </c>
      <c r="AY207" s="33" t="str">
        <f t="shared" si="392"/>
        <v>R</v>
      </c>
      <c r="AZ207" s="65" t="s">
        <v>299</v>
      </c>
      <c r="BA207" s="28">
        <v>19.0</v>
      </c>
      <c r="BB207" s="26" t="str">
        <f t="shared" si="393"/>
        <v>R</v>
      </c>
      <c r="BC207" s="67">
        <v>6.0</v>
      </c>
      <c r="BD207" s="37" t="str">
        <f t="shared" si="394"/>
        <v>R</v>
      </c>
      <c r="BE207" s="66">
        <v>11.0</v>
      </c>
      <c r="BF207" s="36" t="str">
        <f t="shared" si="395"/>
        <v>R</v>
      </c>
      <c r="BG207" s="39" t="s">
        <v>357</v>
      </c>
      <c r="BH207" s="39" t="s">
        <v>357</v>
      </c>
      <c r="BI207" s="66">
        <v>18.0</v>
      </c>
      <c r="BJ207" s="36" t="str">
        <f t="shared" si="396"/>
        <v>R</v>
      </c>
      <c r="BK207" s="68">
        <v>15.0</v>
      </c>
      <c r="BL207" s="41" t="str">
        <f t="shared" si="397"/>
        <v>R</v>
      </c>
      <c r="BM207" s="41"/>
    </row>
    <row r="208">
      <c r="A208" s="18" t="s">
        <v>1056</v>
      </c>
      <c r="B208" s="19">
        <v>266.0</v>
      </c>
      <c r="C208" s="18" t="s">
        <v>1684</v>
      </c>
      <c r="D208" s="69" t="s">
        <v>190</v>
      </c>
      <c r="E208" s="18" t="s">
        <v>190</v>
      </c>
      <c r="F208" s="18" t="s">
        <v>192</v>
      </c>
      <c r="G208" s="63" t="s">
        <v>1685</v>
      </c>
      <c r="H208" s="72" t="s">
        <v>1686</v>
      </c>
      <c r="I208" s="84" t="s">
        <v>37</v>
      </c>
      <c r="J208" s="81" t="s">
        <v>205</v>
      </c>
      <c r="K208" s="81" t="s">
        <v>205</v>
      </c>
      <c r="L208" s="81" t="s">
        <v>208</v>
      </c>
      <c r="M208" s="28">
        <v>6.0</v>
      </c>
      <c r="N208" s="26" t="str">
        <f t="shared" si="375"/>
        <v>R</v>
      </c>
      <c r="O208" s="28">
        <v>18.0</v>
      </c>
      <c r="P208" s="26" t="str">
        <f t="shared" si="376"/>
        <v>R</v>
      </c>
      <c r="Q208" s="28">
        <v>15.0</v>
      </c>
      <c r="R208" s="26" t="str">
        <f t="shared" si="377"/>
        <v>R</v>
      </c>
      <c r="S208" s="28">
        <v>20.0</v>
      </c>
      <c r="T208" s="26" t="str">
        <f t="shared" si="378"/>
        <v>I</v>
      </c>
      <c r="U208" s="28">
        <v>25.0</v>
      </c>
      <c r="V208" s="26" t="str">
        <f t="shared" si="379"/>
        <v>S</v>
      </c>
      <c r="W208" s="28">
        <v>24.0</v>
      </c>
      <c r="X208" s="26" t="str">
        <f t="shared" si="380"/>
        <v>S</v>
      </c>
      <c r="Y208" s="28">
        <v>15.0</v>
      </c>
      <c r="Z208" s="26" t="str">
        <f t="shared" si="381"/>
        <v>R</v>
      </c>
      <c r="AA208" s="32" t="s">
        <v>299</v>
      </c>
      <c r="AB208" s="65">
        <v>6.0</v>
      </c>
      <c r="AC208" s="33" t="str">
        <f t="shared" si="382"/>
        <v>R</v>
      </c>
      <c r="AD208" s="65">
        <v>24.0</v>
      </c>
      <c r="AE208" s="33" t="str">
        <f t="shared" si="383"/>
        <v>S</v>
      </c>
      <c r="AF208" s="65">
        <v>6.0</v>
      </c>
      <c r="AG208" s="33" t="str">
        <f t="shared" si="384"/>
        <v>R</v>
      </c>
      <c r="AH208" s="65">
        <v>17.0</v>
      </c>
      <c r="AI208" s="33" t="str">
        <f t="shared" si="385"/>
        <v>S</v>
      </c>
      <c r="AJ208" s="65">
        <v>12.0</v>
      </c>
      <c r="AK208" s="33" t="str">
        <f t="shared" si="386"/>
        <v>R</v>
      </c>
      <c r="AL208" s="65" t="s">
        <v>299</v>
      </c>
      <c r="AM208" s="66">
        <v>25.0</v>
      </c>
      <c r="AN208" s="36" t="str">
        <f t="shared" si="387"/>
        <v>S</v>
      </c>
      <c r="AO208" s="66">
        <v>24.0</v>
      </c>
      <c r="AP208" s="36" t="str">
        <f t="shared" si="388"/>
        <v>S</v>
      </c>
      <c r="AQ208" s="66">
        <v>18.0</v>
      </c>
      <c r="AR208" s="36" t="str">
        <f t="shared" si="389"/>
        <v>S</v>
      </c>
      <c r="AS208" s="36" t="s">
        <v>300</v>
      </c>
      <c r="AT208" s="67">
        <v>6.0</v>
      </c>
      <c r="AU208" s="37" t="str">
        <f t="shared" si="390"/>
        <v>R</v>
      </c>
      <c r="AV208" s="65">
        <v>15.0</v>
      </c>
      <c r="AW208" s="33" t="str">
        <f t="shared" si="391"/>
        <v>R</v>
      </c>
      <c r="AX208" s="65">
        <v>23.0</v>
      </c>
      <c r="AY208" s="33" t="str">
        <f t="shared" si="392"/>
        <v>S</v>
      </c>
      <c r="AZ208" s="65" t="s">
        <v>299</v>
      </c>
      <c r="BA208" s="28">
        <v>22.0</v>
      </c>
      <c r="BB208" s="26" t="str">
        <f t="shared" si="393"/>
        <v>S</v>
      </c>
      <c r="BC208" s="67">
        <v>6.0</v>
      </c>
      <c r="BD208" s="37" t="str">
        <f t="shared" si="394"/>
        <v>R</v>
      </c>
      <c r="BE208" s="66">
        <v>24.0</v>
      </c>
      <c r="BF208" s="36" t="str">
        <f t="shared" si="395"/>
        <v>S</v>
      </c>
      <c r="BG208" s="39" t="s">
        <v>357</v>
      </c>
      <c r="BH208" s="39" t="s">
        <v>357</v>
      </c>
      <c r="BI208" s="66">
        <v>27.0</v>
      </c>
      <c r="BJ208" s="36" t="str">
        <f t="shared" si="396"/>
        <v>S</v>
      </c>
      <c r="BK208" s="68">
        <v>17.0</v>
      </c>
      <c r="BL208" s="41" t="str">
        <f t="shared" si="397"/>
        <v>S</v>
      </c>
      <c r="BM208" s="41"/>
    </row>
    <row r="209">
      <c r="A209" s="18" t="s">
        <v>1056</v>
      </c>
      <c r="B209" s="19">
        <v>267.0</v>
      </c>
      <c r="C209" s="18" t="s">
        <v>1689</v>
      </c>
      <c r="D209" s="69" t="s">
        <v>571</v>
      </c>
      <c r="E209" s="18" t="s">
        <v>572</v>
      </c>
      <c r="F209" s="18" t="s">
        <v>192</v>
      </c>
      <c r="G209" s="63" t="s">
        <v>1690</v>
      </c>
      <c r="H209" s="52" t="s">
        <v>581</v>
      </c>
      <c r="I209" s="84" t="s">
        <v>37</v>
      </c>
      <c r="J209" s="81" t="s">
        <v>205</v>
      </c>
      <c r="K209" s="81" t="s">
        <v>205</v>
      </c>
      <c r="L209" s="81" t="s">
        <v>208</v>
      </c>
      <c r="M209" s="28">
        <v>6.0</v>
      </c>
      <c r="N209" s="26" t="str">
        <f t="shared" si="375"/>
        <v>R</v>
      </c>
      <c r="O209" s="28">
        <v>25.0</v>
      </c>
      <c r="P209" s="26" t="str">
        <f t="shared" si="376"/>
        <v>S</v>
      </c>
      <c r="Q209" s="28">
        <v>23.0</v>
      </c>
      <c r="R209" s="26" t="str">
        <f t="shared" si="377"/>
        <v>S</v>
      </c>
      <c r="S209" s="28">
        <v>25.0</v>
      </c>
      <c r="T209" s="26" t="str">
        <f t="shared" si="378"/>
        <v>S</v>
      </c>
      <c r="U209" s="28">
        <v>21.0</v>
      </c>
      <c r="V209" s="26" t="str">
        <f t="shared" si="379"/>
        <v>S</v>
      </c>
      <c r="W209" s="28">
        <v>20.0</v>
      </c>
      <c r="X209" s="26" t="str">
        <f t="shared" si="380"/>
        <v>S</v>
      </c>
      <c r="Y209" s="28">
        <v>18.0</v>
      </c>
      <c r="Z209" s="26" t="str">
        <f t="shared" si="381"/>
        <v>I</v>
      </c>
      <c r="AA209" s="32" t="s">
        <v>299</v>
      </c>
      <c r="AB209" s="65">
        <v>6.0</v>
      </c>
      <c r="AC209" s="33" t="str">
        <f t="shared" si="382"/>
        <v>R</v>
      </c>
      <c r="AD209" s="65">
        <v>24.0</v>
      </c>
      <c r="AE209" s="33" t="str">
        <f t="shared" si="383"/>
        <v>S</v>
      </c>
      <c r="AF209" s="65">
        <v>6.0</v>
      </c>
      <c r="AG209" s="33" t="str">
        <f t="shared" si="384"/>
        <v>R</v>
      </c>
      <c r="AH209" s="65">
        <v>14.0</v>
      </c>
      <c r="AI209" s="33" t="str">
        <f t="shared" si="385"/>
        <v>S</v>
      </c>
      <c r="AJ209" s="65">
        <v>6.0</v>
      </c>
      <c r="AK209" s="33" t="str">
        <f t="shared" si="386"/>
        <v>R</v>
      </c>
      <c r="AL209" s="65" t="s">
        <v>299</v>
      </c>
      <c r="AM209" s="66">
        <v>25.0</v>
      </c>
      <c r="AN209" s="36" t="str">
        <f t="shared" si="387"/>
        <v>S</v>
      </c>
      <c r="AO209" s="66">
        <v>20.0</v>
      </c>
      <c r="AP209" s="36" t="str">
        <f t="shared" si="388"/>
        <v>I</v>
      </c>
      <c r="AQ209" s="66">
        <v>6.0</v>
      </c>
      <c r="AR209" s="36" t="str">
        <f t="shared" si="389"/>
        <v>R</v>
      </c>
      <c r="AS209" s="66" t="s">
        <v>299</v>
      </c>
      <c r="AT209" s="67">
        <v>20.0</v>
      </c>
      <c r="AU209" s="37" t="str">
        <f t="shared" si="390"/>
        <v>S</v>
      </c>
      <c r="AV209" s="65">
        <v>17.0</v>
      </c>
      <c r="AW209" s="33" t="str">
        <f t="shared" si="391"/>
        <v>R</v>
      </c>
      <c r="AX209" s="65">
        <v>6.0</v>
      </c>
      <c r="AY209" s="33" t="str">
        <f t="shared" si="392"/>
        <v>R</v>
      </c>
      <c r="AZ209" s="65" t="s">
        <v>299</v>
      </c>
      <c r="BA209" s="28">
        <v>6.0</v>
      </c>
      <c r="BB209" s="26" t="str">
        <f t="shared" si="393"/>
        <v>R</v>
      </c>
      <c r="BC209" s="67">
        <v>6.0</v>
      </c>
      <c r="BD209" s="37" t="str">
        <f t="shared" si="394"/>
        <v>R</v>
      </c>
      <c r="BE209" s="66">
        <v>25.0</v>
      </c>
      <c r="BF209" s="36" t="str">
        <f t="shared" si="395"/>
        <v>S</v>
      </c>
      <c r="BG209" s="39" t="s">
        <v>357</v>
      </c>
      <c r="BH209" s="39" t="s">
        <v>357</v>
      </c>
      <c r="BI209" s="66">
        <v>23.0</v>
      </c>
      <c r="BJ209" s="36" t="str">
        <f t="shared" si="396"/>
        <v>S</v>
      </c>
      <c r="BK209" s="68">
        <v>15.0</v>
      </c>
      <c r="BL209" s="41" t="str">
        <f t="shared" si="397"/>
        <v>R</v>
      </c>
      <c r="BM209" s="41"/>
    </row>
    <row r="210">
      <c r="A210" s="18" t="s">
        <v>1056</v>
      </c>
      <c r="B210" s="19">
        <v>268.0</v>
      </c>
      <c r="C210" s="18" t="s">
        <v>1693</v>
      </c>
      <c r="D210" s="69" t="s">
        <v>1009</v>
      </c>
      <c r="E210" s="18" t="s">
        <v>103</v>
      </c>
      <c r="F210" s="18" t="s">
        <v>192</v>
      </c>
      <c r="G210" s="63" t="s">
        <v>1694</v>
      </c>
      <c r="H210" s="42" t="s">
        <v>479</v>
      </c>
      <c r="I210" s="84" t="s">
        <v>37</v>
      </c>
      <c r="J210" s="81" t="s">
        <v>205</v>
      </c>
      <c r="K210" s="81" t="s">
        <v>205</v>
      </c>
      <c r="L210" s="81" t="s">
        <v>208</v>
      </c>
      <c r="M210" s="28">
        <v>6.0</v>
      </c>
      <c r="N210" s="26" t="str">
        <f t="shared" si="375"/>
        <v>R</v>
      </c>
      <c r="O210" s="28">
        <v>12.0</v>
      </c>
      <c r="P210" s="26" t="str">
        <f t="shared" si="376"/>
        <v>R</v>
      </c>
      <c r="Q210" s="28">
        <v>12.0</v>
      </c>
      <c r="R210" s="26" t="str">
        <f t="shared" si="377"/>
        <v>R</v>
      </c>
      <c r="S210" s="28">
        <v>22.0</v>
      </c>
      <c r="T210" s="26" t="str">
        <f t="shared" si="378"/>
        <v>I</v>
      </c>
      <c r="U210" s="28">
        <v>15.0</v>
      </c>
      <c r="V210" s="26" t="str">
        <f t="shared" si="379"/>
        <v>R</v>
      </c>
      <c r="W210" s="28">
        <v>14.0</v>
      </c>
      <c r="X210" s="26" t="str">
        <f t="shared" si="380"/>
        <v>R</v>
      </c>
      <c r="Y210" s="28">
        <v>19.0</v>
      </c>
      <c r="Z210" s="26" t="str">
        <f t="shared" si="381"/>
        <v>I</v>
      </c>
      <c r="AA210" s="32" t="s">
        <v>299</v>
      </c>
      <c r="AB210" s="65">
        <v>6.0</v>
      </c>
      <c r="AC210" s="33" t="str">
        <f t="shared" si="382"/>
        <v>R</v>
      </c>
      <c r="AD210" s="65">
        <v>22.0</v>
      </c>
      <c r="AE210" s="33" t="str">
        <f t="shared" si="383"/>
        <v>S</v>
      </c>
      <c r="AF210" s="65">
        <v>6.0</v>
      </c>
      <c r="AG210" s="33" t="str">
        <f t="shared" si="384"/>
        <v>R</v>
      </c>
      <c r="AH210" s="65">
        <v>24.0</v>
      </c>
      <c r="AI210" s="33" t="str">
        <f t="shared" si="385"/>
        <v>S</v>
      </c>
      <c r="AJ210" s="65">
        <v>6.0</v>
      </c>
      <c r="AK210" s="33" t="str">
        <f t="shared" si="386"/>
        <v>R</v>
      </c>
      <c r="AL210" s="65" t="s">
        <v>299</v>
      </c>
      <c r="AM210" s="66">
        <v>23.0</v>
      </c>
      <c r="AN210" s="36" t="str">
        <f t="shared" si="387"/>
        <v>I</v>
      </c>
      <c r="AO210" s="66">
        <v>22.0</v>
      </c>
      <c r="AP210" s="36" t="str">
        <f t="shared" si="388"/>
        <v>I</v>
      </c>
      <c r="AQ210" s="66">
        <v>15.0</v>
      </c>
      <c r="AR210" s="36" t="str">
        <f t="shared" si="389"/>
        <v>S</v>
      </c>
      <c r="AS210" s="66" t="s">
        <v>299</v>
      </c>
      <c r="AT210" s="67">
        <v>28.0</v>
      </c>
      <c r="AU210" s="37" t="str">
        <f t="shared" si="390"/>
        <v>S</v>
      </c>
      <c r="AV210" s="65">
        <v>19.0</v>
      </c>
      <c r="AW210" s="33" t="str">
        <f t="shared" si="391"/>
        <v>S</v>
      </c>
      <c r="AX210" s="65">
        <v>25.0</v>
      </c>
      <c r="AY210" s="33" t="str">
        <f t="shared" si="392"/>
        <v>S</v>
      </c>
      <c r="AZ210" s="33" t="s">
        <v>300</v>
      </c>
      <c r="BA210" s="28">
        <v>23.0</v>
      </c>
      <c r="BB210" s="26" t="str">
        <f t="shared" si="393"/>
        <v>S</v>
      </c>
      <c r="BC210" s="67">
        <v>6.0</v>
      </c>
      <c r="BD210" s="37" t="str">
        <f t="shared" si="394"/>
        <v>R</v>
      </c>
      <c r="BE210" s="66">
        <v>26.0</v>
      </c>
      <c r="BF210" s="36" t="str">
        <f t="shared" si="395"/>
        <v>S</v>
      </c>
      <c r="BG210" s="39" t="s">
        <v>357</v>
      </c>
      <c r="BH210" s="39" t="s">
        <v>357</v>
      </c>
      <c r="BI210" s="66">
        <v>22.0</v>
      </c>
      <c r="BJ210" s="36" t="str">
        <f t="shared" si="396"/>
        <v>S</v>
      </c>
      <c r="BK210" s="68">
        <v>22.0</v>
      </c>
      <c r="BL210" s="41" t="str">
        <f t="shared" si="397"/>
        <v>S</v>
      </c>
      <c r="BM210" s="41"/>
    </row>
    <row r="211">
      <c r="A211" s="18" t="s">
        <v>1065</v>
      </c>
      <c r="B211" s="19">
        <v>269.0</v>
      </c>
      <c r="C211" s="18" t="s">
        <v>1695</v>
      </c>
      <c r="D211" s="69" t="s">
        <v>190</v>
      </c>
      <c r="E211" s="18" t="s">
        <v>190</v>
      </c>
      <c r="F211" s="18" t="s">
        <v>192</v>
      </c>
      <c r="G211" s="63" t="s">
        <v>1696</v>
      </c>
      <c r="H211" s="22" t="s">
        <v>198</v>
      </c>
      <c r="I211" s="84" t="s">
        <v>37</v>
      </c>
      <c r="J211" s="81" t="s">
        <v>205</v>
      </c>
      <c r="K211" s="81" t="s">
        <v>205</v>
      </c>
      <c r="L211" s="81" t="s">
        <v>208</v>
      </c>
      <c r="M211" s="28">
        <v>6.0</v>
      </c>
      <c r="N211" s="26" t="str">
        <f t="shared" si="375"/>
        <v>R</v>
      </c>
      <c r="O211" s="28">
        <v>15.0</v>
      </c>
      <c r="P211" s="26" t="str">
        <f t="shared" si="376"/>
        <v>R</v>
      </c>
      <c r="Q211" s="28">
        <v>6.0</v>
      </c>
      <c r="R211" s="26" t="str">
        <f t="shared" si="377"/>
        <v>R</v>
      </c>
      <c r="S211" s="28">
        <v>22.0</v>
      </c>
      <c r="T211" s="26" t="str">
        <f t="shared" si="378"/>
        <v>I</v>
      </c>
      <c r="U211" s="28">
        <v>6.0</v>
      </c>
      <c r="V211" s="26" t="str">
        <f t="shared" si="379"/>
        <v>R</v>
      </c>
      <c r="W211" s="28">
        <v>15.0</v>
      </c>
      <c r="X211" s="26" t="str">
        <f t="shared" si="380"/>
        <v>R</v>
      </c>
      <c r="Y211" s="28">
        <v>6.0</v>
      </c>
      <c r="Z211" s="26" t="str">
        <f t="shared" si="381"/>
        <v>R</v>
      </c>
      <c r="AA211" s="32" t="s">
        <v>299</v>
      </c>
      <c r="AB211" s="65">
        <v>12.0</v>
      </c>
      <c r="AC211" s="33" t="str">
        <f t="shared" si="382"/>
        <v>R</v>
      </c>
      <c r="AD211" s="65">
        <v>18.0</v>
      </c>
      <c r="AE211" s="33" t="str">
        <f t="shared" si="383"/>
        <v>S</v>
      </c>
      <c r="AF211" s="65">
        <v>6.0</v>
      </c>
      <c r="AG211" s="33" t="str">
        <f t="shared" si="384"/>
        <v>R</v>
      </c>
      <c r="AH211" s="65">
        <v>21.0</v>
      </c>
      <c r="AI211" s="33" t="str">
        <f t="shared" si="385"/>
        <v>S</v>
      </c>
      <c r="AJ211" s="65">
        <v>16.0</v>
      </c>
      <c r="AK211" s="33" t="str">
        <f t="shared" si="386"/>
        <v>R</v>
      </c>
      <c r="AL211" s="65" t="s">
        <v>299</v>
      </c>
      <c r="AM211" s="66">
        <v>12.0</v>
      </c>
      <c r="AN211" s="36" t="str">
        <f t="shared" si="387"/>
        <v>R</v>
      </c>
      <c r="AO211" s="66">
        <v>17.0</v>
      </c>
      <c r="AP211" s="36" t="str">
        <f t="shared" si="388"/>
        <v>R</v>
      </c>
      <c r="AQ211" s="66">
        <v>6.0</v>
      </c>
      <c r="AR211" s="36" t="str">
        <f t="shared" si="389"/>
        <v>R</v>
      </c>
      <c r="AS211" s="66" t="s">
        <v>299</v>
      </c>
      <c r="AT211" s="67">
        <v>6.0</v>
      </c>
      <c r="AU211" s="37" t="str">
        <f t="shared" si="390"/>
        <v>R</v>
      </c>
      <c r="AV211" s="65">
        <v>21.0</v>
      </c>
      <c r="AW211" s="33" t="str">
        <f t="shared" si="391"/>
        <v>S</v>
      </c>
      <c r="AX211" s="65">
        <v>15.0</v>
      </c>
      <c r="AY211" s="33" t="str">
        <f t="shared" si="392"/>
        <v>R</v>
      </c>
      <c r="AZ211" s="65" t="s">
        <v>299</v>
      </c>
      <c r="BA211" s="28">
        <v>9.0</v>
      </c>
      <c r="BB211" s="26" t="str">
        <f t="shared" si="393"/>
        <v>R</v>
      </c>
      <c r="BC211" s="67">
        <v>10.0</v>
      </c>
      <c r="BD211" s="37" t="str">
        <f t="shared" si="394"/>
        <v>R</v>
      </c>
      <c r="BE211" s="66">
        <v>23.0</v>
      </c>
      <c r="BF211" s="36" t="str">
        <f t="shared" si="395"/>
        <v>S</v>
      </c>
      <c r="BG211" s="39" t="s">
        <v>357</v>
      </c>
      <c r="BH211" s="39" t="s">
        <v>357</v>
      </c>
      <c r="BI211" s="66">
        <v>21.0</v>
      </c>
      <c r="BJ211" s="36" t="str">
        <f t="shared" si="396"/>
        <v>I</v>
      </c>
      <c r="BK211" s="68">
        <v>11.0</v>
      </c>
      <c r="BL211" s="41" t="str">
        <f t="shared" si="397"/>
        <v>R</v>
      </c>
      <c r="BM211" s="41"/>
    </row>
    <row r="212">
      <c r="A212" s="18" t="s">
        <v>1065</v>
      </c>
      <c r="B212" s="19">
        <v>270.0</v>
      </c>
      <c r="C212" s="18" t="s">
        <v>1699</v>
      </c>
      <c r="D212" s="69" t="s">
        <v>571</v>
      </c>
      <c r="E212" s="18" t="s">
        <v>572</v>
      </c>
      <c r="F212" s="18" t="s">
        <v>192</v>
      </c>
      <c r="G212" s="63" t="s">
        <v>1700</v>
      </c>
      <c r="H212" s="22" t="s">
        <v>198</v>
      </c>
      <c r="I212" s="64" t="s">
        <v>481</v>
      </c>
      <c r="J212" s="70" t="s">
        <v>205</v>
      </c>
      <c r="K212" s="70" t="s">
        <v>208</v>
      </c>
      <c r="L212" s="70" t="s">
        <v>208</v>
      </c>
      <c r="M212" s="28">
        <v>6.0</v>
      </c>
      <c r="N212" s="26" t="str">
        <f t="shared" si="375"/>
        <v>R</v>
      </c>
      <c r="O212" s="28">
        <v>6.0</v>
      </c>
      <c r="P212" s="26" t="str">
        <f t="shared" si="376"/>
        <v>R</v>
      </c>
      <c r="Q212" s="28">
        <v>6.0</v>
      </c>
      <c r="R212" s="26" t="str">
        <f t="shared" si="377"/>
        <v>R</v>
      </c>
      <c r="S212" s="28">
        <v>22.0</v>
      </c>
      <c r="T212" s="26" t="str">
        <f t="shared" si="378"/>
        <v>I</v>
      </c>
      <c r="U212" s="28">
        <v>6.0</v>
      </c>
      <c r="V212" s="26" t="str">
        <f t="shared" si="379"/>
        <v>R</v>
      </c>
      <c r="W212" s="28">
        <v>6.0</v>
      </c>
      <c r="X212" s="26" t="str">
        <f t="shared" si="380"/>
        <v>R</v>
      </c>
      <c r="Y212" s="28">
        <v>18.0</v>
      </c>
      <c r="Z212" s="26" t="str">
        <f t="shared" si="381"/>
        <v>I</v>
      </c>
      <c r="AA212" s="32" t="s">
        <v>299</v>
      </c>
      <c r="AB212" s="65">
        <v>6.0</v>
      </c>
      <c r="AC212" s="33" t="str">
        <f t="shared" si="382"/>
        <v>R</v>
      </c>
      <c r="AD212" s="65">
        <v>7.0</v>
      </c>
      <c r="AE212" s="33" t="str">
        <f t="shared" si="383"/>
        <v>R</v>
      </c>
      <c r="AF212" s="65">
        <v>6.0</v>
      </c>
      <c r="AG212" s="33" t="str">
        <f t="shared" si="384"/>
        <v>R</v>
      </c>
      <c r="AH212" s="65">
        <v>12.0</v>
      </c>
      <c r="AI212" s="33" t="str">
        <f t="shared" si="385"/>
        <v>R</v>
      </c>
      <c r="AJ212" s="65">
        <v>6.0</v>
      </c>
      <c r="AK212" s="33" t="str">
        <f t="shared" si="386"/>
        <v>R</v>
      </c>
      <c r="AL212" s="65" t="s">
        <v>299</v>
      </c>
      <c r="AM212" s="66">
        <v>6.0</v>
      </c>
      <c r="AN212" s="36" t="str">
        <f t="shared" si="387"/>
        <v>R</v>
      </c>
      <c r="AO212" s="66">
        <v>6.0</v>
      </c>
      <c r="AP212" s="36" t="str">
        <f t="shared" si="388"/>
        <v>R</v>
      </c>
      <c r="AQ212" s="66">
        <v>7.0</v>
      </c>
      <c r="AR212" s="36" t="str">
        <f t="shared" si="389"/>
        <v>R</v>
      </c>
      <c r="AS212" s="66" t="s">
        <v>299</v>
      </c>
      <c r="AT212" s="67">
        <v>6.0</v>
      </c>
      <c r="AU212" s="37" t="str">
        <f t="shared" si="390"/>
        <v>R</v>
      </c>
      <c r="AV212" s="65">
        <v>12.0</v>
      </c>
      <c r="AW212" s="33" t="str">
        <f t="shared" si="391"/>
        <v>R</v>
      </c>
      <c r="AX212" s="65">
        <v>22.0</v>
      </c>
      <c r="AY212" s="33" t="str">
        <f t="shared" si="392"/>
        <v>S</v>
      </c>
      <c r="AZ212" s="65" t="s">
        <v>299</v>
      </c>
      <c r="BA212" s="28">
        <v>6.0</v>
      </c>
      <c r="BB212" s="26" t="str">
        <f t="shared" si="393"/>
        <v>R</v>
      </c>
      <c r="BC212" s="67">
        <v>6.0</v>
      </c>
      <c r="BD212" s="37" t="str">
        <f t="shared" si="394"/>
        <v>R</v>
      </c>
      <c r="BE212" s="66">
        <v>19.0</v>
      </c>
      <c r="BF212" s="36" t="str">
        <f t="shared" si="395"/>
        <v>R</v>
      </c>
      <c r="BG212" s="39" t="s">
        <v>357</v>
      </c>
      <c r="BH212" s="39" t="s">
        <v>357</v>
      </c>
      <c r="BI212" s="66">
        <v>23.0</v>
      </c>
      <c r="BJ212" s="36" t="str">
        <f t="shared" si="396"/>
        <v>S</v>
      </c>
      <c r="BK212" s="68">
        <v>6.0</v>
      </c>
      <c r="BL212" s="41" t="str">
        <f t="shared" si="397"/>
        <v>R</v>
      </c>
      <c r="BM212" s="41"/>
    </row>
    <row r="213">
      <c r="A213" s="18" t="s">
        <v>1065</v>
      </c>
      <c r="B213" s="19">
        <v>271.0</v>
      </c>
      <c r="C213" s="18" t="s">
        <v>1703</v>
      </c>
      <c r="D213" s="69" t="s">
        <v>705</v>
      </c>
      <c r="E213" s="18" t="s">
        <v>572</v>
      </c>
      <c r="F213" s="18" t="s">
        <v>192</v>
      </c>
      <c r="G213" s="63" t="s">
        <v>1704</v>
      </c>
      <c r="H213" s="42" t="s">
        <v>479</v>
      </c>
      <c r="I213" s="84" t="s">
        <v>37</v>
      </c>
      <c r="J213" s="81" t="s">
        <v>205</v>
      </c>
      <c r="K213" s="81" t="s">
        <v>205</v>
      </c>
      <c r="L213" s="81" t="s">
        <v>208</v>
      </c>
      <c r="M213" s="28">
        <v>6.0</v>
      </c>
      <c r="N213" s="26" t="str">
        <f t="shared" si="375"/>
        <v>R</v>
      </c>
      <c r="O213" s="28">
        <v>21.0</v>
      </c>
      <c r="P213" s="26" t="str">
        <f t="shared" si="376"/>
        <v>S</v>
      </c>
      <c r="Q213" s="28">
        <v>6.0</v>
      </c>
      <c r="R213" s="26" t="str">
        <f t="shared" si="377"/>
        <v>R</v>
      </c>
      <c r="S213" s="28">
        <v>18.0</v>
      </c>
      <c r="T213" s="26" t="str">
        <f t="shared" si="378"/>
        <v>R</v>
      </c>
      <c r="U213" s="28">
        <v>6.0</v>
      </c>
      <c r="V213" s="26" t="str">
        <f t="shared" si="379"/>
        <v>R</v>
      </c>
      <c r="W213" s="28">
        <v>22.0</v>
      </c>
      <c r="X213" s="26" t="str">
        <f t="shared" si="380"/>
        <v>S</v>
      </c>
      <c r="Y213" s="28">
        <v>20.0</v>
      </c>
      <c r="Z213" s="26" t="str">
        <f t="shared" si="381"/>
        <v>S</v>
      </c>
      <c r="AA213" s="32" t="s">
        <v>299</v>
      </c>
      <c r="AB213" s="65">
        <v>10.0</v>
      </c>
      <c r="AC213" s="33" t="str">
        <f t="shared" si="382"/>
        <v>R</v>
      </c>
      <c r="AD213" s="65">
        <v>25.0</v>
      </c>
      <c r="AE213" s="33" t="str">
        <f t="shared" si="383"/>
        <v>S</v>
      </c>
      <c r="AF213" s="65">
        <v>19.0</v>
      </c>
      <c r="AG213" s="33" t="str">
        <f t="shared" si="384"/>
        <v>I</v>
      </c>
      <c r="AH213" s="65">
        <v>12.0</v>
      </c>
      <c r="AI213" s="33" t="str">
        <f t="shared" si="385"/>
        <v>R</v>
      </c>
      <c r="AJ213" s="65">
        <v>15.0</v>
      </c>
      <c r="AK213" s="33" t="str">
        <f t="shared" si="386"/>
        <v>R</v>
      </c>
      <c r="AL213" s="65" t="s">
        <v>299</v>
      </c>
      <c r="AM213" s="66">
        <v>7.0</v>
      </c>
      <c r="AN213" s="36" t="str">
        <f t="shared" si="387"/>
        <v>R</v>
      </c>
      <c r="AO213" s="66">
        <v>11.0</v>
      </c>
      <c r="AP213" s="36" t="str">
        <f t="shared" si="388"/>
        <v>R</v>
      </c>
      <c r="AQ213" s="66">
        <v>10.0</v>
      </c>
      <c r="AR213" s="36" t="str">
        <f t="shared" si="389"/>
        <v>R</v>
      </c>
      <c r="AS213" s="66" t="s">
        <v>299</v>
      </c>
      <c r="AT213" s="67">
        <v>6.0</v>
      </c>
      <c r="AU213" s="37" t="str">
        <f t="shared" si="390"/>
        <v>R</v>
      </c>
      <c r="AV213" s="65">
        <v>17.0</v>
      </c>
      <c r="AW213" s="33" t="str">
        <f t="shared" si="391"/>
        <v>R</v>
      </c>
      <c r="AX213" s="65">
        <v>32.0</v>
      </c>
      <c r="AY213" s="33" t="str">
        <f t="shared" si="392"/>
        <v>S</v>
      </c>
      <c r="AZ213" s="65" t="s">
        <v>299</v>
      </c>
      <c r="BA213" s="28">
        <v>6.0</v>
      </c>
      <c r="BB213" s="26" t="str">
        <f t="shared" si="393"/>
        <v>R</v>
      </c>
      <c r="BC213" s="67">
        <v>10.0</v>
      </c>
      <c r="BD213" s="37" t="str">
        <f t="shared" si="394"/>
        <v>R</v>
      </c>
      <c r="BE213" s="66">
        <v>24.0</v>
      </c>
      <c r="BF213" s="36" t="str">
        <f t="shared" si="395"/>
        <v>S</v>
      </c>
      <c r="BG213" s="39" t="s">
        <v>357</v>
      </c>
      <c r="BH213" s="39" t="s">
        <v>357</v>
      </c>
      <c r="BI213" s="66">
        <v>27.0</v>
      </c>
      <c r="BJ213" s="36" t="str">
        <f t="shared" si="396"/>
        <v>S</v>
      </c>
      <c r="BK213" s="68">
        <v>17.0</v>
      </c>
      <c r="BL213" s="41" t="str">
        <f t="shared" si="397"/>
        <v>S</v>
      </c>
      <c r="BM213" s="41"/>
    </row>
    <row r="214">
      <c r="A214" s="18" t="s">
        <v>1071</v>
      </c>
      <c r="B214" s="19">
        <v>272.0</v>
      </c>
      <c r="C214" s="18" t="s">
        <v>1707</v>
      </c>
      <c r="D214" s="69" t="s">
        <v>190</v>
      </c>
      <c r="E214" s="18" t="s">
        <v>190</v>
      </c>
      <c r="F214" s="18" t="s">
        <v>192</v>
      </c>
      <c r="G214" s="63" t="s">
        <v>1708</v>
      </c>
      <c r="H214" s="22" t="s">
        <v>198</v>
      </c>
      <c r="I214" s="84" t="s">
        <v>37</v>
      </c>
      <c r="J214" s="81" t="s">
        <v>205</v>
      </c>
      <c r="K214" s="81" t="s">
        <v>205</v>
      </c>
      <c r="L214" s="81" t="s">
        <v>208</v>
      </c>
      <c r="M214" s="28">
        <v>6.0</v>
      </c>
      <c r="N214" s="26" t="str">
        <f t="shared" si="375"/>
        <v>R</v>
      </c>
      <c r="O214" s="28">
        <v>20.0</v>
      </c>
      <c r="P214" s="26" t="str">
        <f t="shared" si="376"/>
        <v>S</v>
      </c>
      <c r="Q214" s="28">
        <v>6.0</v>
      </c>
      <c r="R214" s="26" t="str">
        <f t="shared" si="377"/>
        <v>R</v>
      </c>
      <c r="S214" s="28">
        <v>22.0</v>
      </c>
      <c r="T214" s="26" t="str">
        <f t="shared" si="378"/>
        <v>I</v>
      </c>
      <c r="U214" s="28">
        <v>6.0</v>
      </c>
      <c r="V214" s="26" t="str">
        <f t="shared" si="379"/>
        <v>R</v>
      </c>
      <c r="W214" s="28">
        <v>20.0</v>
      </c>
      <c r="X214" s="26" t="str">
        <f t="shared" si="380"/>
        <v>S</v>
      </c>
      <c r="Y214" s="28">
        <v>18.0</v>
      </c>
      <c r="Z214" s="26" t="str">
        <f t="shared" si="381"/>
        <v>I</v>
      </c>
      <c r="AA214" s="32" t="s">
        <v>299</v>
      </c>
      <c r="AB214" s="65">
        <v>6.0</v>
      </c>
      <c r="AC214" s="33" t="str">
        <f t="shared" si="382"/>
        <v>R</v>
      </c>
      <c r="AD214" s="65">
        <v>26.0</v>
      </c>
      <c r="AE214" s="33" t="str">
        <f t="shared" si="383"/>
        <v>S</v>
      </c>
      <c r="AF214" s="65">
        <v>6.0</v>
      </c>
      <c r="AG214" s="33" t="str">
        <f t="shared" si="384"/>
        <v>R</v>
      </c>
      <c r="AH214" s="65">
        <v>22.0</v>
      </c>
      <c r="AI214" s="33" t="str">
        <f t="shared" si="385"/>
        <v>S</v>
      </c>
      <c r="AJ214" s="65">
        <v>6.0</v>
      </c>
      <c r="AK214" s="33" t="str">
        <f t="shared" si="386"/>
        <v>R</v>
      </c>
      <c r="AL214" s="65" t="s">
        <v>299</v>
      </c>
      <c r="AM214" s="66">
        <v>6.0</v>
      </c>
      <c r="AN214" s="36" t="str">
        <f t="shared" si="387"/>
        <v>R</v>
      </c>
      <c r="AO214" s="66">
        <v>11.0</v>
      </c>
      <c r="AP214" s="36" t="str">
        <f t="shared" si="388"/>
        <v>R</v>
      </c>
      <c r="AQ214" s="66">
        <v>6.0</v>
      </c>
      <c r="AR214" s="36" t="str">
        <f t="shared" si="389"/>
        <v>R</v>
      </c>
      <c r="AS214" s="66" t="s">
        <v>299</v>
      </c>
      <c r="AT214" s="67">
        <v>10.0</v>
      </c>
      <c r="AU214" s="37" t="str">
        <f t="shared" si="390"/>
        <v>R</v>
      </c>
      <c r="AV214" s="65">
        <v>18.0</v>
      </c>
      <c r="AW214" s="33" t="str">
        <f t="shared" si="391"/>
        <v>S</v>
      </c>
      <c r="AX214" s="65">
        <v>14.0</v>
      </c>
      <c r="AY214" s="33" t="str">
        <f t="shared" si="392"/>
        <v>R</v>
      </c>
      <c r="AZ214" s="65" t="s">
        <v>299</v>
      </c>
      <c r="BA214" s="28">
        <v>6.0</v>
      </c>
      <c r="BB214" s="26" t="str">
        <f t="shared" si="393"/>
        <v>R</v>
      </c>
      <c r="BC214" s="67">
        <v>11.0</v>
      </c>
      <c r="BD214" s="37" t="str">
        <f t="shared" si="394"/>
        <v>R</v>
      </c>
      <c r="BE214" s="66">
        <v>26.0</v>
      </c>
      <c r="BF214" s="36" t="str">
        <f t="shared" si="395"/>
        <v>S</v>
      </c>
      <c r="BG214" s="39" t="s">
        <v>357</v>
      </c>
      <c r="BH214" s="39" t="s">
        <v>357</v>
      </c>
      <c r="BI214" s="66">
        <v>27.0</v>
      </c>
      <c r="BJ214" s="36" t="str">
        <f t="shared" si="396"/>
        <v>S</v>
      </c>
      <c r="BK214" s="68">
        <v>6.0</v>
      </c>
      <c r="BL214" s="41" t="str">
        <f t="shared" si="397"/>
        <v>R</v>
      </c>
      <c r="BM214" s="41"/>
    </row>
    <row r="215">
      <c r="A215" s="18" t="s">
        <v>1071</v>
      </c>
      <c r="B215" s="19">
        <v>273.0</v>
      </c>
      <c r="C215" s="18" t="s">
        <v>1711</v>
      </c>
      <c r="D215" s="69" t="s">
        <v>190</v>
      </c>
      <c r="E215" s="18" t="s">
        <v>190</v>
      </c>
      <c r="F215" s="18" t="s">
        <v>192</v>
      </c>
      <c r="G215" s="63" t="s">
        <v>1712</v>
      </c>
      <c r="H215" s="22" t="s">
        <v>198</v>
      </c>
      <c r="I215" s="84" t="s">
        <v>37</v>
      </c>
      <c r="J215" s="81" t="s">
        <v>205</v>
      </c>
      <c r="K215" s="81" t="s">
        <v>205</v>
      </c>
      <c r="L215" s="81" t="s">
        <v>208</v>
      </c>
      <c r="M215" s="28">
        <v>6.0</v>
      </c>
      <c r="N215" s="26" t="str">
        <f t="shared" si="375"/>
        <v>R</v>
      </c>
      <c r="O215" s="28">
        <v>20.0</v>
      </c>
      <c r="P215" s="26" t="str">
        <f t="shared" si="376"/>
        <v>S</v>
      </c>
      <c r="Q215" s="28">
        <v>6.0</v>
      </c>
      <c r="R215" s="26" t="str">
        <f t="shared" si="377"/>
        <v>R</v>
      </c>
      <c r="S215" s="28">
        <v>22.0</v>
      </c>
      <c r="T215" s="26" t="str">
        <f t="shared" si="378"/>
        <v>I</v>
      </c>
      <c r="U215" s="28">
        <v>6.0</v>
      </c>
      <c r="V215" s="26" t="str">
        <f t="shared" si="379"/>
        <v>R</v>
      </c>
      <c r="W215" s="28">
        <v>20.0</v>
      </c>
      <c r="X215" s="26" t="str">
        <f t="shared" si="380"/>
        <v>S</v>
      </c>
      <c r="Y215" s="28">
        <v>18.0</v>
      </c>
      <c r="Z215" s="26" t="str">
        <f t="shared" si="381"/>
        <v>I</v>
      </c>
      <c r="AA215" s="32" t="s">
        <v>299</v>
      </c>
      <c r="AB215" s="65">
        <v>6.0</v>
      </c>
      <c r="AC215" s="33" t="str">
        <f t="shared" si="382"/>
        <v>R</v>
      </c>
      <c r="AD215" s="65">
        <v>22.0</v>
      </c>
      <c r="AE215" s="33" t="str">
        <f t="shared" si="383"/>
        <v>S</v>
      </c>
      <c r="AF215" s="65">
        <v>6.0</v>
      </c>
      <c r="AG215" s="33" t="str">
        <f t="shared" si="384"/>
        <v>R</v>
      </c>
      <c r="AH215" s="65">
        <v>22.0</v>
      </c>
      <c r="AI215" s="33" t="str">
        <f t="shared" si="385"/>
        <v>S</v>
      </c>
      <c r="AJ215" s="65">
        <v>6.0</v>
      </c>
      <c r="AK215" s="33" t="str">
        <f t="shared" si="386"/>
        <v>R</v>
      </c>
      <c r="AL215" s="65" t="s">
        <v>299</v>
      </c>
      <c r="AM215" s="66">
        <v>6.0</v>
      </c>
      <c r="AN215" s="36" t="str">
        <f t="shared" si="387"/>
        <v>R</v>
      </c>
      <c r="AO215" s="66">
        <v>11.0</v>
      </c>
      <c r="AP215" s="36" t="str">
        <f t="shared" si="388"/>
        <v>R</v>
      </c>
      <c r="AQ215" s="66">
        <v>6.0</v>
      </c>
      <c r="AR215" s="36" t="str">
        <f t="shared" si="389"/>
        <v>R</v>
      </c>
      <c r="AS215" s="66" t="s">
        <v>299</v>
      </c>
      <c r="AT215" s="67">
        <v>9.0</v>
      </c>
      <c r="AU215" s="37" t="str">
        <f t="shared" si="390"/>
        <v>R</v>
      </c>
      <c r="AV215" s="65">
        <v>18.0</v>
      </c>
      <c r="AW215" s="33" t="str">
        <f t="shared" si="391"/>
        <v>S</v>
      </c>
      <c r="AX215" s="65">
        <v>14.0</v>
      </c>
      <c r="AY215" s="33" t="str">
        <f t="shared" si="392"/>
        <v>R</v>
      </c>
      <c r="AZ215" s="65" t="s">
        <v>299</v>
      </c>
      <c r="BA215" s="28">
        <v>6.0</v>
      </c>
      <c r="BB215" s="26" t="str">
        <f t="shared" si="393"/>
        <v>R</v>
      </c>
      <c r="BC215" s="67">
        <v>11.0</v>
      </c>
      <c r="BD215" s="37" t="str">
        <f t="shared" si="394"/>
        <v>R</v>
      </c>
      <c r="BE215" s="66">
        <v>26.0</v>
      </c>
      <c r="BF215" s="36" t="str">
        <f t="shared" si="395"/>
        <v>S</v>
      </c>
      <c r="BG215" s="39" t="s">
        <v>357</v>
      </c>
      <c r="BH215" s="39" t="s">
        <v>357</v>
      </c>
      <c r="BI215" s="66">
        <v>25.0</v>
      </c>
      <c r="BJ215" s="36" t="str">
        <f t="shared" si="396"/>
        <v>S</v>
      </c>
      <c r="BK215" s="68">
        <v>9.0</v>
      </c>
      <c r="BL215" s="41" t="str">
        <f t="shared" si="397"/>
        <v>R</v>
      </c>
      <c r="BM215" s="41"/>
    </row>
    <row r="216">
      <c r="A216" s="18" t="s">
        <v>1103</v>
      </c>
      <c r="B216" s="19">
        <v>280.0</v>
      </c>
      <c r="C216" s="18" t="s">
        <v>1713</v>
      </c>
      <c r="D216" s="69" t="s">
        <v>190</v>
      </c>
      <c r="E216" s="18" t="s">
        <v>190</v>
      </c>
      <c r="F216" s="18" t="s">
        <v>192</v>
      </c>
      <c r="G216" s="63" t="s">
        <v>1714</v>
      </c>
      <c r="H216" s="22" t="s">
        <v>198</v>
      </c>
      <c r="I216" s="84" t="s">
        <v>37</v>
      </c>
      <c r="J216" s="81" t="s">
        <v>205</v>
      </c>
      <c r="K216" s="81" t="s">
        <v>205</v>
      </c>
      <c r="L216" s="81" t="s">
        <v>208</v>
      </c>
      <c r="M216" s="28">
        <v>6.0</v>
      </c>
      <c r="N216" s="26" t="str">
        <f t="shared" si="375"/>
        <v>R</v>
      </c>
      <c r="O216" s="28">
        <v>6.0</v>
      </c>
      <c r="P216" s="26" t="str">
        <f t="shared" si="376"/>
        <v>R</v>
      </c>
      <c r="Q216" s="28">
        <v>6.0</v>
      </c>
      <c r="R216" s="26" t="str">
        <f t="shared" si="377"/>
        <v>R</v>
      </c>
      <c r="S216" s="28">
        <v>24.0</v>
      </c>
      <c r="T216" s="26" t="str">
        <f t="shared" si="378"/>
        <v>S</v>
      </c>
      <c r="U216" s="28">
        <v>8.0</v>
      </c>
      <c r="V216" s="26" t="str">
        <f t="shared" si="379"/>
        <v>R</v>
      </c>
      <c r="W216" s="28">
        <v>18.0</v>
      </c>
      <c r="X216" s="26" t="str">
        <f t="shared" si="380"/>
        <v>R</v>
      </c>
      <c r="Y216" s="28">
        <v>14.0</v>
      </c>
      <c r="Z216" s="26" t="str">
        <f t="shared" si="381"/>
        <v>R</v>
      </c>
      <c r="AA216" s="32" t="s">
        <v>299</v>
      </c>
      <c r="AB216" s="65">
        <v>6.0</v>
      </c>
      <c r="AC216" s="33" t="str">
        <f t="shared" si="382"/>
        <v>R</v>
      </c>
      <c r="AD216" s="65">
        <v>21.0</v>
      </c>
      <c r="AE216" s="33" t="str">
        <f t="shared" si="383"/>
        <v>S</v>
      </c>
      <c r="AF216" s="65">
        <v>6.0</v>
      </c>
      <c r="AG216" s="33" t="str">
        <f t="shared" si="384"/>
        <v>R</v>
      </c>
      <c r="AH216" s="65">
        <v>20.0</v>
      </c>
      <c r="AI216" s="33" t="str">
        <f t="shared" si="385"/>
        <v>S</v>
      </c>
      <c r="AJ216" s="65">
        <v>12.0</v>
      </c>
      <c r="AK216" s="33" t="str">
        <f t="shared" si="386"/>
        <v>R</v>
      </c>
      <c r="AL216" s="65" t="s">
        <v>299</v>
      </c>
      <c r="AM216" s="66">
        <v>6.0</v>
      </c>
      <c r="AN216" s="36" t="str">
        <f t="shared" si="387"/>
        <v>R</v>
      </c>
      <c r="AO216" s="66">
        <v>6.0</v>
      </c>
      <c r="AP216" s="36" t="str">
        <f t="shared" si="388"/>
        <v>R</v>
      </c>
      <c r="AQ216" s="66">
        <v>6.0</v>
      </c>
      <c r="AR216" s="36" t="str">
        <f t="shared" si="389"/>
        <v>R</v>
      </c>
      <c r="AS216" s="66" t="s">
        <v>299</v>
      </c>
      <c r="AT216" s="67">
        <v>6.0</v>
      </c>
      <c r="AU216" s="37" t="str">
        <f t="shared" si="390"/>
        <v>R</v>
      </c>
      <c r="AV216" s="65">
        <v>18.0</v>
      </c>
      <c r="AW216" s="33" t="str">
        <f t="shared" si="391"/>
        <v>S</v>
      </c>
      <c r="AX216" s="65">
        <v>17.0</v>
      </c>
      <c r="AY216" s="33" t="str">
        <f t="shared" si="392"/>
        <v>S</v>
      </c>
      <c r="AZ216" s="33" t="s">
        <v>300</v>
      </c>
      <c r="BA216" s="28">
        <v>6.0</v>
      </c>
      <c r="BB216" s="26" t="str">
        <f t="shared" si="393"/>
        <v>R</v>
      </c>
      <c r="BC216" s="67">
        <v>14.0</v>
      </c>
      <c r="BD216" s="37" t="str">
        <f t="shared" si="394"/>
        <v>R</v>
      </c>
      <c r="BE216" s="66">
        <v>25.0</v>
      </c>
      <c r="BF216" s="36" t="str">
        <f t="shared" si="395"/>
        <v>S</v>
      </c>
      <c r="BG216" s="39" t="s">
        <v>357</v>
      </c>
      <c r="BH216" s="39" t="s">
        <v>357</v>
      </c>
      <c r="BI216" s="66">
        <v>24.0</v>
      </c>
      <c r="BJ216" s="36" t="str">
        <f t="shared" si="396"/>
        <v>S</v>
      </c>
      <c r="BK216" s="68">
        <v>12.0</v>
      </c>
      <c r="BL216" s="41" t="str">
        <f t="shared" si="397"/>
        <v>R</v>
      </c>
      <c r="BM216" s="41"/>
    </row>
    <row r="217">
      <c r="A217" s="18" t="s">
        <v>1103</v>
      </c>
      <c r="B217" s="19">
        <v>281.0</v>
      </c>
      <c r="C217" s="18" t="s">
        <v>1717</v>
      </c>
      <c r="D217" s="69" t="s">
        <v>571</v>
      </c>
      <c r="E217" s="18" t="s">
        <v>572</v>
      </c>
      <c r="F217" s="18" t="s">
        <v>192</v>
      </c>
      <c r="G217" s="63" t="s">
        <v>1718</v>
      </c>
      <c r="H217" s="22" t="s">
        <v>198</v>
      </c>
      <c r="I217" s="64" t="s">
        <v>481</v>
      </c>
      <c r="J217" s="70" t="s">
        <v>205</v>
      </c>
      <c r="K217" s="70" t="s">
        <v>208</v>
      </c>
      <c r="L217" s="70" t="s">
        <v>208</v>
      </c>
      <c r="M217" s="28">
        <v>6.0</v>
      </c>
      <c r="N217" s="26" t="str">
        <f t="shared" si="375"/>
        <v>R</v>
      </c>
      <c r="O217" s="28">
        <v>15.0</v>
      </c>
      <c r="P217" s="26" t="str">
        <f t="shared" si="376"/>
        <v>R</v>
      </c>
      <c r="Q217" s="28">
        <v>6.0</v>
      </c>
      <c r="R217" s="26" t="str">
        <f t="shared" si="377"/>
        <v>R</v>
      </c>
      <c r="S217" s="28">
        <v>28.0</v>
      </c>
      <c r="T217" s="26" t="str">
        <f t="shared" si="378"/>
        <v>S</v>
      </c>
      <c r="U217" s="28">
        <v>6.0</v>
      </c>
      <c r="V217" s="26" t="str">
        <f t="shared" si="379"/>
        <v>R</v>
      </c>
      <c r="W217" s="28">
        <v>21.0</v>
      </c>
      <c r="X217" s="26" t="str">
        <f t="shared" si="380"/>
        <v>S</v>
      </c>
      <c r="Y217" s="28">
        <v>21.0</v>
      </c>
      <c r="Z217" s="26" t="str">
        <f t="shared" si="381"/>
        <v>S</v>
      </c>
      <c r="AA217" s="32" t="s">
        <v>299</v>
      </c>
      <c r="AB217" s="65">
        <v>8.0</v>
      </c>
      <c r="AC217" s="33" t="str">
        <f t="shared" si="382"/>
        <v>R</v>
      </c>
      <c r="AD217" s="65">
        <v>9.0</v>
      </c>
      <c r="AE217" s="33" t="str">
        <f t="shared" si="383"/>
        <v>R</v>
      </c>
      <c r="AF217" s="65">
        <v>10.0</v>
      </c>
      <c r="AG217" s="33" t="str">
        <f t="shared" si="384"/>
        <v>R</v>
      </c>
      <c r="AH217" s="65">
        <v>22.0</v>
      </c>
      <c r="AI217" s="33" t="str">
        <f t="shared" si="385"/>
        <v>S</v>
      </c>
      <c r="AJ217" s="65">
        <v>18.0</v>
      </c>
      <c r="AK217" s="33" t="str">
        <f t="shared" si="386"/>
        <v>R</v>
      </c>
      <c r="AL217" s="65" t="s">
        <v>299</v>
      </c>
      <c r="AM217" s="66">
        <v>6.0</v>
      </c>
      <c r="AN217" s="36" t="str">
        <f t="shared" si="387"/>
        <v>R</v>
      </c>
      <c r="AO217" s="66">
        <v>8.0</v>
      </c>
      <c r="AP217" s="36" t="str">
        <f t="shared" si="388"/>
        <v>R</v>
      </c>
      <c r="AQ217" s="66">
        <v>12.0</v>
      </c>
      <c r="AR217" s="36" t="str">
        <f t="shared" si="389"/>
        <v>R</v>
      </c>
      <c r="AS217" s="66" t="s">
        <v>299</v>
      </c>
      <c r="AT217" s="67">
        <v>8.0</v>
      </c>
      <c r="AU217" s="37" t="str">
        <f t="shared" si="390"/>
        <v>R</v>
      </c>
      <c r="AV217" s="65">
        <v>21.0</v>
      </c>
      <c r="AW217" s="33" t="str">
        <f t="shared" si="391"/>
        <v>S</v>
      </c>
      <c r="AX217" s="65">
        <v>22.0</v>
      </c>
      <c r="AY217" s="33" t="str">
        <f t="shared" si="392"/>
        <v>S</v>
      </c>
      <c r="AZ217" s="33" t="s">
        <v>300</v>
      </c>
      <c r="BA217" s="28">
        <v>9.0</v>
      </c>
      <c r="BB217" s="26" t="str">
        <f t="shared" si="393"/>
        <v>R</v>
      </c>
      <c r="BC217" s="67">
        <v>12.0</v>
      </c>
      <c r="BD217" s="37" t="str">
        <f t="shared" si="394"/>
        <v>R</v>
      </c>
      <c r="BE217" s="66">
        <v>25.0</v>
      </c>
      <c r="BF217" s="36" t="str">
        <f t="shared" si="395"/>
        <v>S</v>
      </c>
      <c r="BG217" s="39" t="s">
        <v>357</v>
      </c>
      <c r="BH217" s="39" t="s">
        <v>357</v>
      </c>
      <c r="BI217" s="66">
        <v>19.0</v>
      </c>
      <c r="BJ217" s="36" t="str">
        <f t="shared" si="396"/>
        <v>I</v>
      </c>
      <c r="BK217" s="68">
        <v>21.0</v>
      </c>
      <c r="BL217" s="41" t="str">
        <f t="shared" si="397"/>
        <v>S</v>
      </c>
      <c r="BM217" s="41"/>
    </row>
    <row r="218">
      <c r="A218" s="18" t="s">
        <v>1103</v>
      </c>
      <c r="B218" s="19">
        <v>282.0</v>
      </c>
      <c r="C218" s="18" t="s">
        <v>1721</v>
      </c>
      <c r="D218" s="69" t="s">
        <v>555</v>
      </c>
      <c r="E218" s="18" t="s">
        <v>103</v>
      </c>
      <c r="F218" s="18" t="s">
        <v>192</v>
      </c>
      <c r="G218" s="63" t="s">
        <v>1722</v>
      </c>
      <c r="H218" s="22" t="s">
        <v>198</v>
      </c>
      <c r="I218" s="64" t="s">
        <v>816</v>
      </c>
      <c r="J218" s="81" t="s">
        <v>205</v>
      </c>
      <c r="K218" s="81" t="s">
        <v>205</v>
      </c>
      <c r="L218" s="71" t="s">
        <v>205</v>
      </c>
      <c r="M218" s="28">
        <v>6.0</v>
      </c>
      <c r="N218" s="26" t="str">
        <f t="shared" si="375"/>
        <v>R</v>
      </c>
      <c r="O218" s="28">
        <v>16.0</v>
      </c>
      <c r="P218" s="26" t="str">
        <f t="shared" si="376"/>
        <v>R</v>
      </c>
      <c r="Q218" s="28">
        <v>6.0</v>
      </c>
      <c r="R218" s="26" t="str">
        <f t="shared" si="377"/>
        <v>R</v>
      </c>
      <c r="S218" s="28">
        <v>21.0</v>
      </c>
      <c r="T218" s="26" t="str">
        <f t="shared" si="378"/>
        <v>I</v>
      </c>
      <c r="U218" s="28">
        <v>6.0</v>
      </c>
      <c r="V218" s="26" t="str">
        <f t="shared" si="379"/>
        <v>R</v>
      </c>
      <c r="W218" s="28">
        <v>21.0</v>
      </c>
      <c r="X218" s="26" t="str">
        <f t="shared" si="380"/>
        <v>S</v>
      </c>
      <c r="Y218" s="28">
        <v>12.0</v>
      </c>
      <c r="Z218" s="26" t="str">
        <f t="shared" si="381"/>
        <v>R</v>
      </c>
      <c r="AA218" s="32" t="s">
        <v>299</v>
      </c>
      <c r="AB218" s="65">
        <v>6.0</v>
      </c>
      <c r="AC218" s="33" t="str">
        <f t="shared" si="382"/>
        <v>R</v>
      </c>
      <c r="AD218" s="65">
        <v>19.0</v>
      </c>
      <c r="AE218" s="33" t="str">
        <f t="shared" si="383"/>
        <v>S</v>
      </c>
      <c r="AF218" s="65">
        <v>10.0</v>
      </c>
      <c r="AG218" s="33" t="str">
        <f t="shared" si="384"/>
        <v>R</v>
      </c>
      <c r="AH218" s="65">
        <v>23.0</v>
      </c>
      <c r="AI218" s="33" t="str">
        <f t="shared" si="385"/>
        <v>S</v>
      </c>
      <c r="AJ218" s="65">
        <v>6.0</v>
      </c>
      <c r="AK218" s="33" t="str">
        <f t="shared" si="386"/>
        <v>R</v>
      </c>
      <c r="AL218" s="65" t="s">
        <v>299</v>
      </c>
      <c r="AM218" s="66">
        <v>21.0</v>
      </c>
      <c r="AN218" s="36" t="str">
        <f t="shared" si="387"/>
        <v>R</v>
      </c>
      <c r="AO218" s="66">
        <v>21.0</v>
      </c>
      <c r="AP218" s="36" t="str">
        <f t="shared" si="388"/>
        <v>I</v>
      </c>
      <c r="AQ218" s="66">
        <v>22.0</v>
      </c>
      <c r="AR218" s="36" t="str">
        <f t="shared" si="389"/>
        <v>S</v>
      </c>
      <c r="AS218" s="66" t="s">
        <v>299</v>
      </c>
      <c r="AT218" s="67">
        <v>15.0</v>
      </c>
      <c r="AU218" s="37" t="str">
        <f t="shared" si="390"/>
        <v>S</v>
      </c>
      <c r="AV218" s="65">
        <v>17.0</v>
      </c>
      <c r="AW218" s="33" t="str">
        <f t="shared" si="391"/>
        <v>R</v>
      </c>
      <c r="AX218" s="65">
        <v>27.0</v>
      </c>
      <c r="AY218" s="33" t="str">
        <f t="shared" si="392"/>
        <v>S</v>
      </c>
      <c r="AZ218" s="65" t="s">
        <v>299</v>
      </c>
      <c r="BA218" s="28">
        <v>22.0</v>
      </c>
      <c r="BB218" s="26" t="str">
        <f t="shared" si="393"/>
        <v>S</v>
      </c>
      <c r="BC218" s="67">
        <v>14.0</v>
      </c>
      <c r="BD218" s="37" t="str">
        <f t="shared" si="394"/>
        <v>R</v>
      </c>
      <c r="BE218" s="66">
        <v>17.0</v>
      </c>
      <c r="BF218" s="36" t="str">
        <f t="shared" si="395"/>
        <v>R</v>
      </c>
      <c r="BG218" s="39" t="s">
        <v>357</v>
      </c>
      <c r="BH218" s="39" t="s">
        <v>357</v>
      </c>
      <c r="BI218" s="66">
        <v>18.0</v>
      </c>
      <c r="BJ218" s="36" t="str">
        <f t="shared" si="396"/>
        <v>R</v>
      </c>
      <c r="BK218" s="68">
        <v>9.0</v>
      </c>
      <c r="BL218" s="41" t="str">
        <f t="shared" si="397"/>
        <v>R</v>
      </c>
      <c r="BM218" s="41"/>
    </row>
    <row r="219">
      <c r="A219" s="18" t="s">
        <v>1113</v>
      </c>
      <c r="B219" s="19">
        <v>283.0</v>
      </c>
      <c r="C219" s="18" t="s">
        <v>1724</v>
      </c>
      <c r="D219" s="69" t="s">
        <v>190</v>
      </c>
      <c r="E219" s="18" t="s">
        <v>190</v>
      </c>
      <c r="F219" s="18" t="s">
        <v>192</v>
      </c>
      <c r="G219" s="63" t="s">
        <v>1726</v>
      </c>
      <c r="H219" s="22" t="s">
        <v>198</v>
      </c>
      <c r="I219" s="64" t="s">
        <v>41</v>
      </c>
      <c r="J219" s="70" t="s">
        <v>205</v>
      </c>
      <c r="K219" s="71" t="s">
        <v>208</v>
      </c>
      <c r="L219" s="71" t="s">
        <v>205</v>
      </c>
      <c r="M219" s="28">
        <v>6.0</v>
      </c>
      <c r="N219" s="26" t="str">
        <f t="shared" si="375"/>
        <v>R</v>
      </c>
      <c r="O219" s="28">
        <v>6.0</v>
      </c>
      <c r="P219" s="26" t="str">
        <f t="shared" si="376"/>
        <v>R</v>
      </c>
      <c r="Q219" s="28">
        <v>6.0</v>
      </c>
      <c r="R219" s="26" t="str">
        <f t="shared" si="377"/>
        <v>R</v>
      </c>
      <c r="S219" s="28">
        <v>20.0</v>
      </c>
      <c r="T219" s="26" t="str">
        <f t="shared" si="378"/>
        <v>I</v>
      </c>
      <c r="U219" s="28">
        <v>6.0</v>
      </c>
      <c r="V219" s="26" t="str">
        <f t="shared" si="379"/>
        <v>R</v>
      </c>
      <c r="W219" s="28">
        <v>6.0</v>
      </c>
      <c r="X219" s="26" t="str">
        <f t="shared" si="380"/>
        <v>R</v>
      </c>
      <c r="Y219" s="28">
        <v>11.0</v>
      </c>
      <c r="Z219" s="26" t="str">
        <f t="shared" si="381"/>
        <v>R</v>
      </c>
      <c r="AA219" s="32" t="s">
        <v>299</v>
      </c>
      <c r="AB219" s="65">
        <v>6.0</v>
      </c>
      <c r="AC219" s="33" t="str">
        <f t="shared" si="382"/>
        <v>R</v>
      </c>
      <c r="AD219" s="65">
        <v>6.0</v>
      </c>
      <c r="AE219" s="33" t="str">
        <f t="shared" si="383"/>
        <v>R</v>
      </c>
      <c r="AF219" s="65">
        <v>6.0</v>
      </c>
      <c r="AG219" s="33" t="str">
        <f t="shared" si="384"/>
        <v>R</v>
      </c>
      <c r="AH219" s="65">
        <v>6.0</v>
      </c>
      <c r="AI219" s="33" t="str">
        <f t="shared" si="385"/>
        <v>R</v>
      </c>
      <c r="AJ219" s="65">
        <v>6.0</v>
      </c>
      <c r="AK219" s="33" t="str">
        <f t="shared" si="386"/>
        <v>R</v>
      </c>
      <c r="AL219" s="65" t="s">
        <v>299</v>
      </c>
      <c r="AM219" s="66">
        <v>6.0</v>
      </c>
      <c r="AN219" s="36" t="str">
        <f t="shared" si="387"/>
        <v>R</v>
      </c>
      <c r="AO219" s="66">
        <v>6.0</v>
      </c>
      <c r="AP219" s="36" t="str">
        <f t="shared" si="388"/>
        <v>R</v>
      </c>
      <c r="AQ219" s="66">
        <v>6.0</v>
      </c>
      <c r="AR219" s="36" t="str">
        <f t="shared" si="389"/>
        <v>R</v>
      </c>
      <c r="AS219" s="66" t="s">
        <v>299</v>
      </c>
      <c r="AT219" s="67">
        <v>6.0</v>
      </c>
      <c r="AU219" s="37" t="str">
        <f t="shared" si="390"/>
        <v>R</v>
      </c>
      <c r="AV219" s="65">
        <v>19.0</v>
      </c>
      <c r="AW219" s="33" t="str">
        <f t="shared" si="391"/>
        <v>S</v>
      </c>
      <c r="AX219" s="65">
        <v>11.0</v>
      </c>
      <c r="AY219" s="33" t="str">
        <f t="shared" si="392"/>
        <v>R</v>
      </c>
      <c r="AZ219" s="65" t="s">
        <v>299</v>
      </c>
      <c r="BA219" s="28">
        <v>20.0</v>
      </c>
      <c r="BB219" s="26" t="str">
        <f t="shared" si="393"/>
        <v>S</v>
      </c>
      <c r="BC219" s="67">
        <v>6.0</v>
      </c>
      <c r="BD219" s="37" t="str">
        <f t="shared" si="394"/>
        <v>R</v>
      </c>
      <c r="BE219" s="66">
        <v>10.0</v>
      </c>
      <c r="BF219" s="36" t="str">
        <f t="shared" si="395"/>
        <v>R</v>
      </c>
      <c r="BG219" s="39" t="s">
        <v>357</v>
      </c>
      <c r="BH219" s="39" t="s">
        <v>357</v>
      </c>
      <c r="BI219" s="66">
        <v>6.0</v>
      </c>
      <c r="BJ219" s="36" t="str">
        <f t="shared" si="396"/>
        <v>R</v>
      </c>
      <c r="BK219" s="68">
        <v>6.0</v>
      </c>
      <c r="BL219" s="41" t="str">
        <f t="shared" si="397"/>
        <v>R</v>
      </c>
      <c r="BM219" s="41"/>
    </row>
    <row r="220">
      <c r="A220" s="18" t="s">
        <v>1121</v>
      </c>
      <c r="B220" s="19">
        <v>284.0</v>
      </c>
      <c r="C220" s="18" t="s">
        <v>1729</v>
      </c>
      <c r="D220" s="69" t="s">
        <v>190</v>
      </c>
      <c r="E220" s="18" t="s">
        <v>190</v>
      </c>
      <c r="F220" s="18" t="s">
        <v>192</v>
      </c>
      <c r="G220" s="63" t="s">
        <v>1730</v>
      </c>
      <c r="H220" s="42" t="s">
        <v>479</v>
      </c>
      <c r="I220" s="64" t="s">
        <v>481</v>
      </c>
      <c r="J220" s="70" t="s">
        <v>205</v>
      </c>
      <c r="K220" s="70" t="s">
        <v>208</v>
      </c>
      <c r="L220" s="70" t="s">
        <v>208</v>
      </c>
      <c r="M220" s="28">
        <v>6.0</v>
      </c>
      <c r="N220" s="26" t="str">
        <f t="shared" si="375"/>
        <v>R</v>
      </c>
      <c r="O220" s="28">
        <v>6.0</v>
      </c>
      <c r="P220" s="26" t="str">
        <f t="shared" si="376"/>
        <v>R</v>
      </c>
      <c r="Q220" s="28">
        <v>6.0</v>
      </c>
      <c r="R220" s="26" t="str">
        <f t="shared" si="377"/>
        <v>R</v>
      </c>
      <c r="S220" s="28">
        <v>26.0</v>
      </c>
      <c r="T220" s="26" t="str">
        <f t="shared" si="378"/>
        <v>S</v>
      </c>
      <c r="U220" s="28">
        <v>6.0</v>
      </c>
      <c r="V220" s="26" t="str">
        <f t="shared" si="379"/>
        <v>R</v>
      </c>
      <c r="W220" s="28">
        <v>20.0</v>
      </c>
      <c r="X220" s="26" t="str">
        <f t="shared" si="380"/>
        <v>S</v>
      </c>
      <c r="Y220" s="28">
        <v>18.0</v>
      </c>
      <c r="Z220" s="26" t="str">
        <f t="shared" si="381"/>
        <v>I</v>
      </c>
      <c r="AA220" s="32" t="s">
        <v>299</v>
      </c>
      <c r="AB220" s="65">
        <v>20.0</v>
      </c>
      <c r="AC220" s="33" t="str">
        <f t="shared" si="382"/>
        <v>S</v>
      </c>
      <c r="AD220" s="65">
        <v>6.0</v>
      </c>
      <c r="AE220" s="33" t="str">
        <f t="shared" si="383"/>
        <v>R</v>
      </c>
      <c r="AF220" s="65">
        <v>6.0</v>
      </c>
      <c r="AG220" s="33" t="str">
        <f t="shared" si="384"/>
        <v>R</v>
      </c>
      <c r="AH220" s="65">
        <v>20.0</v>
      </c>
      <c r="AI220" s="33" t="str">
        <f t="shared" si="385"/>
        <v>S</v>
      </c>
      <c r="AJ220" s="65">
        <v>15.0</v>
      </c>
      <c r="AK220" s="33" t="str">
        <f t="shared" si="386"/>
        <v>R</v>
      </c>
      <c r="AL220" s="65" t="s">
        <v>299</v>
      </c>
      <c r="AM220" s="66">
        <v>21.0</v>
      </c>
      <c r="AN220" s="36" t="str">
        <f t="shared" si="387"/>
        <v>R</v>
      </c>
      <c r="AO220" s="66">
        <v>20.0</v>
      </c>
      <c r="AP220" s="36" t="str">
        <f t="shared" si="388"/>
        <v>I</v>
      </c>
      <c r="AQ220" s="66">
        <v>14.0</v>
      </c>
      <c r="AR220" s="36" t="str">
        <f t="shared" si="389"/>
        <v>S</v>
      </c>
      <c r="AS220" s="66" t="s">
        <v>299</v>
      </c>
      <c r="AT220" s="67">
        <v>24.0</v>
      </c>
      <c r="AU220" s="37" t="str">
        <f t="shared" si="390"/>
        <v>S</v>
      </c>
      <c r="AV220" s="65">
        <v>20.0</v>
      </c>
      <c r="AW220" s="33" t="str">
        <f t="shared" si="391"/>
        <v>S</v>
      </c>
      <c r="AX220" s="65">
        <v>20.0</v>
      </c>
      <c r="AY220" s="33" t="str">
        <f t="shared" si="392"/>
        <v>S</v>
      </c>
      <c r="AZ220" s="33" t="s">
        <v>300</v>
      </c>
      <c r="BA220" s="28">
        <v>18.0</v>
      </c>
      <c r="BB220" s="26" t="str">
        <f t="shared" si="393"/>
        <v>R</v>
      </c>
      <c r="BC220" s="67">
        <v>16.0</v>
      </c>
      <c r="BD220" s="37" t="str">
        <f t="shared" si="394"/>
        <v>R</v>
      </c>
      <c r="BE220" s="66">
        <v>24.0</v>
      </c>
      <c r="BF220" s="36" t="str">
        <f t="shared" si="395"/>
        <v>S</v>
      </c>
      <c r="BG220" s="39" t="s">
        <v>357</v>
      </c>
      <c r="BH220" s="39" t="s">
        <v>357</v>
      </c>
      <c r="BI220" s="66">
        <v>18.0</v>
      </c>
      <c r="BJ220" s="36" t="str">
        <f t="shared" si="396"/>
        <v>R</v>
      </c>
      <c r="BK220" s="68">
        <v>20.0</v>
      </c>
      <c r="BL220" s="41" t="str">
        <f t="shared" si="397"/>
        <v>S</v>
      </c>
      <c r="BM220" s="41"/>
    </row>
    <row r="221">
      <c r="A221" s="18" t="s">
        <v>1121</v>
      </c>
      <c r="B221" s="19">
        <v>285.0</v>
      </c>
      <c r="C221" s="18" t="s">
        <v>1731</v>
      </c>
      <c r="D221" s="69" t="s">
        <v>571</v>
      </c>
      <c r="E221" s="18" t="s">
        <v>572</v>
      </c>
      <c r="F221" s="18" t="s">
        <v>192</v>
      </c>
      <c r="G221" s="63" t="s">
        <v>1732</v>
      </c>
      <c r="H221" s="42" t="s">
        <v>479</v>
      </c>
      <c r="I221" s="64" t="s">
        <v>481</v>
      </c>
      <c r="J221" s="70" t="s">
        <v>205</v>
      </c>
      <c r="K221" s="70" t="s">
        <v>208</v>
      </c>
      <c r="L221" s="70" t="s">
        <v>208</v>
      </c>
      <c r="M221" s="28">
        <v>6.0</v>
      </c>
      <c r="N221" s="26" t="str">
        <f t="shared" si="375"/>
        <v>R</v>
      </c>
      <c r="O221" s="28">
        <v>6.0</v>
      </c>
      <c r="P221" s="26" t="str">
        <f t="shared" si="376"/>
        <v>R</v>
      </c>
      <c r="Q221" s="28">
        <v>6.0</v>
      </c>
      <c r="R221" s="26" t="str">
        <f t="shared" si="377"/>
        <v>R</v>
      </c>
      <c r="S221" s="28">
        <v>20.0</v>
      </c>
      <c r="T221" s="26" t="str">
        <f t="shared" si="378"/>
        <v>I</v>
      </c>
      <c r="U221" s="28">
        <v>6.0</v>
      </c>
      <c r="V221" s="26" t="str">
        <f t="shared" si="379"/>
        <v>R</v>
      </c>
      <c r="W221" s="28">
        <v>13.0</v>
      </c>
      <c r="X221" s="26" t="str">
        <f t="shared" si="380"/>
        <v>R</v>
      </c>
      <c r="Y221" s="28">
        <v>20.0</v>
      </c>
      <c r="Z221" s="26" t="str">
        <f t="shared" si="381"/>
        <v>S</v>
      </c>
      <c r="AA221" s="32" t="s">
        <v>299</v>
      </c>
      <c r="AB221" s="65">
        <v>6.0</v>
      </c>
      <c r="AC221" s="33" t="str">
        <f t="shared" si="382"/>
        <v>R</v>
      </c>
      <c r="AD221" s="65">
        <v>6.0</v>
      </c>
      <c r="AE221" s="33" t="str">
        <f t="shared" si="383"/>
        <v>R</v>
      </c>
      <c r="AF221" s="65">
        <v>6.0</v>
      </c>
      <c r="AG221" s="33" t="str">
        <f t="shared" si="384"/>
        <v>R</v>
      </c>
      <c r="AH221" s="65">
        <v>20.0</v>
      </c>
      <c r="AI221" s="33" t="str">
        <f t="shared" si="385"/>
        <v>S</v>
      </c>
      <c r="AJ221" s="65">
        <v>6.0</v>
      </c>
      <c r="AK221" s="33" t="str">
        <f t="shared" si="386"/>
        <v>R</v>
      </c>
      <c r="AL221" s="65" t="s">
        <v>299</v>
      </c>
      <c r="AM221" s="66">
        <v>6.0</v>
      </c>
      <c r="AN221" s="36" t="str">
        <f t="shared" si="387"/>
        <v>R</v>
      </c>
      <c r="AO221" s="66">
        <v>6.0</v>
      </c>
      <c r="AP221" s="36" t="str">
        <f t="shared" si="388"/>
        <v>R</v>
      </c>
      <c r="AQ221" s="66">
        <v>6.0</v>
      </c>
      <c r="AR221" s="36" t="str">
        <f t="shared" si="389"/>
        <v>R</v>
      </c>
      <c r="AS221" s="66" t="s">
        <v>299</v>
      </c>
      <c r="AT221" s="67">
        <v>6.0</v>
      </c>
      <c r="AU221" s="37" t="str">
        <f t="shared" si="390"/>
        <v>R</v>
      </c>
      <c r="AV221" s="65">
        <v>20.0</v>
      </c>
      <c r="AW221" s="33" t="str">
        <f t="shared" si="391"/>
        <v>S</v>
      </c>
      <c r="AX221" s="65">
        <v>14.0</v>
      </c>
      <c r="AY221" s="33" t="str">
        <f t="shared" si="392"/>
        <v>R</v>
      </c>
      <c r="AZ221" s="65" t="s">
        <v>299</v>
      </c>
      <c r="BA221" s="28">
        <v>6.0</v>
      </c>
      <c r="BB221" s="26" t="str">
        <f t="shared" si="393"/>
        <v>R</v>
      </c>
      <c r="BC221" s="67">
        <v>6.0</v>
      </c>
      <c r="BD221" s="37" t="str">
        <f t="shared" si="394"/>
        <v>R</v>
      </c>
      <c r="BE221" s="66">
        <v>28.0</v>
      </c>
      <c r="BF221" s="36" t="str">
        <f t="shared" si="395"/>
        <v>S</v>
      </c>
      <c r="BG221" s="39" t="s">
        <v>357</v>
      </c>
      <c r="BH221" s="39" t="s">
        <v>357</v>
      </c>
      <c r="BI221" s="66">
        <v>21.0</v>
      </c>
      <c r="BJ221" s="36" t="str">
        <f t="shared" si="396"/>
        <v>I</v>
      </c>
      <c r="BK221" s="68">
        <v>6.0</v>
      </c>
      <c r="BL221" s="41" t="str">
        <f t="shared" si="397"/>
        <v>R</v>
      </c>
      <c r="BM221" s="41"/>
    </row>
    <row r="222">
      <c r="A222" s="18" t="s">
        <v>1121</v>
      </c>
      <c r="B222" s="19">
        <v>286.0</v>
      </c>
      <c r="C222" s="18" t="s">
        <v>1735</v>
      </c>
      <c r="D222" s="69" t="s">
        <v>1009</v>
      </c>
      <c r="E222" s="18" t="s">
        <v>103</v>
      </c>
      <c r="F222" s="18" t="s">
        <v>192</v>
      </c>
      <c r="G222" s="63" t="s">
        <v>1736</v>
      </c>
      <c r="H222" s="22" t="s">
        <v>198</v>
      </c>
      <c r="I222" s="84" t="s">
        <v>37</v>
      </c>
      <c r="J222" s="81" t="s">
        <v>205</v>
      </c>
      <c r="K222" s="81" t="s">
        <v>205</v>
      </c>
      <c r="L222" s="81" t="s">
        <v>208</v>
      </c>
      <c r="M222" s="28">
        <v>6.0</v>
      </c>
      <c r="N222" s="26" t="str">
        <f t="shared" si="375"/>
        <v>R</v>
      </c>
      <c r="O222" s="28">
        <v>17.0</v>
      </c>
      <c r="P222" s="26" t="str">
        <f t="shared" si="376"/>
        <v>R</v>
      </c>
      <c r="Q222" s="28">
        <v>6.0</v>
      </c>
      <c r="R222" s="26" t="str">
        <f t="shared" si="377"/>
        <v>R</v>
      </c>
      <c r="S222" s="28">
        <v>22.0</v>
      </c>
      <c r="T222" s="26" t="str">
        <f t="shared" si="378"/>
        <v>I</v>
      </c>
      <c r="U222" s="28">
        <v>6.0</v>
      </c>
      <c r="V222" s="26" t="str">
        <f t="shared" si="379"/>
        <v>R</v>
      </c>
      <c r="W222" s="28">
        <v>17.0</v>
      </c>
      <c r="X222" s="26" t="str">
        <f t="shared" si="380"/>
        <v>R</v>
      </c>
      <c r="Y222" s="28">
        <v>19.0</v>
      </c>
      <c r="Z222" s="26" t="str">
        <f t="shared" si="381"/>
        <v>I</v>
      </c>
      <c r="AA222" s="32" t="s">
        <v>299</v>
      </c>
      <c r="AB222" s="65">
        <v>6.0</v>
      </c>
      <c r="AC222" s="33" t="str">
        <f t="shared" si="382"/>
        <v>R</v>
      </c>
      <c r="AD222" s="65">
        <v>22.0</v>
      </c>
      <c r="AE222" s="33" t="str">
        <f t="shared" si="383"/>
        <v>S</v>
      </c>
      <c r="AF222" s="65">
        <v>6.0</v>
      </c>
      <c r="AG222" s="33" t="str">
        <f t="shared" si="384"/>
        <v>R</v>
      </c>
      <c r="AH222" s="65">
        <v>19.0</v>
      </c>
      <c r="AI222" s="33" t="str">
        <f t="shared" si="385"/>
        <v>S</v>
      </c>
      <c r="AJ222" s="65">
        <v>16.0</v>
      </c>
      <c r="AK222" s="33" t="str">
        <f t="shared" si="386"/>
        <v>R</v>
      </c>
      <c r="AL222" s="65" t="s">
        <v>299</v>
      </c>
      <c r="AM222" s="66">
        <v>10.0</v>
      </c>
      <c r="AN222" s="36" t="str">
        <f t="shared" si="387"/>
        <v>R</v>
      </c>
      <c r="AO222" s="66">
        <v>14.0</v>
      </c>
      <c r="AP222" s="36" t="str">
        <f t="shared" si="388"/>
        <v>R</v>
      </c>
      <c r="AQ222" s="66">
        <v>6.0</v>
      </c>
      <c r="AR222" s="36" t="str">
        <f t="shared" si="389"/>
        <v>R</v>
      </c>
      <c r="AS222" s="66" t="s">
        <v>299</v>
      </c>
      <c r="AT222" s="67">
        <v>6.0</v>
      </c>
      <c r="AU222" s="37" t="str">
        <f t="shared" si="390"/>
        <v>R</v>
      </c>
      <c r="AV222" s="65">
        <v>14.0</v>
      </c>
      <c r="AW222" s="33" t="str">
        <f t="shared" si="391"/>
        <v>R</v>
      </c>
      <c r="AX222" s="65">
        <v>14.0</v>
      </c>
      <c r="AY222" s="33" t="str">
        <f t="shared" si="392"/>
        <v>R</v>
      </c>
      <c r="AZ222" s="65" t="s">
        <v>299</v>
      </c>
      <c r="BA222" s="28">
        <v>6.0</v>
      </c>
      <c r="BB222" s="26" t="str">
        <f t="shared" si="393"/>
        <v>R</v>
      </c>
      <c r="BC222" s="67">
        <v>17.0</v>
      </c>
      <c r="BD222" s="37" t="str">
        <f t="shared" si="394"/>
        <v>R</v>
      </c>
      <c r="BE222" s="66">
        <v>23.0</v>
      </c>
      <c r="BF222" s="36" t="str">
        <f t="shared" si="395"/>
        <v>S</v>
      </c>
      <c r="BG222" s="39" t="s">
        <v>357</v>
      </c>
      <c r="BH222" s="39" t="s">
        <v>357</v>
      </c>
      <c r="BI222" s="66">
        <v>23.0</v>
      </c>
      <c r="BJ222" s="36" t="str">
        <f t="shared" si="396"/>
        <v>S</v>
      </c>
      <c r="BK222" s="68">
        <v>17.0</v>
      </c>
      <c r="BL222" s="41" t="str">
        <f t="shared" si="397"/>
        <v>S</v>
      </c>
      <c r="BM222" s="41"/>
    </row>
    <row r="223">
      <c r="A223" s="18" t="s">
        <v>1129</v>
      </c>
      <c r="B223" s="19">
        <v>287.0</v>
      </c>
      <c r="C223" s="18" t="s">
        <v>1739</v>
      </c>
      <c r="D223" s="69" t="s">
        <v>190</v>
      </c>
      <c r="E223" s="18" t="s">
        <v>190</v>
      </c>
      <c r="F223" s="18" t="s">
        <v>192</v>
      </c>
      <c r="G223" s="63" t="s">
        <v>1740</v>
      </c>
      <c r="H223" s="22" t="s">
        <v>198</v>
      </c>
      <c r="I223" s="64" t="s">
        <v>816</v>
      </c>
      <c r="J223" s="81" t="s">
        <v>205</v>
      </c>
      <c r="K223" s="81" t="s">
        <v>205</v>
      </c>
      <c r="L223" s="71" t="s">
        <v>205</v>
      </c>
      <c r="M223" s="28">
        <v>9.0</v>
      </c>
      <c r="N223" s="26" t="str">
        <f t="shared" si="375"/>
        <v>R</v>
      </c>
      <c r="O223" s="28">
        <v>12.0</v>
      </c>
      <c r="P223" s="26" t="str">
        <f t="shared" si="376"/>
        <v>R</v>
      </c>
      <c r="Q223" s="28">
        <v>16.0</v>
      </c>
      <c r="R223" s="26" t="str">
        <f t="shared" si="377"/>
        <v>R</v>
      </c>
      <c r="S223" s="28">
        <v>16.0</v>
      </c>
      <c r="T223" s="26" t="str">
        <f t="shared" si="378"/>
        <v>R</v>
      </c>
      <c r="U223" s="28">
        <v>9.0</v>
      </c>
      <c r="V223" s="26" t="str">
        <f t="shared" si="379"/>
        <v>R</v>
      </c>
      <c r="W223" s="28">
        <v>12.0</v>
      </c>
      <c r="X223" s="26" t="str">
        <f t="shared" si="380"/>
        <v>R</v>
      </c>
      <c r="Y223" s="28">
        <v>12.0</v>
      </c>
      <c r="Z223" s="26" t="str">
        <f t="shared" si="381"/>
        <v>R</v>
      </c>
      <c r="AA223" s="32" t="s">
        <v>299</v>
      </c>
      <c r="AB223" s="65">
        <v>11.0</v>
      </c>
      <c r="AC223" s="33" t="str">
        <f t="shared" si="382"/>
        <v>R</v>
      </c>
      <c r="AD223" s="65">
        <v>18.0</v>
      </c>
      <c r="AE223" s="33" t="str">
        <f t="shared" si="383"/>
        <v>S</v>
      </c>
      <c r="AF223" s="65">
        <v>13.0</v>
      </c>
      <c r="AG223" s="33" t="str">
        <f t="shared" si="384"/>
        <v>R</v>
      </c>
      <c r="AH223" s="65">
        <v>12.0</v>
      </c>
      <c r="AI223" s="33" t="str">
        <f t="shared" si="385"/>
        <v>R</v>
      </c>
      <c r="AJ223" s="65">
        <v>16.0</v>
      </c>
      <c r="AK223" s="33" t="str">
        <f t="shared" si="386"/>
        <v>R</v>
      </c>
      <c r="AL223" s="65" t="s">
        <v>299</v>
      </c>
      <c r="AM223" s="66">
        <v>15.0</v>
      </c>
      <c r="AN223" s="36" t="str">
        <f t="shared" si="387"/>
        <v>R</v>
      </c>
      <c r="AO223" s="66">
        <v>13.0</v>
      </c>
      <c r="AP223" s="36" t="str">
        <f t="shared" si="388"/>
        <v>R</v>
      </c>
      <c r="AQ223" s="66">
        <v>6.0</v>
      </c>
      <c r="AR223" s="36" t="str">
        <f t="shared" si="389"/>
        <v>R</v>
      </c>
      <c r="AS223" s="66" t="s">
        <v>299</v>
      </c>
      <c r="AT223" s="67">
        <v>10.0</v>
      </c>
      <c r="AU223" s="37" t="str">
        <f t="shared" si="390"/>
        <v>R</v>
      </c>
      <c r="AV223" s="65">
        <v>15.0</v>
      </c>
      <c r="AW223" s="33" t="str">
        <f t="shared" si="391"/>
        <v>R</v>
      </c>
      <c r="AX223" s="65">
        <v>13.0</v>
      </c>
      <c r="AY223" s="33" t="str">
        <f t="shared" si="392"/>
        <v>R</v>
      </c>
      <c r="AZ223" s="65" t="s">
        <v>299</v>
      </c>
      <c r="BA223" s="28">
        <v>6.0</v>
      </c>
      <c r="BB223" s="26" t="str">
        <f t="shared" si="393"/>
        <v>R</v>
      </c>
      <c r="BC223" s="67">
        <v>14.0</v>
      </c>
      <c r="BD223" s="37" t="str">
        <f t="shared" si="394"/>
        <v>R</v>
      </c>
      <c r="BE223" s="66">
        <v>20.0</v>
      </c>
      <c r="BF223" s="36" t="str">
        <f t="shared" si="395"/>
        <v>R</v>
      </c>
      <c r="BG223" s="39" t="s">
        <v>357</v>
      </c>
      <c r="BH223" s="39" t="s">
        <v>357</v>
      </c>
      <c r="BI223" s="66">
        <v>16.0</v>
      </c>
      <c r="BJ223" s="36" t="str">
        <f t="shared" si="396"/>
        <v>R</v>
      </c>
      <c r="BK223" s="68">
        <v>13.0</v>
      </c>
      <c r="BL223" s="41" t="str">
        <f t="shared" si="397"/>
        <v>R</v>
      </c>
      <c r="BM223" s="41"/>
    </row>
    <row r="224">
      <c r="A224" s="18" t="s">
        <v>1129</v>
      </c>
      <c r="B224" s="19">
        <v>288.0</v>
      </c>
      <c r="C224" s="18" t="s">
        <v>1741</v>
      </c>
      <c r="D224" s="69" t="s">
        <v>571</v>
      </c>
      <c r="E224" s="18" t="s">
        <v>572</v>
      </c>
      <c r="F224" s="18" t="s">
        <v>192</v>
      </c>
      <c r="G224" s="63" t="s">
        <v>1742</v>
      </c>
      <c r="H224" s="22" t="s">
        <v>198</v>
      </c>
      <c r="I224" s="64" t="s">
        <v>481</v>
      </c>
      <c r="J224" s="70" t="s">
        <v>205</v>
      </c>
      <c r="K224" s="70" t="s">
        <v>208</v>
      </c>
      <c r="L224" s="70" t="s">
        <v>208</v>
      </c>
      <c r="M224" s="28">
        <v>6.0</v>
      </c>
      <c r="N224" s="26" t="str">
        <f t="shared" si="375"/>
        <v>R</v>
      </c>
      <c r="O224" s="28">
        <v>6.0</v>
      </c>
      <c r="P224" s="26" t="str">
        <f t="shared" si="376"/>
        <v>R</v>
      </c>
      <c r="Q224" s="28">
        <v>6.0</v>
      </c>
      <c r="R224" s="26" t="str">
        <f t="shared" si="377"/>
        <v>R</v>
      </c>
      <c r="S224" s="28">
        <v>15.0</v>
      </c>
      <c r="T224" s="26" t="str">
        <f t="shared" si="378"/>
        <v>R</v>
      </c>
      <c r="U224" s="28">
        <v>6.0</v>
      </c>
      <c r="V224" s="26" t="str">
        <f t="shared" si="379"/>
        <v>R</v>
      </c>
      <c r="W224" s="28">
        <v>21.0</v>
      </c>
      <c r="X224" s="26" t="str">
        <f t="shared" si="380"/>
        <v>S</v>
      </c>
      <c r="Y224" s="28">
        <v>19.0</v>
      </c>
      <c r="Z224" s="26" t="str">
        <f t="shared" si="381"/>
        <v>I</v>
      </c>
      <c r="AA224" s="32" t="s">
        <v>299</v>
      </c>
      <c r="AB224" s="65">
        <v>6.0</v>
      </c>
      <c r="AC224" s="33" t="str">
        <f t="shared" si="382"/>
        <v>R</v>
      </c>
      <c r="AD224" s="65">
        <v>6.0</v>
      </c>
      <c r="AE224" s="33" t="str">
        <f t="shared" si="383"/>
        <v>R</v>
      </c>
      <c r="AF224" s="65">
        <v>6.0</v>
      </c>
      <c r="AG224" s="33" t="str">
        <f t="shared" si="384"/>
        <v>R</v>
      </c>
      <c r="AH224" s="65">
        <v>23.0</v>
      </c>
      <c r="AI224" s="33" t="str">
        <f t="shared" si="385"/>
        <v>S</v>
      </c>
      <c r="AJ224" s="65">
        <v>18.0</v>
      </c>
      <c r="AK224" s="33" t="str">
        <f t="shared" si="386"/>
        <v>R</v>
      </c>
      <c r="AL224" s="65" t="s">
        <v>299</v>
      </c>
      <c r="AM224" s="66">
        <v>6.0</v>
      </c>
      <c r="AN224" s="36" t="str">
        <f t="shared" si="387"/>
        <v>R</v>
      </c>
      <c r="AO224" s="66">
        <v>6.0</v>
      </c>
      <c r="AP224" s="36" t="str">
        <f t="shared" si="388"/>
        <v>R</v>
      </c>
      <c r="AQ224" s="66">
        <v>6.0</v>
      </c>
      <c r="AR224" s="36" t="str">
        <f t="shared" si="389"/>
        <v>R</v>
      </c>
      <c r="AS224" s="66" t="s">
        <v>299</v>
      </c>
      <c r="AT224" s="67">
        <v>6.0</v>
      </c>
      <c r="AU224" s="37" t="str">
        <f t="shared" si="390"/>
        <v>R</v>
      </c>
      <c r="AV224" s="65">
        <v>20.0</v>
      </c>
      <c r="AW224" s="33" t="str">
        <f t="shared" si="391"/>
        <v>S</v>
      </c>
      <c r="AX224" s="65">
        <v>20.0</v>
      </c>
      <c r="AY224" s="33" t="str">
        <f t="shared" si="392"/>
        <v>S</v>
      </c>
      <c r="AZ224" s="33" t="s">
        <v>300</v>
      </c>
      <c r="BA224" s="28">
        <v>6.0</v>
      </c>
      <c r="BB224" s="26" t="str">
        <f t="shared" si="393"/>
        <v>R</v>
      </c>
      <c r="BC224" s="67">
        <v>13.0</v>
      </c>
      <c r="BD224" s="37" t="str">
        <f t="shared" si="394"/>
        <v>R</v>
      </c>
      <c r="BE224" s="66">
        <v>26.0</v>
      </c>
      <c r="BF224" s="36" t="str">
        <f t="shared" si="395"/>
        <v>S</v>
      </c>
      <c r="BG224" s="39" t="s">
        <v>357</v>
      </c>
      <c r="BH224" s="39" t="s">
        <v>357</v>
      </c>
      <c r="BI224" s="66">
        <v>20.0</v>
      </c>
      <c r="BJ224" s="36" t="str">
        <f t="shared" si="396"/>
        <v>I</v>
      </c>
      <c r="BK224" s="68">
        <v>20.0</v>
      </c>
      <c r="BL224" s="41" t="str">
        <f t="shared" si="397"/>
        <v>S</v>
      </c>
      <c r="BM224" s="41"/>
    </row>
    <row r="225">
      <c r="A225" s="18" t="s">
        <v>1139</v>
      </c>
      <c r="B225" s="19">
        <v>289.0</v>
      </c>
      <c r="C225" s="18" t="s">
        <v>1745</v>
      </c>
      <c r="D225" s="69" t="s">
        <v>190</v>
      </c>
      <c r="E225" s="18" t="s">
        <v>190</v>
      </c>
      <c r="F225" s="18" t="s">
        <v>192</v>
      </c>
      <c r="G225" s="63" t="s">
        <v>1746</v>
      </c>
      <c r="H225" s="22" t="s">
        <v>198</v>
      </c>
      <c r="I225" s="64" t="s">
        <v>481</v>
      </c>
      <c r="J225" s="70" t="s">
        <v>205</v>
      </c>
      <c r="K225" s="70" t="s">
        <v>208</v>
      </c>
      <c r="L225" s="70" t="s">
        <v>208</v>
      </c>
      <c r="M225" s="28">
        <v>6.0</v>
      </c>
      <c r="N225" s="26" t="str">
        <f t="shared" si="375"/>
        <v>R</v>
      </c>
      <c r="O225" s="28">
        <v>9.0</v>
      </c>
      <c r="P225" s="26" t="str">
        <f t="shared" si="376"/>
        <v>R</v>
      </c>
      <c r="Q225" s="28">
        <v>6.0</v>
      </c>
      <c r="R225" s="26" t="str">
        <f t="shared" si="377"/>
        <v>R</v>
      </c>
      <c r="S225" s="28">
        <v>18.0</v>
      </c>
      <c r="T225" s="26" t="str">
        <f t="shared" si="378"/>
        <v>R</v>
      </c>
      <c r="U225" s="28">
        <v>14.0</v>
      </c>
      <c r="V225" s="26" t="str">
        <f t="shared" si="379"/>
        <v>R</v>
      </c>
      <c r="W225" s="28">
        <v>13.0</v>
      </c>
      <c r="X225" s="26" t="str">
        <f t="shared" si="380"/>
        <v>R</v>
      </c>
      <c r="Y225" s="28">
        <v>15.0</v>
      </c>
      <c r="Z225" s="26" t="str">
        <f t="shared" si="381"/>
        <v>R</v>
      </c>
      <c r="AA225" s="32" t="s">
        <v>299</v>
      </c>
      <c r="AB225" s="65">
        <v>6.0</v>
      </c>
      <c r="AC225" s="33" t="str">
        <f t="shared" si="382"/>
        <v>R</v>
      </c>
      <c r="AD225" s="65">
        <v>16.0</v>
      </c>
      <c r="AE225" s="33" t="str">
        <f t="shared" si="383"/>
        <v>R</v>
      </c>
      <c r="AF225" s="65">
        <v>6.0</v>
      </c>
      <c r="AG225" s="33" t="str">
        <f t="shared" si="384"/>
        <v>R</v>
      </c>
      <c r="AH225" s="65">
        <v>18.0</v>
      </c>
      <c r="AI225" s="33" t="str">
        <f t="shared" si="385"/>
        <v>S</v>
      </c>
      <c r="AJ225" s="65">
        <v>13.0</v>
      </c>
      <c r="AK225" s="33" t="str">
        <f t="shared" si="386"/>
        <v>R</v>
      </c>
      <c r="AL225" s="65" t="s">
        <v>299</v>
      </c>
      <c r="AM225" s="66">
        <v>23.0</v>
      </c>
      <c r="AN225" s="36" t="str">
        <f t="shared" si="387"/>
        <v>I</v>
      </c>
      <c r="AO225" s="66">
        <v>21.0</v>
      </c>
      <c r="AP225" s="36" t="str">
        <f t="shared" si="388"/>
        <v>I</v>
      </c>
      <c r="AQ225" s="66">
        <v>20.0</v>
      </c>
      <c r="AR225" s="36" t="str">
        <f t="shared" si="389"/>
        <v>S</v>
      </c>
      <c r="AS225" s="66" t="s">
        <v>299</v>
      </c>
      <c r="AT225" s="67">
        <v>24.0</v>
      </c>
      <c r="AU225" s="37" t="str">
        <f t="shared" si="390"/>
        <v>S</v>
      </c>
      <c r="AV225" s="65">
        <v>16.0</v>
      </c>
      <c r="AW225" s="33" t="str">
        <f t="shared" si="391"/>
        <v>R</v>
      </c>
      <c r="AX225" s="65">
        <v>18.0</v>
      </c>
      <c r="AY225" s="33" t="str">
        <f t="shared" si="392"/>
        <v>S</v>
      </c>
      <c r="AZ225" s="65" t="s">
        <v>299</v>
      </c>
      <c r="BA225" s="28">
        <v>18.0</v>
      </c>
      <c r="BB225" s="26" t="str">
        <f t="shared" si="393"/>
        <v>R</v>
      </c>
      <c r="BC225" s="67">
        <v>6.0</v>
      </c>
      <c r="BD225" s="37" t="str">
        <f t="shared" si="394"/>
        <v>R</v>
      </c>
      <c r="BE225" s="66">
        <v>26.0</v>
      </c>
      <c r="BF225" s="36" t="str">
        <f t="shared" si="395"/>
        <v>S</v>
      </c>
      <c r="BG225" s="39" t="s">
        <v>357</v>
      </c>
      <c r="BH225" s="39" t="s">
        <v>357</v>
      </c>
      <c r="BI225" s="66">
        <v>14.0</v>
      </c>
      <c r="BJ225" s="36" t="str">
        <f t="shared" si="396"/>
        <v>R</v>
      </c>
      <c r="BK225" s="68">
        <v>16.0</v>
      </c>
      <c r="BL225" s="41" t="str">
        <f t="shared" si="397"/>
        <v>R</v>
      </c>
      <c r="BM225" s="41"/>
    </row>
    <row r="226">
      <c r="A226" s="18" t="s">
        <v>1139</v>
      </c>
      <c r="B226" s="19">
        <v>290.0</v>
      </c>
      <c r="C226" s="18" t="s">
        <v>1749</v>
      </c>
      <c r="D226" s="69" t="s">
        <v>571</v>
      </c>
      <c r="E226" s="18" t="s">
        <v>572</v>
      </c>
      <c r="F226" s="18" t="s">
        <v>192</v>
      </c>
      <c r="G226" s="63" t="s">
        <v>1750</v>
      </c>
      <c r="H226" s="42" t="s">
        <v>479</v>
      </c>
      <c r="I226" s="84" t="s">
        <v>37</v>
      </c>
      <c r="J226" s="81" t="s">
        <v>205</v>
      </c>
      <c r="K226" s="81" t="s">
        <v>205</v>
      </c>
      <c r="L226" s="81" t="s">
        <v>208</v>
      </c>
      <c r="M226" s="28">
        <v>6.0</v>
      </c>
      <c r="N226" s="26" t="str">
        <f t="shared" si="375"/>
        <v>R</v>
      </c>
      <c r="O226" s="28">
        <v>6.0</v>
      </c>
      <c r="P226" s="26" t="str">
        <f t="shared" si="376"/>
        <v>R</v>
      </c>
      <c r="Q226" s="28">
        <v>6.0</v>
      </c>
      <c r="R226" s="26" t="str">
        <f t="shared" si="377"/>
        <v>R</v>
      </c>
      <c r="S226" s="28">
        <v>26.0</v>
      </c>
      <c r="T226" s="26" t="str">
        <f t="shared" si="378"/>
        <v>S</v>
      </c>
      <c r="U226" s="28">
        <v>12.0</v>
      </c>
      <c r="V226" s="26" t="str">
        <f t="shared" si="379"/>
        <v>R</v>
      </c>
      <c r="W226" s="28">
        <v>11.0</v>
      </c>
      <c r="X226" s="26" t="str">
        <f t="shared" si="380"/>
        <v>R</v>
      </c>
      <c r="Y226" s="28">
        <v>19.0</v>
      </c>
      <c r="Z226" s="26" t="str">
        <f t="shared" si="381"/>
        <v>I</v>
      </c>
      <c r="AA226" s="32" t="s">
        <v>299</v>
      </c>
      <c r="AB226" s="65">
        <v>6.0</v>
      </c>
      <c r="AC226" s="33" t="str">
        <f t="shared" si="382"/>
        <v>R</v>
      </c>
      <c r="AD226" s="65">
        <v>18.0</v>
      </c>
      <c r="AE226" s="33" t="str">
        <f t="shared" si="383"/>
        <v>S</v>
      </c>
      <c r="AF226" s="65">
        <v>6.0</v>
      </c>
      <c r="AG226" s="33" t="str">
        <f t="shared" si="384"/>
        <v>R</v>
      </c>
      <c r="AH226" s="65">
        <v>16.0</v>
      </c>
      <c r="AI226" s="33" t="str">
        <f t="shared" si="385"/>
        <v>S</v>
      </c>
      <c r="AJ226" s="65">
        <v>6.0</v>
      </c>
      <c r="AK226" s="33" t="str">
        <f t="shared" si="386"/>
        <v>R</v>
      </c>
      <c r="AL226" s="65" t="s">
        <v>299</v>
      </c>
      <c r="AM226" s="66">
        <v>23.0</v>
      </c>
      <c r="AN226" s="36" t="str">
        <f t="shared" si="387"/>
        <v>I</v>
      </c>
      <c r="AO226" s="66">
        <v>23.0</v>
      </c>
      <c r="AP226" s="36" t="str">
        <f t="shared" si="388"/>
        <v>S</v>
      </c>
      <c r="AQ226" s="66">
        <v>23.0</v>
      </c>
      <c r="AR226" s="36" t="str">
        <f t="shared" si="389"/>
        <v>S</v>
      </c>
      <c r="AS226" s="66" t="s">
        <v>299</v>
      </c>
      <c r="AT226" s="67">
        <v>6.0</v>
      </c>
      <c r="AU226" s="37" t="str">
        <f t="shared" si="390"/>
        <v>R</v>
      </c>
      <c r="AV226" s="65">
        <v>18.0</v>
      </c>
      <c r="AW226" s="33" t="str">
        <f t="shared" si="391"/>
        <v>S</v>
      </c>
      <c r="AX226" s="65">
        <v>13.0</v>
      </c>
      <c r="AY226" s="33" t="str">
        <f t="shared" si="392"/>
        <v>R</v>
      </c>
      <c r="AZ226" s="65" t="s">
        <v>299</v>
      </c>
      <c r="BA226" s="28">
        <v>20.0</v>
      </c>
      <c r="BB226" s="26" t="str">
        <f t="shared" si="393"/>
        <v>S</v>
      </c>
      <c r="BC226" s="67">
        <v>6.0</v>
      </c>
      <c r="BD226" s="37" t="str">
        <f t="shared" si="394"/>
        <v>R</v>
      </c>
      <c r="BE226" s="66">
        <v>16.0</v>
      </c>
      <c r="BF226" s="36" t="str">
        <f t="shared" si="395"/>
        <v>R</v>
      </c>
      <c r="BG226" s="39" t="s">
        <v>357</v>
      </c>
      <c r="BH226" s="39" t="s">
        <v>357</v>
      </c>
      <c r="BI226" s="66">
        <v>15.0</v>
      </c>
      <c r="BJ226" s="36" t="str">
        <f t="shared" si="396"/>
        <v>R</v>
      </c>
      <c r="BK226" s="68">
        <v>16.0</v>
      </c>
      <c r="BL226" s="41" t="str">
        <f t="shared" si="397"/>
        <v>R</v>
      </c>
      <c r="BM226" s="41"/>
    </row>
    <row r="227">
      <c r="A227" s="18" t="s">
        <v>1139</v>
      </c>
      <c r="B227" s="19">
        <v>291.0</v>
      </c>
      <c r="C227" s="18" t="s">
        <v>1751</v>
      </c>
      <c r="D227" s="69" t="s">
        <v>1046</v>
      </c>
      <c r="E227" s="18" t="s">
        <v>103</v>
      </c>
      <c r="F227" s="18" t="s">
        <v>192</v>
      </c>
      <c r="G227" s="63" t="s">
        <v>1752</v>
      </c>
      <c r="H227" s="42" t="s">
        <v>479</v>
      </c>
      <c r="I227" s="64" t="s">
        <v>481</v>
      </c>
      <c r="J227" s="70" t="s">
        <v>205</v>
      </c>
      <c r="K227" s="70" t="s">
        <v>208</v>
      </c>
      <c r="L227" s="71" t="s">
        <v>208</v>
      </c>
      <c r="M227" s="28">
        <v>9.0</v>
      </c>
      <c r="N227" s="26" t="str">
        <f t="shared" si="375"/>
        <v>R</v>
      </c>
      <c r="O227" s="28">
        <v>19.0</v>
      </c>
      <c r="P227" s="26" t="str">
        <f t="shared" si="376"/>
        <v>S</v>
      </c>
      <c r="Q227" s="28">
        <v>6.0</v>
      </c>
      <c r="R227" s="26" t="str">
        <f t="shared" si="377"/>
        <v>R</v>
      </c>
      <c r="S227" s="28">
        <v>15.0</v>
      </c>
      <c r="T227" s="26" t="str">
        <f t="shared" si="378"/>
        <v>R</v>
      </c>
      <c r="U227" s="28">
        <v>11.0</v>
      </c>
      <c r="V227" s="26" t="str">
        <f t="shared" si="379"/>
        <v>R</v>
      </c>
      <c r="W227" s="28">
        <v>23.0</v>
      </c>
      <c r="X227" s="26" t="str">
        <f t="shared" si="380"/>
        <v>S</v>
      </c>
      <c r="Y227" s="28">
        <v>20.0</v>
      </c>
      <c r="Z227" s="26" t="str">
        <f t="shared" si="381"/>
        <v>S</v>
      </c>
      <c r="AA227" s="32" t="s">
        <v>299</v>
      </c>
      <c r="AB227" s="65">
        <v>17.0</v>
      </c>
      <c r="AC227" s="33" t="str">
        <f t="shared" si="382"/>
        <v>I</v>
      </c>
      <c r="AD227" s="65">
        <v>24.0</v>
      </c>
      <c r="AE227" s="33" t="str">
        <f t="shared" si="383"/>
        <v>S</v>
      </c>
      <c r="AF227" s="65">
        <v>21.0</v>
      </c>
      <c r="AG227" s="33" t="str">
        <f t="shared" si="384"/>
        <v>I</v>
      </c>
      <c r="AH227" s="65">
        <v>24.0</v>
      </c>
      <c r="AI227" s="33" t="str">
        <f t="shared" si="385"/>
        <v>S</v>
      </c>
      <c r="AJ227" s="65">
        <v>23.0</v>
      </c>
      <c r="AK227" s="33" t="str">
        <f t="shared" si="386"/>
        <v>R</v>
      </c>
      <c r="AL227" s="65" t="s">
        <v>299</v>
      </c>
      <c r="AM227" s="66">
        <v>32.0</v>
      </c>
      <c r="AN227" s="36" t="str">
        <f t="shared" si="387"/>
        <v>S</v>
      </c>
      <c r="AO227" s="66">
        <v>26.0</v>
      </c>
      <c r="AP227" s="36" t="str">
        <f t="shared" si="388"/>
        <v>S</v>
      </c>
      <c r="AQ227" s="66">
        <v>26.0</v>
      </c>
      <c r="AR227" s="36" t="str">
        <f t="shared" si="389"/>
        <v>S</v>
      </c>
      <c r="AS227" s="36" t="s">
        <v>300</v>
      </c>
      <c r="AT227" s="67">
        <v>6.0</v>
      </c>
      <c r="AU227" s="37" t="str">
        <f t="shared" si="390"/>
        <v>R</v>
      </c>
      <c r="AV227" s="65">
        <v>24.0</v>
      </c>
      <c r="AW227" s="33" t="str">
        <f t="shared" si="391"/>
        <v>S</v>
      </c>
      <c r="AX227" s="65">
        <v>24.0</v>
      </c>
      <c r="AY227" s="33" t="str">
        <f t="shared" si="392"/>
        <v>S</v>
      </c>
      <c r="AZ227" s="33" t="s">
        <v>300</v>
      </c>
      <c r="BA227" s="28">
        <v>6.0</v>
      </c>
      <c r="BB227" s="26" t="str">
        <f t="shared" si="393"/>
        <v>R</v>
      </c>
      <c r="BC227" s="67">
        <v>26.0</v>
      </c>
      <c r="BD227" s="37" t="str">
        <f t="shared" si="394"/>
        <v>S</v>
      </c>
      <c r="BE227" s="66">
        <v>34.0</v>
      </c>
      <c r="BF227" s="36" t="str">
        <f t="shared" si="395"/>
        <v>S</v>
      </c>
      <c r="BG227" s="39" t="s">
        <v>357</v>
      </c>
      <c r="BH227" s="39" t="s">
        <v>357</v>
      </c>
      <c r="BI227" s="66">
        <v>27.0</v>
      </c>
      <c r="BJ227" s="36" t="str">
        <f t="shared" si="396"/>
        <v>S</v>
      </c>
      <c r="BK227" s="68">
        <v>23.0</v>
      </c>
      <c r="BL227" s="41" t="str">
        <f t="shared" si="397"/>
        <v>S</v>
      </c>
      <c r="BM227" s="41"/>
    </row>
    <row r="228">
      <c r="A228" s="18" t="s">
        <v>1143</v>
      </c>
      <c r="B228" s="19">
        <v>292.0</v>
      </c>
      <c r="C228" s="18" t="s">
        <v>1755</v>
      </c>
      <c r="D228" s="69" t="s">
        <v>190</v>
      </c>
      <c r="E228" s="18" t="s">
        <v>190</v>
      </c>
      <c r="F228" s="18" t="s">
        <v>192</v>
      </c>
      <c r="G228" s="63" t="s">
        <v>1756</v>
      </c>
      <c r="H228" s="22" t="s">
        <v>198</v>
      </c>
      <c r="I228" s="84" t="s">
        <v>37</v>
      </c>
      <c r="J228" s="81" t="s">
        <v>205</v>
      </c>
      <c r="K228" s="81" t="s">
        <v>205</v>
      </c>
      <c r="L228" s="81" t="s">
        <v>208</v>
      </c>
      <c r="M228" s="28">
        <v>6.0</v>
      </c>
      <c r="N228" s="26" t="str">
        <f t="shared" si="375"/>
        <v>R</v>
      </c>
      <c r="O228" s="28">
        <v>20.0</v>
      </c>
      <c r="P228" s="26" t="str">
        <f t="shared" si="376"/>
        <v>S</v>
      </c>
      <c r="Q228" s="28">
        <v>6.0</v>
      </c>
      <c r="R228" s="26" t="str">
        <f t="shared" si="377"/>
        <v>R</v>
      </c>
      <c r="S228" s="28">
        <v>22.0</v>
      </c>
      <c r="T228" s="26" t="str">
        <f t="shared" si="378"/>
        <v>I</v>
      </c>
      <c r="U228" s="28">
        <v>6.0</v>
      </c>
      <c r="V228" s="26" t="str">
        <f t="shared" si="379"/>
        <v>R</v>
      </c>
      <c r="W228" s="28">
        <v>21.0</v>
      </c>
      <c r="X228" s="26" t="str">
        <f t="shared" si="380"/>
        <v>S</v>
      </c>
      <c r="Y228" s="28">
        <v>6.0</v>
      </c>
      <c r="Z228" s="26" t="str">
        <f t="shared" si="381"/>
        <v>R</v>
      </c>
      <c r="AA228" s="32" t="s">
        <v>299</v>
      </c>
      <c r="AB228" s="65">
        <v>11.0</v>
      </c>
      <c r="AC228" s="33" t="str">
        <f t="shared" si="382"/>
        <v>R</v>
      </c>
      <c r="AD228" s="65">
        <v>20.0</v>
      </c>
      <c r="AE228" s="33" t="str">
        <f t="shared" si="383"/>
        <v>S</v>
      </c>
      <c r="AF228" s="65">
        <v>9.0</v>
      </c>
      <c r="AG228" s="33" t="str">
        <f t="shared" si="384"/>
        <v>R</v>
      </c>
      <c r="AH228" s="65">
        <v>21.0</v>
      </c>
      <c r="AI228" s="33" t="str">
        <f t="shared" si="385"/>
        <v>S</v>
      </c>
      <c r="AJ228" s="65">
        <v>14.0</v>
      </c>
      <c r="AK228" s="33" t="str">
        <f t="shared" si="386"/>
        <v>R</v>
      </c>
      <c r="AL228" s="65" t="s">
        <v>299</v>
      </c>
      <c r="AM228" s="66">
        <v>6.0</v>
      </c>
      <c r="AN228" s="36" t="str">
        <f t="shared" si="387"/>
        <v>R</v>
      </c>
      <c r="AO228" s="66">
        <v>9.0</v>
      </c>
      <c r="AP228" s="36" t="str">
        <f t="shared" si="388"/>
        <v>R</v>
      </c>
      <c r="AQ228" s="66">
        <v>6.0</v>
      </c>
      <c r="AR228" s="36" t="str">
        <f t="shared" si="389"/>
        <v>R</v>
      </c>
      <c r="AS228" s="66" t="s">
        <v>299</v>
      </c>
      <c r="AT228" s="67">
        <v>6.0</v>
      </c>
      <c r="AU228" s="37" t="str">
        <f t="shared" si="390"/>
        <v>R</v>
      </c>
      <c r="AV228" s="65">
        <v>18.0</v>
      </c>
      <c r="AW228" s="33" t="str">
        <f t="shared" si="391"/>
        <v>S</v>
      </c>
      <c r="AX228" s="65">
        <v>18.0</v>
      </c>
      <c r="AY228" s="33" t="str">
        <f t="shared" si="392"/>
        <v>S</v>
      </c>
      <c r="AZ228" s="33" t="s">
        <v>300</v>
      </c>
      <c r="BA228" s="28">
        <v>21.0</v>
      </c>
      <c r="BB228" s="26" t="str">
        <f t="shared" si="393"/>
        <v>S</v>
      </c>
      <c r="BC228" s="67">
        <v>10.0</v>
      </c>
      <c r="BD228" s="37" t="str">
        <f t="shared" si="394"/>
        <v>R</v>
      </c>
      <c r="BE228" s="66">
        <v>25.0</v>
      </c>
      <c r="BF228" s="36" t="str">
        <f t="shared" si="395"/>
        <v>S</v>
      </c>
      <c r="BG228" s="39" t="s">
        <v>357</v>
      </c>
      <c r="BH228" s="39" t="s">
        <v>357</v>
      </c>
      <c r="BI228" s="66">
        <v>30.0</v>
      </c>
      <c r="BJ228" s="36" t="str">
        <f t="shared" si="396"/>
        <v>S</v>
      </c>
      <c r="BK228" s="68">
        <v>20.0</v>
      </c>
      <c r="BL228" s="41" t="str">
        <f t="shared" si="397"/>
        <v>S</v>
      </c>
      <c r="BM228" s="41"/>
    </row>
    <row r="229">
      <c r="A229" s="18" t="s">
        <v>1143</v>
      </c>
      <c r="B229" s="19">
        <v>293.0</v>
      </c>
      <c r="C229" s="18" t="s">
        <v>1759</v>
      </c>
      <c r="D229" s="69" t="s">
        <v>571</v>
      </c>
      <c r="E229" s="18" t="s">
        <v>572</v>
      </c>
      <c r="F229" s="18" t="s">
        <v>192</v>
      </c>
      <c r="G229" s="63" t="s">
        <v>1760</v>
      </c>
      <c r="H229" s="42" t="s">
        <v>479</v>
      </c>
      <c r="I229" s="64" t="s">
        <v>481</v>
      </c>
      <c r="J229" s="70" t="s">
        <v>205</v>
      </c>
      <c r="K229" s="70" t="s">
        <v>208</v>
      </c>
      <c r="L229" s="70" t="s">
        <v>208</v>
      </c>
      <c r="M229" s="28">
        <v>6.0</v>
      </c>
      <c r="N229" s="26" t="str">
        <f t="shared" si="375"/>
        <v>R</v>
      </c>
      <c r="O229" s="28">
        <v>10.0</v>
      </c>
      <c r="P229" s="26" t="str">
        <f t="shared" si="376"/>
        <v>R</v>
      </c>
      <c r="Q229" s="28">
        <v>6.0</v>
      </c>
      <c r="R229" s="26" t="str">
        <f t="shared" si="377"/>
        <v>R</v>
      </c>
      <c r="S229" s="28">
        <v>19.0</v>
      </c>
      <c r="T229" s="26" t="str">
        <f t="shared" si="378"/>
        <v>R</v>
      </c>
      <c r="U229" s="28">
        <v>6.0</v>
      </c>
      <c r="V229" s="26" t="str">
        <f t="shared" si="379"/>
        <v>R</v>
      </c>
      <c r="W229" s="28">
        <v>22.0</v>
      </c>
      <c r="X229" s="26" t="str">
        <f t="shared" si="380"/>
        <v>S</v>
      </c>
      <c r="Y229" s="28">
        <v>21.0</v>
      </c>
      <c r="Z229" s="26" t="str">
        <f t="shared" si="381"/>
        <v>S</v>
      </c>
      <c r="AA229" s="32" t="s">
        <v>299</v>
      </c>
      <c r="AB229" s="65">
        <v>12.0</v>
      </c>
      <c r="AC229" s="33" t="str">
        <f t="shared" si="382"/>
        <v>R</v>
      </c>
      <c r="AD229" s="65">
        <v>10.0</v>
      </c>
      <c r="AE229" s="33" t="str">
        <f t="shared" si="383"/>
        <v>R</v>
      </c>
      <c r="AF229" s="65">
        <v>11.0</v>
      </c>
      <c r="AG229" s="33" t="str">
        <f t="shared" si="384"/>
        <v>R</v>
      </c>
      <c r="AH229" s="65">
        <v>23.0</v>
      </c>
      <c r="AI229" s="33" t="str">
        <f t="shared" si="385"/>
        <v>S</v>
      </c>
      <c r="AJ229" s="65">
        <v>18.0</v>
      </c>
      <c r="AK229" s="33" t="str">
        <f t="shared" si="386"/>
        <v>R</v>
      </c>
      <c r="AL229" s="65" t="s">
        <v>299</v>
      </c>
      <c r="AM229" s="66">
        <v>6.0</v>
      </c>
      <c r="AN229" s="36" t="str">
        <f t="shared" si="387"/>
        <v>R</v>
      </c>
      <c r="AO229" s="66">
        <v>10.0</v>
      </c>
      <c r="AP229" s="36" t="str">
        <f t="shared" si="388"/>
        <v>R</v>
      </c>
      <c r="AQ229" s="66">
        <v>10.0</v>
      </c>
      <c r="AR229" s="36" t="str">
        <f t="shared" si="389"/>
        <v>R</v>
      </c>
      <c r="AS229" s="66" t="s">
        <v>299</v>
      </c>
      <c r="AT229" s="67">
        <v>9.0</v>
      </c>
      <c r="AU229" s="37" t="str">
        <f t="shared" si="390"/>
        <v>R</v>
      </c>
      <c r="AV229" s="65">
        <v>20.0</v>
      </c>
      <c r="AW229" s="33" t="str">
        <f t="shared" si="391"/>
        <v>S</v>
      </c>
      <c r="AX229" s="65">
        <v>18.0</v>
      </c>
      <c r="AY229" s="33" t="str">
        <f t="shared" si="392"/>
        <v>S</v>
      </c>
      <c r="AZ229" s="33" t="s">
        <v>300</v>
      </c>
      <c r="BA229" s="28">
        <v>6.0</v>
      </c>
      <c r="BB229" s="26" t="str">
        <f t="shared" si="393"/>
        <v>R</v>
      </c>
      <c r="BC229" s="67">
        <v>15.0</v>
      </c>
      <c r="BD229" s="37" t="str">
        <f t="shared" si="394"/>
        <v>R</v>
      </c>
      <c r="BE229" s="66">
        <v>26.0</v>
      </c>
      <c r="BF229" s="36" t="str">
        <f t="shared" si="395"/>
        <v>S</v>
      </c>
      <c r="BG229" s="39" t="s">
        <v>357</v>
      </c>
      <c r="BH229" s="39" t="s">
        <v>357</v>
      </c>
      <c r="BI229" s="66">
        <v>21.0</v>
      </c>
      <c r="BJ229" s="36" t="str">
        <f t="shared" si="396"/>
        <v>I</v>
      </c>
      <c r="BK229" s="68">
        <v>18.0</v>
      </c>
      <c r="BL229" s="41" t="str">
        <f t="shared" si="397"/>
        <v>S</v>
      </c>
      <c r="BM229" s="41"/>
    </row>
    <row r="230">
      <c r="A230" s="18" t="s">
        <v>1149</v>
      </c>
      <c r="B230" s="19">
        <v>294.0</v>
      </c>
      <c r="C230" s="18" t="s">
        <v>1761</v>
      </c>
      <c r="D230" s="69" t="s">
        <v>571</v>
      </c>
      <c r="E230" s="18" t="s">
        <v>572</v>
      </c>
      <c r="F230" s="18" t="s">
        <v>192</v>
      </c>
      <c r="G230" s="63" t="s">
        <v>1762</v>
      </c>
      <c r="H230" s="52" t="s">
        <v>581</v>
      </c>
      <c r="I230" s="84" t="s">
        <v>37</v>
      </c>
      <c r="J230" s="81" t="s">
        <v>205</v>
      </c>
      <c r="K230" s="81" t="s">
        <v>205</v>
      </c>
      <c r="L230" s="81" t="s">
        <v>208</v>
      </c>
      <c r="M230" s="28">
        <v>6.0</v>
      </c>
      <c r="N230" s="26" t="str">
        <f t="shared" si="375"/>
        <v>R</v>
      </c>
      <c r="O230" s="28">
        <v>18.0</v>
      </c>
      <c r="P230" s="26" t="str">
        <f t="shared" si="376"/>
        <v>R</v>
      </c>
      <c r="Q230" s="28">
        <v>6.0</v>
      </c>
      <c r="R230" s="26" t="str">
        <f t="shared" si="377"/>
        <v>R</v>
      </c>
      <c r="S230" s="28">
        <v>22.0</v>
      </c>
      <c r="T230" s="26" t="str">
        <f t="shared" si="378"/>
        <v>I</v>
      </c>
      <c r="U230" s="28">
        <v>6.0</v>
      </c>
      <c r="V230" s="26" t="str">
        <f t="shared" si="379"/>
        <v>R</v>
      </c>
      <c r="W230" s="28">
        <v>16.0</v>
      </c>
      <c r="X230" s="26" t="str">
        <f t="shared" si="380"/>
        <v>R</v>
      </c>
      <c r="Y230" s="28">
        <v>21.0</v>
      </c>
      <c r="Z230" s="26" t="str">
        <f t="shared" si="381"/>
        <v>S</v>
      </c>
      <c r="AA230" s="32" t="s">
        <v>299</v>
      </c>
      <c r="AB230" s="65">
        <v>6.0</v>
      </c>
      <c r="AC230" s="33" t="str">
        <f t="shared" si="382"/>
        <v>R</v>
      </c>
      <c r="AD230" s="65">
        <v>24.0</v>
      </c>
      <c r="AE230" s="33" t="str">
        <f t="shared" si="383"/>
        <v>S</v>
      </c>
      <c r="AF230" s="65">
        <v>6.0</v>
      </c>
      <c r="AG230" s="33" t="str">
        <f t="shared" si="384"/>
        <v>R</v>
      </c>
      <c r="AH230" s="65">
        <v>16.0</v>
      </c>
      <c r="AI230" s="33" t="str">
        <f t="shared" si="385"/>
        <v>S</v>
      </c>
      <c r="AJ230" s="65">
        <v>15.0</v>
      </c>
      <c r="AK230" s="33" t="str">
        <f t="shared" si="386"/>
        <v>R</v>
      </c>
      <c r="AL230" s="65" t="s">
        <v>299</v>
      </c>
      <c r="AM230" s="66">
        <v>6.0</v>
      </c>
      <c r="AN230" s="36" t="str">
        <f t="shared" si="387"/>
        <v>R</v>
      </c>
      <c r="AO230" s="66">
        <v>6.0</v>
      </c>
      <c r="AP230" s="36" t="str">
        <f t="shared" si="388"/>
        <v>R</v>
      </c>
      <c r="AQ230" s="66">
        <v>6.0</v>
      </c>
      <c r="AR230" s="36" t="str">
        <f t="shared" si="389"/>
        <v>R</v>
      </c>
      <c r="AS230" s="66" t="s">
        <v>299</v>
      </c>
      <c r="AT230" s="67">
        <v>6.0</v>
      </c>
      <c r="AU230" s="37" t="str">
        <f t="shared" si="390"/>
        <v>R</v>
      </c>
      <c r="AV230" s="65">
        <v>12.0</v>
      </c>
      <c r="AW230" s="33" t="str">
        <f t="shared" si="391"/>
        <v>R</v>
      </c>
      <c r="AX230" s="65">
        <v>13.0</v>
      </c>
      <c r="AY230" s="33" t="str">
        <f t="shared" si="392"/>
        <v>R</v>
      </c>
      <c r="AZ230" s="65" t="s">
        <v>299</v>
      </c>
      <c r="BA230" s="28">
        <v>6.0</v>
      </c>
      <c r="BB230" s="26" t="str">
        <f t="shared" si="393"/>
        <v>R</v>
      </c>
      <c r="BC230" s="67">
        <v>14.0</v>
      </c>
      <c r="BD230" s="37" t="str">
        <f t="shared" si="394"/>
        <v>R</v>
      </c>
      <c r="BE230" s="66">
        <v>13.0</v>
      </c>
      <c r="BF230" s="36" t="str">
        <f t="shared" si="395"/>
        <v>R</v>
      </c>
      <c r="BG230" s="39" t="s">
        <v>357</v>
      </c>
      <c r="BH230" s="39" t="s">
        <v>357</v>
      </c>
      <c r="BI230" s="66">
        <v>18.0</v>
      </c>
      <c r="BJ230" s="36" t="str">
        <f t="shared" si="396"/>
        <v>R</v>
      </c>
      <c r="BK230" s="68">
        <v>16.0</v>
      </c>
      <c r="BL230" s="41" t="str">
        <f t="shared" si="397"/>
        <v>R</v>
      </c>
      <c r="BM230" s="41"/>
    </row>
    <row r="231">
      <c r="A231" s="18" t="s">
        <v>1149</v>
      </c>
      <c r="B231" s="19">
        <v>295.0</v>
      </c>
      <c r="C231" s="18" t="s">
        <v>1765</v>
      </c>
      <c r="D231" s="69" t="s">
        <v>705</v>
      </c>
      <c r="E231" s="18" t="s">
        <v>572</v>
      </c>
      <c r="F231" s="18" t="s">
        <v>192</v>
      </c>
      <c r="G231" s="63" t="s">
        <v>1767</v>
      </c>
      <c r="H231" s="22" t="s">
        <v>198</v>
      </c>
      <c r="I231" s="64" t="s">
        <v>481</v>
      </c>
      <c r="J231" s="71" t="s">
        <v>205</v>
      </c>
      <c r="K231" s="70" t="s">
        <v>208</v>
      </c>
      <c r="L231" s="70" t="s">
        <v>208</v>
      </c>
      <c r="M231" s="28">
        <v>26.0</v>
      </c>
      <c r="N231" s="26" t="str">
        <f t="shared" si="375"/>
        <v>S</v>
      </c>
      <c r="O231" s="28">
        <v>24.0</v>
      </c>
      <c r="P231" s="26" t="str">
        <f t="shared" si="376"/>
        <v>S</v>
      </c>
      <c r="Q231" s="28">
        <v>29.0</v>
      </c>
      <c r="R231" s="26" t="str">
        <f t="shared" si="377"/>
        <v>S</v>
      </c>
      <c r="S231" s="28">
        <v>25.0</v>
      </c>
      <c r="T231" s="26" t="str">
        <f t="shared" si="378"/>
        <v>S</v>
      </c>
      <c r="U231" s="28">
        <v>22.0</v>
      </c>
      <c r="V231" s="26" t="str">
        <f t="shared" si="379"/>
        <v>S</v>
      </c>
      <c r="W231" s="28">
        <v>15.0</v>
      </c>
      <c r="X231" s="26" t="str">
        <f t="shared" si="380"/>
        <v>R</v>
      </c>
      <c r="Y231" s="28">
        <v>12.0</v>
      </c>
      <c r="Z231" s="26" t="str">
        <f t="shared" si="381"/>
        <v>R</v>
      </c>
      <c r="AA231" s="32" t="s">
        <v>299</v>
      </c>
      <c r="AB231" s="65">
        <v>28.0</v>
      </c>
      <c r="AC231" s="33" t="str">
        <f t="shared" si="382"/>
        <v>S</v>
      </c>
      <c r="AD231" s="65">
        <v>23.0</v>
      </c>
      <c r="AE231" s="33" t="str">
        <f t="shared" si="383"/>
        <v>S</v>
      </c>
      <c r="AF231" s="65">
        <v>26.0</v>
      </c>
      <c r="AG231" s="33" t="str">
        <f t="shared" si="384"/>
        <v>S</v>
      </c>
      <c r="AH231" s="65">
        <v>18.0</v>
      </c>
      <c r="AI231" s="33" t="str">
        <f t="shared" si="385"/>
        <v>S</v>
      </c>
      <c r="AJ231" s="65">
        <v>31.0</v>
      </c>
      <c r="AK231" s="33" t="str">
        <f t="shared" si="386"/>
        <v>S</v>
      </c>
      <c r="AL231" s="33" t="s">
        <v>300</v>
      </c>
      <c r="AM231" s="66">
        <v>36.0</v>
      </c>
      <c r="AN231" s="36" t="str">
        <f t="shared" si="387"/>
        <v>S</v>
      </c>
      <c r="AO231" s="66">
        <v>27.0</v>
      </c>
      <c r="AP231" s="36" t="str">
        <f t="shared" si="388"/>
        <v>S</v>
      </c>
      <c r="AQ231" s="66">
        <v>18.0</v>
      </c>
      <c r="AR231" s="36" t="str">
        <f t="shared" si="389"/>
        <v>S</v>
      </c>
      <c r="AS231" s="36" t="s">
        <v>300</v>
      </c>
      <c r="AT231" s="67">
        <v>21.0</v>
      </c>
      <c r="AU231" s="37" t="str">
        <f t="shared" si="390"/>
        <v>S</v>
      </c>
      <c r="AV231" s="65">
        <v>15.0</v>
      </c>
      <c r="AW231" s="33" t="str">
        <f t="shared" si="391"/>
        <v>R</v>
      </c>
      <c r="AX231" s="65">
        <v>24.0</v>
      </c>
      <c r="AY231" s="33" t="str">
        <f t="shared" si="392"/>
        <v>S</v>
      </c>
      <c r="AZ231" s="65" t="s">
        <v>299</v>
      </c>
      <c r="BA231" s="28">
        <v>25.0</v>
      </c>
      <c r="BB231" s="26" t="str">
        <f t="shared" si="393"/>
        <v>S</v>
      </c>
      <c r="BC231" s="67">
        <v>22.0</v>
      </c>
      <c r="BD231" s="37" t="str">
        <f t="shared" si="394"/>
        <v>I</v>
      </c>
      <c r="BE231" s="66">
        <v>25.0</v>
      </c>
      <c r="BF231" s="36" t="str">
        <f t="shared" si="395"/>
        <v>S</v>
      </c>
      <c r="BG231" s="39" t="s">
        <v>357</v>
      </c>
      <c r="BH231" s="39" t="s">
        <v>357</v>
      </c>
      <c r="BI231" s="66">
        <v>28.0</v>
      </c>
      <c r="BJ231" s="36" t="str">
        <f t="shared" si="396"/>
        <v>S</v>
      </c>
      <c r="BK231" s="68">
        <v>18.0</v>
      </c>
      <c r="BL231" s="41" t="str">
        <f t="shared" si="397"/>
        <v>S</v>
      </c>
      <c r="BM231" s="41"/>
    </row>
    <row r="232">
      <c r="I232" s="79"/>
    </row>
    <row r="233">
      <c r="I233" s="79"/>
    </row>
    <row r="234">
      <c r="I234" s="79"/>
    </row>
    <row r="235">
      <c r="I235" s="79"/>
    </row>
    <row r="236">
      <c r="I236" s="79"/>
    </row>
    <row r="237">
      <c r="I237" s="79"/>
    </row>
    <row r="238">
      <c r="I238" s="79"/>
    </row>
    <row r="239">
      <c r="I239" s="79"/>
    </row>
    <row r="240">
      <c r="I240" s="79"/>
    </row>
    <row r="241">
      <c r="I241" s="79"/>
    </row>
    <row r="242">
      <c r="I242" s="79"/>
    </row>
    <row r="243">
      <c r="I243" s="79"/>
    </row>
    <row r="244">
      <c r="I244" s="79"/>
    </row>
    <row r="245">
      <c r="I245" s="79"/>
    </row>
    <row r="246">
      <c r="I246" s="79"/>
    </row>
    <row r="247">
      <c r="I247" s="79"/>
    </row>
    <row r="248">
      <c r="I248" s="79"/>
    </row>
    <row r="249">
      <c r="I249" s="79"/>
    </row>
    <row r="250">
      <c r="I250" s="79"/>
    </row>
    <row r="251">
      <c r="I251" s="79"/>
    </row>
    <row r="252">
      <c r="I252" s="79"/>
    </row>
    <row r="253">
      <c r="I253" s="79"/>
    </row>
    <row r="254">
      <c r="I254" s="79"/>
    </row>
    <row r="255">
      <c r="I255" s="79"/>
    </row>
    <row r="256">
      <c r="I256" s="79"/>
    </row>
    <row r="257">
      <c r="I257" s="79"/>
    </row>
    <row r="258">
      <c r="I258" s="79"/>
    </row>
    <row r="259">
      <c r="I259" s="79"/>
    </row>
    <row r="260">
      <c r="I260" s="79"/>
    </row>
    <row r="261">
      <c r="I261" s="79"/>
    </row>
    <row r="262">
      <c r="I262" s="79"/>
    </row>
    <row r="263">
      <c r="I263" s="79"/>
    </row>
    <row r="264">
      <c r="I264" s="79"/>
    </row>
    <row r="265">
      <c r="I265" s="79"/>
    </row>
    <row r="266">
      <c r="I266" s="79"/>
    </row>
    <row r="267">
      <c r="I267" s="79"/>
    </row>
    <row r="268">
      <c r="I268" s="79"/>
    </row>
    <row r="269">
      <c r="I269" s="79"/>
    </row>
    <row r="270">
      <c r="I270" s="79"/>
    </row>
    <row r="271">
      <c r="I271" s="79"/>
    </row>
    <row r="272">
      <c r="I272" s="79"/>
    </row>
    <row r="273">
      <c r="I273" s="79"/>
    </row>
    <row r="274">
      <c r="I274" s="79"/>
    </row>
    <row r="275">
      <c r="I275" s="79"/>
    </row>
    <row r="276">
      <c r="I276" s="79"/>
    </row>
    <row r="277">
      <c r="I277" s="79"/>
    </row>
    <row r="278">
      <c r="I278" s="79"/>
    </row>
    <row r="279">
      <c r="I279" s="79"/>
    </row>
    <row r="280">
      <c r="I280" s="79"/>
    </row>
    <row r="281">
      <c r="I281" s="79"/>
    </row>
    <row r="282">
      <c r="I282" s="79"/>
    </row>
    <row r="283">
      <c r="I283" s="79"/>
    </row>
    <row r="284">
      <c r="I284" s="79"/>
    </row>
    <row r="285">
      <c r="I285" s="79"/>
    </row>
    <row r="286">
      <c r="I286" s="79"/>
    </row>
    <row r="287">
      <c r="I287" s="79"/>
    </row>
    <row r="288">
      <c r="I288" s="79"/>
    </row>
    <row r="289">
      <c r="I289" s="79"/>
    </row>
    <row r="290">
      <c r="I290" s="79"/>
    </row>
    <row r="291">
      <c r="I291" s="79"/>
    </row>
    <row r="292">
      <c r="I292" s="79"/>
    </row>
    <row r="293">
      <c r="I293" s="79"/>
    </row>
    <row r="294">
      <c r="I294" s="79"/>
    </row>
    <row r="295">
      <c r="I295" s="79"/>
    </row>
    <row r="296">
      <c r="I296" s="79"/>
    </row>
    <row r="297">
      <c r="I297" s="79"/>
    </row>
    <row r="298">
      <c r="I298" s="79"/>
    </row>
    <row r="299">
      <c r="I299" s="79"/>
    </row>
    <row r="300">
      <c r="I300" s="79"/>
    </row>
    <row r="301">
      <c r="I301" s="79"/>
    </row>
    <row r="302">
      <c r="I302" s="79"/>
    </row>
    <row r="303">
      <c r="I303" s="79"/>
    </row>
    <row r="304">
      <c r="I304" s="79"/>
    </row>
    <row r="305">
      <c r="I305" s="79"/>
    </row>
    <row r="306">
      <c r="I306" s="79"/>
    </row>
    <row r="307">
      <c r="I307" s="79"/>
    </row>
    <row r="308">
      <c r="I308" s="79"/>
    </row>
    <row r="309">
      <c r="I309" s="79"/>
    </row>
    <row r="310">
      <c r="I310" s="79"/>
    </row>
    <row r="311">
      <c r="I311" s="79"/>
    </row>
    <row r="312">
      <c r="I312" s="79"/>
    </row>
    <row r="313">
      <c r="I313" s="79"/>
    </row>
    <row r="314">
      <c r="I314" s="79"/>
    </row>
    <row r="315">
      <c r="I315" s="79"/>
    </row>
    <row r="316">
      <c r="I316" s="79"/>
    </row>
    <row r="317">
      <c r="I317" s="79"/>
    </row>
    <row r="318">
      <c r="I318" s="79"/>
    </row>
    <row r="319">
      <c r="I319" s="79"/>
    </row>
    <row r="320">
      <c r="I320" s="79"/>
    </row>
    <row r="321">
      <c r="I321" s="79"/>
    </row>
    <row r="322">
      <c r="I322" s="79"/>
    </row>
    <row r="323">
      <c r="I323" s="79"/>
    </row>
    <row r="324">
      <c r="I324" s="79"/>
    </row>
    <row r="325">
      <c r="I325" s="79"/>
    </row>
    <row r="326">
      <c r="I326" s="79"/>
    </row>
    <row r="327">
      <c r="I327" s="79"/>
    </row>
    <row r="328">
      <c r="I328" s="79"/>
    </row>
    <row r="329">
      <c r="I329" s="79"/>
    </row>
    <row r="330">
      <c r="I330" s="79"/>
    </row>
    <row r="331">
      <c r="I331" s="79"/>
    </row>
    <row r="332">
      <c r="I332" s="79"/>
    </row>
    <row r="333">
      <c r="I333" s="79"/>
    </row>
    <row r="334">
      <c r="I334" s="79"/>
    </row>
    <row r="335">
      <c r="I335" s="79"/>
    </row>
    <row r="336">
      <c r="I336" s="79"/>
    </row>
    <row r="337">
      <c r="I337" s="79"/>
    </row>
    <row r="338">
      <c r="I338" s="79"/>
    </row>
    <row r="339">
      <c r="I339" s="79"/>
    </row>
    <row r="340">
      <c r="I340" s="79"/>
    </row>
    <row r="341">
      <c r="I341" s="79"/>
    </row>
    <row r="342">
      <c r="I342" s="79"/>
    </row>
    <row r="343">
      <c r="I343" s="79"/>
    </row>
    <row r="344">
      <c r="I344" s="79"/>
    </row>
    <row r="345">
      <c r="I345" s="79"/>
    </row>
    <row r="346">
      <c r="I346" s="79"/>
    </row>
    <row r="347">
      <c r="I347" s="79"/>
    </row>
    <row r="348">
      <c r="I348" s="79"/>
    </row>
    <row r="349">
      <c r="I349" s="79"/>
    </row>
    <row r="350">
      <c r="I350" s="79"/>
    </row>
    <row r="351">
      <c r="I351" s="79"/>
    </row>
    <row r="352">
      <c r="I352" s="79"/>
    </row>
    <row r="353">
      <c r="I353" s="79"/>
    </row>
    <row r="354">
      <c r="I354" s="79"/>
    </row>
    <row r="355">
      <c r="I355" s="79"/>
    </row>
    <row r="356">
      <c r="I356" s="79"/>
    </row>
    <row r="357">
      <c r="I357" s="79"/>
    </row>
    <row r="358">
      <c r="I358" s="79"/>
    </row>
    <row r="359">
      <c r="I359" s="79"/>
    </row>
    <row r="360">
      <c r="I360" s="79"/>
    </row>
    <row r="361">
      <c r="I361" s="79"/>
    </row>
    <row r="362">
      <c r="I362" s="79"/>
    </row>
    <row r="363">
      <c r="I363" s="79"/>
    </row>
    <row r="364">
      <c r="I364" s="79"/>
    </row>
    <row r="365">
      <c r="I365" s="79"/>
    </row>
    <row r="366">
      <c r="I366" s="79"/>
    </row>
    <row r="367">
      <c r="I367" s="79"/>
    </row>
    <row r="368">
      <c r="I368" s="79"/>
    </row>
    <row r="369">
      <c r="I369" s="79"/>
    </row>
    <row r="370">
      <c r="I370" s="79"/>
    </row>
    <row r="371">
      <c r="I371" s="79"/>
    </row>
    <row r="372">
      <c r="I372" s="79"/>
    </row>
    <row r="373">
      <c r="I373" s="79"/>
    </row>
    <row r="374">
      <c r="I374" s="79"/>
    </row>
    <row r="375">
      <c r="I375" s="79"/>
    </row>
    <row r="376">
      <c r="I376" s="79"/>
    </row>
    <row r="377">
      <c r="I377" s="79"/>
    </row>
    <row r="378">
      <c r="I378" s="79"/>
    </row>
    <row r="379">
      <c r="I379" s="79"/>
    </row>
    <row r="380">
      <c r="I380" s="79"/>
    </row>
    <row r="381">
      <c r="I381" s="79"/>
    </row>
    <row r="382">
      <c r="I382" s="79"/>
    </row>
    <row r="383">
      <c r="I383" s="79"/>
    </row>
    <row r="384">
      <c r="I384" s="79"/>
    </row>
    <row r="385">
      <c r="I385" s="79"/>
    </row>
    <row r="386">
      <c r="I386" s="79"/>
    </row>
    <row r="387">
      <c r="I387" s="79"/>
    </row>
    <row r="388">
      <c r="I388" s="79"/>
    </row>
    <row r="389">
      <c r="I389" s="79"/>
    </row>
    <row r="390">
      <c r="I390" s="79"/>
    </row>
    <row r="391">
      <c r="I391" s="79"/>
    </row>
    <row r="392">
      <c r="I392" s="79"/>
    </row>
    <row r="393">
      <c r="I393" s="79"/>
    </row>
    <row r="394">
      <c r="I394" s="79"/>
    </row>
    <row r="395">
      <c r="I395" s="79"/>
    </row>
    <row r="396">
      <c r="I396" s="79"/>
    </row>
    <row r="397">
      <c r="I397" s="79"/>
    </row>
    <row r="398">
      <c r="I398" s="79"/>
    </row>
    <row r="399">
      <c r="I399" s="79"/>
    </row>
    <row r="400">
      <c r="I400" s="79"/>
    </row>
    <row r="401">
      <c r="I401" s="79"/>
    </row>
    <row r="402">
      <c r="I402" s="79"/>
    </row>
    <row r="403">
      <c r="I403" s="79"/>
    </row>
    <row r="404">
      <c r="I404" s="79"/>
    </row>
    <row r="405">
      <c r="I405" s="79"/>
    </row>
    <row r="406">
      <c r="I406" s="79"/>
    </row>
    <row r="407">
      <c r="I407" s="79"/>
    </row>
    <row r="408">
      <c r="I408" s="79"/>
    </row>
    <row r="409">
      <c r="I409" s="79"/>
    </row>
    <row r="410">
      <c r="I410" s="79"/>
    </row>
    <row r="411">
      <c r="I411" s="79"/>
    </row>
    <row r="412">
      <c r="I412" s="79"/>
    </row>
    <row r="413">
      <c r="I413" s="79"/>
    </row>
    <row r="414">
      <c r="I414" s="79"/>
    </row>
    <row r="415">
      <c r="I415" s="79"/>
    </row>
    <row r="416">
      <c r="I416" s="79"/>
    </row>
    <row r="417">
      <c r="I417" s="79"/>
    </row>
    <row r="418">
      <c r="I418" s="79"/>
    </row>
    <row r="419">
      <c r="I419" s="79"/>
    </row>
    <row r="420">
      <c r="I420" s="79"/>
    </row>
    <row r="421">
      <c r="I421" s="79"/>
    </row>
    <row r="422">
      <c r="I422" s="79"/>
    </row>
    <row r="423">
      <c r="I423" s="79"/>
    </row>
    <row r="424">
      <c r="I424" s="79"/>
    </row>
    <row r="425">
      <c r="I425" s="79"/>
    </row>
    <row r="426">
      <c r="I426" s="79"/>
    </row>
    <row r="427">
      <c r="I427" s="79"/>
    </row>
    <row r="428">
      <c r="I428" s="79"/>
    </row>
    <row r="429">
      <c r="I429" s="79"/>
    </row>
    <row r="430">
      <c r="I430" s="79"/>
    </row>
    <row r="431">
      <c r="I431" s="79"/>
    </row>
    <row r="432">
      <c r="I432" s="79"/>
    </row>
    <row r="433">
      <c r="I433" s="79"/>
    </row>
    <row r="434">
      <c r="I434" s="79"/>
    </row>
    <row r="435">
      <c r="I435" s="79"/>
    </row>
    <row r="436">
      <c r="I436" s="79"/>
    </row>
    <row r="437">
      <c r="I437" s="79"/>
    </row>
    <row r="438">
      <c r="I438" s="79"/>
    </row>
    <row r="439">
      <c r="I439" s="79"/>
    </row>
    <row r="440">
      <c r="I440" s="79"/>
    </row>
    <row r="441">
      <c r="I441" s="79"/>
    </row>
    <row r="442">
      <c r="I442" s="79"/>
    </row>
    <row r="443">
      <c r="I443" s="79"/>
    </row>
    <row r="444">
      <c r="I444" s="79"/>
    </row>
    <row r="445">
      <c r="I445" s="79"/>
    </row>
    <row r="446">
      <c r="I446" s="79"/>
    </row>
    <row r="447">
      <c r="I447" s="79"/>
    </row>
    <row r="448">
      <c r="I448" s="79"/>
    </row>
    <row r="449">
      <c r="I449" s="79"/>
    </row>
    <row r="450">
      <c r="I450" s="79"/>
    </row>
    <row r="451">
      <c r="I451" s="79"/>
    </row>
    <row r="452">
      <c r="I452" s="79"/>
    </row>
    <row r="453">
      <c r="I453" s="79"/>
    </row>
    <row r="454">
      <c r="I454" s="79"/>
    </row>
    <row r="455">
      <c r="I455" s="79"/>
    </row>
    <row r="456">
      <c r="I456" s="79"/>
    </row>
    <row r="457">
      <c r="I457" s="79"/>
    </row>
    <row r="458">
      <c r="I458" s="79"/>
    </row>
    <row r="459">
      <c r="I459" s="79"/>
    </row>
    <row r="460">
      <c r="I460" s="79"/>
    </row>
    <row r="461">
      <c r="I461" s="79"/>
    </row>
    <row r="462">
      <c r="I462" s="79"/>
    </row>
    <row r="463">
      <c r="I463" s="79"/>
    </row>
    <row r="464">
      <c r="I464" s="79"/>
    </row>
    <row r="465">
      <c r="I465" s="79"/>
    </row>
    <row r="466">
      <c r="I466" s="79"/>
    </row>
    <row r="467">
      <c r="I467" s="79"/>
    </row>
    <row r="468">
      <c r="I468" s="79"/>
    </row>
    <row r="469">
      <c r="I469" s="79"/>
    </row>
    <row r="470">
      <c r="I470" s="79"/>
    </row>
    <row r="471">
      <c r="I471" s="79"/>
    </row>
    <row r="472">
      <c r="I472" s="79"/>
    </row>
    <row r="473">
      <c r="I473" s="79"/>
    </row>
    <row r="474">
      <c r="I474" s="79"/>
    </row>
    <row r="475">
      <c r="I475" s="79"/>
    </row>
    <row r="476">
      <c r="I476" s="79"/>
    </row>
    <row r="477">
      <c r="I477" s="79"/>
    </row>
    <row r="478">
      <c r="I478" s="79"/>
    </row>
    <row r="479">
      <c r="I479" s="79"/>
    </row>
    <row r="480">
      <c r="I480" s="79"/>
    </row>
    <row r="481">
      <c r="I481" s="79"/>
    </row>
    <row r="482">
      <c r="I482" s="79"/>
    </row>
    <row r="483">
      <c r="I483" s="79"/>
    </row>
    <row r="484">
      <c r="I484" s="79"/>
    </row>
    <row r="485">
      <c r="I485" s="79"/>
    </row>
    <row r="486">
      <c r="I486" s="79"/>
    </row>
    <row r="487">
      <c r="I487" s="79"/>
    </row>
    <row r="488">
      <c r="I488" s="79"/>
    </row>
    <row r="489">
      <c r="I489" s="79"/>
    </row>
    <row r="490">
      <c r="I490" s="79"/>
    </row>
    <row r="491">
      <c r="I491" s="79"/>
    </row>
    <row r="492">
      <c r="I492" s="79"/>
    </row>
    <row r="493">
      <c r="I493" s="79"/>
    </row>
    <row r="494">
      <c r="I494" s="79"/>
    </row>
    <row r="495">
      <c r="I495" s="79"/>
    </row>
    <row r="496">
      <c r="I496" s="79"/>
    </row>
    <row r="497">
      <c r="I497" s="79"/>
    </row>
    <row r="498">
      <c r="I498" s="79"/>
    </row>
    <row r="499">
      <c r="I499" s="79"/>
    </row>
    <row r="500">
      <c r="I500" s="79"/>
    </row>
    <row r="501">
      <c r="I501" s="79"/>
    </row>
    <row r="502">
      <c r="I502" s="79"/>
    </row>
    <row r="503">
      <c r="I503" s="79"/>
    </row>
    <row r="504">
      <c r="I504" s="79"/>
    </row>
    <row r="505">
      <c r="I505" s="79"/>
    </row>
    <row r="506">
      <c r="I506" s="79"/>
    </row>
    <row r="507">
      <c r="I507" s="79"/>
    </row>
    <row r="508">
      <c r="I508" s="79"/>
    </row>
    <row r="509">
      <c r="I509" s="79"/>
    </row>
    <row r="510">
      <c r="I510" s="79"/>
    </row>
    <row r="511">
      <c r="I511" s="79"/>
    </row>
    <row r="512">
      <c r="I512" s="79"/>
    </row>
    <row r="513">
      <c r="I513" s="79"/>
    </row>
    <row r="514">
      <c r="I514" s="79"/>
    </row>
    <row r="515">
      <c r="I515" s="79"/>
    </row>
    <row r="516">
      <c r="I516" s="79"/>
    </row>
    <row r="517">
      <c r="I517" s="79"/>
    </row>
    <row r="518">
      <c r="I518" s="79"/>
    </row>
    <row r="519">
      <c r="I519" s="79"/>
    </row>
    <row r="520">
      <c r="I520" s="79"/>
    </row>
    <row r="521">
      <c r="I521" s="79"/>
    </row>
    <row r="522">
      <c r="I522" s="79"/>
    </row>
    <row r="523">
      <c r="I523" s="79"/>
    </row>
    <row r="524">
      <c r="I524" s="79"/>
    </row>
    <row r="525">
      <c r="I525" s="79"/>
    </row>
    <row r="526">
      <c r="I526" s="79"/>
    </row>
    <row r="527">
      <c r="I527" s="79"/>
    </row>
    <row r="528">
      <c r="I528" s="79"/>
    </row>
    <row r="529">
      <c r="I529" s="79"/>
    </row>
    <row r="530">
      <c r="I530" s="79"/>
    </row>
    <row r="531">
      <c r="I531" s="79"/>
    </row>
    <row r="532">
      <c r="I532" s="79"/>
    </row>
    <row r="533">
      <c r="I533" s="79"/>
    </row>
    <row r="534">
      <c r="I534" s="79"/>
    </row>
    <row r="535">
      <c r="I535" s="79"/>
    </row>
    <row r="536">
      <c r="I536" s="79"/>
    </row>
    <row r="537">
      <c r="I537" s="79"/>
    </row>
    <row r="538">
      <c r="I538" s="79"/>
    </row>
    <row r="539">
      <c r="I539" s="79"/>
    </row>
    <row r="540">
      <c r="I540" s="79"/>
    </row>
    <row r="541">
      <c r="I541" s="79"/>
    </row>
    <row r="542">
      <c r="I542" s="79"/>
    </row>
    <row r="543">
      <c r="I543" s="79"/>
    </row>
    <row r="544">
      <c r="I544" s="79"/>
    </row>
    <row r="545">
      <c r="I545" s="79"/>
    </row>
    <row r="546">
      <c r="I546" s="79"/>
    </row>
    <row r="547">
      <c r="I547" s="79"/>
    </row>
    <row r="548">
      <c r="I548" s="79"/>
    </row>
    <row r="549">
      <c r="I549" s="79"/>
    </row>
    <row r="550">
      <c r="I550" s="79"/>
    </row>
    <row r="551">
      <c r="I551" s="79"/>
    </row>
    <row r="552">
      <c r="I552" s="79"/>
    </row>
    <row r="553">
      <c r="I553" s="79"/>
    </row>
    <row r="554">
      <c r="I554" s="79"/>
    </row>
    <row r="555">
      <c r="I555" s="79"/>
    </row>
    <row r="556">
      <c r="I556" s="79"/>
    </row>
    <row r="557">
      <c r="I557" s="79"/>
    </row>
    <row r="558">
      <c r="I558" s="79"/>
    </row>
    <row r="559">
      <c r="I559" s="79"/>
    </row>
    <row r="560">
      <c r="I560" s="79"/>
    </row>
    <row r="561">
      <c r="I561" s="79"/>
    </row>
    <row r="562">
      <c r="I562" s="79"/>
    </row>
    <row r="563">
      <c r="I563" s="79"/>
    </row>
    <row r="564">
      <c r="I564" s="79"/>
    </row>
    <row r="565">
      <c r="I565" s="79"/>
    </row>
    <row r="566">
      <c r="I566" s="79"/>
    </row>
    <row r="567">
      <c r="I567" s="79"/>
    </row>
    <row r="568">
      <c r="I568" s="79"/>
    </row>
    <row r="569">
      <c r="I569" s="79"/>
    </row>
    <row r="570">
      <c r="I570" s="79"/>
    </row>
    <row r="571">
      <c r="I571" s="79"/>
    </row>
    <row r="572">
      <c r="I572" s="79"/>
    </row>
    <row r="573">
      <c r="I573" s="79"/>
    </row>
    <row r="574">
      <c r="I574" s="79"/>
    </row>
    <row r="575">
      <c r="I575" s="79"/>
    </row>
    <row r="576">
      <c r="I576" s="79"/>
    </row>
    <row r="577">
      <c r="I577" s="79"/>
    </row>
    <row r="578">
      <c r="I578" s="79"/>
    </row>
    <row r="579">
      <c r="I579" s="79"/>
    </row>
    <row r="580">
      <c r="I580" s="79"/>
    </row>
    <row r="581">
      <c r="I581" s="79"/>
    </row>
    <row r="582">
      <c r="I582" s="79"/>
    </row>
    <row r="583">
      <c r="I583" s="79"/>
    </row>
    <row r="584">
      <c r="I584" s="79"/>
    </row>
    <row r="585">
      <c r="I585" s="79"/>
    </row>
    <row r="586">
      <c r="I586" s="79"/>
    </row>
    <row r="587">
      <c r="I587" s="79"/>
    </row>
    <row r="588">
      <c r="I588" s="79"/>
    </row>
    <row r="589">
      <c r="I589" s="79"/>
    </row>
    <row r="590">
      <c r="I590" s="79"/>
    </row>
    <row r="591">
      <c r="I591" s="79"/>
    </row>
    <row r="592">
      <c r="I592" s="79"/>
    </row>
    <row r="593">
      <c r="I593" s="79"/>
    </row>
    <row r="594">
      <c r="I594" s="79"/>
    </row>
    <row r="595">
      <c r="I595" s="79"/>
    </row>
    <row r="596">
      <c r="I596" s="79"/>
    </row>
    <row r="597">
      <c r="I597" s="79"/>
    </row>
    <row r="598">
      <c r="I598" s="79"/>
    </row>
    <row r="599">
      <c r="I599" s="79"/>
    </row>
    <row r="600">
      <c r="I600" s="79"/>
    </row>
    <row r="601">
      <c r="I601" s="79"/>
    </row>
    <row r="602">
      <c r="I602" s="79"/>
    </row>
    <row r="603">
      <c r="I603" s="79"/>
    </row>
    <row r="604">
      <c r="I604" s="79"/>
    </row>
    <row r="605">
      <c r="I605" s="79"/>
    </row>
    <row r="606">
      <c r="I606" s="79"/>
    </row>
    <row r="607">
      <c r="I607" s="79"/>
    </row>
    <row r="608">
      <c r="I608" s="79"/>
    </row>
    <row r="609">
      <c r="I609" s="79"/>
    </row>
    <row r="610">
      <c r="I610" s="79"/>
    </row>
    <row r="611">
      <c r="I611" s="79"/>
    </row>
    <row r="612">
      <c r="I612" s="79"/>
    </row>
    <row r="613">
      <c r="I613" s="79"/>
    </row>
    <row r="614">
      <c r="I614" s="79"/>
    </row>
    <row r="615">
      <c r="I615" s="79"/>
    </row>
    <row r="616">
      <c r="I616" s="79"/>
    </row>
    <row r="617">
      <c r="I617" s="79"/>
    </row>
    <row r="618">
      <c r="I618" s="79"/>
    </row>
    <row r="619">
      <c r="I619" s="79"/>
    </row>
    <row r="620">
      <c r="I620" s="79"/>
    </row>
    <row r="621">
      <c r="I621" s="79"/>
    </row>
    <row r="622">
      <c r="I622" s="79"/>
    </row>
    <row r="623">
      <c r="I623" s="79"/>
    </row>
    <row r="624">
      <c r="I624" s="79"/>
    </row>
    <row r="625">
      <c r="I625" s="79"/>
    </row>
    <row r="626">
      <c r="I626" s="79"/>
    </row>
    <row r="627">
      <c r="I627" s="79"/>
    </row>
    <row r="628">
      <c r="I628" s="79"/>
    </row>
    <row r="629">
      <c r="I629" s="79"/>
    </row>
    <row r="630">
      <c r="I630" s="79"/>
    </row>
    <row r="631">
      <c r="I631" s="79"/>
    </row>
    <row r="632">
      <c r="I632" s="79"/>
    </row>
    <row r="633">
      <c r="I633" s="79"/>
    </row>
    <row r="634">
      <c r="I634" s="79"/>
    </row>
    <row r="635">
      <c r="I635" s="79"/>
    </row>
    <row r="636">
      <c r="I636" s="79"/>
    </row>
    <row r="637">
      <c r="I637" s="79"/>
    </row>
    <row r="638">
      <c r="I638" s="79"/>
    </row>
    <row r="639">
      <c r="I639" s="79"/>
    </row>
    <row r="640">
      <c r="I640" s="79"/>
    </row>
    <row r="641">
      <c r="I641" s="79"/>
    </row>
    <row r="642">
      <c r="I642" s="79"/>
    </row>
    <row r="643">
      <c r="I643" s="79"/>
    </row>
    <row r="644">
      <c r="I644" s="79"/>
    </row>
    <row r="645">
      <c r="I645" s="79"/>
    </row>
    <row r="646">
      <c r="I646" s="79"/>
    </row>
    <row r="647">
      <c r="I647" s="79"/>
    </row>
    <row r="648">
      <c r="I648" s="79"/>
    </row>
    <row r="649">
      <c r="I649" s="79"/>
    </row>
    <row r="650">
      <c r="I650" s="79"/>
    </row>
    <row r="651">
      <c r="I651" s="79"/>
    </row>
    <row r="652">
      <c r="I652" s="79"/>
    </row>
    <row r="653">
      <c r="I653" s="79"/>
    </row>
    <row r="654">
      <c r="I654" s="79"/>
    </row>
    <row r="655">
      <c r="I655" s="79"/>
    </row>
    <row r="656">
      <c r="I656" s="79"/>
    </row>
    <row r="657">
      <c r="I657" s="79"/>
    </row>
    <row r="658">
      <c r="I658" s="79"/>
    </row>
  </sheetData>
  <drawing r:id="rId1"/>
</worksheet>
</file>